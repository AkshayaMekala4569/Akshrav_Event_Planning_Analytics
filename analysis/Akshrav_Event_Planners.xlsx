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tables/table14.xml" ContentType="application/vnd.openxmlformats-officedocument.spreadsheetml.table+xml"/>
  <Override PartName="/xl/queryTables/queryTable13.xml" ContentType="application/vnd.openxmlformats-officedocument.spreadsheetml.query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DELL\OneDrive\Desktop\Education\"/>
    </mc:Choice>
  </mc:AlternateContent>
  <xr:revisionPtr revIDLastSave="0" documentId="13_ncr:1_{2118C9B0-1F15-4F41-A86B-3FD59206C7F4}" xr6:coauthVersionLast="47" xr6:coauthVersionMax="47" xr10:uidLastSave="{00000000-0000-0000-0000-000000000000}"/>
  <bookViews>
    <workbookView xWindow="-120" yWindow="-120" windowWidth="29040" windowHeight="15720" firstSheet="7" activeTab="14" xr2:uid="{EE0C1F90-BD8A-4C5A-BBF6-046AB3D59A23}"/>
  </bookViews>
  <sheets>
    <sheet name="Food_Catalog" sheetId="1" r:id="rId1"/>
    <sheet name="Food_Orders" sheetId="2" r:id="rId2"/>
    <sheet name="Entertainment_Catalog" sheetId="3" r:id="rId3"/>
    <sheet name="Entertainment_Orders" sheetId="4" r:id="rId4"/>
    <sheet name="Logistics_Catalog" sheetId="5" r:id="rId5"/>
    <sheet name="Logistics_Orders" sheetId="6" r:id="rId6"/>
    <sheet name="Venue_Catalog" sheetId="7" r:id="rId7"/>
    <sheet name="Venue_Orders" sheetId="8" r:id="rId8"/>
    <sheet name="Decor_Catalog" sheetId="11" r:id="rId9"/>
    <sheet name="Photography_Catalog" sheetId="9" r:id="rId10"/>
    <sheet name="Photography_Orders" sheetId="10" r:id="rId11"/>
    <sheet name="Decor_Orders" sheetId="12" r:id="rId12"/>
    <sheet name="Event_Catalog" sheetId="13" r:id="rId13"/>
    <sheet name="Event_Master" sheetId="14" r:id="rId14"/>
    <sheet name="Budget" sheetId="15" r:id="rId15"/>
  </sheets>
  <definedNames>
    <definedName name="ExternalData_1" localSheetId="8" hidden="1">Decor_Catalog!$A$1:$I$6</definedName>
    <definedName name="ExternalData_1" localSheetId="2" hidden="1">Entertainment_Catalog!$A$1:$H$6</definedName>
    <definedName name="ExternalData_1" localSheetId="13" hidden="1">Event_Master!$A$1:$AB$116</definedName>
    <definedName name="ExternalData_1" localSheetId="0" hidden="1">Food_Catalog!$A$1:$G$56</definedName>
    <definedName name="ExternalData_1" localSheetId="4" hidden="1">Logistics_Catalog!$A$1:$I$6</definedName>
    <definedName name="ExternalData_1" localSheetId="9" hidden="1">Photography_Catalog!$A$1:$H$6</definedName>
    <definedName name="ExternalData_1" localSheetId="6" hidden="1">Venue_Catalog!$A$1:$H$6</definedName>
    <definedName name="ExternalData_2" localSheetId="11" hidden="1">Decor_Orders!$A$1:$F$116</definedName>
    <definedName name="ExternalData_2" localSheetId="3" hidden="1">Entertainment_Orders!$A$1:$G$116</definedName>
    <definedName name="ExternalData_2" localSheetId="5" hidden="1">Logistics_Orders!$A$1:$H$565</definedName>
    <definedName name="ExternalData_2" localSheetId="10" hidden="1">Photography_Orders!$A$1:$F$116</definedName>
    <definedName name="ExternalData_2" localSheetId="7" hidden="1">Venue_Orders!$A$1:$G$116</definedName>
    <definedName name="ExternalData_3" localSheetId="1" hidden="1">Food_Orders!$A$1:$I$2782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08" i="2" l="1"/>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R2" i="14" a="1"/>
  <c r="R2" i="14" s="1"/>
  <c r="R3" i="14" a="1"/>
  <c r="R3" i="14" s="1"/>
  <c r="R4" i="14" a="1"/>
  <c r="R4" i="14"/>
  <c r="R5" i="14" a="1"/>
  <c r="R5" i="14" s="1"/>
  <c r="R6" i="14" a="1"/>
  <c r="R6" i="14" s="1"/>
  <c r="R7" i="14" a="1"/>
  <c r="R7" i="14" s="1"/>
  <c r="R8" i="14" a="1"/>
  <c r="R8" i="14" s="1"/>
  <c r="R9" i="14" a="1"/>
  <c r="R9" i="14" s="1"/>
  <c r="R10" i="14" a="1"/>
  <c r="R10" i="14"/>
  <c r="R11" i="14" a="1"/>
  <c r="R11" i="14" s="1"/>
  <c r="R12" i="14" a="1"/>
  <c r="R12" i="14" s="1"/>
  <c r="R13" i="14" a="1"/>
  <c r="R13" i="14" s="1"/>
  <c r="R14" i="14" a="1"/>
  <c r="R14" i="14" s="1"/>
  <c r="R15" i="14" a="1"/>
  <c r="R15" i="14" s="1"/>
  <c r="R16" i="14" a="1"/>
  <c r="R16" i="14" s="1"/>
  <c r="R17" i="14" a="1"/>
  <c r="R17" i="14"/>
  <c r="R18" i="14" a="1"/>
  <c r="R18" i="14"/>
  <c r="R19" i="14" a="1"/>
  <c r="R19" i="14" s="1"/>
  <c r="R20" i="14" a="1"/>
  <c r="R20" i="14" s="1"/>
  <c r="R21" i="14" a="1"/>
  <c r="R21" i="14" s="1"/>
  <c r="R22" i="14" a="1"/>
  <c r="R22" i="14" s="1"/>
  <c r="R23" i="14" a="1"/>
  <c r="R23" i="14" s="1"/>
  <c r="R24" i="14" a="1"/>
  <c r="R24" i="14"/>
  <c r="R25" i="14" a="1"/>
  <c r="R25" i="14"/>
  <c r="R26" i="14" a="1"/>
  <c r="R26" i="14" s="1"/>
  <c r="R27" i="14" a="1"/>
  <c r="R27" i="14" s="1"/>
  <c r="R28" i="14" a="1"/>
  <c r="R28" i="14" s="1"/>
  <c r="R29" i="14" a="1"/>
  <c r="R29" i="14" s="1"/>
  <c r="R30" i="14" a="1"/>
  <c r="R30" i="14" s="1"/>
  <c r="R31" i="14" a="1"/>
  <c r="R31" i="14"/>
  <c r="R32" i="14" a="1"/>
  <c r="R32" i="14" s="1"/>
  <c r="R33" i="14" a="1"/>
  <c r="R33" i="14" s="1"/>
  <c r="R34" i="14" a="1"/>
  <c r="R34" i="14"/>
  <c r="R35" i="14" a="1"/>
  <c r="R35" i="14" s="1"/>
  <c r="R36" i="14" a="1"/>
  <c r="R36" i="14" s="1"/>
  <c r="R37" i="14" a="1"/>
  <c r="R37" i="14" s="1"/>
  <c r="R38" i="14" a="1"/>
  <c r="R38" i="14" s="1"/>
  <c r="R39" i="14" a="1"/>
  <c r="R39" i="14" s="1"/>
  <c r="R40" i="14" a="1"/>
  <c r="R40" i="14" s="1"/>
  <c r="R41" i="14" a="1"/>
  <c r="R41" i="14" s="1"/>
  <c r="R42" i="14" a="1"/>
  <c r="R42" i="14" s="1"/>
  <c r="R43" i="14" a="1"/>
  <c r="R43" i="14" s="1"/>
  <c r="R44" i="14" a="1"/>
  <c r="R44" i="14" s="1"/>
  <c r="R45" i="14" a="1"/>
  <c r="R45" i="14" s="1"/>
  <c r="R46" i="14" a="1"/>
  <c r="R46" i="14"/>
  <c r="R47" i="14" a="1"/>
  <c r="R47" i="14"/>
  <c r="R48" i="14" a="1"/>
  <c r="R48" i="14" s="1"/>
  <c r="R49" i="14" a="1"/>
  <c r="R49" i="14" s="1"/>
  <c r="R50" i="14" a="1"/>
  <c r="R50" i="14" s="1"/>
  <c r="R51" i="14" a="1"/>
  <c r="R51" i="14" s="1"/>
  <c r="R52" i="14" a="1"/>
  <c r="R52" i="14" s="1"/>
  <c r="R53" i="14" a="1"/>
  <c r="R53" i="14"/>
  <c r="R54" i="14" a="1"/>
  <c r="R54" i="14"/>
  <c r="R55" i="14" a="1"/>
  <c r="R55" i="14"/>
  <c r="R56" i="14" a="1"/>
  <c r="R56" i="14" s="1"/>
  <c r="R57" i="14" a="1"/>
  <c r="R57" i="14" s="1"/>
  <c r="R58" i="14" a="1"/>
  <c r="R58" i="14" s="1"/>
  <c r="R59" i="14" a="1"/>
  <c r="R59" i="14" s="1"/>
  <c r="R60" i="14" a="1"/>
  <c r="R60" i="14"/>
  <c r="R61" i="14" a="1"/>
  <c r="R61" i="14"/>
  <c r="R62" i="14" a="1"/>
  <c r="R62" i="14" s="1"/>
  <c r="R63" i="14" a="1"/>
  <c r="R63" i="14" s="1"/>
  <c r="R64" i="14" a="1"/>
  <c r="R64" i="14" s="1"/>
  <c r="R65" i="14" a="1"/>
  <c r="R65" i="14" s="1"/>
  <c r="R66" i="14" a="1"/>
  <c r="R66" i="14" s="1"/>
  <c r="R67" i="14" a="1"/>
  <c r="R67" i="14" s="1"/>
  <c r="R68" i="14" a="1"/>
  <c r="R68" i="14" s="1"/>
  <c r="R69" i="14" a="1"/>
  <c r="R69" i="14" s="1"/>
  <c r="R70" i="14" a="1"/>
  <c r="R70" i="14" s="1"/>
  <c r="R71" i="14" a="1"/>
  <c r="R71" i="14" s="1"/>
  <c r="R72" i="14" a="1"/>
  <c r="R72" i="14" s="1"/>
  <c r="R73" i="14" a="1"/>
  <c r="R73" i="14" s="1"/>
  <c r="R74" i="14" a="1"/>
  <c r="R74" i="14" s="1"/>
  <c r="R75" i="14" a="1"/>
  <c r="R75" i="14" s="1"/>
  <c r="R76" i="14" a="1"/>
  <c r="R76" i="14" s="1"/>
  <c r="R77" i="14" a="1"/>
  <c r="R77" i="14" s="1"/>
  <c r="R78" i="14" a="1"/>
  <c r="R78" i="14" s="1"/>
  <c r="R79" i="14" a="1"/>
  <c r="R79" i="14" s="1"/>
  <c r="R80" i="14" a="1"/>
  <c r="R80" i="14" s="1"/>
  <c r="R81" i="14" a="1"/>
  <c r="R81" i="14" s="1"/>
  <c r="R82" i="14" a="1"/>
  <c r="R82" i="14"/>
  <c r="R83" i="14" a="1"/>
  <c r="R83" i="14"/>
  <c r="R84" i="14" a="1"/>
  <c r="R84" i="14"/>
  <c r="R85" i="14" a="1"/>
  <c r="R85" i="14" s="1"/>
  <c r="R86" i="14" a="1"/>
  <c r="R86" i="14" s="1"/>
  <c r="R87" i="14" a="1"/>
  <c r="R87" i="14" s="1"/>
  <c r="R88" i="14" a="1"/>
  <c r="R88" i="14" s="1"/>
  <c r="R89" i="14" a="1"/>
  <c r="R89" i="14"/>
  <c r="R90" i="14" a="1"/>
  <c r="R90" i="14"/>
  <c r="R91" i="14" a="1"/>
  <c r="R91" i="14"/>
  <c r="R92" i="14" a="1"/>
  <c r="R92" i="14" s="1"/>
  <c r="R93" i="14" a="1"/>
  <c r="R93" i="14" s="1"/>
  <c r="R94" i="14" a="1"/>
  <c r="R94" i="14" s="1"/>
  <c r="R95" i="14" a="1"/>
  <c r="R95" i="14" s="1"/>
  <c r="R96" i="14" a="1"/>
  <c r="R96" i="14"/>
  <c r="R97" i="14" a="1"/>
  <c r="R97" i="14"/>
  <c r="R98" i="14" a="1"/>
  <c r="R98" i="14" s="1"/>
  <c r="R99" i="14" a="1"/>
  <c r="R99" i="14" s="1"/>
  <c r="R100" i="14" a="1"/>
  <c r="R100" i="14" s="1"/>
  <c r="R101" i="14" a="1"/>
  <c r="R101" i="14" s="1"/>
  <c r="R102" i="14" a="1"/>
  <c r="R102" i="14" s="1"/>
  <c r="R103" i="14" a="1"/>
  <c r="R103" i="14" s="1"/>
  <c r="R104" i="14" a="1"/>
  <c r="R104" i="14" s="1"/>
  <c r="R105" i="14" a="1"/>
  <c r="R105" i="14" s="1"/>
  <c r="R106" i="14" a="1"/>
  <c r="R106" i="14" s="1"/>
  <c r="R107" i="14" a="1"/>
  <c r="R107" i="14" s="1"/>
  <c r="R108" i="14" a="1"/>
  <c r="R108" i="14" s="1"/>
  <c r="R109" i="14" a="1"/>
  <c r="R109" i="14" s="1"/>
  <c r="R110" i="14" a="1"/>
  <c r="R110" i="14" s="1"/>
  <c r="R111" i="14" a="1"/>
  <c r="R111" i="14" s="1"/>
  <c r="R112" i="14" a="1"/>
  <c r="R112" i="14"/>
  <c r="R113" i="14" a="1"/>
  <c r="R113" i="14" s="1"/>
  <c r="R114" i="14" a="1"/>
  <c r="R114" i="14" s="1"/>
  <c r="R115" i="14" a="1"/>
  <c r="R115" i="14" s="1"/>
  <c r="R116" i="14" a="1"/>
  <c r="R116" i="14" s="1"/>
  <c r="S2" i="14" a="1"/>
  <c r="S2" i="14" s="1"/>
  <c r="O2" i="14" a="1"/>
  <c r="O2" i="14" s="1"/>
  <c r="O3" i="14" a="1"/>
  <c r="O3" i="14" s="1"/>
  <c r="O4" i="14" a="1"/>
  <c r="O4" i="14"/>
  <c r="O5" i="14" a="1"/>
  <c r="O5" i="14"/>
  <c r="O6" i="14" a="1"/>
  <c r="O6" i="14" s="1"/>
  <c r="O7" i="14" a="1"/>
  <c r="O7" i="14" s="1"/>
  <c r="O8" i="14" a="1"/>
  <c r="O8" i="14" s="1"/>
  <c r="O9" i="14" a="1"/>
  <c r="O9" i="14" s="1"/>
  <c r="O10" i="14" a="1"/>
  <c r="O10" i="14"/>
  <c r="O11" i="14" a="1"/>
  <c r="O11" i="14"/>
  <c r="O12" i="14" a="1"/>
  <c r="O12" i="14"/>
  <c r="O13" i="14" a="1"/>
  <c r="O13" i="14" s="1"/>
  <c r="O14" i="14" a="1"/>
  <c r="O14" i="14" s="1"/>
  <c r="O15" i="14" a="1"/>
  <c r="O15" i="14" s="1"/>
  <c r="O16" i="14" a="1"/>
  <c r="O16" i="14" s="1"/>
  <c r="O17" i="14" a="1"/>
  <c r="O17" i="14"/>
  <c r="O18" i="14" a="1"/>
  <c r="O18" i="14"/>
  <c r="O19" i="14" a="1"/>
  <c r="O19" i="14"/>
  <c r="O20" i="14" a="1"/>
  <c r="O20" i="14" s="1"/>
  <c r="O21" i="14" a="1"/>
  <c r="O21" i="14" s="1"/>
  <c r="O22" i="14" a="1"/>
  <c r="O22" i="14" s="1"/>
  <c r="O23" i="14" a="1"/>
  <c r="O23" i="14" s="1"/>
  <c r="O24" i="14" a="1"/>
  <c r="O24" i="14" s="1"/>
  <c r="O25" i="14" a="1"/>
  <c r="O25" i="14" s="1"/>
  <c r="O26" i="14" a="1"/>
  <c r="O26" i="14" s="1"/>
  <c r="O27" i="14" a="1"/>
  <c r="O27" i="14" s="1"/>
  <c r="O28" i="14" a="1"/>
  <c r="O28" i="14" s="1"/>
  <c r="O29" i="14" a="1"/>
  <c r="O29" i="14" s="1"/>
  <c r="O30" i="14" a="1"/>
  <c r="O30" i="14" s="1"/>
  <c r="O31" i="14" a="1"/>
  <c r="O31" i="14"/>
  <c r="O32" i="14" a="1"/>
  <c r="O32" i="14" s="1"/>
  <c r="O33" i="14" a="1"/>
  <c r="O33" i="14" s="1"/>
  <c r="O34" i="14" a="1"/>
  <c r="O34" i="14"/>
  <c r="O35" i="14" a="1"/>
  <c r="O35" i="14" s="1"/>
  <c r="O36" i="14" a="1"/>
  <c r="O36" i="14" s="1"/>
  <c r="O37" i="14" a="1"/>
  <c r="O37" i="14" s="1"/>
  <c r="O38" i="14" a="1"/>
  <c r="O38" i="14" s="1"/>
  <c r="O39" i="14" a="1"/>
  <c r="O39" i="14" s="1"/>
  <c r="O40" i="14" a="1"/>
  <c r="O40" i="14"/>
  <c r="O41" i="14" a="1"/>
  <c r="O41" i="14"/>
  <c r="O42" i="14" a="1"/>
  <c r="O42" i="14" s="1"/>
  <c r="O43" i="14" a="1"/>
  <c r="O43" i="14" s="1"/>
  <c r="O44" i="14" a="1"/>
  <c r="O44" i="14" s="1"/>
  <c r="O45" i="14" a="1"/>
  <c r="O45" i="14" s="1"/>
  <c r="O46" i="14" a="1"/>
  <c r="O46" i="14" s="1"/>
  <c r="O47" i="14" a="1"/>
  <c r="O47" i="14"/>
  <c r="O48" i="14" a="1"/>
  <c r="O48" i="14"/>
  <c r="O49" i="14" a="1"/>
  <c r="O49" i="14" s="1"/>
  <c r="O50" i="14" a="1"/>
  <c r="O50" i="14" s="1"/>
  <c r="O51" i="14" a="1"/>
  <c r="O51" i="14" s="1"/>
  <c r="O52" i="14" a="1"/>
  <c r="O52" i="14" s="1"/>
  <c r="O53" i="14" a="1"/>
  <c r="O53" i="14" s="1"/>
  <c r="O54" i="14" a="1"/>
  <c r="O54" i="14" s="1"/>
  <c r="O55" i="14" a="1"/>
  <c r="O55" i="14"/>
  <c r="O56" i="14" a="1"/>
  <c r="O56" i="14" s="1"/>
  <c r="O57" i="14" a="1"/>
  <c r="O57" i="14" s="1"/>
  <c r="O58" i="14" a="1"/>
  <c r="O58" i="14" s="1"/>
  <c r="O59" i="14" a="1"/>
  <c r="O59" i="14" s="1"/>
  <c r="O60" i="14" a="1"/>
  <c r="O60" i="14" s="1"/>
  <c r="O61" i="14" a="1"/>
  <c r="O61" i="14"/>
  <c r="O62" i="14" a="1"/>
  <c r="O62" i="14" s="1"/>
  <c r="O63" i="14" a="1"/>
  <c r="O63" i="14" s="1"/>
  <c r="O64" i="14" a="1"/>
  <c r="O64" i="14" s="1"/>
  <c r="O65" i="14" a="1"/>
  <c r="O65" i="14" s="1"/>
  <c r="O66" i="14" a="1"/>
  <c r="O66" i="14" s="1"/>
  <c r="O67" i="14" a="1"/>
  <c r="O67" i="14"/>
  <c r="O68" i="14" a="1"/>
  <c r="O68" i="14" s="1"/>
  <c r="O69" i="14" a="1"/>
  <c r="O69" i="14" s="1"/>
  <c r="O70" i="14" a="1"/>
  <c r="O70" i="14"/>
  <c r="O71" i="14" a="1"/>
  <c r="O71" i="14" s="1"/>
  <c r="O72" i="14" a="1"/>
  <c r="O72" i="14" s="1"/>
  <c r="O73" i="14" a="1"/>
  <c r="O73" i="14" s="1"/>
  <c r="O74" i="14" a="1"/>
  <c r="O74" i="14" s="1"/>
  <c r="O75" i="14" a="1"/>
  <c r="O75" i="14" s="1"/>
  <c r="O76" i="14" a="1"/>
  <c r="O76" i="14"/>
  <c r="O77" i="14" a="1"/>
  <c r="O77" i="14"/>
  <c r="O78" i="14" a="1"/>
  <c r="O78" i="14" s="1"/>
  <c r="O79" i="14" a="1"/>
  <c r="O79" i="14" s="1"/>
  <c r="O80" i="14" a="1"/>
  <c r="O80" i="14" s="1"/>
  <c r="O81" i="14" a="1"/>
  <c r="O81" i="14" s="1"/>
  <c r="O82" i="14" a="1"/>
  <c r="O82" i="14" s="1"/>
  <c r="O83" i="14" a="1"/>
  <c r="O83" i="14"/>
  <c r="O84" i="14" a="1"/>
  <c r="O84" i="14"/>
  <c r="O85" i="14" a="1"/>
  <c r="O85" i="14" s="1"/>
  <c r="O86" i="14" a="1"/>
  <c r="O86" i="14" s="1"/>
  <c r="O87" i="14" a="1"/>
  <c r="O87" i="14" s="1"/>
  <c r="O88" i="14" a="1"/>
  <c r="O88" i="14" s="1"/>
  <c r="O89" i="14" a="1"/>
  <c r="O89" i="14"/>
  <c r="O90" i="14" a="1"/>
  <c r="O90" i="14" s="1"/>
  <c r="O91" i="14" a="1"/>
  <c r="O91" i="14"/>
  <c r="O92" i="14" a="1"/>
  <c r="O92" i="14" s="1"/>
  <c r="O93" i="14" a="1"/>
  <c r="O93" i="14" s="1"/>
  <c r="O94" i="14" a="1"/>
  <c r="O94" i="14" s="1"/>
  <c r="O95" i="14" a="1"/>
  <c r="O95" i="14" s="1"/>
  <c r="O96" i="14" a="1"/>
  <c r="O96" i="14" s="1"/>
  <c r="O97" i="14" a="1"/>
  <c r="O97" i="14"/>
  <c r="O98" i="14" a="1"/>
  <c r="O98" i="14" s="1"/>
  <c r="O99" i="14" a="1"/>
  <c r="O99" i="14" s="1"/>
  <c r="O100" i="14" a="1"/>
  <c r="O100" i="14" s="1"/>
  <c r="O101" i="14" a="1"/>
  <c r="O101" i="14" s="1"/>
  <c r="O102" i="14" a="1"/>
  <c r="O102" i="14" s="1"/>
  <c r="O103" i="14" a="1"/>
  <c r="O103" i="14"/>
  <c r="O104" i="14" a="1"/>
  <c r="O104" i="14" s="1"/>
  <c r="O105" i="14" a="1"/>
  <c r="O105" i="14" s="1"/>
  <c r="O106" i="14" a="1"/>
  <c r="O106" i="14"/>
  <c r="O107" i="14" a="1"/>
  <c r="O107" i="14" s="1"/>
  <c r="O108" i="14" a="1"/>
  <c r="O108" i="14" s="1"/>
  <c r="O109" i="14" a="1"/>
  <c r="O109" i="14" s="1"/>
  <c r="O110" i="14" a="1"/>
  <c r="O110" i="14" s="1"/>
  <c r="O111" i="14" a="1"/>
  <c r="O111" i="14" s="1"/>
  <c r="O112" i="14" a="1"/>
  <c r="O112" i="14"/>
  <c r="O113" i="14" a="1"/>
  <c r="O113" i="14"/>
  <c r="O114" i="14" a="1"/>
  <c r="O114" i="14" s="1"/>
  <c r="O115" i="14" a="1"/>
  <c r="O115" i="14" s="1"/>
  <c r="O116" i="14" a="1"/>
  <c r="O116" i="14" s="1"/>
  <c r="P2" i="14" a="1"/>
  <c r="P2" i="14" s="1"/>
  <c r="L2" i="14" a="1"/>
  <c r="L2" i="14" s="1"/>
  <c r="L3" i="14" a="1"/>
  <c r="L3" i="14" s="1"/>
  <c r="L4" i="14" a="1"/>
  <c r="L4" i="14"/>
  <c r="L5" i="14" a="1"/>
  <c r="L5" i="14"/>
  <c r="L6" i="14" a="1"/>
  <c r="L6" i="14" s="1"/>
  <c r="L7" i="14" a="1"/>
  <c r="L7" i="14" s="1"/>
  <c r="L8" i="14" a="1"/>
  <c r="L8" i="14" s="1"/>
  <c r="L9" i="14" a="1"/>
  <c r="L9" i="14" s="1"/>
  <c r="L10" i="14" a="1"/>
  <c r="L10" i="14"/>
  <c r="L11" i="14" a="1"/>
  <c r="L11" i="14" s="1"/>
  <c r="L12" i="14" a="1"/>
  <c r="L12" i="14"/>
  <c r="L13" i="14" a="1"/>
  <c r="L13" i="14" s="1"/>
  <c r="L14" i="14" a="1"/>
  <c r="L14" i="14" s="1"/>
  <c r="L15" i="14" a="1"/>
  <c r="L15" i="14" s="1"/>
  <c r="L16" i="14" a="1"/>
  <c r="L16" i="14" s="1"/>
  <c r="L17" i="14" a="1"/>
  <c r="L17" i="14" s="1"/>
  <c r="L18" i="14" a="1"/>
  <c r="L18" i="14"/>
  <c r="L19" i="14" a="1"/>
  <c r="L19" i="14"/>
  <c r="L20" i="14" a="1"/>
  <c r="L20" i="14" s="1"/>
  <c r="L21" i="14" a="1"/>
  <c r="L21" i="14" s="1"/>
  <c r="L22" i="14" a="1"/>
  <c r="L22" i="14" s="1"/>
  <c r="L23" i="14" a="1"/>
  <c r="L23" i="14" s="1"/>
  <c r="L24" i="14" a="1"/>
  <c r="L24" i="14"/>
  <c r="L25" i="14" a="1"/>
  <c r="L25" i="14" s="1"/>
  <c r="L26" i="14" a="1"/>
  <c r="L26" i="14" s="1"/>
  <c r="L27" i="14" a="1"/>
  <c r="L27" i="14" s="1"/>
  <c r="L28" i="14" a="1"/>
  <c r="L28" i="14" s="1"/>
  <c r="L29" i="14" a="1"/>
  <c r="L29" i="14" s="1"/>
  <c r="L30" i="14" a="1"/>
  <c r="L30" i="14" s="1"/>
  <c r="L31" i="14" a="1"/>
  <c r="L31" i="14" s="1"/>
  <c r="L32" i="14" a="1"/>
  <c r="L32" i="14" s="1"/>
  <c r="L33" i="14" a="1"/>
  <c r="L33" i="14" s="1"/>
  <c r="L34" i="14" a="1"/>
  <c r="L34" i="14"/>
  <c r="L35" i="14" a="1"/>
  <c r="L35" i="14" s="1"/>
  <c r="L36" i="14" a="1"/>
  <c r="L36" i="14" s="1"/>
  <c r="L37" i="14" a="1"/>
  <c r="L37" i="14" s="1"/>
  <c r="L38" i="14" a="1"/>
  <c r="L38" i="14" s="1"/>
  <c r="L39" i="14" a="1"/>
  <c r="L39" i="14" s="1"/>
  <c r="L40" i="14" a="1"/>
  <c r="L40" i="14" s="1"/>
  <c r="L41" i="14" a="1"/>
  <c r="L41" i="14"/>
  <c r="L42" i="14" a="1"/>
  <c r="L42" i="14" s="1"/>
  <c r="L43" i="14" a="1"/>
  <c r="L43" i="14" s="1"/>
  <c r="L44" i="14" a="1"/>
  <c r="L44" i="14" s="1"/>
  <c r="L45" i="14" a="1"/>
  <c r="L45" i="14" s="1"/>
  <c r="L46" i="14" a="1"/>
  <c r="L46" i="14"/>
  <c r="L47" i="14" a="1"/>
  <c r="L47" i="14"/>
  <c r="L48" i="14" a="1"/>
  <c r="L48" i="14" s="1"/>
  <c r="L49" i="14" a="1"/>
  <c r="L49" i="14" s="1"/>
  <c r="L50" i="14" a="1"/>
  <c r="L50" i="14" s="1"/>
  <c r="L51" i="14" a="1"/>
  <c r="L51" i="14" s="1"/>
  <c r="L52" i="14" a="1"/>
  <c r="L52" i="14" s="1"/>
  <c r="L53" i="14" a="1"/>
  <c r="L53" i="14" s="1"/>
  <c r="L54" i="14" a="1"/>
  <c r="L54" i="14"/>
  <c r="L55" i="14" a="1"/>
  <c r="L55" i="14"/>
  <c r="L56" i="14" a="1"/>
  <c r="L56" i="14" s="1"/>
  <c r="L57" i="14" a="1"/>
  <c r="L57" i="14" s="1"/>
  <c r="L58" i="14" a="1"/>
  <c r="L58" i="14" s="1"/>
  <c r="L59" i="14" a="1"/>
  <c r="L59" i="14" s="1"/>
  <c r="L60" i="14" a="1"/>
  <c r="L60" i="14"/>
  <c r="L61" i="14" a="1"/>
  <c r="L61" i="14" s="1"/>
  <c r="L62" i="14" a="1"/>
  <c r="L62" i="14" s="1"/>
  <c r="L63" i="14" a="1"/>
  <c r="L63" i="14" s="1"/>
  <c r="L64" i="14" a="1"/>
  <c r="L64" i="14" s="1"/>
  <c r="L65" i="14" a="1"/>
  <c r="L65" i="14" s="1"/>
  <c r="L66" i="14" a="1"/>
  <c r="L66" i="14" s="1"/>
  <c r="L67" i="14" a="1"/>
  <c r="L67" i="14"/>
  <c r="L68" i="14" a="1"/>
  <c r="L68" i="14" s="1"/>
  <c r="L69" i="14" a="1"/>
  <c r="L69" i="14" s="1"/>
  <c r="L70" i="14" a="1"/>
  <c r="L70" i="14"/>
  <c r="L71" i="14" a="1"/>
  <c r="L71" i="14" s="1"/>
  <c r="L72" i="14" a="1"/>
  <c r="L72" i="14" s="1"/>
  <c r="L73" i="14" a="1"/>
  <c r="L73" i="14" s="1"/>
  <c r="L74" i="14" a="1"/>
  <c r="L74" i="14" s="1"/>
  <c r="L75" i="14" a="1"/>
  <c r="L75" i="14" s="1"/>
  <c r="L76" i="14" a="1"/>
  <c r="L76" i="14"/>
  <c r="L77" i="14" a="1"/>
  <c r="L77" i="14" s="1"/>
  <c r="L78" i="14" a="1"/>
  <c r="L78" i="14" s="1"/>
  <c r="L79" i="14" a="1"/>
  <c r="L79" i="14" s="1"/>
  <c r="L80" i="14" a="1"/>
  <c r="L80" i="14" s="1"/>
  <c r="L81" i="14" a="1"/>
  <c r="L81" i="14" s="1"/>
  <c r="L82" i="14" a="1"/>
  <c r="L82" i="14"/>
  <c r="L83" i="14" a="1"/>
  <c r="L83" i="14"/>
  <c r="L84" i="14" a="1"/>
  <c r="L84" i="14"/>
  <c r="L85" i="14" a="1"/>
  <c r="L85" i="14" s="1"/>
  <c r="L86" i="14" a="1"/>
  <c r="L86" i="14" s="1"/>
  <c r="L87" i="14" a="1"/>
  <c r="L87" i="14" s="1"/>
  <c r="L88" i="14" a="1"/>
  <c r="L88" i="14" s="1"/>
  <c r="L89" i="14" a="1"/>
  <c r="L89" i="14" s="1"/>
  <c r="L90" i="14" a="1"/>
  <c r="L90" i="14"/>
  <c r="L91" i="14" a="1"/>
  <c r="L91" i="14"/>
  <c r="L92" i="14" a="1"/>
  <c r="L92" i="14" s="1"/>
  <c r="L93" i="14" a="1"/>
  <c r="L93" i="14" s="1"/>
  <c r="L94" i="14" a="1"/>
  <c r="L94" i="14" s="1"/>
  <c r="L95" i="14" a="1"/>
  <c r="L95" i="14" s="1"/>
  <c r="L96" i="14" a="1"/>
  <c r="L96" i="14" s="1"/>
  <c r="L97" i="14" a="1"/>
  <c r="L97" i="14" s="1"/>
  <c r="L98" i="14" a="1"/>
  <c r="L98" i="14" s="1"/>
  <c r="L99" i="14" a="1"/>
  <c r="L99" i="14" s="1"/>
  <c r="L100" i="14" a="1"/>
  <c r="L100" i="14" s="1"/>
  <c r="L101" i="14" a="1"/>
  <c r="L101" i="14" s="1"/>
  <c r="L102" i="14" a="1"/>
  <c r="L102" i="14" s="1"/>
  <c r="L103" i="14" a="1"/>
  <c r="L103" i="14"/>
  <c r="L104" i="14" a="1"/>
  <c r="L104" i="14" s="1"/>
  <c r="L105" i="14" a="1"/>
  <c r="L105" i="14" s="1"/>
  <c r="L106" i="14" a="1"/>
  <c r="L106" i="14" s="1"/>
  <c r="L107" i="14" a="1"/>
  <c r="L107" i="14" s="1"/>
  <c r="L108" i="14" a="1"/>
  <c r="L108" i="14" s="1"/>
  <c r="L109" i="14" a="1"/>
  <c r="L109" i="14" s="1"/>
  <c r="L110" i="14" a="1"/>
  <c r="L110" i="14" s="1"/>
  <c r="L111" i="14" a="1"/>
  <c r="L111" i="14" s="1"/>
  <c r="L112" i="14" a="1"/>
  <c r="L112" i="14"/>
  <c r="L113" i="14" a="1"/>
  <c r="L113" i="14"/>
  <c r="L114" i="14" a="1"/>
  <c r="L114" i="14" s="1"/>
  <c r="L115" i="14" a="1"/>
  <c r="L115" i="14" s="1"/>
  <c r="L116" i="14" a="1"/>
  <c r="L116" i="14" s="1"/>
  <c r="M2" i="14" a="1"/>
  <c r="M2" i="14" s="1"/>
  <c r="I2" i="14" a="1"/>
  <c r="I2" i="14" s="1"/>
  <c r="I3" i="14" a="1"/>
  <c r="I3" i="14" s="1"/>
  <c r="I4" i="14" a="1"/>
  <c r="I4" i="14" s="1"/>
  <c r="I5" i="14" a="1"/>
  <c r="I5" i="14"/>
  <c r="I6" i="14" a="1"/>
  <c r="I6" i="14"/>
  <c r="I7" i="14" a="1"/>
  <c r="I7" i="14" s="1"/>
  <c r="I8" i="14" a="1"/>
  <c r="I8" i="14" s="1"/>
  <c r="I9" i="14" a="1"/>
  <c r="I9" i="14" s="1"/>
  <c r="I10" i="14" a="1"/>
  <c r="I10" i="14" s="1"/>
  <c r="I11" i="14" a="1"/>
  <c r="I11" i="14"/>
  <c r="I12" i="14" a="1"/>
  <c r="I12" i="14"/>
  <c r="I13" i="14" a="1"/>
  <c r="I13" i="14"/>
  <c r="I14" i="14" a="1"/>
  <c r="I14" i="14" s="1"/>
  <c r="I15" i="14" a="1"/>
  <c r="I15" i="14" s="1"/>
  <c r="I16" i="14" a="1"/>
  <c r="I16" i="14" s="1"/>
  <c r="I17" i="14" a="1"/>
  <c r="I17" i="14" s="1"/>
  <c r="I18" i="14" a="1"/>
  <c r="I18" i="14" s="1"/>
  <c r="I19" i="14" a="1"/>
  <c r="I19" i="14"/>
  <c r="I20" i="14" a="1"/>
  <c r="I20" i="14" s="1"/>
  <c r="I21" i="14" a="1"/>
  <c r="I21" i="14" s="1"/>
  <c r="I22" i="14" a="1"/>
  <c r="I22" i="14" s="1"/>
  <c r="I23" i="14" a="1"/>
  <c r="I23" i="14" s="1"/>
  <c r="I24" i="14" a="1"/>
  <c r="I24" i="14" s="1"/>
  <c r="I25" i="14" a="1"/>
  <c r="I25" i="14" s="1"/>
  <c r="I26" i="14" a="1"/>
  <c r="I26" i="14" s="1"/>
  <c r="I27" i="14" a="1"/>
  <c r="I27" i="14" s="1"/>
  <c r="I28" i="14" a="1"/>
  <c r="I28" i="14" s="1"/>
  <c r="I29" i="14" a="1"/>
  <c r="I29" i="14"/>
  <c r="I30" i="14" a="1"/>
  <c r="I30" i="14"/>
  <c r="I31" i="14" a="1"/>
  <c r="I31" i="14" s="1"/>
  <c r="I32" i="14" a="1"/>
  <c r="I32" i="14" s="1"/>
  <c r="I33" i="14" a="1"/>
  <c r="I33" i="14" s="1"/>
  <c r="I34" i="14" a="1"/>
  <c r="I34" i="14" s="1"/>
  <c r="I35" i="14" a="1"/>
  <c r="I35" i="14"/>
  <c r="I36" i="14" a="1"/>
  <c r="I36" i="14" s="1"/>
  <c r="I37" i="14" a="1"/>
  <c r="I37" i="14"/>
  <c r="I38" i="14" a="1"/>
  <c r="I38" i="14" s="1"/>
  <c r="I39" i="14" a="1"/>
  <c r="I39" i="14" s="1"/>
  <c r="I40" i="14" a="1"/>
  <c r="I40" i="14" s="1"/>
  <c r="I41" i="14" a="1"/>
  <c r="I41" i="14"/>
  <c r="I42" i="14" a="1"/>
  <c r="I42" i="14"/>
  <c r="I43" i="14" a="1"/>
  <c r="I43" i="14"/>
  <c r="I44" i="14" a="1"/>
  <c r="I44" i="14" s="1"/>
  <c r="I45" i="14" a="1"/>
  <c r="I45" i="14" s="1"/>
  <c r="I46" i="14" a="1"/>
  <c r="I46" i="14" s="1"/>
  <c r="I47" i="14" a="1"/>
  <c r="I47" i="14" s="1"/>
  <c r="I48" i="14" a="1"/>
  <c r="I48" i="14" s="1"/>
  <c r="I49" i="14" a="1"/>
  <c r="I49" i="14" s="1"/>
  <c r="I50" i="14" a="1"/>
  <c r="I50" i="14" s="1"/>
  <c r="I51" i="14" a="1"/>
  <c r="I51" i="14" s="1"/>
  <c r="I52" i="14" a="1"/>
  <c r="I52" i="14" s="1"/>
  <c r="I53" i="14" a="1"/>
  <c r="I53" i="14"/>
  <c r="I54" i="14" a="1"/>
  <c r="I54" i="14" s="1"/>
  <c r="I55" i="14" a="1"/>
  <c r="I55" i="14" s="1"/>
  <c r="I56" i="14" a="1"/>
  <c r="I56" i="14" s="1"/>
  <c r="I57" i="14" a="1"/>
  <c r="I57" i="14" s="1"/>
  <c r="I58" i="14" a="1"/>
  <c r="I58" i="14" s="1"/>
  <c r="I59" i="14" a="1"/>
  <c r="I59" i="14"/>
  <c r="I60" i="14" a="1"/>
  <c r="I60" i="14"/>
  <c r="I61" i="14" a="1"/>
  <c r="I61" i="14"/>
  <c r="I62" i="14" a="1"/>
  <c r="I62" i="14" s="1"/>
  <c r="I63" i="14" a="1"/>
  <c r="I63" i="14" s="1"/>
  <c r="I64" i="14" a="1"/>
  <c r="I64" i="14" s="1"/>
  <c r="I65" i="14" a="1"/>
  <c r="I65" i="14"/>
  <c r="I66" i="14" a="1"/>
  <c r="I66" i="14"/>
  <c r="I67" i="14" a="1"/>
  <c r="I67" i="14"/>
  <c r="I68" i="14" a="1"/>
  <c r="I68" i="14" s="1"/>
  <c r="I69" i="14" a="1"/>
  <c r="I69" i="14" s="1"/>
  <c r="I70" i="14" a="1"/>
  <c r="I70" i="14" s="1"/>
  <c r="I71" i="14" a="1"/>
  <c r="I71" i="14" s="1"/>
  <c r="I72" i="14" a="1"/>
  <c r="I72" i="14" s="1"/>
  <c r="I73" i="14" a="1"/>
  <c r="I73" i="14" s="1"/>
  <c r="I74" i="14" a="1"/>
  <c r="I74" i="14" s="1"/>
  <c r="I75" i="14" a="1"/>
  <c r="I75" i="14" s="1"/>
  <c r="I76" i="14" a="1"/>
  <c r="I76" i="14" s="1"/>
  <c r="I77" i="14" a="1"/>
  <c r="I77" i="14"/>
  <c r="I78" i="14" a="1"/>
  <c r="I78" i="14"/>
  <c r="I79" i="14" a="1"/>
  <c r="I79" i="14" s="1"/>
  <c r="I80" i="14" a="1"/>
  <c r="I80" i="14" s="1"/>
  <c r="I81" i="14" a="1"/>
  <c r="I81" i="14" s="1"/>
  <c r="I82" i="14" a="1"/>
  <c r="I82" i="14" s="1"/>
  <c r="I83" i="14" a="1"/>
  <c r="I83" i="14" s="1"/>
  <c r="I84" i="14" a="1"/>
  <c r="I84" i="14"/>
  <c r="I85" i="14" a="1"/>
  <c r="I85" i="14"/>
  <c r="I86" i="14" a="1"/>
  <c r="I86" i="14" s="1"/>
  <c r="I87" i="14" a="1"/>
  <c r="I87" i="14" s="1"/>
  <c r="I88" i="14" a="1"/>
  <c r="I88" i="14" s="1"/>
  <c r="I89" i="14" a="1"/>
  <c r="I89" i="14"/>
  <c r="I90" i="14" a="1"/>
  <c r="I90" i="14" s="1"/>
  <c r="I91" i="14" a="1"/>
  <c r="I91" i="14" s="1"/>
  <c r="I92" i="14" a="1"/>
  <c r="I92" i="14" s="1"/>
  <c r="I93" i="14" a="1"/>
  <c r="I93" i="14" s="1"/>
  <c r="I94" i="14" a="1"/>
  <c r="I94" i="14" s="1"/>
  <c r="I95" i="14" a="1"/>
  <c r="I95" i="14" s="1"/>
  <c r="I96" i="14" a="1"/>
  <c r="I96" i="14" s="1"/>
  <c r="I97" i="14" a="1"/>
  <c r="I97" i="14" s="1"/>
  <c r="I98" i="14" a="1"/>
  <c r="I98" i="14" s="1"/>
  <c r="I99" i="14" a="1"/>
  <c r="I99" i="14" s="1"/>
  <c r="I100" i="14" a="1"/>
  <c r="I100" i="14" s="1"/>
  <c r="I101" i="14" a="1"/>
  <c r="I101" i="14" s="1"/>
  <c r="I102" i="14" a="1"/>
  <c r="I102" i="14"/>
  <c r="I103" i="14" a="1"/>
  <c r="I103" i="14" s="1"/>
  <c r="I104" i="14" a="1"/>
  <c r="I104" i="14" s="1"/>
  <c r="I105" i="14" a="1"/>
  <c r="I105" i="14" s="1"/>
  <c r="I106" i="14" a="1"/>
  <c r="I106" i="14" s="1"/>
  <c r="I107" i="14" a="1"/>
  <c r="I107" i="14"/>
  <c r="I108" i="14" a="1"/>
  <c r="I108" i="14"/>
  <c r="I109" i="14" a="1"/>
  <c r="I109" i="14" s="1"/>
  <c r="I110" i="14" a="1"/>
  <c r="I110" i="14" s="1"/>
  <c r="I111" i="14" a="1"/>
  <c r="I111" i="14" s="1"/>
  <c r="I112" i="14" a="1"/>
  <c r="I112" i="14" s="1"/>
  <c r="I113" i="14" a="1"/>
  <c r="I113" i="14"/>
  <c r="I114" i="14" a="1"/>
  <c r="I114" i="14"/>
  <c r="I115" i="14" a="1"/>
  <c r="I115" i="14"/>
  <c r="I116" i="14" a="1"/>
  <c r="I116" i="14" s="1"/>
  <c r="J2" i="14" a="1"/>
  <c r="J2" i="14" s="1"/>
  <c r="F2" i="2" a="1"/>
  <c r="F2" i="2" s="1"/>
  <c r="H2" i="2" s="1" a="1"/>
  <c r="H2" i="2" s="1"/>
  <c r="F3" i="2" a="1"/>
  <c r="F3" i="2" s="1"/>
  <c r="F4" i="2" a="1"/>
  <c r="F4" i="2" s="1"/>
  <c r="F5" i="2" a="1"/>
  <c r="F5" i="2" s="1"/>
  <c r="F6" i="2" a="1"/>
  <c r="F6" i="2" s="1"/>
  <c r="F7" i="2" a="1"/>
  <c r="F7" i="2" s="1"/>
  <c r="F8" i="2" a="1"/>
  <c r="F8" i="2" s="1"/>
  <c r="H8" i="2" s="1" a="1"/>
  <c r="H8" i="2" s="1"/>
  <c r="F9" i="2" a="1"/>
  <c r="F9" i="2" s="1"/>
  <c r="F10" i="2" a="1"/>
  <c r="F10" i="2" s="1"/>
  <c r="F11" i="2" a="1"/>
  <c r="F11" i="2" s="1"/>
  <c r="F12" i="2" a="1"/>
  <c r="F12" i="2" s="1"/>
  <c r="F13" i="2" a="1"/>
  <c r="F13" i="2" s="1"/>
  <c r="F14" i="2" a="1"/>
  <c r="F14" i="2" s="1"/>
  <c r="F15" i="2" a="1"/>
  <c r="F15" i="2" s="1"/>
  <c r="F16" i="2" a="1"/>
  <c r="F16" i="2" s="1"/>
  <c r="F17" i="2" a="1"/>
  <c r="F17" i="2" s="1"/>
  <c r="F18" i="2" a="1"/>
  <c r="F18" i="2" s="1"/>
  <c r="F19" i="2" a="1"/>
  <c r="F19" i="2" s="1"/>
  <c r="F20" i="2" a="1"/>
  <c r="F20" i="2" s="1"/>
  <c r="F21" i="2" a="1"/>
  <c r="F21" i="2" s="1"/>
  <c r="F22" i="2" a="1"/>
  <c r="F22" i="2" s="1"/>
  <c r="F23" i="2" a="1"/>
  <c r="F23" i="2" s="1"/>
  <c r="F24" i="2" a="1"/>
  <c r="F24" i="2" s="1"/>
  <c r="F25" i="2" a="1"/>
  <c r="F25" i="2" s="1"/>
  <c r="F26" i="2" a="1"/>
  <c r="F26" i="2" s="1"/>
  <c r="F27" i="2" a="1"/>
  <c r="F27" i="2" s="1"/>
  <c r="F28" i="2" a="1"/>
  <c r="F28" i="2" s="1"/>
  <c r="F29" i="2" a="1"/>
  <c r="F29" i="2" s="1"/>
  <c r="F30" i="2" a="1"/>
  <c r="F30" i="2" s="1"/>
  <c r="F31" i="2" a="1"/>
  <c r="F31" i="2" s="1"/>
  <c r="F32" i="2" a="1"/>
  <c r="F32" i="2" s="1"/>
  <c r="F33" i="2" a="1"/>
  <c r="F33" i="2" s="1"/>
  <c r="F34" i="2" a="1"/>
  <c r="F34" i="2" s="1"/>
  <c r="F35" i="2" a="1"/>
  <c r="F35" i="2" s="1"/>
  <c r="H35" i="2" s="1" a="1"/>
  <c r="H35" i="2" s="1"/>
  <c r="F36" i="2" a="1"/>
  <c r="F36" i="2" s="1"/>
  <c r="F37" i="2" a="1"/>
  <c r="F37" i="2" s="1"/>
  <c r="F38" i="2" a="1"/>
  <c r="F38" i="2" s="1"/>
  <c r="F39" i="2" a="1"/>
  <c r="F39" i="2" s="1"/>
  <c r="F40" i="2" a="1"/>
  <c r="F40" i="2" s="1"/>
  <c r="F41" i="2" a="1"/>
  <c r="F41" i="2" s="1"/>
  <c r="F42" i="2" a="1"/>
  <c r="F42" i="2" s="1"/>
  <c r="F43" i="2" a="1"/>
  <c r="F43" i="2" s="1"/>
  <c r="F44" i="2" a="1"/>
  <c r="F44" i="2" s="1"/>
  <c r="F45" i="2" a="1"/>
  <c r="F45" i="2" s="1"/>
  <c r="F46" i="2" a="1"/>
  <c r="F46" i="2" s="1"/>
  <c r="F47" i="2" a="1"/>
  <c r="F47" i="2" s="1"/>
  <c r="F48" i="2" a="1"/>
  <c r="F48" i="2" s="1"/>
  <c r="F49" i="2" a="1"/>
  <c r="F49" i="2" s="1"/>
  <c r="F50" i="2" a="1"/>
  <c r="F50" i="2" s="1"/>
  <c r="F51" i="2" a="1"/>
  <c r="F51" i="2" s="1"/>
  <c r="F52" i="2" a="1"/>
  <c r="F52" i="2" s="1"/>
  <c r="F53" i="2" a="1"/>
  <c r="F53" i="2" s="1"/>
  <c r="F54" i="2" a="1"/>
  <c r="F54" i="2" s="1"/>
  <c r="F55" i="2" a="1"/>
  <c r="F55" i="2" s="1"/>
  <c r="F56" i="2" a="1"/>
  <c r="F56" i="2" s="1"/>
  <c r="F57" i="2" a="1"/>
  <c r="F57" i="2" s="1"/>
  <c r="F58" i="2" a="1"/>
  <c r="F58" i="2" s="1"/>
  <c r="F59" i="2" a="1"/>
  <c r="F59" i="2" s="1"/>
  <c r="F60" i="2" a="1"/>
  <c r="F60" i="2" s="1"/>
  <c r="F61" i="2" a="1"/>
  <c r="F61" i="2" s="1"/>
  <c r="F62" i="2" a="1"/>
  <c r="F62" i="2" s="1"/>
  <c r="F63" i="2" a="1"/>
  <c r="F63" i="2" s="1"/>
  <c r="H63" i="2" s="1" a="1"/>
  <c r="H63" i="2" s="1"/>
  <c r="F64" i="2" a="1"/>
  <c r="F64" i="2" s="1"/>
  <c r="F65" i="2" a="1"/>
  <c r="F65" i="2" s="1"/>
  <c r="F66" i="2" a="1"/>
  <c r="F66" i="2" s="1"/>
  <c r="F67" i="2" a="1"/>
  <c r="F67" i="2" s="1"/>
  <c r="F68" i="2" a="1"/>
  <c r="F68" i="2" s="1"/>
  <c r="H68" i="2" s="1" a="1"/>
  <c r="H68" i="2" s="1"/>
  <c r="F69" i="2" a="1"/>
  <c r="F69" i="2" s="1"/>
  <c r="F70" i="2" a="1"/>
  <c r="F70" i="2" s="1"/>
  <c r="F71" i="2" a="1"/>
  <c r="F71" i="2" s="1"/>
  <c r="F72" i="2" a="1"/>
  <c r="F72" i="2" s="1"/>
  <c r="F73" i="2" a="1"/>
  <c r="F73" i="2" s="1"/>
  <c r="H73" i="2" s="1" a="1"/>
  <c r="H73" i="2" s="1"/>
  <c r="F74" i="2" a="1"/>
  <c r="F74" i="2" s="1"/>
  <c r="H74" i="2" s="1" a="1"/>
  <c r="H74" i="2" s="1"/>
  <c r="F75" i="2" a="1"/>
  <c r="F75" i="2" s="1"/>
  <c r="F76" i="2" a="1"/>
  <c r="F76" i="2" s="1"/>
  <c r="F77" i="2" a="1"/>
  <c r="F77" i="2" s="1"/>
  <c r="F78" i="2" a="1"/>
  <c r="F78" i="2" s="1"/>
  <c r="F79" i="2" a="1"/>
  <c r="F79" i="2" s="1"/>
  <c r="F80" i="2" a="1"/>
  <c r="F80" i="2" s="1"/>
  <c r="F81" i="2" a="1"/>
  <c r="F81" i="2" s="1"/>
  <c r="F82" i="2" a="1"/>
  <c r="F82" i="2" s="1"/>
  <c r="F83" i="2" a="1"/>
  <c r="F83" i="2" s="1"/>
  <c r="F84" i="2" a="1"/>
  <c r="F84" i="2" s="1"/>
  <c r="F85" i="2" a="1"/>
  <c r="F85" i="2" s="1"/>
  <c r="F86" i="2" a="1"/>
  <c r="F86" i="2" s="1"/>
  <c r="F87" i="2" a="1"/>
  <c r="F87" i="2" s="1"/>
  <c r="F88" i="2" a="1"/>
  <c r="F88" i="2" s="1"/>
  <c r="F89" i="2" a="1"/>
  <c r="F89" i="2" s="1"/>
  <c r="F90" i="2" a="1"/>
  <c r="F90" i="2" s="1"/>
  <c r="F91" i="2" a="1"/>
  <c r="F91" i="2" s="1"/>
  <c r="F92" i="2" a="1"/>
  <c r="F92" i="2" s="1"/>
  <c r="F93" i="2" a="1"/>
  <c r="F93" i="2" s="1"/>
  <c r="F94" i="2" a="1"/>
  <c r="F94" i="2" s="1"/>
  <c r="F95" i="2" a="1"/>
  <c r="F95" i="2" s="1"/>
  <c r="F96" i="2" a="1"/>
  <c r="F96" i="2" s="1"/>
  <c r="F97" i="2" a="1"/>
  <c r="F97" i="2" s="1"/>
  <c r="H97" i="2" s="1" a="1"/>
  <c r="H97" i="2" s="1"/>
  <c r="F98" i="2" a="1"/>
  <c r="F98" i="2" s="1"/>
  <c r="F99" i="2" a="1"/>
  <c r="F99" i="2" s="1"/>
  <c r="F100" i="2" a="1"/>
  <c r="F100" i="2" s="1"/>
  <c r="F101" i="2" a="1"/>
  <c r="F101" i="2" s="1"/>
  <c r="F102" i="2" a="1"/>
  <c r="F102" i="2" s="1"/>
  <c r="F103" i="2" a="1"/>
  <c r="F103" i="2" s="1"/>
  <c r="F104" i="2" a="1"/>
  <c r="F104" i="2" s="1"/>
  <c r="F105" i="2" a="1"/>
  <c r="F105" i="2" s="1"/>
  <c r="F106" i="2" a="1"/>
  <c r="F106" i="2" s="1"/>
  <c r="F107" i="2" a="1"/>
  <c r="F107" i="2" s="1"/>
  <c r="F108" i="2" a="1"/>
  <c r="F108" i="2" s="1"/>
  <c r="H108" i="2" s="1" a="1"/>
  <c r="H108" i="2" s="1"/>
  <c r="F109" i="2" a="1"/>
  <c r="F109" i="2" s="1"/>
  <c r="F110" i="2" a="1"/>
  <c r="F110" i="2" s="1"/>
  <c r="H110" i="2" s="1" a="1"/>
  <c r="H110" i="2" s="1"/>
  <c r="F111" i="2" a="1"/>
  <c r="F111" i="2" s="1"/>
  <c r="F112" i="2" a="1"/>
  <c r="F112" i="2" s="1"/>
  <c r="F113" i="2" a="1"/>
  <c r="F113" i="2" s="1"/>
  <c r="F114" i="2" a="1"/>
  <c r="F114" i="2" s="1"/>
  <c r="F115" i="2" a="1"/>
  <c r="F115" i="2" s="1"/>
  <c r="F116" i="2" a="1"/>
  <c r="F116" i="2" s="1"/>
  <c r="F117" i="2" a="1"/>
  <c r="F117" i="2" s="1"/>
  <c r="F118" i="2" a="1"/>
  <c r="F118" i="2" s="1"/>
  <c r="F119" i="2" a="1"/>
  <c r="F119" i="2" s="1"/>
  <c r="F120" i="2" a="1"/>
  <c r="F120" i="2" s="1"/>
  <c r="F121" i="2" a="1"/>
  <c r="F121" i="2" s="1"/>
  <c r="F122" i="2" a="1"/>
  <c r="F122" i="2" s="1"/>
  <c r="F123" i="2" a="1"/>
  <c r="F123" i="2" s="1"/>
  <c r="F124" i="2" a="1"/>
  <c r="F124" i="2" s="1"/>
  <c r="F125" i="2" a="1"/>
  <c r="F125" i="2" s="1"/>
  <c r="F126" i="2" a="1"/>
  <c r="F126" i="2" s="1"/>
  <c r="F127" i="2" a="1"/>
  <c r="F127" i="2" s="1"/>
  <c r="F128" i="2" a="1"/>
  <c r="F128" i="2" s="1"/>
  <c r="F129" i="2" a="1"/>
  <c r="F129" i="2"/>
  <c r="F130" i="2" a="1"/>
  <c r="F130" i="2" s="1"/>
  <c r="F131" i="2" a="1"/>
  <c r="F131" i="2" s="1"/>
  <c r="F132" i="2" a="1"/>
  <c r="F132" i="2" s="1"/>
  <c r="F133" i="2" a="1"/>
  <c r="F133" i="2" s="1"/>
  <c r="F134" i="2" a="1"/>
  <c r="F134" i="2" s="1"/>
  <c r="F135" i="2" a="1"/>
  <c r="F135" i="2" s="1"/>
  <c r="F136" i="2" a="1"/>
  <c r="F136" i="2" s="1"/>
  <c r="F137" i="2" a="1"/>
  <c r="F137" i="2" s="1"/>
  <c r="H137" i="2" s="1" a="1"/>
  <c r="H137" i="2" s="1"/>
  <c r="F138" i="2" a="1"/>
  <c r="F138" i="2" s="1"/>
  <c r="F139" i="2" a="1"/>
  <c r="F139" i="2" s="1"/>
  <c r="F140" i="2" a="1"/>
  <c r="F140" i="2" s="1"/>
  <c r="F141" i="2" a="1"/>
  <c r="F141" i="2" s="1"/>
  <c r="F142" i="2" a="1"/>
  <c r="F142" i="2" s="1"/>
  <c r="H142" i="2" s="1" a="1"/>
  <c r="H142" i="2" s="1"/>
  <c r="F143" i="2" a="1"/>
  <c r="F143" i="2" s="1"/>
  <c r="F144" i="2" a="1"/>
  <c r="F144" i="2" s="1"/>
  <c r="F145" i="2" a="1"/>
  <c r="F145" i="2" s="1"/>
  <c r="F146" i="2" a="1"/>
  <c r="F146" i="2" s="1"/>
  <c r="F147" i="2" a="1"/>
  <c r="F147" i="2" s="1"/>
  <c r="F148" i="2" a="1"/>
  <c r="F148" i="2" s="1"/>
  <c r="F149" i="2" a="1"/>
  <c r="F149" i="2" s="1"/>
  <c r="F150" i="2" a="1"/>
  <c r="F150" i="2" s="1"/>
  <c r="F151" i="2" a="1"/>
  <c r="F151" i="2" s="1"/>
  <c r="F152" i="2" a="1"/>
  <c r="F152" i="2" s="1"/>
  <c r="F153" i="2" a="1"/>
  <c r="F153" i="2" s="1"/>
  <c r="F154" i="2" a="1"/>
  <c r="F154" i="2" s="1"/>
  <c r="F155" i="2" a="1"/>
  <c r="F155" i="2" s="1"/>
  <c r="F156" i="2" a="1"/>
  <c r="F156" i="2" s="1"/>
  <c r="F157" i="2" a="1"/>
  <c r="F157" i="2" s="1"/>
  <c r="F158" i="2" a="1"/>
  <c r="F158" i="2" s="1"/>
  <c r="F159" i="2" a="1"/>
  <c r="F159" i="2" s="1"/>
  <c r="F160" i="2" a="1"/>
  <c r="F160" i="2" s="1"/>
  <c r="F161" i="2" a="1"/>
  <c r="F161" i="2" s="1"/>
  <c r="F162" i="2" a="1"/>
  <c r="F162" i="2" s="1"/>
  <c r="H162" i="2" s="1" a="1"/>
  <c r="H162" i="2" s="1"/>
  <c r="F163" i="2" a="1"/>
  <c r="F163" i="2" s="1"/>
  <c r="H163" i="2" s="1" a="1"/>
  <c r="H163" i="2" s="1"/>
  <c r="F164" i="2" a="1"/>
  <c r="F164" i="2" s="1"/>
  <c r="F165" i="2" a="1"/>
  <c r="F165" i="2" s="1"/>
  <c r="H165" i="2" s="1" a="1"/>
  <c r="H165" i="2" s="1"/>
  <c r="F166" i="2" a="1"/>
  <c r="F166" i="2" s="1"/>
  <c r="F167" i="2" a="1"/>
  <c r="F167" i="2" s="1"/>
  <c r="F168" i="2" a="1"/>
  <c r="F168" i="2" s="1"/>
  <c r="F169" i="2" a="1"/>
  <c r="F169" i="2" s="1"/>
  <c r="F170" i="2" a="1"/>
  <c r="F170" i="2" s="1"/>
  <c r="F171" i="2" a="1"/>
  <c r="F171" i="2" s="1"/>
  <c r="F172" i="2" a="1"/>
  <c r="F172" i="2" s="1"/>
  <c r="F173" i="2" a="1"/>
  <c r="F173" i="2" s="1"/>
  <c r="F174" i="2" a="1"/>
  <c r="F174" i="2" s="1"/>
  <c r="F175" i="2" a="1"/>
  <c r="F175" i="2" s="1"/>
  <c r="F176" i="2" a="1"/>
  <c r="F176" i="2" s="1"/>
  <c r="H176" i="2" s="1" a="1"/>
  <c r="H176" i="2" s="1"/>
  <c r="F177" i="2" a="1"/>
  <c r="F177" i="2" s="1"/>
  <c r="F178" i="2" a="1"/>
  <c r="F178" i="2" s="1"/>
  <c r="F179" i="2" a="1"/>
  <c r="F179" i="2" s="1"/>
  <c r="F180" i="2" a="1"/>
  <c r="F180" i="2" s="1"/>
  <c r="F181" i="2" a="1"/>
  <c r="F181" i="2" s="1"/>
  <c r="F182" i="2" a="1"/>
  <c r="F182" i="2" s="1"/>
  <c r="F183" i="2" a="1"/>
  <c r="F183" i="2" s="1"/>
  <c r="H183" i="2" s="1" a="1"/>
  <c r="H183" i="2" s="1"/>
  <c r="F184" i="2" a="1"/>
  <c r="F184" i="2" s="1"/>
  <c r="F185" i="2" a="1"/>
  <c r="F185" i="2" s="1"/>
  <c r="F186" i="2" a="1"/>
  <c r="F186" i="2" s="1"/>
  <c r="F187" i="2" a="1"/>
  <c r="F187" i="2" s="1"/>
  <c r="F188" i="2" a="1"/>
  <c r="F188" i="2" s="1"/>
  <c r="F189" i="2" a="1"/>
  <c r="F189" i="2" s="1"/>
  <c r="F190" i="2" a="1"/>
  <c r="F190" i="2" s="1"/>
  <c r="H190" i="2" s="1" a="1"/>
  <c r="H190" i="2" s="1"/>
  <c r="F191" i="2" a="1"/>
  <c r="F191" i="2" s="1"/>
  <c r="F192" i="2" a="1"/>
  <c r="F192" i="2" s="1"/>
  <c r="F193" i="2" a="1"/>
  <c r="F193" i="2" s="1"/>
  <c r="F194" i="2" a="1"/>
  <c r="F194" i="2" s="1"/>
  <c r="F195" i="2" a="1"/>
  <c r="F195" i="2" s="1"/>
  <c r="F196" i="2" a="1"/>
  <c r="F196" i="2" s="1"/>
  <c r="H196" i="2" s="1" a="1"/>
  <c r="H196" i="2" s="1"/>
  <c r="F197" i="2" a="1"/>
  <c r="F197" i="2" s="1"/>
  <c r="F198" i="2" a="1"/>
  <c r="F198" i="2" s="1"/>
  <c r="F199" i="2" a="1"/>
  <c r="F199" i="2" s="1"/>
  <c r="F200" i="2" a="1"/>
  <c r="F200" i="2" s="1"/>
  <c r="F201" i="2" a="1"/>
  <c r="F201" i="2" s="1"/>
  <c r="F202" i="2" a="1"/>
  <c r="F202" i="2" s="1"/>
  <c r="F203" i="2" a="1"/>
  <c r="F203" i="2" s="1"/>
  <c r="F204" i="2" a="1"/>
  <c r="F204" i="2" s="1"/>
  <c r="F205" i="2" a="1"/>
  <c r="F205" i="2" s="1"/>
  <c r="F206" i="2" a="1"/>
  <c r="F206" i="2" s="1"/>
  <c r="F207" i="2" a="1"/>
  <c r="F207" i="2" s="1"/>
  <c r="F208" i="2" a="1"/>
  <c r="F208" i="2" s="1"/>
  <c r="F209" i="2" a="1"/>
  <c r="F209" i="2" s="1"/>
  <c r="F210" i="2" a="1"/>
  <c r="F210" i="2" s="1"/>
  <c r="F211" i="2" a="1"/>
  <c r="F211" i="2" s="1"/>
  <c r="F212" i="2" a="1"/>
  <c r="F212" i="2" s="1"/>
  <c r="H212" i="2" s="1" a="1"/>
  <c r="H212" i="2" s="1"/>
  <c r="F213" i="2" a="1"/>
  <c r="F213" i="2" s="1"/>
  <c r="F214" i="2" a="1"/>
  <c r="F214" i="2" s="1"/>
  <c r="H214" i="2" s="1" a="1"/>
  <c r="H214" i="2" s="1"/>
  <c r="F215" i="2" a="1"/>
  <c r="F215" i="2" s="1"/>
  <c r="F216" i="2" a="1"/>
  <c r="F216" i="2" s="1"/>
  <c r="F217" i="2" a="1"/>
  <c r="F217" i="2" s="1"/>
  <c r="F218" i="2" a="1"/>
  <c r="F218" i="2" s="1"/>
  <c r="F219" i="2" a="1"/>
  <c r="F219" i="2" s="1"/>
  <c r="F220" i="2" a="1"/>
  <c r="F220" i="2" s="1"/>
  <c r="F221" i="2" a="1"/>
  <c r="F221" i="2" s="1"/>
  <c r="F222" i="2" a="1"/>
  <c r="F222" i="2" s="1"/>
  <c r="F223" i="2" a="1"/>
  <c r="F223" i="2" s="1"/>
  <c r="H223" i="2" s="1" a="1"/>
  <c r="H223" i="2" s="1"/>
  <c r="F224" i="2" a="1"/>
  <c r="F224" i="2" s="1"/>
  <c r="F225" i="2" a="1"/>
  <c r="F225" i="2" s="1"/>
  <c r="F226" i="2" a="1"/>
  <c r="F226" i="2" s="1"/>
  <c r="F227" i="2" a="1"/>
  <c r="F227" i="2" s="1"/>
  <c r="F228" i="2" a="1"/>
  <c r="F228" i="2" s="1"/>
  <c r="F229" i="2" a="1"/>
  <c r="F229" i="2" s="1"/>
  <c r="F230" i="2" a="1"/>
  <c r="F230" i="2" s="1"/>
  <c r="F231" i="2" a="1"/>
  <c r="F231" i="2" s="1"/>
  <c r="F232" i="2" a="1"/>
  <c r="F232" i="2" s="1"/>
  <c r="F233" i="2" a="1"/>
  <c r="F233" i="2" s="1"/>
  <c r="F234" i="2" a="1"/>
  <c r="F234" i="2" s="1"/>
  <c r="F235" i="2" a="1"/>
  <c r="F235" i="2" s="1"/>
  <c r="F236" i="2" a="1"/>
  <c r="F236" i="2" s="1"/>
  <c r="F237" i="2" a="1"/>
  <c r="F237" i="2" s="1"/>
  <c r="F238" i="2" a="1"/>
  <c r="F238" i="2" s="1"/>
  <c r="F239" i="2" a="1"/>
  <c r="F239" i="2" s="1"/>
  <c r="F240" i="2" a="1"/>
  <c r="F240" i="2" s="1"/>
  <c r="F241" i="2" a="1"/>
  <c r="F241" i="2" s="1"/>
  <c r="F242" i="2" a="1"/>
  <c r="F242" i="2" s="1"/>
  <c r="F243" i="2" a="1"/>
  <c r="F243" i="2" s="1"/>
  <c r="F244" i="2" a="1"/>
  <c r="F244" i="2" s="1"/>
  <c r="F245" i="2" a="1"/>
  <c r="F245" i="2" s="1"/>
  <c r="F246" i="2" a="1"/>
  <c r="F246" i="2" s="1"/>
  <c r="F247" i="2" a="1"/>
  <c r="F247" i="2" s="1"/>
  <c r="H247" i="2" s="1" a="1"/>
  <c r="H247" i="2" s="1"/>
  <c r="F248" i="2" a="1"/>
  <c r="F248" i="2" s="1"/>
  <c r="H248" i="2" s="1" a="1"/>
  <c r="H248" i="2" s="1"/>
  <c r="F249" i="2" a="1"/>
  <c r="F249" i="2" s="1"/>
  <c r="F250" i="2" a="1"/>
  <c r="F250" i="2" s="1"/>
  <c r="F251" i="2" a="1"/>
  <c r="F251" i="2" s="1"/>
  <c r="F252" i="2" a="1"/>
  <c r="F252" i="2" s="1"/>
  <c r="F253" i="2" a="1"/>
  <c r="F253" i="2" s="1"/>
  <c r="F254" i="2" a="1"/>
  <c r="F254" i="2" s="1"/>
  <c r="F255" i="2" a="1"/>
  <c r="F255" i="2" s="1"/>
  <c r="F256" i="2" a="1"/>
  <c r="F256" i="2" s="1"/>
  <c r="F257" i="2" a="1"/>
  <c r="F257" i="2" s="1"/>
  <c r="F258" i="2" a="1"/>
  <c r="F258" i="2" s="1"/>
  <c r="F259" i="2" a="1"/>
  <c r="F259" i="2" s="1"/>
  <c r="F260" i="2" a="1"/>
  <c r="F260" i="2" s="1"/>
  <c r="F261" i="2" a="1"/>
  <c r="F261" i="2" s="1"/>
  <c r="F262" i="2" a="1"/>
  <c r="F262" i="2" s="1"/>
  <c r="F263" i="2" a="1"/>
  <c r="F263" i="2" s="1"/>
  <c r="F264" i="2" a="1"/>
  <c r="F264" i="2" s="1"/>
  <c r="H264" i="2" s="1" a="1"/>
  <c r="H264" i="2" s="1"/>
  <c r="F265" i="2" a="1"/>
  <c r="F265" i="2" s="1"/>
  <c r="F266" i="2" a="1"/>
  <c r="F266" i="2" s="1"/>
  <c r="F267" i="2" a="1"/>
  <c r="F267" i="2" s="1"/>
  <c r="F268" i="2" a="1"/>
  <c r="F268" i="2" s="1"/>
  <c r="F269" i="2" a="1"/>
  <c r="F269" i="2" s="1"/>
  <c r="F270" i="2" a="1"/>
  <c r="F270" i="2" s="1"/>
  <c r="F271" i="2" a="1"/>
  <c r="F271" i="2"/>
  <c r="F272" i="2" a="1"/>
  <c r="F272" i="2" s="1"/>
  <c r="F273" i="2" a="1"/>
  <c r="F273" i="2" s="1"/>
  <c r="F274" i="2" a="1"/>
  <c r="F274" i="2" s="1"/>
  <c r="H274" i="2" s="1" a="1"/>
  <c r="H274" i="2" s="1"/>
  <c r="F275" i="2" a="1"/>
  <c r="F275" i="2" s="1"/>
  <c r="H275" i="2" s="1" a="1"/>
  <c r="H275" i="2" s="1"/>
  <c r="F276" i="2" a="1"/>
  <c r="F276" i="2" s="1"/>
  <c r="F277" i="2" a="1"/>
  <c r="F277" i="2" s="1"/>
  <c r="F278" i="2" a="1"/>
  <c r="F278" i="2" s="1"/>
  <c r="H278" i="2" s="1" a="1"/>
  <c r="H278" i="2" s="1"/>
  <c r="F279" i="2" a="1"/>
  <c r="F279" i="2" s="1"/>
  <c r="F280" i="2" a="1"/>
  <c r="F280" i="2" s="1"/>
  <c r="F281" i="2" a="1"/>
  <c r="F281" i="2" s="1"/>
  <c r="F282" i="2" a="1"/>
  <c r="F282" i="2" s="1"/>
  <c r="F283" i="2" a="1"/>
  <c r="F283" i="2" s="1"/>
  <c r="F284" i="2" a="1"/>
  <c r="F284" i="2" s="1"/>
  <c r="F285" i="2" a="1"/>
  <c r="F285" i="2" s="1"/>
  <c r="F286" i="2" a="1"/>
  <c r="F286" i="2" s="1"/>
  <c r="F287" i="2" a="1"/>
  <c r="F287" i="2" s="1"/>
  <c r="F288" i="2" a="1"/>
  <c r="F288" i="2" s="1"/>
  <c r="F289" i="2" a="1"/>
  <c r="F289" i="2" s="1"/>
  <c r="F290" i="2" a="1"/>
  <c r="F290" i="2" s="1"/>
  <c r="F291" i="2" a="1"/>
  <c r="F291" i="2" s="1"/>
  <c r="F292" i="2" a="1"/>
  <c r="F292" i="2" s="1"/>
  <c r="F293" i="2" a="1"/>
  <c r="F293" i="2" s="1"/>
  <c r="F294" i="2" a="1"/>
  <c r="F294" i="2" s="1"/>
  <c r="F295" i="2" a="1"/>
  <c r="F295" i="2" s="1"/>
  <c r="F296" i="2" a="1"/>
  <c r="F296" i="2" s="1"/>
  <c r="F297" i="2" a="1"/>
  <c r="F297" i="2" s="1"/>
  <c r="H297" i="2" s="1" a="1"/>
  <c r="H297" i="2" s="1"/>
  <c r="F298" i="2" a="1"/>
  <c r="F298" i="2" s="1"/>
  <c r="H298" i="2" s="1" a="1"/>
  <c r="H298" i="2" s="1"/>
  <c r="F299" i="2" a="1"/>
  <c r="F299" i="2" s="1"/>
  <c r="F300" i="2" a="1"/>
  <c r="F300" i="2" s="1"/>
  <c r="F301" i="2" a="1"/>
  <c r="F301" i="2" s="1"/>
  <c r="F302" i="2" a="1"/>
  <c r="F302" i="2" s="1"/>
  <c r="F303" i="2" a="1"/>
  <c r="F303" i="2" s="1"/>
  <c r="F304" i="2" a="1"/>
  <c r="F304" i="2" s="1"/>
  <c r="F305" i="2" a="1"/>
  <c r="F305" i="2" s="1"/>
  <c r="F306" i="2" a="1"/>
  <c r="F306" i="2" s="1"/>
  <c r="F307" i="2" a="1"/>
  <c r="F307" i="2" s="1"/>
  <c r="F308" i="2" a="1"/>
  <c r="F308" i="2" s="1"/>
  <c r="F309" i="2" a="1"/>
  <c r="F309" i="2" s="1"/>
  <c r="H309" i="2" s="1" a="1"/>
  <c r="H309" i="2" s="1"/>
  <c r="F310" i="2" a="1"/>
  <c r="F310" i="2" s="1"/>
  <c r="F311" i="2" a="1"/>
  <c r="F311" i="2" s="1"/>
  <c r="F312" i="2" a="1"/>
  <c r="F312" i="2" s="1"/>
  <c r="F313" i="2" a="1"/>
  <c r="F313" i="2" s="1"/>
  <c r="F314" i="2" a="1"/>
  <c r="F314" i="2" s="1"/>
  <c r="F315" i="2" a="1"/>
  <c r="F315" i="2" s="1"/>
  <c r="F316" i="2" a="1"/>
  <c r="F316" i="2" s="1"/>
  <c r="F317" i="2" a="1"/>
  <c r="F317" i="2" s="1"/>
  <c r="F318" i="2" a="1"/>
  <c r="F318" i="2" s="1"/>
  <c r="F319" i="2" a="1"/>
  <c r="F319" i="2" s="1"/>
  <c r="F320" i="2" a="1"/>
  <c r="F320" i="2" s="1"/>
  <c r="F321" i="2" a="1"/>
  <c r="F321" i="2" s="1"/>
  <c r="F322" i="2" a="1"/>
  <c r="F322" i="2" s="1"/>
  <c r="F323" i="2" a="1"/>
  <c r="F323" i="2" s="1"/>
  <c r="F324" i="2" a="1"/>
  <c r="F324" i="2" s="1"/>
  <c r="F325" i="2" a="1"/>
  <c r="F325" i="2" s="1"/>
  <c r="F326" i="2" a="1"/>
  <c r="F326" i="2" s="1"/>
  <c r="H326" i="2" s="1" a="1"/>
  <c r="H326" i="2" s="1"/>
  <c r="F327" i="2" a="1"/>
  <c r="F327" i="2" s="1"/>
  <c r="F328" i="2" a="1"/>
  <c r="F328" i="2" s="1"/>
  <c r="H328" i="2" s="1" a="1"/>
  <c r="H328" i="2" s="1"/>
  <c r="F329" i="2" a="1"/>
  <c r="F329" i="2" s="1"/>
  <c r="F330" i="2" a="1"/>
  <c r="F330" i="2" s="1"/>
  <c r="F331" i="2" a="1"/>
  <c r="F331" i="2" s="1"/>
  <c r="F332" i="2" a="1"/>
  <c r="F332" i="2" s="1"/>
  <c r="F333" i="2" a="1"/>
  <c r="F333" i="2" s="1"/>
  <c r="F334" i="2" a="1"/>
  <c r="F334" i="2" s="1"/>
  <c r="F335" i="2" a="1"/>
  <c r="F335" i="2" s="1"/>
  <c r="F336" i="2" a="1"/>
  <c r="F336" i="2" s="1"/>
  <c r="F337" i="2" a="1"/>
  <c r="F337" i="2" s="1"/>
  <c r="F338" i="2" a="1"/>
  <c r="F338" i="2" s="1"/>
  <c r="H338" i="2" s="1" a="1"/>
  <c r="H338" i="2" s="1"/>
  <c r="F339" i="2" a="1"/>
  <c r="F339" i="2" s="1"/>
  <c r="F340" i="2" a="1"/>
  <c r="F340" i="2" s="1"/>
  <c r="F341" i="2" a="1"/>
  <c r="F341" i="2" s="1"/>
  <c r="F342" i="2" a="1"/>
  <c r="F342" i="2" s="1"/>
  <c r="F343" i="2" a="1"/>
  <c r="F343" i="2" s="1"/>
  <c r="F344" i="2" a="1"/>
  <c r="F344" i="2" s="1"/>
  <c r="F345" i="2" a="1"/>
  <c r="F345" i="2" s="1"/>
  <c r="F346" i="2" a="1"/>
  <c r="F346" i="2" s="1"/>
  <c r="F347" i="2" a="1"/>
  <c r="F347" i="2" s="1"/>
  <c r="F348" i="2" a="1"/>
  <c r="F348" i="2" s="1"/>
  <c r="F349" i="2" a="1"/>
  <c r="F349" i="2" s="1"/>
  <c r="F350" i="2" a="1"/>
  <c r="F350" i="2" s="1"/>
  <c r="F351" i="2" a="1"/>
  <c r="F351" i="2" s="1"/>
  <c r="F352" i="2" a="1"/>
  <c r="F352" i="2" s="1"/>
  <c r="F353" i="2" a="1"/>
  <c r="F353" i="2" s="1"/>
  <c r="F354" i="2" a="1"/>
  <c r="F354" i="2" s="1"/>
  <c r="F355" i="2" a="1"/>
  <c r="F355" i="2" s="1"/>
  <c r="F356" i="2" a="1"/>
  <c r="F356" i="2" s="1"/>
  <c r="F357" i="2" a="1"/>
  <c r="F357" i="2" s="1"/>
  <c r="F358" i="2" a="1"/>
  <c r="F358" i="2" s="1"/>
  <c r="F359" i="2" a="1"/>
  <c r="F359" i="2" s="1"/>
  <c r="H359" i="2" s="1" a="1"/>
  <c r="H359" i="2" s="1"/>
  <c r="F360" i="2" a="1"/>
  <c r="F360" i="2" s="1"/>
  <c r="F361" i="2" a="1"/>
  <c r="F361" i="2" s="1"/>
  <c r="F362" i="2" a="1"/>
  <c r="F362" i="2" s="1"/>
  <c r="F363" i="2" a="1"/>
  <c r="F363" i="2" s="1"/>
  <c r="F364" i="2" a="1"/>
  <c r="F364" i="2" s="1"/>
  <c r="F365" i="2" a="1"/>
  <c r="F365" i="2" s="1"/>
  <c r="F366" i="2" a="1"/>
  <c r="F366" i="2" s="1"/>
  <c r="F367" i="2" a="1"/>
  <c r="F367" i="2" s="1"/>
  <c r="F368" i="2" a="1"/>
  <c r="F368" i="2" s="1"/>
  <c r="F369" i="2" a="1"/>
  <c r="F369" i="2" s="1"/>
  <c r="F370" i="2" a="1"/>
  <c r="F370" i="2" s="1"/>
  <c r="F371" i="2" a="1"/>
  <c r="F371" i="2" s="1"/>
  <c r="F372" i="2" a="1"/>
  <c r="F372" i="2" s="1"/>
  <c r="F373" i="2" a="1"/>
  <c r="F373" i="2" s="1"/>
  <c r="F374" i="2" a="1"/>
  <c r="F374" i="2" s="1"/>
  <c r="F375" i="2" a="1"/>
  <c r="F375" i="2" s="1"/>
  <c r="F376" i="2" a="1"/>
  <c r="F376" i="2" s="1"/>
  <c r="H376" i="2" s="1" a="1"/>
  <c r="H376" i="2" s="1"/>
  <c r="F377" i="2" a="1"/>
  <c r="F377" i="2" s="1"/>
  <c r="F378" i="2" a="1"/>
  <c r="F378" i="2" s="1"/>
  <c r="F379" i="2" a="1"/>
  <c r="F379" i="2" s="1"/>
  <c r="F380" i="2" a="1"/>
  <c r="F380" i="2" s="1"/>
  <c r="F381" i="2" a="1"/>
  <c r="F381" i="2" s="1"/>
  <c r="F382" i="2" a="1"/>
  <c r="F382" i="2" s="1"/>
  <c r="F383" i="2" a="1"/>
  <c r="F383" i="2" s="1"/>
  <c r="F384" i="2" a="1"/>
  <c r="F384" i="2" s="1"/>
  <c r="F385" i="2" a="1"/>
  <c r="F385" i="2" s="1"/>
  <c r="F386" i="2" a="1"/>
  <c r="F386" i="2" s="1"/>
  <c r="F387" i="2" a="1"/>
  <c r="F387" i="2" s="1"/>
  <c r="H387" i="2" s="1" a="1"/>
  <c r="H387" i="2" s="1"/>
  <c r="F388" i="2" a="1"/>
  <c r="F388" i="2" s="1"/>
  <c r="F389" i="2" a="1"/>
  <c r="F389" i="2" s="1"/>
  <c r="F390" i="2" a="1"/>
  <c r="F390" i="2" s="1"/>
  <c r="F391" i="2" a="1"/>
  <c r="F391" i="2" s="1"/>
  <c r="F392" i="2" a="1"/>
  <c r="F392" i="2" s="1"/>
  <c r="F393" i="2" a="1"/>
  <c r="F393" i="2" s="1"/>
  <c r="F394" i="2" a="1"/>
  <c r="F394" i="2" s="1"/>
  <c r="F395" i="2" a="1"/>
  <c r="F395" i="2" s="1"/>
  <c r="F396" i="2" a="1"/>
  <c r="F396" i="2" s="1"/>
  <c r="F397" i="2" a="1"/>
  <c r="F397" i="2" s="1"/>
  <c r="F398" i="2" a="1"/>
  <c r="F398" i="2" s="1"/>
  <c r="F399" i="2" a="1"/>
  <c r="F399" i="2" s="1"/>
  <c r="F400" i="2" a="1"/>
  <c r="F400" i="2" s="1"/>
  <c r="F401" i="2" a="1"/>
  <c r="F401" i="2" s="1"/>
  <c r="F402" i="2" a="1"/>
  <c r="F402" i="2" s="1"/>
  <c r="F403" i="2" a="1"/>
  <c r="F403" i="2" s="1"/>
  <c r="F404" i="2" a="1"/>
  <c r="F404" i="2" s="1"/>
  <c r="H404" i="2" s="1" a="1"/>
  <c r="H404" i="2" s="1"/>
  <c r="F405" i="2" a="1"/>
  <c r="F405" i="2" s="1"/>
  <c r="F406" i="2" a="1"/>
  <c r="F406" i="2" s="1"/>
  <c r="H406" i="2" s="1" a="1"/>
  <c r="H406" i="2" s="1"/>
  <c r="F407" i="2" a="1"/>
  <c r="F407" i="2" s="1"/>
  <c r="F408" i="2" a="1"/>
  <c r="F408" i="2" s="1"/>
  <c r="F409" i="2" a="1"/>
  <c r="F409" i="2" s="1"/>
  <c r="F410" i="2" a="1"/>
  <c r="F410" i="2" s="1"/>
  <c r="F411" i="2" a="1"/>
  <c r="F411" i="2" s="1"/>
  <c r="F412" i="2" a="1"/>
  <c r="F412" i="2" s="1"/>
  <c r="F413" i="2" a="1"/>
  <c r="F413" i="2" s="1"/>
  <c r="F414" i="2" a="1"/>
  <c r="F414" i="2" s="1"/>
  <c r="F415" i="2" a="1"/>
  <c r="F415" i="2" s="1"/>
  <c r="F416" i="2" a="1"/>
  <c r="F416" i="2" s="1"/>
  <c r="H416" i="2" s="1" a="1"/>
  <c r="H416" i="2" s="1"/>
  <c r="F417" i="2" a="1"/>
  <c r="F417" i="2" s="1"/>
  <c r="F418" i="2" a="1"/>
  <c r="F418" i="2" s="1"/>
  <c r="F419" i="2" a="1"/>
  <c r="F419" i="2" s="1"/>
  <c r="F420" i="2" a="1"/>
  <c r="F420" i="2" s="1"/>
  <c r="F421" i="2" a="1"/>
  <c r="F421" i="2" s="1"/>
  <c r="F422" i="2" a="1"/>
  <c r="F422" i="2" s="1"/>
  <c r="F423" i="2" a="1"/>
  <c r="F423" i="2" s="1"/>
  <c r="F424" i="2" a="1"/>
  <c r="F424" i="2" s="1"/>
  <c r="F425" i="2" a="1"/>
  <c r="F425" i="2" s="1"/>
  <c r="F426" i="2" a="1"/>
  <c r="F426" i="2" s="1"/>
  <c r="F427" i="2" a="1"/>
  <c r="F427" i="2" s="1"/>
  <c r="F428" i="2" a="1"/>
  <c r="F428" i="2" s="1"/>
  <c r="F429" i="2" a="1"/>
  <c r="F429" i="2" s="1"/>
  <c r="F430" i="2" a="1"/>
  <c r="F430" i="2" s="1"/>
  <c r="F431" i="2" a="1"/>
  <c r="F431" i="2" s="1"/>
  <c r="F432" i="2" a="1"/>
  <c r="F432" i="2" s="1"/>
  <c r="F433" i="2" a="1"/>
  <c r="F433" i="2" s="1"/>
  <c r="F434" i="2" a="1"/>
  <c r="F434" i="2" s="1"/>
  <c r="F435" i="2" a="1"/>
  <c r="F435" i="2" s="1"/>
  <c r="F436" i="2" a="1"/>
  <c r="F436" i="2" s="1"/>
  <c r="H436" i="2" s="1" a="1"/>
  <c r="H436" i="2" s="1"/>
  <c r="F437" i="2" a="1"/>
  <c r="F437" i="2" s="1"/>
  <c r="F438" i="2" a="1"/>
  <c r="F438" i="2" s="1"/>
  <c r="F439" i="2" a="1"/>
  <c r="F439" i="2" s="1"/>
  <c r="F440" i="2" a="1"/>
  <c r="F440" i="2" s="1"/>
  <c r="F441" i="2" a="1"/>
  <c r="F441" i="2" s="1"/>
  <c r="F442" i="2" a="1"/>
  <c r="F442" i="2" s="1"/>
  <c r="F443" i="2" a="1"/>
  <c r="F443" i="2" s="1"/>
  <c r="F444" i="2" a="1"/>
  <c r="F444" i="2" s="1"/>
  <c r="F445" i="2" a="1"/>
  <c r="F445" i="2" s="1"/>
  <c r="F446" i="2" a="1"/>
  <c r="F446" i="2" s="1"/>
  <c r="F447" i="2" a="1"/>
  <c r="F447" i="2" s="1"/>
  <c r="F448" i="2" a="1"/>
  <c r="F448" i="2" s="1"/>
  <c r="F449" i="2" a="1"/>
  <c r="F449" i="2" s="1"/>
  <c r="F450" i="2" a="1"/>
  <c r="F450" i="2" s="1"/>
  <c r="F451" i="2" a="1"/>
  <c r="F451" i="2" s="1"/>
  <c r="F452" i="2" a="1"/>
  <c r="F452" i="2" s="1"/>
  <c r="F453" i="2" a="1"/>
  <c r="F453" i="2" s="1"/>
  <c r="F454" i="2" a="1"/>
  <c r="F454" i="2" s="1"/>
  <c r="F455" i="2" a="1"/>
  <c r="F455" i="2" s="1"/>
  <c r="F456" i="2" a="1"/>
  <c r="F456" i="2" s="1"/>
  <c r="F457" i="2" a="1"/>
  <c r="F457" i="2" s="1"/>
  <c r="F458" i="2" a="1"/>
  <c r="F458" i="2" s="1"/>
  <c r="F459" i="2" a="1"/>
  <c r="F459" i="2" s="1"/>
  <c r="F460" i="2" a="1"/>
  <c r="F460" i="2" s="1"/>
  <c r="F461" i="2" a="1"/>
  <c r="F461" i="2" s="1"/>
  <c r="F462" i="2" a="1"/>
  <c r="F462" i="2" s="1"/>
  <c r="F463" i="2" a="1"/>
  <c r="F463" i="2" s="1"/>
  <c r="F464" i="2" a="1"/>
  <c r="F464" i="2" s="1"/>
  <c r="F465" i="2" a="1"/>
  <c r="F465" i="2" s="1"/>
  <c r="F466" i="2" a="1"/>
  <c r="F466" i="2" s="1"/>
  <c r="F467" i="2" a="1"/>
  <c r="F467" i="2" s="1"/>
  <c r="F468" i="2" a="1"/>
  <c r="F468" i="2" s="1"/>
  <c r="F469" i="2" a="1"/>
  <c r="F469" i="2" s="1"/>
  <c r="F470" i="2" a="1"/>
  <c r="F470" i="2" s="1"/>
  <c r="F471" i="2" a="1"/>
  <c r="F471" i="2" s="1"/>
  <c r="F472" i="2" a="1"/>
  <c r="F472" i="2" s="1"/>
  <c r="F473" i="2" a="1"/>
  <c r="F473" i="2" s="1"/>
  <c r="F474" i="2" a="1"/>
  <c r="F474" i="2" s="1"/>
  <c r="F475" i="2" a="1"/>
  <c r="F475" i="2" s="1"/>
  <c r="F476" i="2" a="1"/>
  <c r="F476" i="2" s="1"/>
  <c r="F477" i="2" a="1"/>
  <c r="F477" i="2" s="1"/>
  <c r="F478" i="2" a="1"/>
  <c r="F478" i="2" s="1"/>
  <c r="F479" i="2" a="1"/>
  <c r="F479" i="2" s="1"/>
  <c r="H479" i="2" s="1" a="1"/>
  <c r="H479" i="2" s="1"/>
  <c r="F480" i="2" a="1"/>
  <c r="F480" i="2" s="1"/>
  <c r="H480" i="2" s="1" a="1"/>
  <c r="H480" i="2" s="1"/>
  <c r="F481" i="2" a="1"/>
  <c r="F481" i="2" s="1"/>
  <c r="F482" i="2" a="1"/>
  <c r="F482" i="2" s="1"/>
  <c r="F483" i="2" a="1"/>
  <c r="F483" i="2" s="1"/>
  <c r="F484" i="2" a="1"/>
  <c r="F484" i="2" s="1"/>
  <c r="F485" i="2" a="1"/>
  <c r="F485" i="2" s="1"/>
  <c r="F486" i="2" a="1"/>
  <c r="F486" i="2" s="1"/>
  <c r="F487" i="2" a="1"/>
  <c r="F487" i="2" s="1"/>
  <c r="F488" i="2" a="1"/>
  <c r="F488" i="2" s="1"/>
  <c r="H488" i="2" s="1" a="1"/>
  <c r="H488" i="2" s="1"/>
  <c r="F489" i="2" a="1"/>
  <c r="F489" i="2" s="1"/>
  <c r="H489" i="2" s="1" a="1"/>
  <c r="H489" i="2" s="1"/>
  <c r="F490" i="2" a="1"/>
  <c r="F490" i="2" s="1"/>
  <c r="H490" i="2" s="1" a="1"/>
  <c r="H490" i="2" s="1"/>
  <c r="F491" i="2" a="1"/>
  <c r="F491" i="2" s="1"/>
  <c r="H491" i="2" s="1" a="1"/>
  <c r="H491" i="2" s="1"/>
  <c r="F492" i="2" a="1"/>
  <c r="F492" i="2" s="1"/>
  <c r="F493" i="2" a="1"/>
  <c r="F493" i="2" s="1"/>
  <c r="F494" i="2" a="1"/>
  <c r="F494" i="2" s="1"/>
  <c r="F495" i="2" a="1"/>
  <c r="F495" i="2" s="1"/>
  <c r="F496" i="2" a="1"/>
  <c r="F496" i="2" s="1"/>
  <c r="F497" i="2" a="1"/>
  <c r="F497" i="2" s="1"/>
  <c r="F498" i="2" a="1"/>
  <c r="F498" i="2" s="1"/>
  <c r="F499" i="2" a="1"/>
  <c r="F499" i="2" s="1"/>
  <c r="F500" i="2" a="1"/>
  <c r="F500" i="2" s="1"/>
  <c r="F501" i="2" a="1"/>
  <c r="F501" i="2" s="1"/>
  <c r="F502" i="2" a="1"/>
  <c r="F502" i="2" s="1"/>
  <c r="F503" i="2" a="1"/>
  <c r="F503" i="2" s="1"/>
  <c r="F504" i="2" a="1"/>
  <c r="F504" i="2" s="1"/>
  <c r="F505" i="2" a="1"/>
  <c r="F505" i="2" s="1"/>
  <c r="H505" i="2" s="1" a="1"/>
  <c r="H505" i="2" s="1"/>
  <c r="F506" i="2" a="1"/>
  <c r="F506" i="2" s="1"/>
  <c r="F507" i="2" a="1"/>
  <c r="F507" i="2" s="1"/>
  <c r="F508" i="2" a="1"/>
  <c r="F508" i="2" s="1"/>
  <c r="H508" i="2" s="1" a="1"/>
  <c r="H508" i="2" s="1"/>
  <c r="F509" i="2" a="1"/>
  <c r="F509" i="2" s="1"/>
  <c r="F510" i="2" a="1"/>
  <c r="F510" i="2" s="1"/>
  <c r="F511" i="2" a="1"/>
  <c r="F511" i="2" s="1"/>
  <c r="F512" i="2" a="1"/>
  <c r="F512" i="2" s="1"/>
  <c r="F513" i="2" a="1"/>
  <c r="F513" i="2" s="1"/>
  <c r="F514" i="2" a="1"/>
  <c r="F514" i="2" s="1"/>
  <c r="F515" i="2" a="1"/>
  <c r="F515" i="2" s="1"/>
  <c r="F516" i="2" a="1"/>
  <c r="F516" i="2" s="1"/>
  <c r="F517" i="2" a="1"/>
  <c r="F517" i="2" s="1"/>
  <c r="H517" i="2" s="1" a="1"/>
  <c r="H517" i="2" s="1"/>
  <c r="F518" i="2" a="1"/>
  <c r="F518" i="2" s="1"/>
  <c r="H518" i="2" s="1" a="1"/>
  <c r="H518" i="2" s="1"/>
  <c r="F519" i="2" a="1"/>
  <c r="F519" i="2" s="1"/>
  <c r="F520" i="2" a="1"/>
  <c r="F520" i="2" s="1"/>
  <c r="F521" i="2" a="1"/>
  <c r="F521" i="2" s="1"/>
  <c r="F522" i="2" a="1"/>
  <c r="F522" i="2" s="1"/>
  <c r="F523" i="2" a="1"/>
  <c r="F523" i="2" s="1"/>
  <c r="F524" i="2" a="1"/>
  <c r="F524" i="2" s="1"/>
  <c r="F525" i="2" a="1"/>
  <c r="F525" i="2" s="1"/>
  <c r="F526" i="2" a="1"/>
  <c r="F526" i="2" s="1"/>
  <c r="F527" i="2" a="1"/>
  <c r="F527" i="2" s="1"/>
  <c r="F528" i="2" a="1"/>
  <c r="F528" i="2" s="1"/>
  <c r="F529" i="2" a="1"/>
  <c r="F529" i="2" s="1"/>
  <c r="F530" i="2" a="1"/>
  <c r="F530" i="2" s="1"/>
  <c r="F531" i="2" a="1"/>
  <c r="F531" i="2" s="1"/>
  <c r="F532" i="2" a="1"/>
  <c r="F532" i="2" s="1"/>
  <c r="F533" i="2" a="1"/>
  <c r="F533" i="2" s="1"/>
  <c r="H533" i="2" s="1" a="1"/>
  <c r="H533" i="2" s="1"/>
  <c r="F534" i="2" a="1"/>
  <c r="F534" i="2" s="1"/>
  <c r="F535" i="2" a="1"/>
  <c r="F535" i="2" s="1"/>
  <c r="F536" i="2" a="1"/>
  <c r="F536" i="2" s="1"/>
  <c r="H536" i="2" s="1" a="1"/>
  <c r="H536" i="2" s="1"/>
  <c r="F537" i="2" a="1"/>
  <c r="F537" i="2" s="1"/>
  <c r="F538" i="2" a="1"/>
  <c r="F538" i="2" s="1"/>
  <c r="H538" i="2" s="1" a="1"/>
  <c r="H538" i="2" s="1"/>
  <c r="F539" i="2" a="1"/>
  <c r="F539" i="2" s="1"/>
  <c r="F540" i="2" a="1"/>
  <c r="F540" i="2" s="1"/>
  <c r="F541" i="2" a="1"/>
  <c r="F541" i="2" s="1"/>
  <c r="F542" i="2" a="1"/>
  <c r="F542" i="2" s="1"/>
  <c r="F543" i="2" a="1"/>
  <c r="F543" i="2" s="1"/>
  <c r="F544" i="2" a="1"/>
  <c r="F544" i="2" s="1"/>
  <c r="F545" i="2" a="1"/>
  <c r="F545" i="2" s="1"/>
  <c r="F546" i="2" a="1"/>
  <c r="F546" i="2" s="1"/>
  <c r="F547" i="2" a="1"/>
  <c r="F547" i="2" s="1"/>
  <c r="F548" i="2" a="1"/>
  <c r="F548" i="2" s="1"/>
  <c r="F549" i="2" a="1"/>
  <c r="F549" i="2" s="1"/>
  <c r="F550" i="2" a="1"/>
  <c r="F550" i="2" s="1"/>
  <c r="F551" i="2" a="1"/>
  <c r="F551" i="2" s="1"/>
  <c r="F552" i="2" a="1"/>
  <c r="F552" i="2" s="1"/>
  <c r="F553" i="2" a="1"/>
  <c r="F553" i="2" s="1"/>
  <c r="F554" i="2" a="1"/>
  <c r="F554" i="2" s="1"/>
  <c r="F555" i="2" a="1"/>
  <c r="F555" i="2" s="1"/>
  <c r="F556" i="2" a="1"/>
  <c r="F556" i="2" s="1"/>
  <c r="F557" i="2" a="1"/>
  <c r="F557" i="2" s="1"/>
  <c r="F558" i="2" a="1"/>
  <c r="F558" i="2" s="1"/>
  <c r="F559" i="2" a="1"/>
  <c r="F559" i="2" s="1"/>
  <c r="F560" i="2" a="1"/>
  <c r="F560" i="2" s="1"/>
  <c r="F561" i="2" a="1"/>
  <c r="F561" i="2" s="1"/>
  <c r="F562" i="2" a="1"/>
  <c r="F562" i="2" s="1"/>
  <c r="F563" i="2" a="1"/>
  <c r="F563" i="2" s="1"/>
  <c r="F564" i="2" a="1"/>
  <c r="F564" i="2" s="1"/>
  <c r="F565" i="2" a="1"/>
  <c r="F565" i="2" s="1"/>
  <c r="F566" i="2" a="1"/>
  <c r="F566" i="2" s="1"/>
  <c r="F567" i="2" a="1"/>
  <c r="F567" i="2" s="1"/>
  <c r="F568" i="2" a="1"/>
  <c r="F568" i="2" s="1"/>
  <c r="F569" i="2" a="1"/>
  <c r="F569" i="2" s="1"/>
  <c r="H569" i="2" s="1" a="1"/>
  <c r="H569" i="2" s="1"/>
  <c r="F570" i="2" a="1"/>
  <c r="F570" i="2" s="1"/>
  <c r="F571" i="2" a="1"/>
  <c r="F571" i="2"/>
  <c r="F572" i="2" a="1"/>
  <c r="F572" i="2" s="1"/>
  <c r="F573" i="2" a="1"/>
  <c r="F573" i="2" s="1"/>
  <c r="F574" i="2" a="1"/>
  <c r="F574" i="2" s="1"/>
  <c r="F575" i="2" a="1"/>
  <c r="F575" i="2" s="1"/>
  <c r="F576" i="2" a="1"/>
  <c r="F576" i="2" s="1"/>
  <c r="F577" i="2" a="1"/>
  <c r="F577" i="2" s="1"/>
  <c r="F578" i="2" a="1"/>
  <c r="F578" i="2" s="1"/>
  <c r="F579" i="2" a="1"/>
  <c r="F579" i="2" s="1"/>
  <c r="F580" i="2" a="1"/>
  <c r="F580" i="2" s="1"/>
  <c r="F581" i="2" a="1"/>
  <c r="F581" i="2" s="1"/>
  <c r="F582" i="2" a="1"/>
  <c r="F582" i="2" s="1"/>
  <c r="F583" i="2" a="1"/>
  <c r="F583" i="2" s="1"/>
  <c r="F584" i="2" a="1"/>
  <c r="F584" i="2" s="1"/>
  <c r="F585" i="2" a="1"/>
  <c r="F585" i="2" s="1"/>
  <c r="F586" i="2" a="1"/>
  <c r="F586" i="2" s="1"/>
  <c r="F587" i="2" a="1"/>
  <c r="F587" i="2" s="1"/>
  <c r="F588" i="2" a="1"/>
  <c r="F588" i="2" s="1"/>
  <c r="F589" i="2" a="1"/>
  <c r="F589" i="2" s="1"/>
  <c r="F590" i="2" a="1"/>
  <c r="F590" i="2" s="1"/>
  <c r="F591" i="2" a="1"/>
  <c r="F591" i="2" s="1"/>
  <c r="F592" i="2" a="1"/>
  <c r="F592" i="2" s="1"/>
  <c r="F593" i="2" a="1"/>
  <c r="F593" i="2" s="1"/>
  <c r="F594" i="2" a="1"/>
  <c r="F594" i="2" s="1"/>
  <c r="F595" i="2" a="1"/>
  <c r="F595" i="2" s="1"/>
  <c r="F596" i="2" a="1"/>
  <c r="F596" i="2" s="1"/>
  <c r="F597" i="2" a="1"/>
  <c r="F597" i="2" s="1"/>
  <c r="H597" i="2" s="1" a="1"/>
  <c r="H597" i="2" s="1"/>
  <c r="F598" i="2" a="1"/>
  <c r="F598" i="2" s="1"/>
  <c r="F599" i="2" a="1"/>
  <c r="F599" i="2" s="1"/>
  <c r="F600" i="2" a="1"/>
  <c r="F600" i="2" s="1"/>
  <c r="F601" i="2" a="1"/>
  <c r="F601" i="2" s="1"/>
  <c r="F602" i="2" a="1"/>
  <c r="F602" i="2" s="1"/>
  <c r="F603" i="2" a="1"/>
  <c r="F603" i="2" s="1"/>
  <c r="F604" i="2" a="1"/>
  <c r="F604" i="2" s="1"/>
  <c r="F605" i="2" a="1"/>
  <c r="F605" i="2" s="1"/>
  <c r="F606" i="2" a="1"/>
  <c r="F606" i="2" s="1"/>
  <c r="F607" i="2" a="1"/>
  <c r="F607" i="2" s="1"/>
  <c r="F608" i="2" a="1"/>
  <c r="F608" i="2" s="1"/>
  <c r="F609" i="2" a="1"/>
  <c r="F609" i="2" s="1"/>
  <c r="F610" i="2" a="1"/>
  <c r="F610" i="2" s="1"/>
  <c r="F611" i="2" a="1"/>
  <c r="F611" i="2" s="1"/>
  <c r="F612" i="2" a="1"/>
  <c r="F612" i="2" s="1"/>
  <c r="F613" i="2" a="1"/>
  <c r="F613" i="2" s="1"/>
  <c r="H613" i="2" s="1" a="1"/>
  <c r="H613" i="2" s="1"/>
  <c r="F614" i="2" a="1"/>
  <c r="F614" i="2" s="1"/>
  <c r="F615" i="2" a="1"/>
  <c r="F615" i="2" s="1"/>
  <c r="F616" i="2" a="1"/>
  <c r="F616" i="2" s="1"/>
  <c r="F617" i="2" a="1"/>
  <c r="F617" i="2" s="1"/>
  <c r="F618" i="2" a="1"/>
  <c r="F618" i="2" s="1"/>
  <c r="F619" i="2" a="1"/>
  <c r="F619" i="2" s="1"/>
  <c r="F620" i="2" a="1"/>
  <c r="F620" i="2" s="1"/>
  <c r="F621" i="2" a="1"/>
  <c r="F621" i="2" s="1"/>
  <c r="F622" i="2" a="1"/>
  <c r="F622" i="2" s="1"/>
  <c r="F623" i="2" a="1"/>
  <c r="F623" i="2" s="1"/>
  <c r="F624" i="2" a="1"/>
  <c r="F624" i="2" s="1"/>
  <c r="H624" i="2" s="1" a="1"/>
  <c r="H624" i="2" s="1"/>
  <c r="F625" i="2" a="1"/>
  <c r="F625" i="2" s="1"/>
  <c r="F626" i="2" a="1"/>
  <c r="F626" i="2" s="1"/>
  <c r="F627" i="2" a="1"/>
  <c r="F627" i="2" s="1"/>
  <c r="F628" i="2" a="1"/>
  <c r="F628" i="2" s="1"/>
  <c r="F629" i="2" a="1"/>
  <c r="F629" i="2" s="1"/>
  <c r="F630" i="2" a="1"/>
  <c r="F630" i="2" s="1"/>
  <c r="F631" i="2" a="1"/>
  <c r="F631" i="2" s="1"/>
  <c r="F632" i="2" a="1"/>
  <c r="F632" i="2" s="1"/>
  <c r="H632" i="2" s="1" a="1"/>
  <c r="H632" i="2" s="1"/>
  <c r="F633" i="2" a="1"/>
  <c r="F633" i="2" s="1"/>
  <c r="F634" i="2" a="1"/>
  <c r="F634" i="2" s="1"/>
  <c r="F635" i="2" a="1"/>
  <c r="F635" i="2" s="1"/>
  <c r="F636" i="2" a="1"/>
  <c r="F636" i="2" s="1"/>
  <c r="F637" i="2" a="1"/>
  <c r="F637" i="2" s="1"/>
  <c r="F638" i="2" a="1"/>
  <c r="F638" i="2" s="1"/>
  <c r="F639" i="2" a="1"/>
  <c r="F639" i="2" s="1"/>
  <c r="F640" i="2" a="1"/>
  <c r="F640" i="2" s="1"/>
  <c r="F641" i="2" a="1"/>
  <c r="F641" i="2" s="1"/>
  <c r="H641" i="2" s="1" a="1"/>
  <c r="H641" i="2" s="1"/>
  <c r="F642" i="2" a="1"/>
  <c r="F642" i="2" s="1"/>
  <c r="F643" i="2" a="1"/>
  <c r="F643" i="2" s="1"/>
  <c r="F644" i="2" a="1"/>
  <c r="F644" i="2" s="1"/>
  <c r="F645" i="2" a="1"/>
  <c r="F645" i="2" s="1"/>
  <c r="F646" i="2" a="1"/>
  <c r="F646" i="2" s="1"/>
  <c r="F647" i="2" a="1"/>
  <c r="F647" i="2" s="1"/>
  <c r="H647" i="2" s="1" a="1"/>
  <c r="H647" i="2" s="1"/>
  <c r="F648" i="2" a="1"/>
  <c r="F648" i="2" s="1"/>
  <c r="F649" i="2" a="1"/>
  <c r="F649" i="2" s="1"/>
  <c r="F650" i="2" a="1"/>
  <c r="F650" i="2" s="1"/>
  <c r="F651" i="2" a="1"/>
  <c r="F651" i="2" s="1"/>
  <c r="F652" i="2" a="1"/>
  <c r="F652" i="2" s="1"/>
  <c r="F653" i="2" a="1"/>
  <c r="F653" i="2" s="1"/>
  <c r="F654" i="2" a="1"/>
  <c r="F654" i="2" s="1"/>
  <c r="F655" i="2" a="1"/>
  <c r="F655" i="2" s="1"/>
  <c r="F656" i="2" a="1"/>
  <c r="F656" i="2" s="1"/>
  <c r="F657" i="2" a="1"/>
  <c r="F657" i="2" s="1"/>
  <c r="F658" i="2" a="1"/>
  <c r="F658" i="2" s="1"/>
  <c r="F659" i="2" a="1"/>
  <c r="F659" i="2" s="1"/>
  <c r="F660" i="2" a="1"/>
  <c r="F660" i="2" s="1"/>
  <c r="F661" i="2" a="1"/>
  <c r="F661" i="2" s="1"/>
  <c r="H661" i="2" s="1" a="1"/>
  <c r="H661" i="2" s="1"/>
  <c r="F662" i="2" a="1"/>
  <c r="F662" i="2" s="1"/>
  <c r="H662" i="2" s="1" a="1"/>
  <c r="H662" i="2" s="1"/>
  <c r="F663" i="2" a="1"/>
  <c r="F663" i="2" s="1"/>
  <c r="F664" i="2" a="1"/>
  <c r="F664" i="2" s="1"/>
  <c r="F665" i="2" a="1"/>
  <c r="F665" i="2" s="1"/>
  <c r="F666" i="2" a="1"/>
  <c r="F666" i="2" s="1"/>
  <c r="F667" i="2" a="1"/>
  <c r="F667" i="2" s="1"/>
  <c r="F668" i="2" a="1"/>
  <c r="F668" i="2" s="1"/>
  <c r="F669" i="2" a="1"/>
  <c r="F669" i="2" s="1"/>
  <c r="F670" i="2" a="1"/>
  <c r="F670" i="2" s="1"/>
  <c r="F671" i="2" a="1"/>
  <c r="F671" i="2" s="1"/>
  <c r="F672" i="2" a="1"/>
  <c r="F672" i="2" s="1"/>
  <c r="F673" i="2" a="1"/>
  <c r="F673" i="2" s="1"/>
  <c r="F674" i="2" a="1"/>
  <c r="F674" i="2" s="1"/>
  <c r="F675" i="2" a="1"/>
  <c r="F675" i="2" s="1"/>
  <c r="F676" i="2" a="1"/>
  <c r="F676" i="2" s="1"/>
  <c r="G676" i="2" s="1" a="1"/>
  <c r="G676" i="2" s="1"/>
  <c r="F677" i="2" a="1"/>
  <c r="F677" i="2" s="1"/>
  <c r="F678" i="2" a="1"/>
  <c r="F678" i="2" s="1"/>
  <c r="F679" i="2" a="1"/>
  <c r="F679" i="2" s="1"/>
  <c r="F680" i="2" a="1"/>
  <c r="F680" i="2" s="1"/>
  <c r="F681" i="2" a="1"/>
  <c r="F681" i="2" s="1"/>
  <c r="F682" i="2" a="1"/>
  <c r="F682" i="2" s="1"/>
  <c r="F683" i="2" a="1"/>
  <c r="F683" i="2" s="1"/>
  <c r="F684" i="2" a="1"/>
  <c r="F684" i="2" s="1"/>
  <c r="F685" i="2" a="1"/>
  <c r="F685" i="2" s="1"/>
  <c r="F686" i="2" a="1"/>
  <c r="F686" i="2" s="1"/>
  <c r="F687" i="2" a="1"/>
  <c r="F687" i="2" s="1"/>
  <c r="F688" i="2" a="1"/>
  <c r="F688" i="2" s="1"/>
  <c r="F689" i="2" a="1"/>
  <c r="F689" i="2" s="1"/>
  <c r="F690" i="2" a="1"/>
  <c r="F690" i="2" s="1"/>
  <c r="F691" i="2" a="1"/>
  <c r="F691" i="2" s="1"/>
  <c r="F692" i="2" a="1"/>
  <c r="F692" i="2" s="1"/>
  <c r="H692" i="2" s="1" a="1"/>
  <c r="H692" i="2" s="1"/>
  <c r="F693" i="2" a="1"/>
  <c r="F693" i="2" s="1"/>
  <c r="F694" i="2" a="1"/>
  <c r="F694" i="2" s="1"/>
  <c r="F695" i="2" a="1"/>
  <c r="F695" i="2" s="1"/>
  <c r="H695" i="2" s="1" a="1"/>
  <c r="H695" i="2" s="1"/>
  <c r="F696" i="2" a="1"/>
  <c r="F696" i="2" s="1"/>
  <c r="F697" i="2" a="1"/>
  <c r="F697" i="2" s="1"/>
  <c r="F698" i="2" a="1"/>
  <c r="F698" i="2" s="1"/>
  <c r="F699" i="2" a="1"/>
  <c r="F699" i="2" s="1"/>
  <c r="F700" i="2" a="1"/>
  <c r="F700" i="2" s="1"/>
  <c r="F701" i="2" a="1"/>
  <c r="F701" i="2" s="1"/>
  <c r="F702" i="2" a="1"/>
  <c r="F702" i="2" s="1"/>
  <c r="H702" i="2" s="1" a="1"/>
  <c r="H702" i="2" s="1"/>
  <c r="F703" i="2" a="1"/>
  <c r="F703" i="2" s="1"/>
  <c r="F704" i="2" a="1"/>
  <c r="F704" i="2" s="1"/>
  <c r="F705" i="2" a="1"/>
  <c r="F705" i="2" s="1"/>
  <c r="F706" i="2" a="1"/>
  <c r="F706" i="2" s="1"/>
  <c r="F707" i="2" a="1"/>
  <c r="F707" i="2" s="1"/>
  <c r="F708" i="2" a="1"/>
  <c r="F708" i="2" s="1"/>
  <c r="F709" i="2" a="1"/>
  <c r="F709" i="2" s="1"/>
  <c r="F710" i="2" a="1"/>
  <c r="F710" i="2" s="1"/>
  <c r="F711" i="2" a="1"/>
  <c r="F711" i="2" s="1"/>
  <c r="F712" i="2" a="1"/>
  <c r="F712" i="2" s="1"/>
  <c r="F713" i="2" a="1"/>
  <c r="F713" i="2" s="1"/>
  <c r="F714" i="2" a="1"/>
  <c r="F714" i="2" s="1"/>
  <c r="F715" i="2" a="1"/>
  <c r="F715" i="2" s="1"/>
  <c r="F716" i="2" a="1"/>
  <c r="F716" i="2" s="1"/>
  <c r="F717" i="2" a="1"/>
  <c r="F717" i="2" s="1"/>
  <c r="F718" i="2" a="1"/>
  <c r="F718" i="2" s="1"/>
  <c r="H718" i="2" s="1" a="1"/>
  <c r="H718" i="2" s="1"/>
  <c r="F719" i="2" a="1"/>
  <c r="F719" i="2" s="1"/>
  <c r="H719" i="2" s="1" a="1"/>
  <c r="H719" i="2" s="1"/>
  <c r="F720" i="2" a="1"/>
  <c r="F720" i="2" s="1"/>
  <c r="F721" i="2" a="1"/>
  <c r="F721" i="2" s="1"/>
  <c r="F722" i="2" a="1"/>
  <c r="F722" i="2" s="1"/>
  <c r="F723" i="2" a="1"/>
  <c r="F723" i="2" s="1"/>
  <c r="H723" i="2" s="1" a="1"/>
  <c r="H723" i="2" s="1"/>
  <c r="F724" i="2" a="1"/>
  <c r="F724" i="2" s="1"/>
  <c r="F725" i="2" a="1"/>
  <c r="F725" i="2" s="1"/>
  <c r="F726" i="2" a="1"/>
  <c r="F726" i="2" s="1"/>
  <c r="F727" i="2" a="1"/>
  <c r="F727" i="2" s="1"/>
  <c r="F728" i="2" a="1"/>
  <c r="F728" i="2" s="1"/>
  <c r="F729" i="2" a="1"/>
  <c r="F729" i="2" s="1"/>
  <c r="F730" i="2" a="1"/>
  <c r="F730" i="2" s="1"/>
  <c r="F731" i="2" a="1"/>
  <c r="F731" i="2" s="1"/>
  <c r="F732" i="2" a="1"/>
  <c r="F732" i="2" s="1"/>
  <c r="F733" i="2" a="1"/>
  <c r="F733" i="2" s="1"/>
  <c r="F734" i="2" a="1"/>
  <c r="F734" i="2" s="1"/>
  <c r="F735" i="2" a="1"/>
  <c r="F735" i="2" s="1"/>
  <c r="F736" i="2" a="1"/>
  <c r="F736" i="2" s="1"/>
  <c r="F737" i="2" a="1"/>
  <c r="F737" i="2" s="1"/>
  <c r="F738" i="2" a="1"/>
  <c r="F738" i="2" s="1"/>
  <c r="F739" i="2" a="1"/>
  <c r="F739" i="2" s="1"/>
  <c r="H739" i="2" s="1" a="1"/>
  <c r="H739" i="2" s="1"/>
  <c r="F740" i="2" a="1"/>
  <c r="F740" i="2" s="1"/>
  <c r="F741" i="2" a="1"/>
  <c r="F741" i="2" s="1"/>
  <c r="F742" i="2" a="1"/>
  <c r="F742" i="2" s="1"/>
  <c r="F743" i="2" a="1"/>
  <c r="F743" i="2" s="1"/>
  <c r="F744" i="2" a="1"/>
  <c r="F744" i="2" s="1"/>
  <c r="F745" i="2" a="1"/>
  <c r="F745" i="2" s="1"/>
  <c r="F746" i="2" a="1"/>
  <c r="F746" i="2" s="1"/>
  <c r="F747" i="2" a="1"/>
  <c r="F747" i="2" s="1"/>
  <c r="H747" i="2" s="1" a="1"/>
  <c r="H747" i="2" s="1"/>
  <c r="F748" i="2" a="1"/>
  <c r="F748" i="2" s="1"/>
  <c r="F749" i="2" a="1"/>
  <c r="F749" i="2" s="1"/>
  <c r="F750" i="2" a="1"/>
  <c r="F750" i="2" s="1"/>
  <c r="F751" i="2" a="1"/>
  <c r="F751" i="2" s="1"/>
  <c r="F752" i="2" a="1"/>
  <c r="F752" i="2" s="1"/>
  <c r="F753" i="2" a="1"/>
  <c r="F753" i="2" s="1"/>
  <c r="F754" i="2" a="1"/>
  <c r="F754" i="2" s="1"/>
  <c r="F755" i="2" a="1"/>
  <c r="F755" i="2" s="1"/>
  <c r="F756" i="2" a="1"/>
  <c r="F756" i="2" s="1"/>
  <c r="F757" i="2" a="1"/>
  <c r="F757" i="2" s="1"/>
  <c r="F758" i="2" a="1"/>
  <c r="F758" i="2" s="1"/>
  <c r="F759" i="2" a="1"/>
  <c r="F759" i="2" s="1"/>
  <c r="F760" i="2" a="1"/>
  <c r="F760" i="2" s="1"/>
  <c r="F761" i="2" a="1"/>
  <c r="F761" i="2" s="1"/>
  <c r="F762" i="2" a="1"/>
  <c r="F762" i="2" s="1"/>
  <c r="F763" i="2" a="1"/>
  <c r="F763" i="2" s="1"/>
  <c r="F764" i="2" a="1"/>
  <c r="F764" i="2" s="1"/>
  <c r="F765" i="2" a="1"/>
  <c r="F765" i="2" s="1"/>
  <c r="F766" i="2" a="1"/>
  <c r="F766" i="2" s="1"/>
  <c r="F767" i="2" a="1"/>
  <c r="F767" i="2" s="1"/>
  <c r="F768" i="2" a="1"/>
  <c r="F768" i="2" s="1"/>
  <c r="F769" i="2" a="1"/>
  <c r="F769" i="2" s="1"/>
  <c r="H769" i="2" s="1" a="1"/>
  <c r="H769" i="2" s="1"/>
  <c r="F770" i="2" a="1"/>
  <c r="F770" i="2" s="1"/>
  <c r="F771" i="2" a="1"/>
  <c r="F771" i="2" s="1"/>
  <c r="F772" i="2" a="1"/>
  <c r="F772" i="2" s="1"/>
  <c r="F773" i="2" a="1"/>
  <c r="F773" i="2" s="1"/>
  <c r="F774" i="2" a="1"/>
  <c r="F774" i="2" s="1"/>
  <c r="F775" i="2" a="1"/>
  <c r="F775" i="2" s="1"/>
  <c r="F776" i="2" a="1"/>
  <c r="F776" i="2" s="1"/>
  <c r="F777" i="2" a="1"/>
  <c r="F777" i="2" s="1"/>
  <c r="F778" i="2" a="1"/>
  <c r="F778" i="2" s="1"/>
  <c r="F779" i="2" a="1"/>
  <c r="F779" i="2" s="1"/>
  <c r="F780" i="2" a="1"/>
  <c r="F780" i="2" s="1"/>
  <c r="F781" i="2" a="1"/>
  <c r="F781" i="2" s="1"/>
  <c r="F782" i="2" a="1"/>
  <c r="F782" i="2" s="1"/>
  <c r="F783" i="2" a="1"/>
  <c r="F783" i="2" s="1"/>
  <c r="F784" i="2" a="1"/>
  <c r="F784" i="2" s="1"/>
  <c r="F785" i="2" a="1"/>
  <c r="F785" i="2" s="1"/>
  <c r="F786" i="2" a="1"/>
  <c r="F786" i="2" s="1"/>
  <c r="F787" i="2" a="1"/>
  <c r="F787" i="2" s="1"/>
  <c r="F788" i="2" a="1"/>
  <c r="F788" i="2" s="1"/>
  <c r="F789" i="2" a="1"/>
  <c r="F789" i="2" s="1"/>
  <c r="F790" i="2" a="1"/>
  <c r="F790" i="2" s="1"/>
  <c r="F791" i="2" a="1"/>
  <c r="F791" i="2" s="1"/>
  <c r="F792" i="2" a="1"/>
  <c r="F792" i="2" s="1"/>
  <c r="F793" i="2" a="1"/>
  <c r="F793" i="2" s="1"/>
  <c r="F794" i="2" a="1"/>
  <c r="F794" i="2" s="1"/>
  <c r="F795" i="2" a="1"/>
  <c r="F795" i="2" s="1"/>
  <c r="F796" i="2" a="1"/>
  <c r="F796" i="2" s="1"/>
  <c r="F797" i="2" a="1"/>
  <c r="F797" i="2" s="1"/>
  <c r="F798" i="2" a="1"/>
  <c r="F798" i="2" s="1"/>
  <c r="F799" i="2" a="1"/>
  <c r="F799" i="2" s="1"/>
  <c r="F800" i="2" a="1"/>
  <c r="F800" i="2" s="1"/>
  <c r="F801" i="2" a="1"/>
  <c r="F801" i="2" s="1"/>
  <c r="H801" i="2" s="1" a="1"/>
  <c r="H801" i="2" s="1"/>
  <c r="F802" i="2" a="1"/>
  <c r="F802" i="2" s="1"/>
  <c r="F803" i="2" a="1"/>
  <c r="F803" i="2" s="1"/>
  <c r="F804" i="2" a="1"/>
  <c r="F804" i="2" s="1"/>
  <c r="F805" i="2" a="1"/>
  <c r="F805" i="2" s="1"/>
  <c r="F806" i="2" a="1"/>
  <c r="F806" i="2" s="1"/>
  <c r="F807" i="2" a="1"/>
  <c r="F807" i="2" s="1"/>
  <c r="F808" i="2" a="1"/>
  <c r="F808" i="2" s="1"/>
  <c r="F809" i="2" a="1"/>
  <c r="F809" i="2" s="1"/>
  <c r="H809" i="2" s="1" a="1"/>
  <c r="H809" i="2" s="1"/>
  <c r="F810" i="2" a="1"/>
  <c r="F810" i="2" s="1"/>
  <c r="F811" i="2" a="1"/>
  <c r="F811" i="2" s="1"/>
  <c r="F812" i="2" a="1"/>
  <c r="F812" i="2" s="1"/>
  <c r="F813" i="2" a="1"/>
  <c r="F813" i="2" s="1"/>
  <c r="F814" i="2" a="1"/>
  <c r="F814" i="2" s="1"/>
  <c r="F815" i="2" a="1"/>
  <c r="F815" i="2" s="1"/>
  <c r="F816" i="2" a="1"/>
  <c r="F816" i="2" s="1"/>
  <c r="F817" i="2" a="1"/>
  <c r="F817" i="2" s="1"/>
  <c r="F818" i="2" a="1"/>
  <c r="F818" i="2" s="1"/>
  <c r="F819" i="2" a="1"/>
  <c r="F819" i="2" s="1"/>
  <c r="F820" i="2" a="1"/>
  <c r="F820" i="2" s="1"/>
  <c r="F821" i="2" a="1"/>
  <c r="F821" i="2" s="1"/>
  <c r="F822" i="2" a="1"/>
  <c r="F822" i="2" s="1"/>
  <c r="F823" i="2" a="1"/>
  <c r="F823" i="2" s="1"/>
  <c r="F824" i="2" a="1"/>
  <c r="F824" i="2" s="1"/>
  <c r="F825" i="2" a="1"/>
  <c r="F825" i="2" s="1"/>
  <c r="F826" i="2" a="1"/>
  <c r="F826" i="2" s="1"/>
  <c r="F827" i="2" a="1"/>
  <c r="F827" i="2" s="1"/>
  <c r="F828" i="2" a="1"/>
  <c r="F828" i="2" s="1"/>
  <c r="F829" i="2" a="1"/>
  <c r="F829" i="2" s="1"/>
  <c r="F830" i="2" a="1"/>
  <c r="F830" i="2" s="1"/>
  <c r="F831" i="2" a="1"/>
  <c r="F831" i="2" s="1"/>
  <c r="F832" i="2" a="1"/>
  <c r="F832" i="2" s="1"/>
  <c r="F833" i="2" a="1"/>
  <c r="F833" i="2" s="1"/>
  <c r="F834" i="2" a="1"/>
  <c r="F834" i="2" s="1"/>
  <c r="F835" i="2" a="1"/>
  <c r="F835" i="2" s="1"/>
  <c r="F836" i="2" a="1"/>
  <c r="F836" i="2" s="1"/>
  <c r="F837" i="2" a="1"/>
  <c r="F837" i="2" s="1"/>
  <c r="F838" i="2" a="1"/>
  <c r="F838" i="2" s="1"/>
  <c r="F839" i="2" a="1"/>
  <c r="F839" i="2" s="1"/>
  <c r="F840" i="2" a="1"/>
  <c r="F840" i="2" s="1"/>
  <c r="F841" i="2" a="1"/>
  <c r="F841" i="2" s="1"/>
  <c r="F842" i="2" a="1"/>
  <c r="F842" i="2" s="1"/>
  <c r="F843" i="2" a="1"/>
  <c r="F843" i="2" s="1"/>
  <c r="F844" i="2" a="1"/>
  <c r="F844" i="2" s="1"/>
  <c r="F845" i="2" a="1"/>
  <c r="F845" i="2" s="1"/>
  <c r="F846" i="2" a="1"/>
  <c r="F846" i="2" s="1"/>
  <c r="F847" i="2" a="1"/>
  <c r="F847" i="2" s="1"/>
  <c r="F848" i="2" a="1"/>
  <c r="F848" i="2" s="1"/>
  <c r="F849" i="2" a="1"/>
  <c r="F849" i="2" s="1"/>
  <c r="F850" i="2" a="1"/>
  <c r="F850" i="2" s="1"/>
  <c r="F851" i="2" a="1"/>
  <c r="F851" i="2" s="1"/>
  <c r="F852" i="2" a="1"/>
  <c r="F852" i="2" s="1"/>
  <c r="F853" i="2" a="1"/>
  <c r="F853" i="2" s="1"/>
  <c r="F854" i="2" a="1"/>
  <c r="F854" i="2" s="1"/>
  <c r="F855" i="2" a="1"/>
  <c r="F855" i="2" s="1"/>
  <c r="F856" i="2" a="1"/>
  <c r="F856" i="2" s="1"/>
  <c r="F857" i="2" a="1"/>
  <c r="F857" i="2" s="1"/>
  <c r="F858" i="2" a="1"/>
  <c r="F858" i="2" s="1"/>
  <c r="H858" i="2" s="1" a="1"/>
  <c r="H858" i="2" s="1"/>
  <c r="F859" i="2" a="1"/>
  <c r="F859" i="2" s="1"/>
  <c r="F860" i="2" a="1"/>
  <c r="F860" i="2" s="1"/>
  <c r="F861" i="2" a="1"/>
  <c r="F861" i="2" s="1"/>
  <c r="F862" i="2" a="1"/>
  <c r="F862" i="2" s="1"/>
  <c r="F863" i="2" a="1"/>
  <c r="F863" i="2" s="1"/>
  <c r="F864" i="2" a="1"/>
  <c r="F864" i="2" s="1"/>
  <c r="F865" i="2" a="1"/>
  <c r="F865" i="2" s="1"/>
  <c r="F866" i="2" a="1"/>
  <c r="F866" i="2" s="1"/>
  <c r="F867" i="2" a="1"/>
  <c r="F867" i="2" s="1"/>
  <c r="F868" i="2" a="1"/>
  <c r="F868" i="2" s="1"/>
  <c r="F869" i="2" a="1"/>
  <c r="F869" i="2" s="1"/>
  <c r="F870" i="2" a="1"/>
  <c r="F870" i="2" s="1"/>
  <c r="F871" i="2" a="1"/>
  <c r="F871" i="2" s="1"/>
  <c r="F872" i="2" a="1"/>
  <c r="F872" i="2" s="1"/>
  <c r="F873" i="2" a="1"/>
  <c r="F873" i="2" s="1"/>
  <c r="F874" i="2" a="1"/>
  <c r="F874" i="2" s="1"/>
  <c r="F875" i="2" a="1"/>
  <c r="F875" i="2" s="1"/>
  <c r="F876" i="2" a="1"/>
  <c r="F876" i="2" s="1"/>
  <c r="F877" i="2" a="1"/>
  <c r="F877" i="2" s="1"/>
  <c r="H877" i="2" s="1" a="1"/>
  <c r="H877" i="2" s="1"/>
  <c r="F878" i="2" a="1"/>
  <c r="F878" i="2" s="1"/>
  <c r="F879" i="2" a="1"/>
  <c r="F879" i="2" s="1"/>
  <c r="F880" i="2" a="1"/>
  <c r="F880" i="2" s="1"/>
  <c r="F881" i="2" a="1"/>
  <c r="F881" i="2" s="1"/>
  <c r="F882" i="2" a="1"/>
  <c r="F882" i="2" s="1"/>
  <c r="F883" i="2" a="1"/>
  <c r="F883" i="2" s="1"/>
  <c r="F884" i="2" a="1"/>
  <c r="F884" i="2" s="1"/>
  <c r="H884" i="2" s="1" a="1"/>
  <c r="H884" i="2" s="1"/>
  <c r="F885" i="2" a="1"/>
  <c r="F885" i="2" s="1"/>
  <c r="F886" i="2" a="1"/>
  <c r="F886" i="2" s="1"/>
  <c r="F887" i="2" a="1"/>
  <c r="F887" i="2" s="1"/>
  <c r="F888" i="2" a="1"/>
  <c r="F888" i="2" s="1"/>
  <c r="F889" i="2" a="1"/>
  <c r="F889" i="2" s="1"/>
  <c r="F890" i="2" a="1"/>
  <c r="F890" i="2" s="1"/>
  <c r="F891" i="2" a="1"/>
  <c r="F891" i="2" s="1"/>
  <c r="F892" i="2" a="1"/>
  <c r="F892" i="2" s="1"/>
  <c r="F893" i="2" a="1"/>
  <c r="F893" i="2" s="1"/>
  <c r="F894" i="2" a="1"/>
  <c r="F894" i="2" s="1"/>
  <c r="F895" i="2" a="1"/>
  <c r="F895" i="2" s="1"/>
  <c r="F896" i="2" a="1"/>
  <c r="F896" i="2" s="1"/>
  <c r="F897" i="2" a="1"/>
  <c r="F897" i="2" s="1"/>
  <c r="F898" i="2" a="1"/>
  <c r="F898" i="2" s="1"/>
  <c r="H898" i="2" s="1" a="1"/>
  <c r="H898" i="2" s="1"/>
  <c r="F899" i="2" a="1"/>
  <c r="F899" i="2" s="1"/>
  <c r="F900" i="2" a="1"/>
  <c r="F900" i="2" s="1"/>
  <c r="F901" i="2" a="1"/>
  <c r="F901" i="2" s="1"/>
  <c r="H901" i="2" s="1" a="1"/>
  <c r="H901" i="2" s="1"/>
  <c r="F902" i="2" a="1"/>
  <c r="F902" i="2" s="1"/>
  <c r="F903" i="2" a="1"/>
  <c r="F903" i="2" s="1"/>
  <c r="H903" i="2" s="1" a="1"/>
  <c r="H903" i="2" s="1"/>
  <c r="F904" i="2" a="1"/>
  <c r="F904" i="2" s="1"/>
  <c r="F905" i="2" a="1"/>
  <c r="F905" i="2" s="1"/>
  <c r="F906" i="2" a="1"/>
  <c r="F906" i="2" s="1"/>
  <c r="F907" i="2" a="1"/>
  <c r="F907" i="2" s="1"/>
  <c r="F908" i="2" a="1"/>
  <c r="F908" i="2" s="1"/>
  <c r="F909" i="2" a="1"/>
  <c r="F909" i="2" s="1"/>
  <c r="F910" i="2" a="1"/>
  <c r="F910" i="2" s="1"/>
  <c r="F911" i="2" a="1"/>
  <c r="F911" i="2" s="1"/>
  <c r="F912" i="2" a="1"/>
  <c r="F912" i="2" s="1"/>
  <c r="F913" i="2" a="1"/>
  <c r="F913" i="2" s="1"/>
  <c r="F914" i="2" a="1"/>
  <c r="F914" i="2" s="1"/>
  <c r="F915" i="2" a="1"/>
  <c r="F915" i="2" s="1"/>
  <c r="G915" i="2" s="1" a="1"/>
  <c r="G915" i="2" s="1"/>
  <c r="F916" i="2" a="1"/>
  <c r="F916" i="2" s="1"/>
  <c r="F917" i="2" a="1"/>
  <c r="F917" i="2" s="1"/>
  <c r="F918" i="2" a="1"/>
  <c r="F918" i="2" s="1"/>
  <c r="F919" i="2" a="1"/>
  <c r="F919" i="2" s="1"/>
  <c r="H919" i="2" s="1" a="1"/>
  <c r="H919" i="2" s="1"/>
  <c r="F920" i="2" a="1"/>
  <c r="F920" i="2" s="1"/>
  <c r="F921" i="2" a="1"/>
  <c r="F921" i="2" s="1"/>
  <c r="F922" i="2" a="1"/>
  <c r="F922" i="2" s="1"/>
  <c r="F923" i="2" a="1"/>
  <c r="F923" i="2" s="1"/>
  <c r="F924" i="2" a="1"/>
  <c r="F924" i="2" s="1"/>
  <c r="F925" i="2" a="1"/>
  <c r="F925" i="2" s="1"/>
  <c r="F926" i="2" a="1"/>
  <c r="F926" i="2" s="1"/>
  <c r="H926" i="2" s="1" a="1"/>
  <c r="H926" i="2" s="1"/>
  <c r="F927" i="2" a="1"/>
  <c r="F927" i="2" s="1"/>
  <c r="F928" i="2" a="1"/>
  <c r="F928" i="2" s="1"/>
  <c r="F929" i="2" a="1"/>
  <c r="F929" i="2" s="1"/>
  <c r="F930" i="2" a="1"/>
  <c r="F930" i="2" s="1"/>
  <c r="H930" i="2" s="1" a="1"/>
  <c r="H930" i="2" s="1"/>
  <c r="F931" i="2" a="1"/>
  <c r="F931" i="2" s="1"/>
  <c r="F932" i="2" a="1"/>
  <c r="F932" i="2" s="1"/>
  <c r="F933" i="2" a="1"/>
  <c r="F933" i="2" s="1"/>
  <c r="F934" i="2" a="1"/>
  <c r="F934" i="2" s="1"/>
  <c r="F935" i="2" a="1"/>
  <c r="F935" i="2" s="1"/>
  <c r="F936" i="2" a="1"/>
  <c r="F936" i="2" s="1"/>
  <c r="F937" i="2" a="1"/>
  <c r="F937" i="2" s="1"/>
  <c r="F938" i="2" a="1"/>
  <c r="F938" i="2" s="1"/>
  <c r="F939" i="2" a="1"/>
  <c r="F939" i="2" s="1"/>
  <c r="F940" i="2" a="1"/>
  <c r="F940" i="2" s="1"/>
  <c r="F941" i="2" a="1"/>
  <c r="F941" i="2" s="1"/>
  <c r="F942" i="2" a="1"/>
  <c r="F942" i="2" s="1"/>
  <c r="F943" i="2" a="1"/>
  <c r="F943" i="2" s="1"/>
  <c r="F944" i="2" a="1"/>
  <c r="F944" i="2" s="1"/>
  <c r="F945" i="2" a="1"/>
  <c r="F945" i="2" s="1"/>
  <c r="F946" i="2" a="1"/>
  <c r="F946" i="2" s="1"/>
  <c r="F947" i="2" a="1"/>
  <c r="F947" i="2" s="1"/>
  <c r="F948" i="2" a="1"/>
  <c r="F948" i="2" s="1"/>
  <c r="F949" i="2" a="1"/>
  <c r="F949" i="2" s="1"/>
  <c r="F950" i="2" a="1"/>
  <c r="F950" i="2" s="1"/>
  <c r="F951" i="2" a="1"/>
  <c r="F951" i="2" s="1"/>
  <c r="F952" i="2" a="1"/>
  <c r="F952" i="2" s="1"/>
  <c r="F953" i="2" a="1"/>
  <c r="F953" i="2" s="1"/>
  <c r="F954" i="2" a="1"/>
  <c r="F954" i="2" s="1"/>
  <c r="F955" i="2" a="1"/>
  <c r="F955" i="2" s="1"/>
  <c r="F956" i="2" a="1"/>
  <c r="F956" i="2" s="1"/>
  <c r="F957" i="2" a="1"/>
  <c r="F957" i="2" s="1"/>
  <c r="F958" i="2" a="1"/>
  <c r="F958" i="2" s="1"/>
  <c r="F959" i="2" a="1"/>
  <c r="F959" i="2" s="1"/>
  <c r="F960" i="2" a="1"/>
  <c r="F960" i="2" s="1"/>
  <c r="F961" i="2" a="1"/>
  <c r="F961" i="2" s="1"/>
  <c r="F962" i="2" a="1"/>
  <c r="F962" i="2" s="1"/>
  <c r="F963" i="2" a="1"/>
  <c r="F963" i="2" s="1"/>
  <c r="F964" i="2" a="1"/>
  <c r="F964" i="2" s="1"/>
  <c r="F965" i="2" a="1"/>
  <c r="F965" i="2" s="1"/>
  <c r="F966" i="2" a="1"/>
  <c r="F966" i="2" s="1"/>
  <c r="F967" i="2" a="1"/>
  <c r="F967" i="2" s="1"/>
  <c r="F968" i="2" a="1"/>
  <c r="F968" i="2" s="1"/>
  <c r="F969" i="2" a="1"/>
  <c r="F969" i="2" s="1"/>
  <c r="F970" i="2" a="1"/>
  <c r="F970" i="2" s="1"/>
  <c r="F971" i="2" a="1"/>
  <c r="F971" i="2" s="1"/>
  <c r="F972" i="2" a="1"/>
  <c r="F972" i="2" s="1"/>
  <c r="F973" i="2" a="1"/>
  <c r="F973" i="2" s="1"/>
  <c r="G973" i="2" s="1" a="1"/>
  <c r="G973" i="2" s="1"/>
  <c r="F974" i="2" a="1"/>
  <c r="F974" i="2" s="1"/>
  <c r="F975" i="2" a="1"/>
  <c r="F975" i="2" s="1"/>
  <c r="H975" i="2" s="1" a="1"/>
  <c r="H975" i="2" s="1"/>
  <c r="F976" i="2" a="1"/>
  <c r="F976" i="2" s="1"/>
  <c r="G976" i="2" s="1" a="1"/>
  <c r="G976" i="2" s="1"/>
  <c r="F977" i="2" a="1"/>
  <c r="F977" i="2" s="1"/>
  <c r="F978" i="2" a="1"/>
  <c r="F978" i="2" s="1"/>
  <c r="F979" i="2" a="1"/>
  <c r="F979" i="2" s="1"/>
  <c r="F980" i="2" a="1"/>
  <c r="F980" i="2" s="1"/>
  <c r="F981" i="2" a="1"/>
  <c r="F981" i="2" s="1"/>
  <c r="F982" i="2" a="1"/>
  <c r="F982" i="2" s="1"/>
  <c r="F983" i="2" a="1"/>
  <c r="F983" i="2" s="1"/>
  <c r="F984" i="2" a="1"/>
  <c r="F984" i="2" s="1"/>
  <c r="F985" i="2" a="1"/>
  <c r="F985" i="2" s="1"/>
  <c r="F986" i="2" a="1"/>
  <c r="F986" i="2" s="1"/>
  <c r="F987" i="2" a="1"/>
  <c r="F987" i="2" s="1"/>
  <c r="F988" i="2" a="1"/>
  <c r="F988" i="2" s="1"/>
  <c r="F989" i="2" a="1"/>
  <c r="F989" i="2" s="1"/>
  <c r="F990" i="2" a="1"/>
  <c r="F990" i="2" s="1"/>
  <c r="F991" i="2" a="1"/>
  <c r="F991" i="2" s="1"/>
  <c r="F992" i="2" a="1"/>
  <c r="F992" i="2" s="1"/>
  <c r="F993" i="2" a="1"/>
  <c r="F993" i="2" s="1"/>
  <c r="F994" i="2" a="1"/>
  <c r="F994" i="2" s="1"/>
  <c r="F995" i="2" a="1"/>
  <c r="F995" i="2" s="1"/>
  <c r="F996" i="2" a="1"/>
  <c r="F996" i="2" s="1"/>
  <c r="F997" i="2" a="1"/>
  <c r="F997" i="2" s="1"/>
  <c r="F998" i="2" a="1"/>
  <c r="F998" i="2" s="1"/>
  <c r="F999" i="2" a="1"/>
  <c r="F999" i="2" s="1"/>
  <c r="F1000" i="2" a="1"/>
  <c r="F1000" i="2" s="1"/>
  <c r="F1001" i="2" a="1"/>
  <c r="F1001" i="2" s="1"/>
  <c r="F1002" i="2" a="1"/>
  <c r="F1002" i="2" s="1"/>
  <c r="F1003" i="2" a="1"/>
  <c r="F1003" i="2" s="1"/>
  <c r="F1004" i="2" a="1"/>
  <c r="F1004" i="2" s="1"/>
  <c r="F1005" i="2" a="1"/>
  <c r="F1005" i="2" s="1"/>
  <c r="F1006" i="2" a="1"/>
  <c r="F1006" i="2" s="1"/>
  <c r="F1007" i="2" a="1"/>
  <c r="F1007" i="2" s="1"/>
  <c r="F1008" i="2" a="1"/>
  <c r="F1008" i="2" s="1"/>
  <c r="F1009" i="2" a="1"/>
  <c r="F1009" i="2" s="1"/>
  <c r="F1010" i="2" a="1"/>
  <c r="F1010" i="2" s="1"/>
  <c r="F1011" i="2" a="1"/>
  <c r="F1011" i="2" s="1"/>
  <c r="F1012" i="2" a="1"/>
  <c r="F1012" i="2" s="1"/>
  <c r="F1013" i="2" a="1"/>
  <c r="F1013" i="2" s="1"/>
  <c r="F1014" i="2" a="1"/>
  <c r="F1014" i="2" s="1"/>
  <c r="F1015" i="2" a="1"/>
  <c r="F1015" i="2" s="1"/>
  <c r="F1016" i="2" a="1"/>
  <c r="F1016" i="2" s="1"/>
  <c r="F1017" i="2" a="1"/>
  <c r="F1017" i="2" s="1"/>
  <c r="F1018" i="2" a="1"/>
  <c r="F1018" i="2" s="1"/>
  <c r="F1019" i="2" a="1"/>
  <c r="F1019" i="2" s="1"/>
  <c r="F1020" i="2" a="1"/>
  <c r="F1020" i="2" s="1"/>
  <c r="F1021" i="2" a="1"/>
  <c r="F1021" i="2" s="1"/>
  <c r="F1022" i="2" a="1"/>
  <c r="F1022" i="2" s="1"/>
  <c r="H1022" i="2" s="1" a="1"/>
  <c r="H1022" i="2" s="1"/>
  <c r="F1023" i="2" a="1"/>
  <c r="F1023" i="2" s="1"/>
  <c r="H1023" i="2" s="1" a="1"/>
  <c r="H1023" i="2" s="1"/>
  <c r="F1024" i="2" a="1"/>
  <c r="F1024" i="2" s="1"/>
  <c r="F1025" i="2" a="1"/>
  <c r="F1025" i="2" s="1"/>
  <c r="F1026" i="2" a="1"/>
  <c r="F1026" i="2" s="1"/>
  <c r="F1027" i="2" a="1"/>
  <c r="F1027" i="2" s="1"/>
  <c r="F1028" i="2" a="1"/>
  <c r="F1028" i="2"/>
  <c r="F1029" i="2" a="1"/>
  <c r="F1029" i="2" s="1"/>
  <c r="F1030" i="2" a="1"/>
  <c r="F1030" i="2" s="1"/>
  <c r="F1031" i="2" a="1"/>
  <c r="F1031" i="2" s="1"/>
  <c r="F1032" i="2" a="1"/>
  <c r="F1032" i="2" s="1"/>
  <c r="H1032" i="2" s="1" a="1"/>
  <c r="H1032" i="2" s="1"/>
  <c r="F1033" i="2" a="1"/>
  <c r="F1033" i="2" s="1"/>
  <c r="F1034" i="2" a="1"/>
  <c r="F1034" i="2" s="1"/>
  <c r="F1035" i="2" a="1"/>
  <c r="F1035" i="2" s="1"/>
  <c r="F1036" i="2" a="1"/>
  <c r="F1036" i="2" s="1"/>
  <c r="F1037" i="2" a="1"/>
  <c r="F1037" i="2" s="1"/>
  <c r="F1038" i="2" a="1"/>
  <c r="F1038" i="2" s="1"/>
  <c r="F1039" i="2" a="1"/>
  <c r="F1039" i="2" s="1"/>
  <c r="F1040" i="2" a="1"/>
  <c r="F1040" i="2" s="1"/>
  <c r="F1041" i="2" a="1"/>
  <c r="F1041" i="2" s="1"/>
  <c r="F1042" i="2" a="1"/>
  <c r="F1042" i="2" s="1"/>
  <c r="F1043" i="2" a="1"/>
  <c r="F1043" i="2" s="1"/>
  <c r="F1044" i="2" a="1"/>
  <c r="F1044" i="2" s="1"/>
  <c r="F1045" i="2" a="1"/>
  <c r="F1045" i="2" s="1"/>
  <c r="F1046" i="2" a="1"/>
  <c r="F1046" i="2" s="1"/>
  <c r="F1047" i="2" a="1"/>
  <c r="F1047" i="2" s="1"/>
  <c r="F1048" i="2" a="1"/>
  <c r="F1048" i="2" s="1"/>
  <c r="F1049" i="2" a="1"/>
  <c r="F1049" i="2" s="1"/>
  <c r="F1050" i="2" a="1"/>
  <c r="F1050" i="2" s="1"/>
  <c r="F1051" i="2" a="1"/>
  <c r="F1051" i="2" s="1"/>
  <c r="F1052" i="2" a="1"/>
  <c r="F1052" i="2" s="1"/>
  <c r="H1052" i="2" s="1" a="1"/>
  <c r="H1052" i="2" s="1"/>
  <c r="F1053" i="2" a="1"/>
  <c r="F1053" i="2" s="1"/>
  <c r="F1054" i="2" a="1"/>
  <c r="F1054" i="2" s="1"/>
  <c r="F1055" i="2" a="1"/>
  <c r="F1055" i="2" s="1"/>
  <c r="F1056" i="2" a="1"/>
  <c r="F1056" i="2" s="1"/>
  <c r="F1057" i="2" a="1"/>
  <c r="F1057" i="2" s="1"/>
  <c r="F1058" i="2" a="1"/>
  <c r="F1058" i="2" s="1"/>
  <c r="F1059" i="2" a="1"/>
  <c r="F1059" i="2" s="1"/>
  <c r="F1060" i="2" a="1"/>
  <c r="F1060" i="2" s="1"/>
  <c r="F1061" i="2" a="1"/>
  <c r="F1061" i="2" s="1"/>
  <c r="F1062" i="2" a="1"/>
  <c r="F1062" i="2" s="1"/>
  <c r="F1063" i="2" a="1"/>
  <c r="F1063" i="2" s="1"/>
  <c r="F1064" i="2" a="1"/>
  <c r="F1064" i="2" s="1"/>
  <c r="F1065" i="2" a="1"/>
  <c r="F1065" i="2" s="1"/>
  <c r="F1066" i="2" a="1"/>
  <c r="F1066" i="2" s="1"/>
  <c r="F1067" i="2" a="1"/>
  <c r="F1067" i="2" s="1"/>
  <c r="F1068" i="2" a="1"/>
  <c r="F1068" i="2" s="1"/>
  <c r="F1069" i="2" a="1"/>
  <c r="F1069" i="2" s="1"/>
  <c r="F1070" i="2" a="1"/>
  <c r="F1070" i="2" s="1"/>
  <c r="F1071" i="2" a="1"/>
  <c r="F1071" i="2" s="1"/>
  <c r="F1072" i="2" a="1"/>
  <c r="F1072" i="2" s="1"/>
  <c r="F1073" i="2" a="1"/>
  <c r="F1073" i="2" s="1"/>
  <c r="F1074" i="2" a="1"/>
  <c r="F1074" i="2" s="1"/>
  <c r="F1075" i="2" a="1"/>
  <c r="F1075" i="2" s="1"/>
  <c r="F1076" i="2" a="1"/>
  <c r="F1076" i="2" s="1"/>
  <c r="F1077" i="2" a="1"/>
  <c r="F1077" i="2" s="1"/>
  <c r="F1078" i="2" a="1"/>
  <c r="F1078" i="2" s="1"/>
  <c r="F1079" i="2" a="1"/>
  <c r="F1079" i="2" s="1"/>
  <c r="F1080" i="2" a="1"/>
  <c r="F1080" i="2" s="1"/>
  <c r="F1081" i="2" a="1"/>
  <c r="F1081" i="2" s="1"/>
  <c r="F1082" i="2" a="1"/>
  <c r="F1082" i="2" s="1"/>
  <c r="F1083" i="2" a="1"/>
  <c r="F1083" i="2" s="1"/>
  <c r="F1084" i="2" a="1"/>
  <c r="F1084" i="2" s="1"/>
  <c r="F1085" i="2" a="1"/>
  <c r="F1085" i="2" s="1"/>
  <c r="F1086" i="2" a="1"/>
  <c r="F1086" i="2" s="1"/>
  <c r="F1087" i="2" a="1"/>
  <c r="F1087" i="2" s="1"/>
  <c r="H1087" i="2" s="1" a="1"/>
  <c r="H1087" i="2" s="1"/>
  <c r="F1088" i="2" a="1"/>
  <c r="F1088" i="2" s="1"/>
  <c r="F1089" i="2" a="1"/>
  <c r="F1089" i="2" s="1"/>
  <c r="F1090" i="2" a="1"/>
  <c r="F1090" i="2" s="1"/>
  <c r="F1091" i="2" a="1"/>
  <c r="F1091" i="2" s="1"/>
  <c r="F1092" i="2" a="1"/>
  <c r="F1092" i="2" s="1"/>
  <c r="F1093" i="2" a="1"/>
  <c r="F1093" i="2" s="1"/>
  <c r="F1094" i="2" a="1"/>
  <c r="F1094" i="2" s="1"/>
  <c r="F1095" i="2" a="1"/>
  <c r="F1095" i="2" s="1"/>
  <c r="F1096" i="2" a="1"/>
  <c r="F1096" i="2" s="1"/>
  <c r="F1097" i="2" a="1"/>
  <c r="F1097" i="2" s="1"/>
  <c r="F1098" i="2" a="1"/>
  <c r="F1098" i="2" s="1"/>
  <c r="F1099" i="2" a="1"/>
  <c r="F1099" i="2" s="1"/>
  <c r="F1100" i="2" a="1"/>
  <c r="F1100" i="2" s="1"/>
  <c r="H1100" i="2" s="1" a="1"/>
  <c r="H1100" i="2" s="1"/>
  <c r="F1101" i="2" a="1"/>
  <c r="F1101" i="2" s="1"/>
  <c r="H1101" i="2" s="1" a="1"/>
  <c r="H1101" i="2" s="1"/>
  <c r="F1102" i="2" a="1"/>
  <c r="F1102" i="2" s="1"/>
  <c r="F1103" i="2" a="1"/>
  <c r="F1103" i="2" s="1"/>
  <c r="F1104" i="2" a="1"/>
  <c r="F1104" i="2" s="1"/>
  <c r="F1105" i="2" a="1"/>
  <c r="F1105" i="2" s="1"/>
  <c r="F1106" i="2" a="1"/>
  <c r="F1106" i="2" s="1"/>
  <c r="F1107" i="2" a="1"/>
  <c r="F1107" i="2" s="1"/>
  <c r="F1108" i="2" a="1"/>
  <c r="F1108" i="2" s="1"/>
  <c r="H1108" i="2" s="1" a="1"/>
  <c r="H1108" i="2" s="1"/>
  <c r="F1109" i="2" a="1"/>
  <c r="F1109" i="2" s="1"/>
  <c r="H1109" i="2" s="1" a="1"/>
  <c r="H1109" i="2" s="1"/>
  <c r="F1110" i="2" a="1"/>
  <c r="F1110" i="2" s="1"/>
  <c r="H1110" i="2" s="1" a="1"/>
  <c r="H1110" i="2" s="1"/>
  <c r="F1111" i="2" a="1"/>
  <c r="F1111" i="2" s="1"/>
  <c r="H1111" i="2" s="1" a="1"/>
  <c r="H1111" i="2" s="1"/>
  <c r="F1112" i="2" a="1"/>
  <c r="F1112" i="2" s="1"/>
  <c r="F1113" i="2" a="1"/>
  <c r="F1113" i="2" s="1"/>
  <c r="F1114" i="2" a="1"/>
  <c r="F1114" i="2" s="1"/>
  <c r="F1115" i="2" a="1"/>
  <c r="F1115" i="2" s="1"/>
  <c r="F1116" i="2" a="1"/>
  <c r="F1116" i="2" s="1"/>
  <c r="F1117" i="2" a="1"/>
  <c r="F1117" i="2" s="1"/>
  <c r="F1118" i="2" a="1"/>
  <c r="F1118" i="2" s="1"/>
  <c r="F1119" i="2" a="1"/>
  <c r="F1119" i="2" s="1"/>
  <c r="F1120" i="2" a="1"/>
  <c r="F1120" i="2" s="1"/>
  <c r="F1121" i="2" a="1"/>
  <c r="F1121" i="2" s="1"/>
  <c r="F1122" i="2" a="1"/>
  <c r="F1122" i="2" s="1"/>
  <c r="H1122" i="2" s="1" a="1"/>
  <c r="H1122" i="2" s="1"/>
  <c r="F1123" i="2" a="1"/>
  <c r="F1123" i="2" s="1"/>
  <c r="F1124" i="2" a="1"/>
  <c r="F1124" i="2" s="1"/>
  <c r="H1124" i="2" s="1" a="1"/>
  <c r="H1124" i="2" s="1"/>
  <c r="F1125" i="2" a="1"/>
  <c r="F1125" i="2" s="1"/>
  <c r="H1125" i="2" s="1" a="1"/>
  <c r="H1125" i="2" s="1"/>
  <c r="F1126" i="2" a="1"/>
  <c r="F1126" i="2" s="1"/>
  <c r="F1127" i="2" a="1"/>
  <c r="F1127" i="2" s="1"/>
  <c r="F1128" i="2" a="1"/>
  <c r="F1128" i="2" s="1"/>
  <c r="F1129" i="2" a="1"/>
  <c r="F1129" i="2" s="1"/>
  <c r="F1130" i="2" a="1"/>
  <c r="F1130" i="2" s="1"/>
  <c r="F1131" i="2" a="1"/>
  <c r="F1131" i="2" s="1"/>
  <c r="F1132" i="2" a="1"/>
  <c r="F1132" i="2" s="1"/>
  <c r="F1133" i="2" a="1"/>
  <c r="F1133" i="2" s="1"/>
  <c r="F1134" i="2" a="1"/>
  <c r="F1134" i="2" s="1"/>
  <c r="F1135" i="2" a="1"/>
  <c r="F1135" i="2" s="1"/>
  <c r="F1136" i="2" a="1"/>
  <c r="F1136" i="2" s="1"/>
  <c r="F1137" i="2" a="1"/>
  <c r="F1137" i="2" s="1"/>
  <c r="F1138" i="2" a="1"/>
  <c r="F1138" i="2" s="1"/>
  <c r="F1139" i="2" a="1"/>
  <c r="F1139" i="2" s="1"/>
  <c r="F1140" i="2" a="1"/>
  <c r="F1140" i="2" s="1"/>
  <c r="F1141" i="2" a="1"/>
  <c r="F1141" i="2" s="1"/>
  <c r="F1142" i="2" a="1"/>
  <c r="F1142" i="2" s="1"/>
  <c r="F1143" i="2" a="1"/>
  <c r="F1143" i="2" s="1"/>
  <c r="F1144" i="2" a="1"/>
  <c r="F1144" i="2" s="1"/>
  <c r="F1145" i="2" a="1"/>
  <c r="F1145" i="2" s="1"/>
  <c r="H1145" i="2" s="1" a="1"/>
  <c r="H1145" i="2" s="1"/>
  <c r="F1146" i="2" a="1"/>
  <c r="F1146" i="2" s="1"/>
  <c r="F1147" i="2" a="1"/>
  <c r="F1147" i="2" s="1"/>
  <c r="H1147" i="2" s="1" a="1"/>
  <c r="H1147" i="2" s="1"/>
  <c r="F1148" i="2" a="1"/>
  <c r="F1148" i="2" s="1"/>
  <c r="F1149" i="2" a="1"/>
  <c r="F1149" i="2" s="1"/>
  <c r="H1149" i="2" s="1" a="1"/>
  <c r="H1149" i="2" s="1"/>
  <c r="F1150" i="2" a="1"/>
  <c r="F1150" i="2" s="1"/>
  <c r="H1150" i="2" s="1" a="1"/>
  <c r="H1150" i="2" s="1"/>
  <c r="F1151" i="2" a="1"/>
  <c r="F1151" i="2" s="1"/>
  <c r="F1152" i="2" a="1"/>
  <c r="F1152" i="2" s="1"/>
  <c r="F1153" i="2" a="1"/>
  <c r="F1153" i="2" s="1"/>
  <c r="F1154" i="2" a="1"/>
  <c r="F1154" i="2" s="1"/>
  <c r="F1155" i="2" a="1"/>
  <c r="F1155" i="2" s="1"/>
  <c r="F1156" i="2" a="1"/>
  <c r="F1156" i="2" s="1"/>
  <c r="F1157" i="2" a="1"/>
  <c r="F1157" i="2" s="1"/>
  <c r="F1158" i="2" a="1"/>
  <c r="F1158" i="2" s="1"/>
  <c r="F1159" i="2" a="1"/>
  <c r="F1159" i="2" s="1"/>
  <c r="F1160" i="2" a="1"/>
  <c r="F1160" i="2" s="1"/>
  <c r="F1161" i="2" a="1"/>
  <c r="F1161" i="2" s="1"/>
  <c r="F1162" i="2" a="1"/>
  <c r="F1162" i="2" s="1"/>
  <c r="F1163" i="2" a="1"/>
  <c r="F1163" i="2" s="1"/>
  <c r="F1164" i="2" a="1"/>
  <c r="F1164" i="2" s="1"/>
  <c r="F1165" i="2" a="1"/>
  <c r="F1165" i="2" s="1"/>
  <c r="F1166" i="2" a="1"/>
  <c r="F1166" i="2" s="1"/>
  <c r="F1167" i="2" a="1"/>
  <c r="F1167" i="2" s="1"/>
  <c r="H1167" i="2" s="1" a="1"/>
  <c r="H1167" i="2" s="1"/>
  <c r="F1168" i="2" a="1"/>
  <c r="F1168" i="2" s="1"/>
  <c r="H1168" i="2" s="1" a="1"/>
  <c r="H1168" i="2" s="1"/>
  <c r="F1169" i="2" a="1"/>
  <c r="F1169" i="2" s="1"/>
  <c r="F1170" i="2" a="1"/>
  <c r="F1170" i="2" s="1"/>
  <c r="F1171" i="2" a="1"/>
  <c r="F1171" i="2" s="1"/>
  <c r="F1172" i="2" a="1"/>
  <c r="F1172" i="2" s="1"/>
  <c r="F1173" i="2" a="1"/>
  <c r="F1173" i="2" s="1"/>
  <c r="F1174" i="2" a="1"/>
  <c r="F1174" i="2" s="1"/>
  <c r="F1175" i="2" a="1"/>
  <c r="F1175" i="2" s="1"/>
  <c r="F1176" i="2" a="1"/>
  <c r="F1176" i="2" s="1"/>
  <c r="F1177" i="2" a="1"/>
  <c r="F1177" i="2" s="1"/>
  <c r="F1178" i="2" a="1"/>
  <c r="F1178" i="2" s="1"/>
  <c r="F1179" i="2" a="1"/>
  <c r="F1179" i="2" s="1"/>
  <c r="F1180" i="2" a="1"/>
  <c r="F1180" i="2" s="1"/>
  <c r="F1181" i="2" a="1"/>
  <c r="F1181" i="2" s="1"/>
  <c r="H1181" i="2" s="1" a="1"/>
  <c r="H1181" i="2" s="1"/>
  <c r="F1182" i="2" a="1"/>
  <c r="F1182" i="2" s="1"/>
  <c r="H1182" i="2" s="1" a="1"/>
  <c r="H1182" i="2" s="1"/>
  <c r="F1183" i="2" a="1"/>
  <c r="F1183" i="2" s="1"/>
  <c r="F1184" i="2" a="1"/>
  <c r="F1184" i="2" s="1"/>
  <c r="F1185" i="2" a="1"/>
  <c r="F1185" i="2" s="1"/>
  <c r="F1186" i="2" a="1"/>
  <c r="F1186" i="2" s="1"/>
  <c r="F1187" i="2" a="1"/>
  <c r="F1187" i="2" s="1"/>
  <c r="F1188" i="2" a="1"/>
  <c r="F1188" i="2" s="1"/>
  <c r="F1189" i="2" a="1"/>
  <c r="F1189" i="2" s="1"/>
  <c r="H1189" i="2" s="1" a="1"/>
  <c r="H1189" i="2" s="1"/>
  <c r="F1190" i="2" a="1"/>
  <c r="F1190" i="2" s="1"/>
  <c r="F1191" i="2" a="1"/>
  <c r="F1191" i="2" s="1"/>
  <c r="F1192" i="2" a="1"/>
  <c r="F1192" i="2" s="1"/>
  <c r="F1193" i="2" a="1"/>
  <c r="F1193" i="2" s="1"/>
  <c r="F1194" i="2" a="1"/>
  <c r="F1194" i="2" s="1"/>
  <c r="F1195" i="2" a="1"/>
  <c r="F1195" i="2" s="1"/>
  <c r="F1196" i="2" a="1"/>
  <c r="F1196" i="2" s="1"/>
  <c r="F1197" i="2" a="1"/>
  <c r="F1197" i="2" s="1"/>
  <c r="F1198" i="2" a="1"/>
  <c r="F1198" i="2" s="1"/>
  <c r="F1199" i="2" a="1"/>
  <c r="F1199" i="2" s="1"/>
  <c r="F1200" i="2" a="1"/>
  <c r="F1200" i="2" s="1"/>
  <c r="F1201" i="2" a="1"/>
  <c r="F1201" i="2" s="1"/>
  <c r="F1202" i="2" a="1"/>
  <c r="F1202" i="2" s="1"/>
  <c r="F1203" i="2" a="1"/>
  <c r="F1203" i="2" s="1"/>
  <c r="F1204" i="2" a="1"/>
  <c r="F1204" i="2" s="1"/>
  <c r="H1204" i="2" s="1" a="1"/>
  <c r="H1204" i="2" s="1"/>
  <c r="F1205" i="2" a="1"/>
  <c r="F1205" i="2" s="1"/>
  <c r="H1205" i="2" s="1" a="1"/>
  <c r="H1205" i="2" s="1"/>
  <c r="F1206" i="2" a="1"/>
  <c r="F1206" i="2" s="1"/>
  <c r="F1207" i="2" a="1"/>
  <c r="F1207" i="2" s="1"/>
  <c r="F1208" i="2" a="1"/>
  <c r="F1208" i="2" s="1"/>
  <c r="F1209" i="2" a="1"/>
  <c r="F1209" i="2" s="1"/>
  <c r="F1210" i="2" a="1"/>
  <c r="F1210" i="2" s="1"/>
  <c r="F1211" i="2" a="1"/>
  <c r="F1211" i="2" s="1"/>
  <c r="F1212" i="2" a="1"/>
  <c r="F1212" i="2" s="1"/>
  <c r="F1213" i="2" a="1"/>
  <c r="F1213" i="2" s="1"/>
  <c r="F1214" i="2" a="1"/>
  <c r="F1214" i="2" s="1"/>
  <c r="F1215" i="2" a="1"/>
  <c r="F1215" i="2" s="1"/>
  <c r="F1216" i="2" a="1"/>
  <c r="F1216" i="2" s="1"/>
  <c r="F1217" i="2" a="1"/>
  <c r="F1217" i="2" s="1"/>
  <c r="F1218" i="2" a="1"/>
  <c r="F1218" i="2" s="1"/>
  <c r="F1219" i="2" a="1"/>
  <c r="F1219" i="2" s="1"/>
  <c r="F1220" i="2" a="1"/>
  <c r="F1220" i="2" s="1"/>
  <c r="F1221" i="2" a="1"/>
  <c r="F1221" i="2" s="1"/>
  <c r="F1222" i="2" a="1"/>
  <c r="F1222" i="2" s="1"/>
  <c r="F1223" i="2" a="1"/>
  <c r="F1223" i="2" s="1"/>
  <c r="F1224" i="2" a="1"/>
  <c r="F1224" i="2" s="1"/>
  <c r="F1225" i="2" a="1"/>
  <c r="F1225" i="2" s="1"/>
  <c r="H1225" i="2" s="1" a="1"/>
  <c r="H1225" i="2" s="1"/>
  <c r="F1226" i="2" a="1"/>
  <c r="F1226" i="2" s="1"/>
  <c r="H1226" i="2" s="1" a="1"/>
  <c r="H1226" i="2" s="1"/>
  <c r="F1227" i="2" a="1"/>
  <c r="F1227" i="2" s="1"/>
  <c r="G1227" i="2" s="1" a="1"/>
  <c r="G1227" i="2" s="1"/>
  <c r="F1228" i="2" a="1"/>
  <c r="F1228" i="2" s="1"/>
  <c r="F1229" i="2" a="1"/>
  <c r="F1229" i="2" s="1"/>
  <c r="F1230" i="2" a="1"/>
  <c r="F1230" i="2" s="1"/>
  <c r="F1231" i="2" a="1"/>
  <c r="F1231" i="2" s="1"/>
  <c r="F1232" i="2" a="1"/>
  <c r="F1232" i="2" s="1"/>
  <c r="F1233" i="2" a="1"/>
  <c r="F1233" i="2" s="1"/>
  <c r="F1234" i="2" a="1"/>
  <c r="F1234" i="2" s="1"/>
  <c r="F1235" i="2" a="1"/>
  <c r="F1235" i="2" s="1"/>
  <c r="F1236" i="2" a="1"/>
  <c r="F1236" i="2" s="1"/>
  <c r="F1237" i="2" a="1"/>
  <c r="F1237" i="2" s="1"/>
  <c r="F1238" i="2" a="1"/>
  <c r="F1238" i="2" s="1"/>
  <c r="F1239" i="2" a="1"/>
  <c r="F1239" i="2" s="1"/>
  <c r="F1240" i="2" a="1"/>
  <c r="F1240" i="2"/>
  <c r="F1241" i="2" a="1"/>
  <c r="F1241" i="2" s="1"/>
  <c r="F1242" i="2" a="1"/>
  <c r="F1242" i="2" s="1"/>
  <c r="F1243" i="2" a="1"/>
  <c r="F1243" i="2" s="1"/>
  <c r="F1244" i="2" a="1"/>
  <c r="F1244" i="2" s="1"/>
  <c r="F1245" i="2" a="1"/>
  <c r="F1245" i="2" s="1"/>
  <c r="F1246" i="2" a="1"/>
  <c r="F1246" i="2" s="1"/>
  <c r="F1247" i="2" a="1"/>
  <c r="F1247" i="2" s="1"/>
  <c r="F1248" i="2" a="1"/>
  <c r="F1248" i="2" s="1"/>
  <c r="H1248" i="2" s="1" a="1"/>
  <c r="H1248" i="2" s="1"/>
  <c r="F1249" i="2" a="1"/>
  <c r="F1249" i="2" s="1"/>
  <c r="F1250" i="2" a="1"/>
  <c r="F1250" i="2" s="1"/>
  <c r="F1251" i="2" a="1"/>
  <c r="F1251" i="2" s="1"/>
  <c r="H1251" i="2" s="1" a="1"/>
  <c r="H1251" i="2" s="1"/>
  <c r="F1252" i="2" a="1"/>
  <c r="F1252" i="2" s="1"/>
  <c r="F1253" i="2" a="1"/>
  <c r="F1253" i="2" s="1"/>
  <c r="F1254" i="2" a="1"/>
  <c r="F1254" i="2" s="1"/>
  <c r="F1255" i="2" a="1"/>
  <c r="F1255" i="2" s="1"/>
  <c r="F1256" i="2" a="1"/>
  <c r="F1256" i="2" s="1"/>
  <c r="F1257" i="2" a="1"/>
  <c r="F1257" i="2" s="1"/>
  <c r="F1258" i="2" a="1"/>
  <c r="F1258" i="2" s="1"/>
  <c r="F1259" i="2" a="1"/>
  <c r="F1259" i="2" s="1"/>
  <c r="F1260" i="2" a="1"/>
  <c r="F1260" i="2" s="1"/>
  <c r="F1261" i="2" a="1"/>
  <c r="F1261" i="2" s="1"/>
  <c r="F1262" i="2" a="1"/>
  <c r="F1262" i="2" s="1"/>
  <c r="F1263" i="2" a="1"/>
  <c r="F1263" i="2" s="1"/>
  <c r="F1264" i="2" a="1"/>
  <c r="F1264" i="2" s="1"/>
  <c r="F1265" i="2" a="1"/>
  <c r="F1265" i="2" s="1"/>
  <c r="F1266" i="2" a="1"/>
  <c r="F1266" i="2" s="1"/>
  <c r="F1267" i="2" a="1"/>
  <c r="F1267" i="2" s="1"/>
  <c r="F1268" i="2" a="1"/>
  <c r="F1268" i="2" s="1"/>
  <c r="F1269" i="2" a="1"/>
  <c r="F1269" i="2" s="1"/>
  <c r="F1270" i="2" a="1"/>
  <c r="F1270" i="2" s="1"/>
  <c r="F1271" i="2" a="1"/>
  <c r="F1271" i="2" s="1"/>
  <c r="F1272" i="2" a="1"/>
  <c r="F1272" i="2" s="1"/>
  <c r="F1273" i="2" a="1"/>
  <c r="F1273" i="2" s="1"/>
  <c r="F1274" i="2" a="1"/>
  <c r="F1274" i="2" s="1"/>
  <c r="F1275" i="2" a="1"/>
  <c r="F1275" i="2" s="1"/>
  <c r="F1276" i="2" a="1"/>
  <c r="F1276" i="2" s="1"/>
  <c r="F1277" i="2" a="1"/>
  <c r="F1277" i="2" s="1"/>
  <c r="F1278" i="2" a="1"/>
  <c r="F1278" i="2" s="1"/>
  <c r="F1279" i="2" a="1"/>
  <c r="F1279" i="2" s="1"/>
  <c r="F1280" i="2" a="1"/>
  <c r="F1280" i="2" s="1"/>
  <c r="F1281" i="2" a="1"/>
  <c r="F1281" i="2" s="1"/>
  <c r="F1282" i="2" a="1"/>
  <c r="F1282" i="2" s="1"/>
  <c r="F1283" i="2" a="1"/>
  <c r="F1283" i="2" s="1"/>
  <c r="H1283" i="2" s="1" a="1"/>
  <c r="H1283" i="2" s="1"/>
  <c r="F1284" i="2" a="1"/>
  <c r="F1284" i="2" s="1"/>
  <c r="F1285" i="2" a="1"/>
  <c r="F1285" i="2" s="1"/>
  <c r="F1286" i="2" a="1"/>
  <c r="F1286" i="2" s="1"/>
  <c r="F1287" i="2" a="1"/>
  <c r="F1287" i="2" s="1"/>
  <c r="F1288" i="2" a="1"/>
  <c r="F1288" i="2" s="1"/>
  <c r="F1289" i="2" a="1"/>
  <c r="F1289" i="2" s="1"/>
  <c r="F1290" i="2" a="1"/>
  <c r="F1290" i="2" s="1"/>
  <c r="F1291" i="2" a="1"/>
  <c r="F1291" i="2" s="1"/>
  <c r="F1292" i="2" a="1"/>
  <c r="F1292" i="2" s="1"/>
  <c r="F1293" i="2" a="1"/>
  <c r="F1293" i="2" s="1"/>
  <c r="F1294" i="2" a="1"/>
  <c r="F1294" i="2" s="1"/>
  <c r="F1295" i="2" a="1"/>
  <c r="F1295" i="2" s="1"/>
  <c r="F1296" i="2" a="1"/>
  <c r="F1296" i="2" s="1"/>
  <c r="F1297" i="2" a="1"/>
  <c r="F1297" i="2" s="1"/>
  <c r="H1297" i="2" s="1" a="1"/>
  <c r="H1297" i="2" s="1"/>
  <c r="F1298" i="2" a="1"/>
  <c r="F1298" i="2" s="1"/>
  <c r="F1299" i="2" a="1"/>
  <c r="F1299" i="2" s="1"/>
  <c r="F1300" i="2" a="1"/>
  <c r="F1300" i="2" s="1"/>
  <c r="F1301" i="2" a="1"/>
  <c r="F1301" i="2" s="1"/>
  <c r="F1302" i="2" a="1"/>
  <c r="F1302" i="2" s="1"/>
  <c r="F1303" i="2" a="1"/>
  <c r="F1303" i="2" s="1"/>
  <c r="F1304" i="2" a="1"/>
  <c r="F1304" i="2" s="1"/>
  <c r="F1305" i="2" a="1"/>
  <c r="F1305" i="2" s="1"/>
  <c r="H1305" i="2" s="1" a="1"/>
  <c r="H1305" i="2" s="1"/>
  <c r="F1306" i="2" a="1"/>
  <c r="F1306" i="2" s="1"/>
  <c r="F1307" i="2" a="1"/>
  <c r="F1307" i="2" s="1"/>
  <c r="F1308" i="2" a="1"/>
  <c r="F1308" i="2" s="1"/>
  <c r="F1309" i="2" a="1"/>
  <c r="F1309" i="2" s="1"/>
  <c r="F1310" i="2" a="1"/>
  <c r="F1310" i="2" s="1"/>
  <c r="F1311" i="2" a="1"/>
  <c r="F1311" i="2" s="1"/>
  <c r="F1312" i="2" a="1"/>
  <c r="F1312" i="2" s="1"/>
  <c r="F1313" i="2" a="1"/>
  <c r="F1313" i="2" s="1"/>
  <c r="F1314" i="2" a="1"/>
  <c r="F1314" i="2" s="1"/>
  <c r="F1315" i="2" a="1"/>
  <c r="F1315" i="2" s="1"/>
  <c r="F1316" i="2" a="1"/>
  <c r="F1316" i="2" s="1"/>
  <c r="F1317" i="2" a="1"/>
  <c r="F1317" i="2" s="1"/>
  <c r="F1318" i="2" a="1"/>
  <c r="F1318" i="2" s="1"/>
  <c r="F1319" i="2" a="1"/>
  <c r="F1319" i="2" s="1"/>
  <c r="H1319" i="2" s="1" a="1"/>
  <c r="H1319" i="2" s="1"/>
  <c r="F1320" i="2" a="1"/>
  <c r="F1320" i="2" s="1"/>
  <c r="F1321" i="2" a="1"/>
  <c r="F1321" i="2" s="1"/>
  <c r="F1322" i="2" a="1"/>
  <c r="F1322" i="2" s="1"/>
  <c r="F1323" i="2" a="1"/>
  <c r="F1323" i="2" s="1"/>
  <c r="F1324" i="2" a="1"/>
  <c r="F1324" i="2" s="1"/>
  <c r="F1325" i="2" a="1"/>
  <c r="F1325" i="2" s="1"/>
  <c r="F1326" i="2" a="1"/>
  <c r="F1326" i="2" s="1"/>
  <c r="F1327" i="2" a="1"/>
  <c r="F1327" i="2" s="1"/>
  <c r="F1328" i="2" a="1"/>
  <c r="F1328" i="2" s="1"/>
  <c r="F1329" i="2" a="1"/>
  <c r="F1329" i="2" s="1"/>
  <c r="F1330" i="2" a="1"/>
  <c r="F1330" i="2" s="1"/>
  <c r="F1331" i="2" a="1"/>
  <c r="F1331" i="2" s="1"/>
  <c r="F1332" i="2" a="1"/>
  <c r="F1332" i="2" s="1"/>
  <c r="F1333" i="2" a="1"/>
  <c r="F1333" i="2" s="1"/>
  <c r="F1334" i="2" a="1"/>
  <c r="F1334" i="2" s="1"/>
  <c r="F1335" i="2" a="1"/>
  <c r="F1335" i="2" s="1"/>
  <c r="F1336" i="2" a="1"/>
  <c r="F1336" i="2" s="1"/>
  <c r="F1337" i="2" a="1"/>
  <c r="F1337" i="2" s="1"/>
  <c r="F1338" i="2" a="1"/>
  <c r="F1338" i="2" s="1"/>
  <c r="F1339" i="2" a="1"/>
  <c r="F1339" i="2" s="1"/>
  <c r="F1340" i="2" a="1"/>
  <c r="F1340" i="2" s="1"/>
  <c r="H1340" i="2" s="1" a="1"/>
  <c r="H1340" i="2" s="1"/>
  <c r="F1341" i="2" a="1"/>
  <c r="F1341" i="2" s="1"/>
  <c r="F1342" i="2" a="1"/>
  <c r="F1342" i="2" s="1"/>
  <c r="F1343" i="2" a="1"/>
  <c r="F1343" i="2" s="1"/>
  <c r="F1344" i="2" a="1"/>
  <c r="F1344" i="2" s="1"/>
  <c r="F1345" i="2" a="1"/>
  <c r="F1345" i="2" s="1"/>
  <c r="F1346" i="2" a="1"/>
  <c r="F1346" i="2" s="1"/>
  <c r="F1347" i="2" a="1"/>
  <c r="F1347" i="2" s="1"/>
  <c r="F1348" i="2" a="1"/>
  <c r="F1348" i="2" s="1"/>
  <c r="F1349" i="2" a="1"/>
  <c r="F1349" i="2" s="1"/>
  <c r="F1350" i="2" a="1"/>
  <c r="F1350" i="2" s="1"/>
  <c r="F1351" i="2" a="1"/>
  <c r="F1351" i="2" s="1"/>
  <c r="F1352" i="2" a="1"/>
  <c r="F1352" i="2" s="1"/>
  <c r="F1353" i="2" a="1"/>
  <c r="F1353" i="2" s="1"/>
  <c r="F1354" i="2" a="1"/>
  <c r="F1354" i="2" s="1"/>
  <c r="F1355" i="2" a="1"/>
  <c r="F1355" i="2" s="1"/>
  <c r="F1356" i="2" a="1"/>
  <c r="F1356" i="2" s="1"/>
  <c r="F1357" i="2" a="1"/>
  <c r="F1357" i="2" s="1"/>
  <c r="F1358" i="2" a="1"/>
  <c r="F1358" i="2" s="1"/>
  <c r="F1359" i="2" a="1"/>
  <c r="F1359" i="2" s="1"/>
  <c r="F1360" i="2" a="1"/>
  <c r="F1360" i="2" s="1"/>
  <c r="F1361" i="2" a="1"/>
  <c r="F1361" i="2" s="1"/>
  <c r="F1362" i="2" a="1"/>
  <c r="F1362" i="2" s="1"/>
  <c r="H1362" i="2" s="1" a="1"/>
  <c r="H1362" i="2" s="1"/>
  <c r="F1363" i="2" a="1"/>
  <c r="F1363" i="2" s="1"/>
  <c r="F1364" i="2" a="1"/>
  <c r="F1364" i="2" s="1"/>
  <c r="F1365" i="2" a="1"/>
  <c r="F1365" i="2" s="1"/>
  <c r="H1365" i="2" s="1" a="1"/>
  <c r="H1365" i="2" s="1"/>
  <c r="F1366" i="2" a="1"/>
  <c r="F1366" i="2" s="1"/>
  <c r="F1367" i="2" a="1"/>
  <c r="F1367" i="2" s="1"/>
  <c r="F1368" i="2" a="1"/>
  <c r="F1368" i="2" s="1"/>
  <c r="F1369" i="2" a="1"/>
  <c r="F1369" i="2" s="1"/>
  <c r="F1370" i="2" a="1"/>
  <c r="F1370" i="2" s="1"/>
  <c r="F1371" i="2" a="1"/>
  <c r="F1371" i="2" s="1"/>
  <c r="F1372" i="2" a="1"/>
  <c r="F1372" i="2" s="1"/>
  <c r="F1373" i="2" a="1"/>
  <c r="F1373" i="2" s="1"/>
  <c r="F1374" i="2" a="1"/>
  <c r="F1374" i="2" s="1"/>
  <c r="F1375" i="2" a="1"/>
  <c r="F1375" i="2" s="1"/>
  <c r="F1376" i="2" a="1"/>
  <c r="F1376" i="2" s="1"/>
  <c r="F1377" i="2" a="1"/>
  <c r="F1377" i="2" s="1"/>
  <c r="F1378" i="2" a="1"/>
  <c r="F1378" i="2" s="1"/>
  <c r="F1379" i="2" a="1"/>
  <c r="F1379" i="2" s="1"/>
  <c r="F1380" i="2" a="1"/>
  <c r="F1380" i="2" s="1"/>
  <c r="H1380" i="2" s="1" a="1"/>
  <c r="H1380" i="2" s="1"/>
  <c r="F1381" i="2" a="1"/>
  <c r="F1381" i="2" s="1"/>
  <c r="F1382" i="2" a="1"/>
  <c r="F1382" i="2" s="1"/>
  <c r="F1383" i="2" a="1"/>
  <c r="F1383" i="2" s="1"/>
  <c r="F1384" i="2" a="1"/>
  <c r="F1384" i="2" s="1"/>
  <c r="F1385" i="2" a="1"/>
  <c r="F1385" i="2" s="1"/>
  <c r="F1386" i="2" a="1"/>
  <c r="F1386" i="2" s="1"/>
  <c r="F1387" i="2" a="1"/>
  <c r="F1387" i="2" s="1"/>
  <c r="F1388" i="2" a="1"/>
  <c r="F1388" i="2" s="1"/>
  <c r="H1388" i="2" s="1" a="1"/>
  <c r="H1388" i="2" s="1"/>
  <c r="F1389" i="2" a="1"/>
  <c r="F1389" i="2" s="1"/>
  <c r="H1389" i="2" s="1" a="1"/>
  <c r="H1389" i="2" s="1"/>
  <c r="F1390" i="2" a="1"/>
  <c r="F1390" i="2" s="1"/>
  <c r="F1391" i="2" a="1"/>
  <c r="F1391" i="2" s="1"/>
  <c r="F1392" i="2" a="1"/>
  <c r="F1392" i="2" s="1"/>
  <c r="G1392" i="2" s="1" a="1"/>
  <c r="G1392" i="2" s="1"/>
  <c r="F1393" i="2" a="1"/>
  <c r="F1393" i="2" s="1"/>
  <c r="F1394" i="2" a="1"/>
  <c r="F1394" i="2" s="1"/>
  <c r="F1395" i="2" a="1"/>
  <c r="F1395" i="2" s="1"/>
  <c r="F1396" i="2" a="1"/>
  <c r="F1396" i="2" s="1"/>
  <c r="F1397" i="2" a="1"/>
  <c r="F1397" i="2" s="1"/>
  <c r="F1398" i="2" a="1"/>
  <c r="F1398" i="2" s="1"/>
  <c r="F1399" i="2" a="1"/>
  <c r="F1399" i="2" s="1"/>
  <c r="F1400" i="2" a="1"/>
  <c r="F1400" i="2" s="1"/>
  <c r="F1401" i="2" a="1"/>
  <c r="F1401" i="2" s="1"/>
  <c r="H1401" i="2" s="1" a="1"/>
  <c r="H1401" i="2" s="1"/>
  <c r="F1402" i="2" a="1"/>
  <c r="F1402" i="2" s="1"/>
  <c r="F1403" i="2" a="1"/>
  <c r="F1403" i="2" s="1"/>
  <c r="F1404" i="2" a="1"/>
  <c r="F1404" i="2" s="1"/>
  <c r="H1404" i="2" s="1" a="1"/>
  <c r="H1404" i="2" s="1"/>
  <c r="F1405" i="2" a="1"/>
  <c r="F1405" i="2" s="1"/>
  <c r="F1406" i="2" a="1"/>
  <c r="F1406" i="2" s="1"/>
  <c r="F1407" i="2" a="1"/>
  <c r="F1407" i="2" s="1"/>
  <c r="F1408" i="2" a="1"/>
  <c r="F1408" i="2" s="1"/>
  <c r="F1409" i="2" a="1"/>
  <c r="F1409" i="2" s="1"/>
  <c r="F1410" i="2" a="1"/>
  <c r="F1410" i="2" s="1"/>
  <c r="F1411" i="2" a="1"/>
  <c r="F1411" i="2" s="1"/>
  <c r="F1412" i="2" a="1"/>
  <c r="F1412" i="2" s="1"/>
  <c r="F1413" i="2" a="1"/>
  <c r="F1413" i="2" s="1"/>
  <c r="F1414" i="2" a="1"/>
  <c r="F1414" i="2" s="1"/>
  <c r="F1415" i="2" a="1"/>
  <c r="F1415" i="2" s="1"/>
  <c r="F1416" i="2" a="1"/>
  <c r="F1416" i="2"/>
  <c r="F1417" i="2" a="1"/>
  <c r="F1417" i="2" s="1"/>
  <c r="F1418" i="2" a="1"/>
  <c r="F1418" i="2" s="1"/>
  <c r="F1419" i="2" a="1"/>
  <c r="F1419" i="2" s="1"/>
  <c r="F1420" i="2" a="1"/>
  <c r="F1420" i="2" s="1"/>
  <c r="F1421" i="2" a="1"/>
  <c r="F1421" i="2" s="1"/>
  <c r="F1422" i="2" a="1"/>
  <c r="F1422" i="2" s="1"/>
  <c r="F1423" i="2" a="1"/>
  <c r="F1423" i="2" s="1"/>
  <c r="F1424" i="2" a="1"/>
  <c r="F1424" i="2" s="1"/>
  <c r="F1425" i="2" a="1"/>
  <c r="F1425" i="2" s="1"/>
  <c r="F1426" i="2" a="1"/>
  <c r="F1426" i="2" s="1"/>
  <c r="F1427" i="2" a="1"/>
  <c r="F1427" i="2"/>
  <c r="F1428" i="2" a="1"/>
  <c r="F1428" i="2" s="1"/>
  <c r="F1429" i="2" a="1"/>
  <c r="F1429" i="2" s="1"/>
  <c r="F1430" i="2" a="1"/>
  <c r="F1430" i="2" s="1"/>
  <c r="F1431" i="2" a="1"/>
  <c r="F1431" i="2" s="1"/>
  <c r="F1432" i="2" a="1"/>
  <c r="F1432" i="2" s="1"/>
  <c r="F1433" i="2" a="1"/>
  <c r="F1433" i="2" s="1"/>
  <c r="F1434" i="2" a="1"/>
  <c r="F1434" i="2" s="1"/>
  <c r="F1435" i="2" a="1"/>
  <c r="F1435" i="2" s="1"/>
  <c r="F1436" i="2" a="1"/>
  <c r="F1436" i="2" s="1"/>
  <c r="H1436" i="2" s="1" a="1"/>
  <c r="H1436" i="2" s="1"/>
  <c r="F1437" i="2" a="1"/>
  <c r="F1437" i="2" s="1"/>
  <c r="F1438" i="2" a="1"/>
  <c r="F1438" i="2" s="1"/>
  <c r="F1439" i="2" a="1"/>
  <c r="F1439" i="2" s="1"/>
  <c r="F1440" i="2" a="1"/>
  <c r="F1440" i="2" s="1"/>
  <c r="F1441" i="2" a="1"/>
  <c r="F1441" i="2" s="1"/>
  <c r="F1442" i="2" a="1"/>
  <c r="F1442" i="2" s="1"/>
  <c r="F1443" i="2" a="1"/>
  <c r="F1443" i="2" s="1"/>
  <c r="H1443" i="2" s="1" a="1"/>
  <c r="H1443" i="2" s="1"/>
  <c r="F1444" i="2" a="1"/>
  <c r="F1444" i="2" s="1"/>
  <c r="F1445" i="2" a="1"/>
  <c r="F1445" i="2" s="1"/>
  <c r="F1446" i="2" a="1"/>
  <c r="F1446" i="2" s="1"/>
  <c r="F1447" i="2" a="1"/>
  <c r="F1447" i="2" s="1"/>
  <c r="F1448" i="2" a="1"/>
  <c r="F1448" i="2" s="1"/>
  <c r="F1449" i="2" a="1"/>
  <c r="F1449" i="2" s="1"/>
  <c r="F1450" i="2" a="1"/>
  <c r="F1450" i="2" s="1"/>
  <c r="F1451" i="2" a="1"/>
  <c r="F1451" i="2" s="1"/>
  <c r="F1452" i="2" a="1"/>
  <c r="F1452" i="2" s="1"/>
  <c r="F1453" i="2" a="1"/>
  <c r="F1453" i="2" s="1"/>
  <c r="F1454" i="2" a="1"/>
  <c r="F1454" i="2" s="1"/>
  <c r="F1455" i="2" a="1"/>
  <c r="F1455" i="2" s="1"/>
  <c r="F1456" i="2" a="1"/>
  <c r="F1456" i="2" s="1"/>
  <c r="H1456" i="2" s="1" a="1"/>
  <c r="H1456" i="2" s="1"/>
  <c r="F1457" i="2" a="1"/>
  <c r="F1457" i="2" s="1"/>
  <c r="F1458" i="2" a="1"/>
  <c r="F1458" i="2" s="1"/>
  <c r="F1459" i="2" a="1"/>
  <c r="F1459" i="2" s="1"/>
  <c r="F1460" i="2" a="1"/>
  <c r="F1460" i="2" s="1"/>
  <c r="F1461" i="2" a="1"/>
  <c r="F1461" i="2" s="1"/>
  <c r="F1462" i="2" a="1"/>
  <c r="F1462" i="2" s="1"/>
  <c r="F1463" i="2" a="1"/>
  <c r="F1463" i="2" s="1"/>
  <c r="F1464" i="2" a="1"/>
  <c r="F1464" i="2" s="1"/>
  <c r="F1465" i="2" a="1"/>
  <c r="F1465" i="2" s="1"/>
  <c r="F1466" i="2" a="1"/>
  <c r="F1466" i="2" s="1"/>
  <c r="F1467" i="2" a="1"/>
  <c r="F1467" i="2" s="1"/>
  <c r="H1467" i="2" s="1" a="1"/>
  <c r="H1467" i="2" s="1"/>
  <c r="F1468" i="2" a="1"/>
  <c r="F1468" i="2" s="1"/>
  <c r="F1469" i="2" a="1"/>
  <c r="F1469" i="2" s="1"/>
  <c r="F1470" i="2" a="1"/>
  <c r="F1470" i="2" s="1"/>
  <c r="F1471" i="2" a="1"/>
  <c r="F1471" i="2" s="1"/>
  <c r="F1472" i="2" a="1"/>
  <c r="F1472" i="2" s="1"/>
  <c r="F1473" i="2" a="1"/>
  <c r="F1473" i="2" s="1"/>
  <c r="F1474" i="2" a="1"/>
  <c r="F1474" i="2" s="1"/>
  <c r="F1475" i="2" a="1"/>
  <c r="F1475" i="2" s="1"/>
  <c r="F1476" i="2" a="1"/>
  <c r="F1476" i="2" s="1"/>
  <c r="F1477" i="2" a="1"/>
  <c r="F1477" i="2" s="1"/>
  <c r="H1477" i="2" s="1" a="1"/>
  <c r="H1477" i="2" s="1"/>
  <c r="F1478" i="2" a="1"/>
  <c r="F1478" i="2" s="1"/>
  <c r="F1479" i="2" a="1"/>
  <c r="F1479" i="2" s="1"/>
  <c r="H1479" i="2" s="1" a="1"/>
  <c r="H1479" i="2" s="1"/>
  <c r="F1480" i="2" a="1"/>
  <c r="F1480" i="2" s="1"/>
  <c r="F1481" i="2" a="1"/>
  <c r="F1481" i="2" s="1"/>
  <c r="F1482" i="2" a="1"/>
  <c r="F1482" i="2" s="1"/>
  <c r="H1482" i="2" s="1" a="1"/>
  <c r="H1482" i="2" s="1"/>
  <c r="F1483" i="2" a="1"/>
  <c r="F1483" i="2" s="1"/>
  <c r="F1484" i="2" a="1"/>
  <c r="F1484" i="2" s="1"/>
  <c r="F1485" i="2" a="1"/>
  <c r="F1485" i="2" s="1"/>
  <c r="F1486" i="2" a="1"/>
  <c r="F1486" i="2" s="1"/>
  <c r="F1487" i="2" a="1"/>
  <c r="F1487" i="2" s="1"/>
  <c r="F1488" i="2" a="1"/>
  <c r="F1488" i="2" s="1"/>
  <c r="F1489" i="2" a="1"/>
  <c r="F1489" i="2" s="1"/>
  <c r="F1490" i="2" a="1"/>
  <c r="F1490" i="2" s="1"/>
  <c r="F1491" i="2" a="1"/>
  <c r="F1491" i="2" s="1"/>
  <c r="F1492" i="2" a="1"/>
  <c r="F1492" i="2" s="1"/>
  <c r="F1493" i="2" a="1"/>
  <c r="F1493" i="2" s="1"/>
  <c r="F1494" i="2" a="1"/>
  <c r="F1494" i="2" s="1"/>
  <c r="F1495" i="2" a="1"/>
  <c r="F1495" i="2" s="1"/>
  <c r="F1496" i="2" a="1"/>
  <c r="F1496" i="2" s="1"/>
  <c r="F1497" i="2" a="1"/>
  <c r="F1497" i="2" s="1"/>
  <c r="F1498" i="2" a="1"/>
  <c r="F1498" i="2" s="1"/>
  <c r="F1499" i="2" a="1"/>
  <c r="F1499" i="2" s="1"/>
  <c r="F1500" i="2" a="1"/>
  <c r="F1500" i="2" s="1"/>
  <c r="F1501" i="2" a="1"/>
  <c r="F1501" i="2" s="1"/>
  <c r="F1502" i="2" a="1"/>
  <c r="F1502" i="2" s="1"/>
  <c r="F1503" i="2" a="1"/>
  <c r="F1503" i="2" s="1"/>
  <c r="F1504" i="2" a="1"/>
  <c r="F1504" i="2" s="1"/>
  <c r="H1504" i="2" s="1" a="1"/>
  <c r="H1504" i="2" s="1"/>
  <c r="F1505" i="2" a="1"/>
  <c r="F1505" i="2" s="1"/>
  <c r="H1505" i="2" s="1" a="1"/>
  <c r="H1505" i="2" s="1"/>
  <c r="F1506" i="2" a="1"/>
  <c r="F1506" i="2" s="1"/>
  <c r="F1507" i="2" a="1"/>
  <c r="F1507" i="2" s="1"/>
  <c r="F1508" i="2" a="1"/>
  <c r="F1508" i="2" s="1"/>
  <c r="F1509" i="2" a="1"/>
  <c r="F1509" i="2" s="1"/>
  <c r="F1510" i="2" a="1"/>
  <c r="F1510" i="2" s="1"/>
  <c r="F1511" i="2" a="1"/>
  <c r="F1511" i="2" s="1"/>
  <c r="F1512" i="2" a="1"/>
  <c r="F1512" i="2" s="1"/>
  <c r="F1513" i="2" a="1"/>
  <c r="F1513" i="2" s="1"/>
  <c r="F1514" i="2" a="1"/>
  <c r="F1514" i="2" s="1"/>
  <c r="F1515" i="2" a="1"/>
  <c r="F1515" i="2" s="1"/>
  <c r="F1516" i="2" a="1"/>
  <c r="F1516" i="2" s="1"/>
  <c r="F1517" i="2" a="1"/>
  <c r="F1517" i="2" s="1"/>
  <c r="F1518" i="2" a="1"/>
  <c r="F1518" i="2" s="1"/>
  <c r="F1519" i="2" a="1"/>
  <c r="F1519" i="2" s="1"/>
  <c r="F1520" i="2" a="1"/>
  <c r="F1520" i="2" s="1"/>
  <c r="F1521" i="2" a="1"/>
  <c r="F1521" i="2" s="1"/>
  <c r="F1522" i="2" a="1"/>
  <c r="F1522" i="2" s="1"/>
  <c r="F1523" i="2" a="1"/>
  <c r="F1523" i="2" s="1"/>
  <c r="F1524" i="2" a="1"/>
  <c r="F1524" i="2" s="1"/>
  <c r="F1525" i="2" a="1"/>
  <c r="F1525" i="2" s="1"/>
  <c r="F1526" i="2" a="1"/>
  <c r="F1526" i="2" s="1"/>
  <c r="F1527" i="2" a="1"/>
  <c r="F1527" i="2" s="1"/>
  <c r="H1527" i="2" s="1" a="1"/>
  <c r="H1527" i="2" s="1"/>
  <c r="F1528" i="2" a="1"/>
  <c r="F1528" i="2" s="1"/>
  <c r="F1529" i="2" a="1"/>
  <c r="F1529" i="2" s="1"/>
  <c r="F1530" i="2" a="1"/>
  <c r="F1530" i="2" s="1"/>
  <c r="F1531" i="2" a="1"/>
  <c r="F1531" i="2" s="1"/>
  <c r="F1532" i="2" a="1"/>
  <c r="F1532" i="2" s="1"/>
  <c r="F1533" i="2" a="1"/>
  <c r="F1533" i="2" s="1"/>
  <c r="F1534" i="2" a="1"/>
  <c r="F1534" i="2" s="1"/>
  <c r="F1535" i="2" a="1"/>
  <c r="F1535" i="2" s="1"/>
  <c r="H1535" i="2" s="1" a="1"/>
  <c r="H1535" i="2" s="1"/>
  <c r="F1536" i="2" a="1"/>
  <c r="F1536" i="2" s="1"/>
  <c r="F1537" i="2" a="1"/>
  <c r="F1537" i="2" s="1"/>
  <c r="F1538" i="2" a="1"/>
  <c r="F1538" i="2" s="1"/>
  <c r="F1539" i="2" a="1"/>
  <c r="F1539" i="2" s="1"/>
  <c r="F1540" i="2" a="1"/>
  <c r="F1540" i="2" s="1"/>
  <c r="F1541" i="2" a="1"/>
  <c r="F1541" i="2" s="1"/>
  <c r="F1542" i="2" a="1"/>
  <c r="F1542" i="2" s="1"/>
  <c r="F1543" i="2" a="1"/>
  <c r="F1543" i="2" s="1"/>
  <c r="F1544" i="2" a="1"/>
  <c r="F1544" i="2" s="1"/>
  <c r="F1545" i="2" a="1"/>
  <c r="F1545" i="2" s="1"/>
  <c r="F1546" i="2" a="1"/>
  <c r="F1546" i="2" s="1"/>
  <c r="F1547" i="2" a="1"/>
  <c r="F1547" i="2" s="1"/>
  <c r="F1548" i="2" a="1"/>
  <c r="F1548" i="2" s="1"/>
  <c r="F1549" i="2" a="1"/>
  <c r="F1549" i="2" s="1"/>
  <c r="F1550" i="2" a="1"/>
  <c r="F1550" i="2" s="1"/>
  <c r="H1550" i="2" s="1" a="1"/>
  <c r="H1550" i="2" s="1"/>
  <c r="F1551" i="2" a="1"/>
  <c r="F1551" i="2" s="1"/>
  <c r="H1551" i="2" s="1" a="1"/>
  <c r="H1551" i="2" s="1"/>
  <c r="F1552" i="2" a="1"/>
  <c r="F1552" i="2" s="1"/>
  <c r="F1553" i="2" a="1"/>
  <c r="F1553" i="2" s="1"/>
  <c r="F1554" i="2" a="1"/>
  <c r="F1554" i="2" s="1"/>
  <c r="F1555" i="2" a="1"/>
  <c r="F1555" i="2" s="1"/>
  <c r="F1556" i="2" a="1"/>
  <c r="F1556" i="2" s="1"/>
  <c r="F1557" i="2" a="1"/>
  <c r="F1557" i="2" s="1"/>
  <c r="F1558" i="2" a="1"/>
  <c r="F1558" i="2" s="1"/>
  <c r="F1559" i="2" a="1"/>
  <c r="F1559" i="2" s="1"/>
  <c r="H1559" i="2" s="1" a="1"/>
  <c r="H1559" i="2" s="1"/>
  <c r="F1560" i="2" a="1"/>
  <c r="F1560" i="2" s="1"/>
  <c r="H1560" i="2" s="1" a="1"/>
  <c r="H1560" i="2" s="1"/>
  <c r="F1561" i="2" a="1"/>
  <c r="F1561" i="2" s="1"/>
  <c r="F1562" i="2" a="1"/>
  <c r="F1562" i="2" s="1"/>
  <c r="F1563" i="2" a="1"/>
  <c r="F1563" i="2" s="1"/>
  <c r="F1564" i="2" a="1"/>
  <c r="F1564" i="2" s="1"/>
  <c r="F1565" i="2" a="1"/>
  <c r="F1565" i="2" s="1"/>
  <c r="F1566" i="2" a="1"/>
  <c r="F1566" i="2" s="1"/>
  <c r="F1567" i="2" a="1"/>
  <c r="F1567" i="2" s="1"/>
  <c r="F1568" i="2" a="1"/>
  <c r="F1568" i="2" s="1"/>
  <c r="F1569" i="2" a="1"/>
  <c r="F1569" i="2" s="1"/>
  <c r="F1570" i="2" a="1"/>
  <c r="F1570" i="2" s="1"/>
  <c r="F1571" i="2" a="1"/>
  <c r="F1571" i="2" s="1"/>
  <c r="H1571" i="2" s="1" a="1"/>
  <c r="H1571" i="2" s="1"/>
  <c r="F1572" i="2" a="1"/>
  <c r="F1572" i="2" s="1"/>
  <c r="F1573" i="2" a="1"/>
  <c r="F1573" i="2" s="1"/>
  <c r="F1574" i="2" a="1"/>
  <c r="F1574" i="2" s="1"/>
  <c r="F1575" i="2" a="1"/>
  <c r="F1575" i="2" s="1"/>
  <c r="F1576" i="2" a="1"/>
  <c r="F1576" i="2" s="1"/>
  <c r="F1577" i="2" a="1"/>
  <c r="F1577" i="2" s="1"/>
  <c r="F1578" i="2" a="1"/>
  <c r="F1578" i="2" s="1"/>
  <c r="F1579" i="2" a="1"/>
  <c r="F1579" i="2" s="1"/>
  <c r="F1580" i="2" a="1"/>
  <c r="F1580" i="2" s="1"/>
  <c r="F1581" i="2" a="1"/>
  <c r="F1581" i="2" s="1"/>
  <c r="F1582" i="2" a="1"/>
  <c r="F1582" i="2" s="1"/>
  <c r="F1583" i="2" a="1"/>
  <c r="F1583" i="2" s="1"/>
  <c r="F1584" i="2" a="1"/>
  <c r="F1584" i="2" s="1"/>
  <c r="H1584" i="2" s="1" a="1"/>
  <c r="H1584" i="2" s="1"/>
  <c r="F1585" i="2" a="1"/>
  <c r="F1585" i="2" s="1"/>
  <c r="F1586" i="2" a="1"/>
  <c r="F1586" i="2" s="1"/>
  <c r="F1587" i="2" a="1"/>
  <c r="F1587" i="2" s="1"/>
  <c r="F1588" i="2" a="1"/>
  <c r="F1588" i="2" s="1"/>
  <c r="H1588" i="2" s="1" a="1"/>
  <c r="H1588" i="2" s="1"/>
  <c r="F1589" i="2" a="1"/>
  <c r="F1589" i="2" s="1"/>
  <c r="F1590" i="2" a="1"/>
  <c r="F1590" i="2" s="1"/>
  <c r="F1591" i="2" a="1"/>
  <c r="F1591" i="2" s="1"/>
  <c r="F1592" i="2" a="1"/>
  <c r="F1592" i="2" s="1"/>
  <c r="H1592" i="2" s="1" a="1"/>
  <c r="H1592" i="2" s="1"/>
  <c r="F1593" i="2" a="1"/>
  <c r="F1593" i="2" s="1"/>
  <c r="F1594" i="2" a="1"/>
  <c r="F1594" i="2" s="1"/>
  <c r="F1595" i="2" a="1"/>
  <c r="F1595" i="2" s="1"/>
  <c r="F1596" i="2" a="1"/>
  <c r="F1596" i="2" s="1"/>
  <c r="F1597" i="2" a="1"/>
  <c r="F1597" i="2" s="1"/>
  <c r="F1598" i="2" a="1"/>
  <c r="F1598" i="2" s="1"/>
  <c r="F1599" i="2" a="1"/>
  <c r="F1599" i="2" s="1"/>
  <c r="F1600" i="2" a="1"/>
  <c r="F1600" i="2" s="1"/>
  <c r="F1601" i="2" a="1"/>
  <c r="F1601" i="2" s="1"/>
  <c r="F1602" i="2" a="1"/>
  <c r="F1602" i="2" s="1"/>
  <c r="F1603" i="2" a="1"/>
  <c r="F1603" i="2" s="1"/>
  <c r="F1604" i="2" a="1"/>
  <c r="F1604" i="2" s="1"/>
  <c r="F1605" i="2" a="1"/>
  <c r="F1605" i="2" s="1"/>
  <c r="F1606" i="2" a="1"/>
  <c r="F1606" i="2" s="1"/>
  <c r="F1607" i="2" a="1"/>
  <c r="F1607" i="2" s="1"/>
  <c r="F1608" i="2" a="1"/>
  <c r="F1608" i="2" s="1"/>
  <c r="F1609" i="2" a="1"/>
  <c r="F1609" i="2" s="1"/>
  <c r="F1610" i="2" a="1"/>
  <c r="F1610" i="2" s="1"/>
  <c r="F1611" i="2" a="1"/>
  <c r="F1611" i="2" s="1"/>
  <c r="F1612" i="2" a="1"/>
  <c r="F1612" i="2" s="1"/>
  <c r="F1613" i="2" a="1"/>
  <c r="F1613" i="2" s="1"/>
  <c r="F1614" i="2" a="1"/>
  <c r="F1614" i="2" s="1"/>
  <c r="F1615" i="2" a="1"/>
  <c r="F1615" i="2" s="1"/>
  <c r="F1616" i="2" a="1"/>
  <c r="F1616" i="2" s="1"/>
  <c r="F1617" i="2" a="1"/>
  <c r="F1617" i="2" s="1"/>
  <c r="F1618" i="2" a="1"/>
  <c r="F1618" i="2" s="1"/>
  <c r="F1619" i="2" a="1"/>
  <c r="F1619" i="2" s="1"/>
  <c r="F1620" i="2" a="1"/>
  <c r="F1620" i="2" s="1"/>
  <c r="F1621" i="2" a="1"/>
  <c r="F1621" i="2" s="1"/>
  <c r="F1622" i="2" a="1"/>
  <c r="F1622" i="2" s="1"/>
  <c r="F1623" i="2" a="1"/>
  <c r="F1623" i="2" s="1"/>
  <c r="H1623" i="2" s="1" a="1"/>
  <c r="H1623" i="2" s="1"/>
  <c r="F1624" i="2" a="1"/>
  <c r="F1624" i="2" s="1"/>
  <c r="H1624" i="2" s="1" a="1"/>
  <c r="H1624" i="2" s="1"/>
  <c r="F1625" i="2" a="1"/>
  <c r="F1625" i="2" s="1"/>
  <c r="F1626" i="2" a="1"/>
  <c r="F1626" i="2" s="1"/>
  <c r="F1627" i="2" a="1"/>
  <c r="F1627" i="2" s="1"/>
  <c r="F1628" i="2" a="1"/>
  <c r="F1628" i="2" s="1"/>
  <c r="F1629" i="2" a="1"/>
  <c r="F1629" i="2" s="1"/>
  <c r="F1630" i="2" a="1"/>
  <c r="F1630" i="2" s="1"/>
  <c r="F1631" i="2" a="1"/>
  <c r="F1631" i="2" s="1"/>
  <c r="F1632" i="2" a="1"/>
  <c r="F1632" i="2" s="1"/>
  <c r="F1633" i="2" a="1"/>
  <c r="F1633" i="2" s="1"/>
  <c r="F1634" i="2" a="1"/>
  <c r="F1634" i="2" s="1"/>
  <c r="H1634" i="2" s="1" a="1"/>
  <c r="H1634" i="2" s="1"/>
  <c r="F1635" i="2" a="1"/>
  <c r="F1635" i="2" s="1"/>
  <c r="H1635" i="2" s="1" a="1"/>
  <c r="H1635" i="2" s="1"/>
  <c r="F1636" i="2" a="1"/>
  <c r="F1636" i="2" s="1"/>
  <c r="F1637" i="2" a="1"/>
  <c r="F1637" i="2" s="1"/>
  <c r="F1638" i="2" a="1"/>
  <c r="F1638" i="2" s="1"/>
  <c r="F1639" i="2" a="1"/>
  <c r="F1639" i="2" s="1"/>
  <c r="F1640" i="2" a="1"/>
  <c r="F1640" i="2" s="1"/>
  <c r="F1641" i="2" a="1"/>
  <c r="F1641" i="2" s="1"/>
  <c r="F1642" i="2" a="1"/>
  <c r="F1642" i="2" s="1"/>
  <c r="F1643" i="2" a="1"/>
  <c r="F1643" i="2" s="1"/>
  <c r="F1644" i="2" a="1"/>
  <c r="F1644" i="2" s="1"/>
  <c r="F1645" i="2" a="1"/>
  <c r="F1645" i="2" s="1"/>
  <c r="F1646" i="2" a="1"/>
  <c r="F1646" i="2" s="1"/>
  <c r="F1647" i="2" a="1"/>
  <c r="F1647" i="2" s="1"/>
  <c r="F1648" i="2" a="1"/>
  <c r="F1648" i="2" s="1"/>
  <c r="F1649" i="2" a="1"/>
  <c r="F1649" i="2" s="1"/>
  <c r="F1650" i="2" a="1"/>
  <c r="F1650" i="2" s="1"/>
  <c r="H1650" i="2" s="1" a="1"/>
  <c r="H1650" i="2" s="1"/>
  <c r="F1651" i="2" a="1"/>
  <c r="F1651" i="2" s="1"/>
  <c r="F1652" i="2" a="1"/>
  <c r="F1652" i="2" s="1"/>
  <c r="F1653" i="2" a="1"/>
  <c r="F1653" i="2" s="1"/>
  <c r="F1654" i="2" a="1"/>
  <c r="F1654" i="2" s="1"/>
  <c r="H1654" i="2" s="1" a="1"/>
  <c r="H1654" i="2" s="1"/>
  <c r="F1655" i="2" a="1"/>
  <c r="F1655" i="2" s="1"/>
  <c r="F1656" i="2" a="1"/>
  <c r="F1656" i="2" s="1"/>
  <c r="F1657" i="2" a="1"/>
  <c r="F1657" i="2" s="1"/>
  <c r="F1658" i="2" a="1"/>
  <c r="F1658" i="2" s="1"/>
  <c r="F1659" i="2" a="1"/>
  <c r="F1659" i="2" s="1"/>
  <c r="F1660" i="2" a="1"/>
  <c r="F1660" i="2" s="1"/>
  <c r="F1661" i="2" a="1"/>
  <c r="F1661" i="2" s="1"/>
  <c r="F1662" i="2" a="1"/>
  <c r="F1662" i="2" s="1"/>
  <c r="F1663" i="2" a="1"/>
  <c r="F1663" i="2" s="1"/>
  <c r="F1664" i="2" a="1"/>
  <c r="F1664" i="2" s="1"/>
  <c r="F1665" i="2" a="1"/>
  <c r="F1665" i="2" s="1"/>
  <c r="F1666" i="2" a="1"/>
  <c r="F1666" i="2" s="1"/>
  <c r="F1667" i="2" a="1"/>
  <c r="F1667" i="2" s="1"/>
  <c r="F1668" i="2" a="1"/>
  <c r="F1668" i="2" s="1"/>
  <c r="H1668" i="2" s="1" a="1"/>
  <c r="H1668" i="2" s="1"/>
  <c r="F1669" i="2" a="1"/>
  <c r="F1669" i="2" s="1"/>
  <c r="F1670" i="2" a="1"/>
  <c r="F1670" i="2" s="1"/>
  <c r="F1671" i="2" a="1"/>
  <c r="F1671" i="2" s="1"/>
  <c r="F1672" i="2" a="1"/>
  <c r="F1672" i="2" s="1"/>
  <c r="F1673" i="2" a="1"/>
  <c r="F1673" i="2" s="1"/>
  <c r="F1674" i="2" a="1"/>
  <c r="F1674" i="2" s="1"/>
  <c r="F1675" i="2" a="1"/>
  <c r="F1675" i="2" s="1"/>
  <c r="F1676" i="2" a="1"/>
  <c r="F1676" i="2" s="1"/>
  <c r="F1677" i="2" a="1"/>
  <c r="F1677" i="2" s="1"/>
  <c r="F1678" i="2" a="1"/>
  <c r="F1678" i="2" s="1"/>
  <c r="F1679" i="2" a="1"/>
  <c r="F1679" i="2" s="1"/>
  <c r="F1680" i="2" a="1"/>
  <c r="F1680" i="2" s="1"/>
  <c r="F1681" i="2" a="1"/>
  <c r="F1681" i="2" s="1"/>
  <c r="F1682" i="2" a="1"/>
  <c r="F1682" i="2" s="1"/>
  <c r="H1682" i="2" s="1" a="1"/>
  <c r="H1682" i="2" s="1"/>
  <c r="F1683" i="2" a="1"/>
  <c r="F1683" i="2" s="1"/>
  <c r="F1684" i="2" a="1"/>
  <c r="F1684" i="2" s="1"/>
  <c r="F1685" i="2" a="1"/>
  <c r="F1685" i="2" s="1"/>
  <c r="F1686" i="2" a="1"/>
  <c r="F1686" i="2" s="1"/>
  <c r="F1687" i="2" a="1"/>
  <c r="F1687" i="2" s="1"/>
  <c r="H1687" i="2" s="1" a="1"/>
  <c r="H1687" i="2" s="1"/>
  <c r="F1688" i="2" a="1"/>
  <c r="F1688" i="2" s="1"/>
  <c r="H1688" i="2" s="1" a="1"/>
  <c r="H1688" i="2" s="1"/>
  <c r="F1689" i="2" a="1"/>
  <c r="F1689" i="2" s="1"/>
  <c r="F1690" i="2" a="1"/>
  <c r="F1690" i="2" s="1"/>
  <c r="F1691" i="2" a="1"/>
  <c r="F1691" i="2" s="1"/>
  <c r="F1692" i="2" a="1"/>
  <c r="F1692" i="2" s="1"/>
  <c r="F1693" i="2" a="1"/>
  <c r="F1693" i="2" s="1"/>
  <c r="F1694" i="2" a="1"/>
  <c r="F1694" i="2" s="1"/>
  <c r="F1695" i="2" a="1"/>
  <c r="F1695" i="2" s="1"/>
  <c r="F1696" i="2" a="1"/>
  <c r="F1696" i="2" s="1"/>
  <c r="F1697" i="2" a="1"/>
  <c r="F1697" i="2" s="1"/>
  <c r="F1698" i="2" a="1"/>
  <c r="F1698" i="2" s="1"/>
  <c r="F1699" i="2" a="1"/>
  <c r="F1699" i="2" s="1"/>
  <c r="F1700" i="2" a="1"/>
  <c r="F1700" i="2" s="1"/>
  <c r="F1701" i="2" a="1"/>
  <c r="F1701" i="2" s="1"/>
  <c r="F1702" i="2" a="1"/>
  <c r="F1702" i="2" s="1"/>
  <c r="H1702" i="2" s="1" a="1"/>
  <c r="H1702" i="2" s="1"/>
  <c r="F1703" i="2" a="1"/>
  <c r="F1703" i="2" s="1"/>
  <c r="H1703" i="2" s="1" a="1"/>
  <c r="H1703" i="2" s="1"/>
  <c r="F1704" i="2" a="1"/>
  <c r="F1704" i="2" s="1"/>
  <c r="F1705" i="2" a="1"/>
  <c r="F1705" i="2" s="1"/>
  <c r="F1706" i="2" a="1"/>
  <c r="F1706" i="2" s="1"/>
  <c r="F1707" i="2" a="1"/>
  <c r="F1707" i="2" s="1"/>
  <c r="F1708" i="2" a="1"/>
  <c r="F1708" i="2" s="1"/>
  <c r="F1709" i="2" a="1"/>
  <c r="F1709" i="2" s="1"/>
  <c r="F1710" i="2" a="1"/>
  <c r="F1710" i="2" s="1"/>
  <c r="H1710" i="2" s="1" a="1"/>
  <c r="H1710" i="2" s="1"/>
  <c r="F1711" i="2" a="1"/>
  <c r="F1711" i="2" s="1"/>
  <c r="F1712" i="2" a="1"/>
  <c r="F1712" i="2" s="1"/>
  <c r="F1713" i="2" a="1"/>
  <c r="F1713" i="2" s="1"/>
  <c r="F1714" i="2" a="1"/>
  <c r="F1714" i="2" s="1"/>
  <c r="H1714" i="2" s="1" a="1"/>
  <c r="H1714" i="2" s="1"/>
  <c r="F1715" i="2" a="1"/>
  <c r="F1715" i="2" s="1"/>
  <c r="F1716" i="2" a="1"/>
  <c r="F1716" i="2" s="1"/>
  <c r="F1717" i="2" a="1"/>
  <c r="F1717" i="2" s="1"/>
  <c r="F1718" i="2" a="1"/>
  <c r="F1718" i="2" s="1"/>
  <c r="F1719" i="2" a="1"/>
  <c r="F1719" i="2" s="1"/>
  <c r="F1720" i="2" a="1"/>
  <c r="F1720" i="2" s="1"/>
  <c r="F1721" i="2" a="1"/>
  <c r="F1721" i="2" s="1"/>
  <c r="F1722" i="2" a="1"/>
  <c r="F1722" i="2" s="1"/>
  <c r="F1723" i="2" a="1"/>
  <c r="F1723" i="2" s="1"/>
  <c r="F1724" i="2" a="1"/>
  <c r="F1724" i="2" s="1"/>
  <c r="F1725" i="2" a="1"/>
  <c r="F1725" i="2" s="1"/>
  <c r="F1726" i="2" a="1"/>
  <c r="F1726" i="2" s="1"/>
  <c r="F1727" i="2" a="1"/>
  <c r="F1727" i="2" s="1"/>
  <c r="F1728" i="2" a="1"/>
  <c r="F1728" i="2" s="1"/>
  <c r="F1729" i="2" a="1"/>
  <c r="F1729" i="2" s="1"/>
  <c r="F1730" i="2" a="1"/>
  <c r="F1730" i="2" s="1"/>
  <c r="F1731" i="2" a="1"/>
  <c r="F1731" i="2" s="1"/>
  <c r="F1732" i="2" a="1"/>
  <c r="F1732" i="2" s="1"/>
  <c r="F1733" i="2" a="1"/>
  <c r="F1733" i="2" s="1"/>
  <c r="F1734" i="2" a="1"/>
  <c r="F1734" i="2" s="1"/>
  <c r="F1735" i="2" a="1"/>
  <c r="F1735" i="2" s="1"/>
  <c r="F1736" i="2" a="1"/>
  <c r="F1736" i="2" s="1"/>
  <c r="F1737" i="2" a="1"/>
  <c r="F1737" i="2" s="1"/>
  <c r="H1737" i="2" s="1" a="1"/>
  <c r="H1737" i="2" s="1"/>
  <c r="F1738" i="2" a="1"/>
  <c r="F1738" i="2" s="1"/>
  <c r="F1739" i="2" a="1"/>
  <c r="F1739" i="2" s="1"/>
  <c r="F1740" i="2" a="1"/>
  <c r="F1740" i="2" s="1"/>
  <c r="F1741" i="2" a="1"/>
  <c r="F1741" i="2" s="1"/>
  <c r="F1742" i="2" a="1"/>
  <c r="F1742" i="2" s="1"/>
  <c r="F1743" i="2" a="1"/>
  <c r="F1743" i="2" s="1"/>
  <c r="F1744" i="2" a="1"/>
  <c r="F1744" i="2" s="1"/>
  <c r="F1745" i="2" a="1"/>
  <c r="F1745" i="2" s="1"/>
  <c r="F1746" i="2" a="1"/>
  <c r="F1746" i="2" s="1"/>
  <c r="F1747" i="2" a="1"/>
  <c r="F1747" i="2" s="1"/>
  <c r="F1748" i="2" a="1"/>
  <c r="F1748" i="2" s="1"/>
  <c r="F1749" i="2" a="1"/>
  <c r="F1749" i="2" s="1"/>
  <c r="F1750" i="2" a="1"/>
  <c r="F1750" i="2" s="1"/>
  <c r="F1751" i="2" a="1"/>
  <c r="F1751" i="2" s="1"/>
  <c r="F1752" i="2" a="1"/>
  <c r="F1752" i="2" s="1"/>
  <c r="F1753" i="2" a="1"/>
  <c r="F1753" i="2" s="1"/>
  <c r="F1754" i="2" a="1"/>
  <c r="F1754" i="2" s="1"/>
  <c r="F1755" i="2" a="1"/>
  <c r="F1755" i="2" s="1"/>
  <c r="F1756" i="2" a="1"/>
  <c r="F1756" i="2" s="1"/>
  <c r="F1757" i="2" a="1"/>
  <c r="F1757" i="2" s="1"/>
  <c r="F1758" i="2" a="1"/>
  <c r="F1758" i="2" s="1"/>
  <c r="H1758" i="2" s="1" a="1"/>
  <c r="H1758" i="2" s="1"/>
  <c r="F1759" i="2" a="1"/>
  <c r="F1759" i="2" s="1"/>
  <c r="F1760" i="2" a="1"/>
  <c r="F1760" i="2" s="1"/>
  <c r="F1761" i="2" a="1"/>
  <c r="F1761" i="2" s="1"/>
  <c r="F1762" i="2" a="1"/>
  <c r="F1762" i="2" s="1"/>
  <c r="F1763" i="2" a="1"/>
  <c r="F1763" i="2" s="1"/>
  <c r="F1764" i="2" a="1"/>
  <c r="F1764" i="2" s="1"/>
  <c r="F1765" i="2" a="1"/>
  <c r="F1765" i="2" s="1"/>
  <c r="F1766" i="2" a="1"/>
  <c r="F1766" i="2" s="1"/>
  <c r="F1767" i="2" a="1"/>
  <c r="F1767" i="2" s="1"/>
  <c r="F1768" i="2" a="1"/>
  <c r="F1768" i="2" s="1"/>
  <c r="F1769" i="2" a="1"/>
  <c r="F1769" i="2" s="1"/>
  <c r="F1770" i="2" a="1"/>
  <c r="F1770" i="2" s="1"/>
  <c r="F1771" i="2" a="1"/>
  <c r="F1771" i="2" s="1"/>
  <c r="H1771" i="2" s="1" a="1"/>
  <c r="H1771" i="2" s="1"/>
  <c r="F1772" i="2" a="1"/>
  <c r="F1772" i="2" s="1"/>
  <c r="F1773" i="2" a="1"/>
  <c r="F1773" i="2" s="1"/>
  <c r="F1774" i="2" a="1"/>
  <c r="F1774" i="2" s="1"/>
  <c r="F1775" i="2" a="1"/>
  <c r="F1775" i="2" s="1"/>
  <c r="F1776" i="2" a="1"/>
  <c r="F1776" i="2" s="1"/>
  <c r="F1777" i="2" a="1"/>
  <c r="F1777" i="2" s="1"/>
  <c r="F1778" i="2" a="1"/>
  <c r="F1778" i="2" s="1"/>
  <c r="F1779" i="2" a="1"/>
  <c r="F1779" i="2" s="1"/>
  <c r="F1780" i="2" a="1"/>
  <c r="F1780" i="2" s="1"/>
  <c r="F1781" i="2" a="1"/>
  <c r="F1781" i="2" s="1"/>
  <c r="F1782" i="2" a="1"/>
  <c r="F1782" i="2" s="1"/>
  <c r="F1783" i="2" a="1"/>
  <c r="F1783" i="2" s="1"/>
  <c r="F1784" i="2" a="1"/>
  <c r="F1784" i="2" s="1"/>
  <c r="F1785" i="2" a="1"/>
  <c r="F1785" i="2" s="1"/>
  <c r="F1786" i="2" a="1"/>
  <c r="F1786" i="2" s="1"/>
  <c r="F1787" i="2" a="1"/>
  <c r="F1787" i="2" s="1"/>
  <c r="F1788" i="2" a="1"/>
  <c r="F1788" i="2" s="1"/>
  <c r="F1789" i="2" a="1"/>
  <c r="F1789" i="2" s="1"/>
  <c r="F1790" i="2" a="1"/>
  <c r="F1790" i="2" s="1"/>
  <c r="H1790" i="2" s="1" a="1"/>
  <c r="H1790" i="2" s="1"/>
  <c r="F1791" i="2" a="1"/>
  <c r="F1791" i="2" s="1"/>
  <c r="H1791" i="2" s="1" a="1"/>
  <c r="H1791" i="2" s="1"/>
  <c r="F1792" i="2" a="1"/>
  <c r="F1792" i="2" s="1"/>
  <c r="F1793" i="2" a="1"/>
  <c r="F1793" i="2" s="1"/>
  <c r="F1794" i="2" a="1"/>
  <c r="F1794" i="2" s="1"/>
  <c r="F1795" i="2" a="1"/>
  <c r="F1795" i="2" s="1"/>
  <c r="F1796" i="2" a="1"/>
  <c r="F1796" i="2" s="1"/>
  <c r="F1797" i="2" a="1"/>
  <c r="F1797" i="2" s="1"/>
  <c r="F1798" i="2" a="1"/>
  <c r="F1798" i="2" s="1"/>
  <c r="F1799" i="2" a="1"/>
  <c r="F1799" i="2" s="1"/>
  <c r="F1800" i="2" a="1"/>
  <c r="F1800" i="2" s="1"/>
  <c r="F1801" i="2" a="1"/>
  <c r="F1801" i="2" s="1"/>
  <c r="H1801" i="2" s="1" a="1"/>
  <c r="H1801" i="2" s="1"/>
  <c r="F1802" i="2" a="1"/>
  <c r="F1802" i="2" s="1"/>
  <c r="H1802" i="2" s="1" a="1"/>
  <c r="H1802" i="2" s="1"/>
  <c r="F1803" i="2" a="1"/>
  <c r="F1803" i="2" s="1"/>
  <c r="F1804" i="2" a="1"/>
  <c r="F1804" i="2" s="1"/>
  <c r="F1805" i="2" a="1"/>
  <c r="F1805" i="2" s="1"/>
  <c r="F1806" i="2" a="1"/>
  <c r="F1806" i="2" s="1"/>
  <c r="F1807" i="2" a="1"/>
  <c r="F1807" i="2" s="1"/>
  <c r="F1808" i="2" a="1"/>
  <c r="F1808" i="2" s="1"/>
  <c r="F1809" i="2" a="1"/>
  <c r="F1809" i="2" s="1"/>
  <c r="F1810" i="2" a="1"/>
  <c r="F1810" i="2" s="1"/>
  <c r="F1811" i="2" a="1"/>
  <c r="F1811" i="2" s="1"/>
  <c r="F1812" i="2" a="1"/>
  <c r="F1812" i="2" s="1"/>
  <c r="F1813" i="2" a="1"/>
  <c r="F1813" i="2" s="1"/>
  <c r="F1814" i="2" a="1"/>
  <c r="F1814" i="2" s="1"/>
  <c r="F1815" i="2" a="1"/>
  <c r="F1815" i="2" s="1"/>
  <c r="F1816" i="2" a="1"/>
  <c r="F1816" i="2" s="1"/>
  <c r="F1817" i="2" a="1"/>
  <c r="F1817" i="2" s="1"/>
  <c r="F1818" i="2" a="1"/>
  <c r="F1818" i="2" s="1"/>
  <c r="F1819" i="2" a="1"/>
  <c r="F1819" i="2" s="1"/>
  <c r="F1820" i="2" a="1"/>
  <c r="F1820" i="2" s="1"/>
  <c r="F1821" i="2" a="1"/>
  <c r="F1821" i="2" s="1"/>
  <c r="H1821" i="2" s="1" a="1"/>
  <c r="H1821" i="2" s="1"/>
  <c r="F1822" i="2" a="1"/>
  <c r="F1822" i="2" s="1"/>
  <c r="F1823" i="2" a="1"/>
  <c r="F1823" i="2" s="1"/>
  <c r="F1824" i="2" a="1"/>
  <c r="F1824" i="2" s="1"/>
  <c r="F1825" i="2" a="1"/>
  <c r="F1825" i="2" s="1"/>
  <c r="F1826" i="2" a="1"/>
  <c r="F1826" i="2" s="1"/>
  <c r="F1827" i="2" a="1"/>
  <c r="F1827" i="2" s="1"/>
  <c r="F1828" i="2" a="1"/>
  <c r="F1828" i="2" s="1"/>
  <c r="F1829" i="2" a="1"/>
  <c r="F1829" i="2" s="1"/>
  <c r="H1829" i="2" s="1" a="1"/>
  <c r="H1829" i="2" s="1"/>
  <c r="F1830" i="2" a="1"/>
  <c r="F1830" i="2" s="1"/>
  <c r="F1831" i="2" a="1"/>
  <c r="F1831" i="2" s="1"/>
  <c r="H1831" i="2" s="1" a="1"/>
  <c r="H1831" i="2" s="1"/>
  <c r="F1832" i="2" a="1"/>
  <c r="F1832" i="2" s="1"/>
  <c r="F1833" i="2" a="1"/>
  <c r="F1833" i="2" s="1"/>
  <c r="F1834" i="2" a="1"/>
  <c r="F1834" i="2" s="1"/>
  <c r="F1835" i="2" a="1"/>
  <c r="F1835" i="2" s="1"/>
  <c r="F1836" i="2" a="1"/>
  <c r="F1836" i="2" s="1"/>
  <c r="F1837" i="2" a="1"/>
  <c r="F1837" i="2" s="1"/>
  <c r="F1838" i="2" a="1"/>
  <c r="F1838" i="2" s="1"/>
  <c r="F1839" i="2" a="1"/>
  <c r="F1839" i="2" s="1"/>
  <c r="F1840" i="2" a="1"/>
  <c r="F1840" i="2" s="1"/>
  <c r="F1841" i="2" a="1"/>
  <c r="F1841" i="2" s="1"/>
  <c r="F1842" i="2" a="1"/>
  <c r="F1842" i="2" s="1"/>
  <c r="F1843" i="2" a="1"/>
  <c r="F1843" i="2" s="1"/>
  <c r="F1844" i="2" a="1"/>
  <c r="F1844" i="2" s="1"/>
  <c r="F1845" i="2" a="1"/>
  <c r="F1845" i="2" s="1"/>
  <c r="F1846" i="2" a="1"/>
  <c r="F1846" i="2" s="1"/>
  <c r="H1846" i="2" s="1" a="1"/>
  <c r="H1846" i="2" s="1"/>
  <c r="F1847" i="2" a="1"/>
  <c r="F1847" i="2" s="1"/>
  <c r="F1848" i="2" a="1"/>
  <c r="F1848" i="2" s="1"/>
  <c r="F1849" i="2" a="1"/>
  <c r="F1849" i="2" s="1"/>
  <c r="F1850" i="2" a="1"/>
  <c r="F1850" i="2" s="1"/>
  <c r="F1851" i="2" a="1"/>
  <c r="F1851" i="2" s="1"/>
  <c r="F1852" i="2" a="1"/>
  <c r="F1852" i="2" s="1"/>
  <c r="F1853" i="2" a="1"/>
  <c r="F1853" i="2" s="1"/>
  <c r="H1853" i="2" s="1" a="1"/>
  <c r="H1853" i="2" s="1"/>
  <c r="F1854" i="2" a="1"/>
  <c r="F1854" i="2" s="1"/>
  <c r="H1854" i="2" s="1" a="1"/>
  <c r="H1854" i="2" s="1"/>
  <c r="F1855" i="2" a="1"/>
  <c r="F1855" i="2" s="1"/>
  <c r="F1856" i="2" a="1"/>
  <c r="F1856" i="2" s="1"/>
  <c r="F1857" i="2" a="1"/>
  <c r="F1857" i="2" s="1"/>
  <c r="F1858" i="2" a="1"/>
  <c r="F1858" i="2" s="1"/>
  <c r="F1859" i="2" a="1"/>
  <c r="F1859" i="2" s="1"/>
  <c r="F1860" i="2" a="1"/>
  <c r="F1860" i="2" s="1"/>
  <c r="F1861" i="2" a="1"/>
  <c r="F1861" i="2" s="1"/>
  <c r="F1862" i="2" a="1"/>
  <c r="F1862" i="2" s="1"/>
  <c r="F1863" i="2" a="1"/>
  <c r="F1863" i="2" s="1"/>
  <c r="F1864" i="2" a="1"/>
  <c r="F1864" i="2" s="1"/>
  <c r="F1865" i="2" a="1"/>
  <c r="F1865" i="2" s="1"/>
  <c r="F1866" i="2" a="1"/>
  <c r="F1866" i="2" s="1"/>
  <c r="F1867" i="2" a="1"/>
  <c r="F1867" i="2" s="1"/>
  <c r="F1868" i="2" a="1"/>
  <c r="F1868" i="2" s="1"/>
  <c r="F1869" i="2" a="1"/>
  <c r="F1869" i="2" s="1"/>
  <c r="F1870" i="2" a="1"/>
  <c r="F1870" i="2" s="1"/>
  <c r="F1871" i="2" a="1"/>
  <c r="F1871" i="2" s="1"/>
  <c r="F1872" i="2" a="1"/>
  <c r="F1872" i="2" s="1"/>
  <c r="F1873" i="2" a="1"/>
  <c r="F1873" i="2" s="1"/>
  <c r="F1874" i="2" a="1"/>
  <c r="F1874" i="2" s="1"/>
  <c r="F1875" i="2" a="1"/>
  <c r="F1875" i="2" s="1"/>
  <c r="F1876" i="2" a="1"/>
  <c r="F1876" i="2" s="1"/>
  <c r="F1877" i="2" a="1"/>
  <c r="F1877" i="2" s="1"/>
  <c r="F1878" i="2" a="1"/>
  <c r="F1878" i="2" s="1"/>
  <c r="F1879" i="2" a="1"/>
  <c r="F1879" i="2" s="1"/>
  <c r="F1880" i="2" a="1"/>
  <c r="F1880" i="2" s="1"/>
  <c r="F1881" i="2" a="1"/>
  <c r="F1881" i="2" s="1"/>
  <c r="F1882" i="2" a="1"/>
  <c r="F1882" i="2" s="1"/>
  <c r="F1883" i="2" a="1"/>
  <c r="F1883" i="2" s="1"/>
  <c r="F1884" i="2" a="1"/>
  <c r="F1884" i="2" s="1"/>
  <c r="F1885" i="2" a="1"/>
  <c r="F1885" i="2" s="1"/>
  <c r="F1886" i="2" a="1"/>
  <c r="F1886" i="2" s="1"/>
  <c r="F1887" i="2" a="1"/>
  <c r="F1887" i="2" s="1"/>
  <c r="F1888" i="2" a="1"/>
  <c r="F1888" i="2" s="1"/>
  <c r="F1889" i="2" a="1"/>
  <c r="F1889" i="2" s="1"/>
  <c r="F1890" i="2" a="1"/>
  <c r="F1890" i="2" s="1"/>
  <c r="F1891" i="2" a="1"/>
  <c r="F1891" i="2" s="1"/>
  <c r="F1892" i="2" a="1"/>
  <c r="F1892" i="2" s="1"/>
  <c r="F1893" i="2" a="1"/>
  <c r="F1893" i="2" s="1"/>
  <c r="F1894" i="2" a="1"/>
  <c r="F1894" i="2" s="1"/>
  <c r="F1895" i="2" a="1"/>
  <c r="F1895" i="2" s="1"/>
  <c r="F1896" i="2" a="1"/>
  <c r="F1896" i="2" s="1"/>
  <c r="F1897" i="2" a="1"/>
  <c r="F1897" i="2" s="1"/>
  <c r="F1898" i="2" a="1"/>
  <c r="F1898" i="2" s="1"/>
  <c r="F1899" i="2" a="1"/>
  <c r="F1899" i="2" s="1"/>
  <c r="F1900" i="2" a="1"/>
  <c r="F1900" i="2" s="1"/>
  <c r="F1901" i="2" a="1"/>
  <c r="F1901" i="2" s="1"/>
  <c r="F1902" i="2" a="1"/>
  <c r="F1902" i="2" s="1"/>
  <c r="F1903" i="2" a="1"/>
  <c r="F1903" i="2" s="1"/>
  <c r="H1903" i="2" s="1" a="1"/>
  <c r="H1903" i="2" s="1"/>
  <c r="F1904" i="2" a="1"/>
  <c r="F1904" i="2" s="1"/>
  <c r="F1905" i="2" a="1"/>
  <c r="F1905" i="2" s="1"/>
  <c r="F1906" i="2" a="1"/>
  <c r="F1906" i="2" s="1"/>
  <c r="F1907" i="2" a="1"/>
  <c r="F1907" i="2" s="1"/>
  <c r="F1908" i="2" a="1"/>
  <c r="F1908" i="2" s="1"/>
  <c r="F1909" i="2" a="1"/>
  <c r="F1909" i="2" s="1"/>
  <c r="F1910" i="2" a="1"/>
  <c r="F1910" i="2" s="1"/>
  <c r="F1911" i="2" a="1"/>
  <c r="F1911" i="2" s="1"/>
  <c r="F1912" i="2" a="1"/>
  <c r="F1912" i="2" s="1"/>
  <c r="F1913" i="2" a="1"/>
  <c r="F1913" i="2" s="1"/>
  <c r="F1914" i="2" a="1"/>
  <c r="F1914" i="2" s="1"/>
  <c r="H1914" i="2" s="1" a="1"/>
  <c r="H1914" i="2" s="1"/>
  <c r="F1915" i="2" a="1"/>
  <c r="F1915" i="2" s="1"/>
  <c r="H1915" i="2" s="1" a="1"/>
  <c r="H1915" i="2" s="1"/>
  <c r="F1916" i="2" a="1"/>
  <c r="F1916" i="2" s="1"/>
  <c r="F1917" i="2" a="1"/>
  <c r="F1917" i="2" s="1"/>
  <c r="F1918" i="2" a="1"/>
  <c r="F1918" i="2" s="1"/>
  <c r="F1919" i="2" a="1"/>
  <c r="F1919" i="2" s="1"/>
  <c r="F1920" i="2" a="1"/>
  <c r="F1920" i="2" s="1"/>
  <c r="F1921" i="2" a="1"/>
  <c r="F1921" i="2" s="1"/>
  <c r="F1922" i="2" a="1"/>
  <c r="F1922" i="2" s="1"/>
  <c r="F1923" i="2" a="1"/>
  <c r="F1923" i="2" s="1"/>
  <c r="F1924" i="2" a="1"/>
  <c r="F1924" i="2" s="1"/>
  <c r="F1925" i="2" a="1"/>
  <c r="F1925" i="2" s="1"/>
  <c r="H1925" i="2" s="1" a="1"/>
  <c r="H1925" i="2" s="1"/>
  <c r="F1926" i="2" a="1"/>
  <c r="F1926" i="2" s="1"/>
  <c r="H1926" i="2" s="1" a="1"/>
  <c r="H1926" i="2" s="1"/>
  <c r="F1927" i="2" a="1"/>
  <c r="F1927" i="2" s="1"/>
  <c r="H1927" i="2" s="1" a="1"/>
  <c r="H1927" i="2" s="1"/>
  <c r="F1928" i="2" a="1"/>
  <c r="F1928" i="2" s="1"/>
  <c r="F1929" i="2" a="1"/>
  <c r="F1929" i="2" s="1"/>
  <c r="F1930" i="2" a="1"/>
  <c r="F1930" i="2" s="1"/>
  <c r="F1931" i="2" a="1"/>
  <c r="F1931" i="2" s="1"/>
  <c r="F1932" i="2" a="1"/>
  <c r="F1932" i="2" s="1"/>
  <c r="F1933" i="2" a="1"/>
  <c r="F1933" i="2" s="1"/>
  <c r="F1934" i="2" a="1"/>
  <c r="F1934" i="2" s="1"/>
  <c r="F1935" i="2" a="1"/>
  <c r="F1935" i="2" s="1"/>
  <c r="F1936" i="2" a="1"/>
  <c r="F1936" i="2" s="1"/>
  <c r="F1937" i="2" a="1"/>
  <c r="F1937" i="2" s="1"/>
  <c r="F1938" i="2" a="1"/>
  <c r="F1938" i="2" s="1"/>
  <c r="F1939" i="2" a="1"/>
  <c r="F1939" i="2" s="1"/>
  <c r="F1940" i="2" a="1"/>
  <c r="F1940" i="2" s="1"/>
  <c r="F1941" i="2" a="1"/>
  <c r="F1941" i="2" s="1"/>
  <c r="F1942" i="2" a="1"/>
  <c r="F1942" i="2" s="1"/>
  <c r="F1943" i="2" a="1"/>
  <c r="F1943" i="2" s="1"/>
  <c r="F1944" i="2" a="1"/>
  <c r="F1944" i="2" s="1"/>
  <c r="F1945" i="2" a="1"/>
  <c r="F1945" i="2" s="1"/>
  <c r="F1946" i="2" a="1"/>
  <c r="F1946" i="2" s="1"/>
  <c r="F1947" i="2" a="1"/>
  <c r="F1947" i="2" s="1"/>
  <c r="F1948" i="2" a="1"/>
  <c r="F1948" i="2" s="1"/>
  <c r="F1949" i="2" a="1"/>
  <c r="F1949" i="2" s="1"/>
  <c r="F1950" i="2" a="1"/>
  <c r="F1950" i="2" s="1"/>
  <c r="F1951" i="2" a="1"/>
  <c r="F1951" i="2" s="1"/>
  <c r="F1952" i="2" a="1"/>
  <c r="F1952" i="2" s="1"/>
  <c r="F1953" i="2" a="1"/>
  <c r="F1953" i="2" s="1"/>
  <c r="H1953" i="2" s="1" a="1"/>
  <c r="H1953" i="2" s="1"/>
  <c r="F1954" i="2" a="1"/>
  <c r="F1954" i="2" s="1"/>
  <c r="F1955" i="2" a="1"/>
  <c r="F1955" i="2" s="1"/>
  <c r="H1955" i="2" s="1" a="1"/>
  <c r="H1955" i="2" s="1"/>
  <c r="F1956" i="2" a="1"/>
  <c r="F1956" i="2" s="1"/>
  <c r="F1957" i="2" a="1"/>
  <c r="F1957" i="2" s="1"/>
  <c r="F1958" i="2" a="1"/>
  <c r="F1958" i="2" s="1"/>
  <c r="F1959" i="2" a="1"/>
  <c r="F1959" i="2" s="1"/>
  <c r="F1960" i="2" a="1"/>
  <c r="F1960" i="2" s="1"/>
  <c r="F1961" i="2" a="1"/>
  <c r="F1961" i="2" s="1"/>
  <c r="F1962" i="2" a="1"/>
  <c r="F1962" i="2" s="1"/>
  <c r="F1963" i="2" a="1"/>
  <c r="F1963" i="2" s="1"/>
  <c r="F1964" i="2" a="1"/>
  <c r="F1964" i="2" s="1"/>
  <c r="F1965" i="2" a="1"/>
  <c r="F1965" i="2" s="1"/>
  <c r="H1965" i="2" s="1" a="1"/>
  <c r="H1965" i="2" s="1"/>
  <c r="F1966" i="2" a="1"/>
  <c r="F1966" i="2" s="1"/>
  <c r="F1967" i="2" a="1"/>
  <c r="F1967" i="2"/>
  <c r="F1968" i="2" a="1"/>
  <c r="F1968" i="2" s="1"/>
  <c r="F1969" i="2" a="1"/>
  <c r="F1969" i="2" s="1"/>
  <c r="F1970" i="2" a="1"/>
  <c r="F1970" i="2" s="1"/>
  <c r="F1971" i="2" a="1"/>
  <c r="F1971" i="2" s="1"/>
  <c r="F1972" i="2" a="1"/>
  <c r="F1972" i="2" s="1"/>
  <c r="F1973" i="2" a="1"/>
  <c r="F1973" i="2" s="1"/>
  <c r="F1974" i="2" a="1"/>
  <c r="F1974" i="2" s="1"/>
  <c r="F1975" i="2" a="1"/>
  <c r="F1975" i="2" s="1"/>
  <c r="F1976" i="2" a="1"/>
  <c r="F1976" i="2" s="1"/>
  <c r="F1977" i="2" a="1"/>
  <c r="F1977" i="2" s="1"/>
  <c r="F1978" i="2" a="1"/>
  <c r="F1978" i="2" s="1"/>
  <c r="F1979" i="2" a="1"/>
  <c r="F1979" i="2" s="1"/>
  <c r="F1980" i="2" a="1"/>
  <c r="F1980" i="2" s="1"/>
  <c r="F1981" i="2" a="1"/>
  <c r="F1981" i="2" s="1"/>
  <c r="F1982" i="2" a="1"/>
  <c r="F1982" i="2" s="1"/>
  <c r="F1983" i="2" a="1"/>
  <c r="F1983" i="2" s="1"/>
  <c r="H1983" i="2" s="1" a="1"/>
  <c r="H1983" i="2" s="1"/>
  <c r="F1984" i="2" a="1"/>
  <c r="F1984" i="2" s="1"/>
  <c r="F1985" i="2" a="1"/>
  <c r="F1985" i="2" s="1"/>
  <c r="F1986" i="2" a="1"/>
  <c r="F1986" i="2" s="1"/>
  <c r="F1987" i="2" a="1"/>
  <c r="F1987" i="2" s="1"/>
  <c r="F1988" i="2" a="1"/>
  <c r="F1988" i="2" s="1"/>
  <c r="F1989" i="2" a="1"/>
  <c r="F1989" i="2" s="1"/>
  <c r="F1990" i="2" a="1"/>
  <c r="F1990" i="2" s="1"/>
  <c r="F1991" i="2" a="1"/>
  <c r="F1991" i="2" s="1"/>
  <c r="F1992" i="2" a="1"/>
  <c r="F1992" i="2" s="1"/>
  <c r="F1993" i="2" a="1"/>
  <c r="F1993" i="2" s="1"/>
  <c r="F1994" i="2" a="1"/>
  <c r="F1994" i="2" s="1"/>
  <c r="F1995" i="2" a="1"/>
  <c r="F1995" i="2" s="1"/>
  <c r="F1996" i="2" a="1"/>
  <c r="F1996" i="2" s="1"/>
  <c r="F1997" i="2" a="1"/>
  <c r="F1997" i="2" s="1"/>
  <c r="F1998" i="2" a="1"/>
  <c r="F1998" i="2" s="1"/>
  <c r="F1999" i="2" a="1"/>
  <c r="F1999" i="2" s="1"/>
  <c r="F2000" i="2" a="1"/>
  <c r="F2000" i="2" s="1"/>
  <c r="F2001" i="2" a="1"/>
  <c r="F2001" i="2" s="1"/>
  <c r="F2002" i="2" a="1"/>
  <c r="F2002" i="2" s="1"/>
  <c r="H2002" i="2" s="1" a="1"/>
  <c r="H2002" i="2" s="1"/>
  <c r="F2003" i="2" a="1"/>
  <c r="F2003" i="2" s="1"/>
  <c r="F2004" i="2" a="1"/>
  <c r="F2004" i="2" s="1"/>
  <c r="F2005" i="2" a="1"/>
  <c r="F2005" i="2" s="1"/>
  <c r="F2006" i="2" a="1"/>
  <c r="F2006" i="2" s="1"/>
  <c r="F2007" i="2" a="1"/>
  <c r="F2007" i="2" s="1"/>
  <c r="F2008" i="2" a="1"/>
  <c r="F2008" i="2" s="1"/>
  <c r="F2009" i="2" a="1"/>
  <c r="F2009" i="2" s="1"/>
  <c r="F2010" i="2" a="1"/>
  <c r="F2010" i="2" s="1"/>
  <c r="F2011" i="2" a="1"/>
  <c r="F2011" i="2" s="1"/>
  <c r="F2012" i="2" a="1"/>
  <c r="F2012" i="2" s="1"/>
  <c r="F2013" i="2" a="1"/>
  <c r="F2013" i="2" s="1"/>
  <c r="F2014" i="2" a="1"/>
  <c r="F2014" i="2" s="1"/>
  <c r="F2015" i="2" a="1"/>
  <c r="F2015" i="2" s="1"/>
  <c r="F2016" i="2" a="1"/>
  <c r="F2016" i="2" s="1"/>
  <c r="F2017" i="2" a="1"/>
  <c r="F2017" i="2" s="1"/>
  <c r="H2017" i="2" s="1" a="1"/>
  <c r="H2017" i="2" s="1"/>
  <c r="F2018" i="2" a="1"/>
  <c r="F2018" i="2" s="1"/>
  <c r="F2019" i="2" a="1"/>
  <c r="F2019" i="2" s="1"/>
  <c r="F2020" i="2" a="1"/>
  <c r="F2020" i="2" s="1"/>
  <c r="F2021" i="2" a="1"/>
  <c r="F2021" i="2" s="1"/>
  <c r="F2022" i="2" a="1"/>
  <c r="F2022" i="2" s="1"/>
  <c r="F2023" i="2" a="1"/>
  <c r="F2023" i="2" s="1"/>
  <c r="F2024" i="2" a="1"/>
  <c r="F2024" i="2" s="1"/>
  <c r="F2025" i="2" a="1"/>
  <c r="F2025" i="2" s="1"/>
  <c r="F2026" i="2" a="1"/>
  <c r="F2026" i="2" s="1"/>
  <c r="F2027" i="2" a="1"/>
  <c r="F2027" i="2" s="1"/>
  <c r="F2028" i="2" a="1"/>
  <c r="F2028" i="2" s="1"/>
  <c r="F2029" i="2" a="1"/>
  <c r="F2029" i="2" s="1"/>
  <c r="F2030" i="2" a="1"/>
  <c r="F2030" i="2" s="1"/>
  <c r="F2031" i="2" a="1"/>
  <c r="F2031" i="2" s="1"/>
  <c r="G2031" i="2" s="1" a="1"/>
  <c r="G2031" i="2" s="1"/>
  <c r="F2032" i="2" a="1"/>
  <c r="F2032" i="2" s="1"/>
  <c r="H2032" i="2" s="1" a="1"/>
  <c r="H2032" i="2" s="1"/>
  <c r="F2033" i="2" a="1"/>
  <c r="F2033" i="2" s="1"/>
  <c r="F2034" i="2" a="1"/>
  <c r="F2034" i="2" s="1"/>
  <c r="F2035" i="2" a="1"/>
  <c r="F2035" i="2" s="1"/>
  <c r="F2036" i="2" a="1"/>
  <c r="F2036" i="2" s="1"/>
  <c r="H2036" i="2" s="1" a="1"/>
  <c r="H2036" i="2" s="1"/>
  <c r="F2037" i="2" a="1"/>
  <c r="F2037" i="2" s="1"/>
  <c r="F2038" i="2" a="1"/>
  <c r="F2038" i="2" s="1"/>
  <c r="F2039" i="2" a="1"/>
  <c r="F2039" i="2" s="1"/>
  <c r="F2040" i="2" a="1"/>
  <c r="F2040" i="2" s="1"/>
  <c r="F2041" i="2" a="1"/>
  <c r="F2041" i="2" s="1"/>
  <c r="F2042" i="2" a="1"/>
  <c r="F2042" i="2" s="1"/>
  <c r="F2043" i="2" a="1"/>
  <c r="F2043" i="2" s="1"/>
  <c r="F2044" i="2" a="1"/>
  <c r="F2044" i="2" s="1"/>
  <c r="H2044" i="2" s="1" a="1"/>
  <c r="H2044" i="2" s="1"/>
  <c r="F2045" i="2" a="1"/>
  <c r="F2045" i="2" s="1"/>
  <c r="F2046" i="2" a="1"/>
  <c r="F2046" i="2" s="1"/>
  <c r="F2047" i="2" a="1"/>
  <c r="F2047" i="2" s="1"/>
  <c r="F2048" i="2" a="1"/>
  <c r="F2048" i="2" s="1"/>
  <c r="F2049" i="2" a="1"/>
  <c r="F2049" i="2" s="1"/>
  <c r="F2050" i="2" a="1"/>
  <c r="F2050" i="2" s="1"/>
  <c r="F2051" i="2" a="1"/>
  <c r="F2051" i="2" s="1"/>
  <c r="F2052" i="2" a="1"/>
  <c r="F2052" i="2" s="1"/>
  <c r="H2052" i="2" s="1" a="1"/>
  <c r="H2052" i="2" s="1"/>
  <c r="F2053" i="2" a="1"/>
  <c r="F2053" i="2" s="1"/>
  <c r="G2053" i="2" s="1" a="1"/>
  <c r="G2053" i="2" s="1"/>
  <c r="F2054" i="2" a="1"/>
  <c r="F2054" i="2" s="1"/>
  <c r="F2055" i="2" a="1"/>
  <c r="F2055" i="2" s="1"/>
  <c r="F2056" i="2" a="1"/>
  <c r="F2056" i="2" s="1"/>
  <c r="F2057" i="2" a="1"/>
  <c r="F2057" i="2" s="1"/>
  <c r="F2058" i="2" a="1"/>
  <c r="F2058" i="2" s="1"/>
  <c r="F2059" i="2" a="1"/>
  <c r="F2059" i="2" s="1"/>
  <c r="F2060" i="2" a="1"/>
  <c r="F2060" i="2" s="1"/>
  <c r="H2060" i="2" s="1" a="1"/>
  <c r="H2060" i="2" s="1"/>
  <c r="F2061" i="2" a="1"/>
  <c r="F2061" i="2" s="1"/>
  <c r="F2062" i="2" a="1"/>
  <c r="F2062" i="2" s="1"/>
  <c r="H2062" i="2" s="1" a="1"/>
  <c r="H2062" i="2" s="1"/>
  <c r="F2063" i="2" a="1"/>
  <c r="F2063" i="2" s="1"/>
  <c r="F2064" i="2" a="1"/>
  <c r="F2064" i="2" s="1"/>
  <c r="F2065" i="2" a="1"/>
  <c r="F2065" i="2" s="1"/>
  <c r="F2066" i="2" a="1"/>
  <c r="F2066" i="2" s="1"/>
  <c r="F2067" i="2" a="1"/>
  <c r="F2067" i="2" s="1"/>
  <c r="F2068" i="2" a="1"/>
  <c r="F2068" i="2" s="1"/>
  <c r="F2069" i="2" a="1"/>
  <c r="F2069" i="2" s="1"/>
  <c r="F2070" i="2" a="1"/>
  <c r="F2070" i="2" s="1"/>
  <c r="F2071" i="2" a="1"/>
  <c r="F2071" i="2" s="1"/>
  <c r="F2072" i="2" a="1"/>
  <c r="F2072" i="2" s="1"/>
  <c r="F2073" i="2" a="1"/>
  <c r="F2073" i="2" s="1"/>
  <c r="F2074" i="2" a="1"/>
  <c r="F2074" i="2" s="1"/>
  <c r="F2075" i="2" a="1"/>
  <c r="F2075" i="2" s="1"/>
  <c r="H2075" i="2" s="1" a="1"/>
  <c r="H2075" i="2" s="1"/>
  <c r="F2076" i="2" a="1"/>
  <c r="F2076" i="2" s="1"/>
  <c r="F2077" i="2" a="1"/>
  <c r="F2077" i="2" s="1"/>
  <c r="F2078" i="2" a="1"/>
  <c r="F2078" i="2" s="1"/>
  <c r="F2079" i="2" a="1"/>
  <c r="F2079" i="2" s="1"/>
  <c r="F2080" i="2" a="1"/>
  <c r="F2080" i="2" s="1"/>
  <c r="F2081" i="2" a="1"/>
  <c r="F2081" i="2" s="1"/>
  <c r="H2081" i="2" s="1" a="1"/>
  <c r="H2081" i="2" s="1"/>
  <c r="F2082" i="2" a="1"/>
  <c r="F2082" i="2" s="1"/>
  <c r="F2083" i="2" a="1"/>
  <c r="F2083" i="2" s="1"/>
  <c r="F2084" i="2" a="1"/>
  <c r="F2084" i="2" s="1"/>
  <c r="F2085" i="2" a="1"/>
  <c r="F2085" i="2" s="1"/>
  <c r="F2086" i="2" a="1"/>
  <c r="F2086" i="2" s="1"/>
  <c r="F2087" i="2" a="1"/>
  <c r="F2087" i="2" s="1"/>
  <c r="F2088" i="2" a="1"/>
  <c r="F2088" i="2" s="1"/>
  <c r="F2089" i="2" a="1"/>
  <c r="F2089" i="2" s="1"/>
  <c r="F2090" i="2" a="1"/>
  <c r="F2090" i="2" s="1"/>
  <c r="H2090" i="2" s="1" a="1"/>
  <c r="H2090" i="2" s="1"/>
  <c r="F2091" i="2" a="1"/>
  <c r="F2091" i="2" s="1"/>
  <c r="F2092" i="2" a="1"/>
  <c r="F2092" i="2" s="1"/>
  <c r="H2092" i="2" s="1" a="1"/>
  <c r="H2092" i="2" s="1"/>
  <c r="F2093" i="2" a="1"/>
  <c r="F2093" i="2" s="1"/>
  <c r="F2094" i="2" a="1"/>
  <c r="F2094" i="2" s="1"/>
  <c r="F2095" i="2" a="1"/>
  <c r="F2095" i="2" s="1"/>
  <c r="F2096" i="2" a="1"/>
  <c r="F2096" i="2" s="1"/>
  <c r="F2097" i="2" a="1"/>
  <c r="F2097" i="2" s="1"/>
  <c r="F2098" i="2" a="1"/>
  <c r="F2098" i="2" s="1"/>
  <c r="F2099" i="2" a="1"/>
  <c r="F2099" i="2" s="1"/>
  <c r="F2100" i="2" a="1"/>
  <c r="F2100" i="2" s="1"/>
  <c r="F2101" i="2" a="1"/>
  <c r="F2101" i="2" s="1"/>
  <c r="F2102" i="2" a="1"/>
  <c r="F2102" i="2" s="1"/>
  <c r="H2102" i="2" s="1" a="1"/>
  <c r="H2102" i="2" s="1"/>
  <c r="F2103" i="2" a="1"/>
  <c r="F2103" i="2" s="1"/>
  <c r="F2104" i="2" a="1"/>
  <c r="F2104" i="2" s="1"/>
  <c r="F2105" i="2" a="1"/>
  <c r="F2105" i="2" s="1"/>
  <c r="F2106" i="2" a="1"/>
  <c r="F2106" i="2" s="1"/>
  <c r="F2107" i="2" a="1"/>
  <c r="F2107" i="2" s="1"/>
  <c r="F2108" i="2" a="1"/>
  <c r="F2108" i="2" s="1"/>
  <c r="F2109" i="2" a="1"/>
  <c r="F2109" i="2" s="1"/>
  <c r="F2110" i="2" a="1"/>
  <c r="F2110" i="2" s="1"/>
  <c r="F2111" i="2" a="1"/>
  <c r="F2111" i="2" s="1"/>
  <c r="F2112" i="2" a="1"/>
  <c r="F2112" i="2" s="1"/>
  <c r="H2112" i="2" s="1" a="1"/>
  <c r="H2112" i="2" s="1"/>
  <c r="F2113" i="2" a="1"/>
  <c r="F2113" i="2" s="1"/>
  <c r="F2114" i="2" a="1"/>
  <c r="F2114" i="2" s="1"/>
  <c r="F2115" i="2" a="1"/>
  <c r="F2115" i="2" s="1"/>
  <c r="F2116" i="2" a="1"/>
  <c r="F2116" i="2" s="1"/>
  <c r="H2116" i="2" s="1" a="1"/>
  <c r="H2116" i="2" s="1"/>
  <c r="F2117" i="2" a="1"/>
  <c r="F2117" i="2" s="1"/>
  <c r="F2118" i="2" a="1"/>
  <c r="F2118" i="2" s="1"/>
  <c r="F2119" i="2" a="1"/>
  <c r="F2119" i="2" s="1"/>
  <c r="F2120" i="2" a="1"/>
  <c r="F2120" i="2" s="1"/>
  <c r="F2121" i="2" a="1"/>
  <c r="F2121" i="2" s="1"/>
  <c r="F2122" i="2" a="1"/>
  <c r="F2122" i="2" s="1"/>
  <c r="F2123" i="2" a="1"/>
  <c r="F2123" i="2" s="1"/>
  <c r="F2124" i="2" a="1"/>
  <c r="F2124" i="2" s="1"/>
  <c r="F2125" i="2" a="1"/>
  <c r="F2125" i="2" s="1"/>
  <c r="F2126" i="2" a="1"/>
  <c r="F2126" i="2" s="1"/>
  <c r="F2127" i="2" a="1"/>
  <c r="F2127" i="2" s="1"/>
  <c r="F2128" i="2" a="1"/>
  <c r="F2128" i="2" s="1"/>
  <c r="F2129" i="2" a="1"/>
  <c r="F2129" i="2" s="1"/>
  <c r="F2130" i="2" a="1"/>
  <c r="F2130" i="2" s="1"/>
  <c r="F2131" i="2" a="1"/>
  <c r="F2131" i="2" s="1"/>
  <c r="F2132" i="2" a="1"/>
  <c r="F2132" i="2" s="1"/>
  <c r="G2132" i="2" s="1" a="1"/>
  <c r="G2132" i="2" s="1"/>
  <c r="F2133" i="2" a="1"/>
  <c r="F2133" i="2" s="1"/>
  <c r="F2134" i="2" a="1"/>
  <c r="F2134" i="2" s="1"/>
  <c r="F2135" i="2" a="1"/>
  <c r="F2135" i="2" s="1"/>
  <c r="F2136" i="2" a="1"/>
  <c r="F2136" i="2" s="1"/>
  <c r="F2137" i="2" a="1"/>
  <c r="F2137" i="2" s="1"/>
  <c r="F2138" i="2" a="1"/>
  <c r="F2138" i="2" s="1"/>
  <c r="F2139" i="2" a="1"/>
  <c r="F2139" i="2" s="1"/>
  <c r="F2140" i="2" a="1"/>
  <c r="F2140" i="2" s="1"/>
  <c r="H2140" i="2" s="1" a="1"/>
  <c r="H2140" i="2" s="1"/>
  <c r="F2141" i="2" a="1"/>
  <c r="F2141" i="2" s="1"/>
  <c r="F2142" i="2" a="1"/>
  <c r="F2142" i="2" s="1"/>
  <c r="F2143" i="2" a="1"/>
  <c r="F2143" i="2" s="1"/>
  <c r="F2144" i="2" a="1"/>
  <c r="F2144" i="2" s="1"/>
  <c r="F2145" i="2" a="1"/>
  <c r="F2145" i="2" s="1"/>
  <c r="F2146" i="2" a="1"/>
  <c r="F2146" i="2" s="1"/>
  <c r="F2147" i="2" a="1"/>
  <c r="F2147" i="2" s="1"/>
  <c r="F2148" i="2" a="1"/>
  <c r="F2148" i="2" s="1"/>
  <c r="F2149" i="2" a="1"/>
  <c r="F2149" i="2" s="1"/>
  <c r="F2150" i="2" a="1"/>
  <c r="F2150" i="2" s="1"/>
  <c r="F2151" i="2" a="1"/>
  <c r="F2151" i="2" s="1"/>
  <c r="F2152" i="2" a="1"/>
  <c r="F2152" i="2" s="1"/>
  <c r="F2153" i="2" a="1"/>
  <c r="F2153" i="2" s="1"/>
  <c r="F2154" i="2" a="1"/>
  <c r="F2154" i="2" s="1"/>
  <c r="F2155" i="2" a="1"/>
  <c r="F2155" i="2" s="1"/>
  <c r="F2156" i="2" a="1"/>
  <c r="F2156" i="2" s="1"/>
  <c r="F2157" i="2" a="1"/>
  <c r="F2157" i="2" s="1"/>
  <c r="H2157" i="2" s="1" a="1"/>
  <c r="H2157" i="2" s="1"/>
  <c r="F2158" i="2" a="1"/>
  <c r="F2158" i="2" s="1"/>
  <c r="H2158" i="2" s="1" a="1"/>
  <c r="H2158" i="2" s="1"/>
  <c r="F2159" i="2" a="1"/>
  <c r="F2159" i="2" s="1"/>
  <c r="F2160" i="2" a="1"/>
  <c r="F2160" i="2" s="1"/>
  <c r="F2161" i="2" a="1"/>
  <c r="F2161" i="2" s="1"/>
  <c r="F2162" i="2" a="1"/>
  <c r="F2162" i="2" s="1"/>
  <c r="F2163" i="2" a="1"/>
  <c r="F2163" i="2" s="1"/>
  <c r="F2164" i="2" a="1"/>
  <c r="F2164" i="2" s="1"/>
  <c r="H2164" i="2" s="1" a="1"/>
  <c r="H2164" i="2" s="1"/>
  <c r="F2165" i="2" a="1"/>
  <c r="F2165" i="2" s="1"/>
  <c r="F2166" i="2" a="1"/>
  <c r="F2166" i="2" s="1"/>
  <c r="F2167" i="2" a="1"/>
  <c r="F2167" i="2" s="1"/>
  <c r="F2168" i="2" a="1"/>
  <c r="F2168" i="2" s="1"/>
  <c r="F2169" i="2" a="1"/>
  <c r="F2169" i="2" s="1"/>
  <c r="F2170" i="2" a="1"/>
  <c r="F2170" i="2" s="1"/>
  <c r="F2171" i="2" a="1"/>
  <c r="F2171" i="2" s="1"/>
  <c r="F2172" i="2" a="1"/>
  <c r="F2172" i="2" s="1"/>
  <c r="F2173" i="2" a="1"/>
  <c r="F2173" i="2" s="1"/>
  <c r="H2173" i="2" s="1" a="1"/>
  <c r="H2173" i="2" s="1"/>
  <c r="F2174" i="2" a="1"/>
  <c r="F2174" i="2" s="1"/>
  <c r="H2174" i="2" s="1" a="1"/>
  <c r="H2174" i="2" s="1"/>
  <c r="F2175" i="2" a="1"/>
  <c r="F2175" i="2" s="1"/>
  <c r="F2176" i="2" a="1"/>
  <c r="F2176" i="2" s="1"/>
  <c r="F2177" i="2" a="1"/>
  <c r="F2177" i="2" s="1"/>
  <c r="F2178" i="2" a="1"/>
  <c r="F2178" i="2" s="1"/>
  <c r="F2179" i="2" a="1"/>
  <c r="F2179" i="2" s="1"/>
  <c r="F2180" i="2" a="1"/>
  <c r="F2180" i="2" s="1"/>
  <c r="F2181" i="2" a="1"/>
  <c r="F2181" i="2" s="1"/>
  <c r="F2182" i="2" a="1"/>
  <c r="F2182" i="2" s="1"/>
  <c r="H2182" i="2" s="1" a="1"/>
  <c r="H2182" i="2" s="1"/>
  <c r="F2183" i="2" a="1"/>
  <c r="F2183" i="2" s="1"/>
  <c r="F2184" i="2" a="1"/>
  <c r="F2184" i="2" s="1"/>
  <c r="F2185" i="2" a="1"/>
  <c r="F2185" i="2" s="1"/>
  <c r="F2186" i="2" a="1"/>
  <c r="F2186" i="2" s="1"/>
  <c r="F2187" i="2" a="1"/>
  <c r="F2187" i="2" s="1"/>
  <c r="F2188" i="2" a="1"/>
  <c r="F2188" i="2" s="1"/>
  <c r="F2189" i="2" a="1"/>
  <c r="F2189" i="2" s="1"/>
  <c r="F2190" i="2" a="1"/>
  <c r="F2190" i="2" s="1"/>
  <c r="F2191" i="2" a="1"/>
  <c r="F2191" i="2" s="1"/>
  <c r="F2192" i="2" a="1"/>
  <c r="F2192" i="2" s="1"/>
  <c r="F2193" i="2" a="1"/>
  <c r="F2193" i="2" s="1"/>
  <c r="F2194" i="2" a="1"/>
  <c r="F2194" i="2" s="1"/>
  <c r="F2195" i="2" a="1"/>
  <c r="F2195" i="2" s="1"/>
  <c r="F2196" i="2" a="1"/>
  <c r="F2196" i="2" s="1"/>
  <c r="F2197" i="2" a="1"/>
  <c r="F2197" i="2" s="1"/>
  <c r="F2198" i="2" a="1"/>
  <c r="F2198" i="2" s="1"/>
  <c r="F2199" i="2" a="1"/>
  <c r="F2199" i="2" s="1"/>
  <c r="H2199" i="2" s="1" a="1"/>
  <c r="H2199" i="2" s="1"/>
  <c r="F2200" i="2" a="1"/>
  <c r="F2200" i="2" s="1"/>
  <c r="F2201" i="2" a="1"/>
  <c r="F2201" i="2" s="1"/>
  <c r="F2202" i="2" a="1"/>
  <c r="F2202" i="2" s="1"/>
  <c r="F2203" i="2" a="1"/>
  <c r="F2203" i="2" s="1"/>
  <c r="F2204" i="2" a="1"/>
  <c r="F2204" i="2" s="1"/>
  <c r="F2205" i="2" a="1"/>
  <c r="F2205" i="2" s="1"/>
  <c r="F2206" i="2" a="1"/>
  <c r="F2206" i="2" s="1"/>
  <c r="F2207" i="2" a="1"/>
  <c r="F2207" i="2" s="1"/>
  <c r="F2208" i="2" a="1"/>
  <c r="F2208" i="2" s="1"/>
  <c r="G2208" i="2" s="1" a="1"/>
  <c r="G2208" i="2" s="1"/>
  <c r="F2209" i="2" a="1"/>
  <c r="F2209" i="2" s="1"/>
  <c r="F2210" i="2" a="1"/>
  <c r="F2210" i="2" s="1"/>
  <c r="F2211" i="2" a="1"/>
  <c r="F2211" i="2" s="1"/>
  <c r="H2211" i="2" s="1" a="1"/>
  <c r="H2211" i="2" s="1"/>
  <c r="F2212" i="2" a="1"/>
  <c r="F2212" i="2" s="1"/>
  <c r="F2213" i="2" a="1"/>
  <c r="F2213" i="2" s="1"/>
  <c r="F2214" i="2" a="1"/>
  <c r="F2214" i="2" s="1"/>
  <c r="F2215" i="2" a="1"/>
  <c r="F2215" i="2" s="1"/>
  <c r="F2216" i="2" a="1"/>
  <c r="F2216" i="2" s="1"/>
  <c r="F2217" i="2" a="1"/>
  <c r="F2217" i="2" s="1"/>
  <c r="F2218" i="2" a="1"/>
  <c r="F2218" i="2" s="1"/>
  <c r="F2219" i="2" a="1"/>
  <c r="F2219" i="2" s="1"/>
  <c r="F2220" i="2" a="1"/>
  <c r="F2220" i="2" s="1"/>
  <c r="F2221" i="2" a="1"/>
  <c r="F2221" i="2" s="1"/>
  <c r="F2222" i="2" a="1"/>
  <c r="F2222" i="2" s="1"/>
  <c r="F2223" i="2" a="1"/>
  <c r="F2223" i="2" s="1"/>
  <c r="F2224" i="2" a="1"/>
  <c r="F2224" i="2" s="1"/>
  <c r="H2224" i="2" s="1" a="1"/>
  <c r="H2224" i="2" s="1"/>
  <c r="F2225" i="2" a="1"/>
  <c r="F2225" i="2" s="1"/>
  <c r="H2225" i="2" s="1" a="1"/>
  <c r="H2225" i="2" s="1"/>
  <c r="F2226" i="2" a="1"/>
  <c r="F2226" i="2" s="1"/>
  <c r="F2227" i="2" a="1"/>
  <c r="F2227" i="2" s="1"/>
  <c r="F2228" i="2" a="1"/>
  <c r="F2228" i="2" s="1"/>
  <c r="F2229" i="2" a="1"/>
  <c r="F2229" i="2" s="1"/>
  <c r="F2230" i="2" a="1"/>
  <c r="F2230" i="2" s="1"/>
  <c r="F2231" i="2" a="1"/>
  <c r="F2231" i="2" s="1"/>
  <c r="F2232" i="2" a="1"/>
  <c r="F2232" i="2" s="1"/>
  <c r="F2233" i="2" a="1"/>
  <c r="F2233" i="2" s="1"/>
  <c r="F2234" i="2" a="1"/>
  <c r="F2234" i="2" s="1"/>
  <c r="F2235" i="2" a="1"/>
  <c r="F2235" i="2" s="1"/>
  <c r="F2236" i="2" a="1"/>
  <c r="F2236" i="2" s="1"/>
  <c r="F2237" i="2" a="1"/>
  <c r="F2237" i="2" s="1"/>
  <c r="H2237" i="2" s="1" a="1"/>
  <c r="H2237" i="2" s="1"/>
  <c r="F2238" i="2" a="1"/>
  <c r="F2238" i="2" s="1"/>
  <c r="F2239" i="2" a="1"/>
  <c r="F2239" i="2" s="1"/>
  <c r="F2240" i="2" a="1"/>
  <c r="F2240" i="2" s="1"/>
  <c r="F2241" i="2" a="1"/>
  <c r="F2241" i="2" s="1"/>
  <c r="H2241" i="2" s="1" a="1"/>
  <c r="H2241" i="2" s="1"/>
  <c r="F2242" i="2" a="1"/>
  <c r="F2242" i="2" s="1"/>
  <c r="F2243" i="2" a="1"/>
  <c r="F2243" i="2" s="1"/>
  <c r="F2244" i="2" a="1"/>
  <c r="F2244" i="2" s="1"/>
  <c r="F2245" i="2" a="1"/>
  <c r="F2245" i="2" s="1"/>
  <c r="F2246" i="2" a="1"/>
  <c r="F2246" i="2" s="1"/>
  <c r="F2247" i="2" a="1"/>
  <c r="F2247" i="2" s="1"/>
  <c r="F2248" i="2" a="1"/>
  <c r="F2248" i="2" s="1"/>
  <c r="F2249" i="2" a="1"/>
  <c r="F2249" i="2" s="1"/>
  <c r="F2250" i="2" a="1"/>
  <c r="F2250" i="2" s="1"/>
  <c r="F2251" i="2" a="1"/>
  <c r="F2251" i="2" s="1"/>
  <c r="F2252" i="2" a="1"/>
  <c r="F2252" i="2" s="1"/>
  <c r="F2253" i="2" a="1"/>
  <c r="F2253" i="2" s="1"/>
  <c r="F2254" i="2" a="1"/>
  <c r="F2254" i="2" s="1"/>
  <c r="H2254" i="2" s="1" a="1"/>
  <c r="H2254" i="2" s="1"/>
  <c r="F2255" i="2" a="1"/>
  <c r="F2255" i="2" s="1"/>
  <c r="F2256" i="2" a="1"/>
  <c r="F2256" i="2" s="1"/>
  <c r="F2257" i="2" a="1"/>
  <c r="F2257" i="2" s="1"/>
  <c r="F2258" i="2" a="1"/>
  <c r="F2258" i="2" s="1"/>
  <c r="F2259" i="2" a="1"/>
  <c r="F2259" i="2" s="1"/>
  <c r="F2260" i="2" a="1"/>
  <c r="F2260" i="2" s="1"/>
  <c r="H2260" i="2" s="1" a="1"/>
  <c r="H2260" i="2" s="1"/>
  <c r="F2261" i="2" a="1"/>
  <c r="F2261" i="2" s="1"/>
  <c r="H2261" i="2" s="1" a="1"/>
  <c r="H2261" i="2" s="1"/>
  <c r="F2262" i="2" a="1"/>
  <c r="F2262" i="2" s="1"/>
  <c r="F2263" i="2" a="1"/>
  <c r="F2263" i="2" s="1"/>
  <c r="F2264" i="2" a="1"/>
  <c r="F2264" i="2" s="1"/>
  <c r="F2265" i="2" a="1"/>
  <c r="F2265" i="2" s="1"/>
  <c r="F2266" i="2" a="1"/>
  <c r="F2266" i="2" s="1"/>
  <c r="F2267" i="2" a="1"/>
  <c r="F2267" i="2" s="1"/>
  <c r="F2268" i="2" a="1"/>
  <c r="F2268" i="2" s="1"/>
  <c r="F2269" i="2" a="1"/>
  <c r="F2269" i="2" s="1"/>
  <c r="F2270" i="2" a="1"/>
  <c r="F2270" i="2" s="1"/>
  <c r="F2271" i="2" a="1"/>
  <c r="F2271" i="2" s="1"/>
  <c r="F2272" i="2" a="1"/>
  <c r="F2272" i="2" s="1"/>
  <c r="H2272" i="2" s="1" a="1"/>
  <c r="H2272" i="2" s="1"/>
  <c r="F2273" i="2" a="1"/>
  <c r="F2273" i="2" s="1"/>
  <c r="F2274" i="2" a="1"/>
  <c r="F2274" i="2" s="1"/>
  <c r="F2275" i="2" a="1"/>
  <c r="F2275" i="2" s="1"/>
  <c r="F2276" i="2" a="1"/>
  <c r="F2276" i="2" s="1"/>
  <c r="F2277" i="2" a="1"/>
  <c r="F2277" i="2" s="1"/>
  <c r="F2278" i="2" a="1"/>
  <c r="F2278" i="2" s="1"/>
  <c r="F2279" i="2" a="1"/>
  <c r="F2279" i="2" s="1"/>
  <c r="F2280" i="2" a="1"/>
  <c r="F2280" i="2" s="1"/>
  <c r="F2281" i="2" a="1"/>
  <c r="F2281" i="2" s="1"/>
  <c r="F2282" i="2" a="1"/>
  <c r="F2282" i="2" s="1"/>
  <c r="F2283" i="2" a="1"/>
  <c r="F2283" i="2" s="1"/>
  <c r="F2284" i="2" a="1"/>
  <c r="F2284" i="2" s="1"/>
  <c r="F2285" i="2" a="1"/>
  <c r="F2285" i="2" s="1"/>
  <c r="F2286" i="2" a="1"/>
  <c r="F2286" i="2" s="1"/>
  <c r="F2287" i="2" a="1"/>
  <c r="F2287" i="2" s="1"/>
  <c r="F2288" i="2" a="1"/>
  <c r="F2288" i="2" s="1"/>
  <c r="F2289" i="2" a="1"/>
  <c r="F2289" i="2" s="1"/>
  <c r="F2290" i="2" a="1"/>
  <c r="F2290" i="2" s="1"/>
  <c r="F2291" i="2" a="1"/>
  <c r="F2291" i="2" s="1"/>
  <c r="F2292" i="2" a="1"/>
  <c r="F2292" i="2" s="1"/>
  <c r="F2293" i="2" a="1"/>
  <c r="F2293" i="2" s="1"/>
  <c r="G2293" i="2" s="1" a="1"/>
  <c r="G2293" i="2" s="1"/>
  <c r="F2294" i="2" a="1"/>
  <c r="F2294" i="2" s="1"/>
  <c r="F2295" i="2" a="1"/>
  <c r="F2295" i="2" s="1"/>
  <c r="F2296" i="2" a="1"/>
  <c r="F2296" i="2" s="1"/>
  <c r="F2297" i="2" a="1"/>
  <c r="F2297" i="2" s="1"/>
  <c r="F2298" i="2" a="1"/>
  <c r="F2298" i="2" s="1"/>
  <c r="F2299" i="2" a="1"/>
  <c r="F2299" i="2" s="1"/>
  <c r="H2299" i="2" s="1" a="1"/>
  <c r="H2299" i="2" s="1"/>
  <c r="F2300" i="2" a="1"/>
  <c r="F2300" i="2" s="1"/>
  <c r="F2301" i="2" a="1"/>
  <c r="F2301" i="2" s="1"/>
  <c r="F2302" i="2" a="1"/>
  <c r="F2302" i="2" s="1"/>
  <c r="H2302" i="2" s="1" a="1"/>
  <c r="H2302" i="2" s="1"/>
  <c r="F2303" i="2" a="1"/>
  <c r="F2303" i="2" s="1"/>
  <c r="F2304" i="2" a="1"/>
  <c r="F2304" i="2" s="1"/>
  <c r="F2305" i="2" a="1"/>
  <c r="F2305" i="2" s="1"/>
  <c r="F2306" i="2" a="1"/>
  <c r="F2306" i="2" s="1"/>
  <c r="F2307" i="2" a="1"/>
  <c r="F2307" i="2" s="1"/>
  <c r="F2308" i="2" a="1"/>
  <c r="F2308" i="2" s="1"/>
  <c r="H2308" i="2" s="1" a="1"/>
  <c r="H2308" i="2" s="1"/>
  <c r="F2309" i="2" a="1"/>
  <c r="F2309" i="2" s="1"/>
  <c r="F2310" i="2" a="1"/>
  <c r="F2310" i="2" s="1"/>
  <c r="F2311" i="2" a="1"/>
  <c r="F2311" i="2" s="1"/>
  <c r="H2311" i="2" s="1" a="1"/>
  <c r="H2311" i="2" s="1"/>
  <c r="F2312" i="2" a="1"/>
  <c r="F2312" i="2" s="1"/>
  <c r="F2313" i="2" a="1"/>
  <c r="F2313" i="2" s="1"/>
  <c r="F2314" i="2" a="1"/>
  <c r="F2314" i="2" s="1"/>
  <c r="F2315" i="2" a="1"/>
  <c r="F2315" i="2" s="1"/>
  <c r="F2316" i="2" a="1"/>
  <c r="F2316" i="2" s="1"/>
  <c r="F2317" i="2" a="1"/>
  <c r="F2317" i="2" s="1"/>
  <c r="F2318" i="2" a="1"/>
  <c r="F2318" i="2" s="1"/>
  <c r="F2319" i="2" a="1"/>
  <c r="F2319" i="2" s="1"/>
  <c r="H2319" i="2" s="1" a="1"/>
  <c r="H2319" i="2" s="1"/>
  <c r="F2320" i="2" a="1"/>
  <c r="F2320" i="2" s="1"/>
  <c r="F2321" i="2" a="1"/>
  <c r="F2321" i="2" s="1"/>
  <c r="F2322" i="2" a="1"/>
  <c r="F2322" i="2" s="1"/>
  <c r="F2323" i="2" a="1"/>
  <c r="F2323" i="2" s="1"/>
  <c r="F2324" i="2" a="1"/>
  <c r="F2324" i="2" s="1"/>
  <c r="F2325" i="2" a="1"/>
  <c r="F2325" i="2" s="1"/>
  <c r="F2326" i="2" a="1"/>
  <c r="F2326" i="2" s="1"/>
  <c r="H2326" i="2" s="1" a="1"/>
  <c r="H2326" i="2" s="1"/>
  <c r="F2327" i="2" a="1"/>
  <c r="F2327" i="2" s="1"/>
  <c r="F2328" i="2" a="1"/>
  <c r="F2328" i="2" s="1"/>
  <c r="F2329" i="2" a="1"/>
  <c r="F2329" i="2" s="1"/>
  <c r="F2330" i="2" a="1"/>
  <c r="F2330" i="2" s="1"/>
  <c r="F2331" i="2" a="1"/>
  <c r="F2331" i="2" s="1"/>
  <c r="F2332" i="2" a="1"/>
  <c r="F2332" i="2" s="1"/>
  <c r="F2333" i="2" a="1"/>
  <c r="F2333" i="2" s="1"/>
  <c r="F2334" i="2" a="1"/>
  <c r="F2334" i="2" s="1"/>
  <c r="H2334" i="2" s="1" a="1"/>
  <c r="H2334" i="2" s="1"/>
  <c r="F2335" i="2" a="1"/>
  <c r="F2335" i="2" s="1"/>
  <c r="H2335" i="2" s="1" a="1"/>
  <c r="H2335" i="2" s="1"/>
  <c r="F2336" i="2" a="1"/>
  <c r="F2336" i="2" s="1"/>
  <c r="F2337" i="2" a="1"/>
  <c r="F2337" i="2" s="1"/>
  <c r="F2338" i="2" a="1"/>
  <c r="F2338" i="2" s="1"/>
  <c r="F2339" i="2" a="1"/>
  <c r="F2339" i="2" s="1"/>
  <c r="F2340" i="2" a="1"/>
  <c r="F2340" i="2" s="1"/>
  <c r="F2341" i="2" a="1"/>
  <c r="F2341" i="2" s="1"/>
  <c r="F2342" i="2" a="1"/>
  <c r="F2342" i="2" s="1"/>
  <c r="F2343" i="2" a="1"/>
  <c r="F2343" i="2" s="1"/>
  <c r="F2344" i="2" a="1"/>
  <c r="F2344" i="2" s="1"/>
  <c r="F2345" i="2" a="1"/>
  <c r="F2345" i="2" s="1"/>
  <c r="F2346" i="2" a="1"/>
  <c r="F2346" i="2" s="1"/>
  <c r="F2347" i="2" a="1"/>
  <c r="F2347" i="2" s="1"/>
  <c r="F2348" i="2" a="1"/>
  <c r="F2348" i="2" s="1"/>
  <c r="F2349" i="2" a="1"/>
  <c r="F2349" i="2" s="1"/>
  <c r="F2350" i="2" a="1"/>
  <c r="F2350" i="2" s="1"/>
  <c r="F2351" i="2" a="1"/>
  <c r="F2351" i="2" s="1"/>
  <c r="F2352" i="2" a="1"/>
  <c r="F2352" i="2" s="1"/>
  <c r="H2352" i="2" s="1" a="1"/>
  <c r="H2352" i="2" s="1"/>
  <c r="F2353" i="2" a="1"/>
  <c r="F2353" i="2" s="1"/>
  <c r="F2354" i="2" a="1"/>
  <c r="F2354" i="2" s="1"/>
  <c r="F2355" i="2" a="1"/>
  <c r="F2355" i="2" s="1"/>
  <c r="F2356" i="2" a="1"/>
  <c r="F2356" i="2" s="1"/>
  <c r="F2357" i="2" a="1"/>
  <c r="F2357" i="2" s="1"/>
  <c r="F2358" i="2" a="1"/>
  <c r="F2358" i="2" s="1"/>
  <c r="F2359" i="2" a="1"/>
  <c r="F2359" i="2" s="1"/>
  <c r="H2359" i="2" s="1" a="1"/>
  <c r="H2359" i="2" s="1"/>
  <c r="F2360" i="2" a="1"/>
  <c r="F2360" i="2" s="1"/>
  <c r="F2361" i="2" a="1"/>
  <c r="F2361" i="2" s="1"/>
  <c r="F2362" i="2" a="1"/>
  <c r="F2362" i="2" s="1"/>
  <c r="F2363" i="2" a="1"/>
  <c r="F2363" i="2" s="1"/>
  <c r="F2364" i="2" a="1"/>
  <c r="F2364" i="2" s="1"/>
  <c r="F2365" i="2" a="1"/>
  <c r="F2365" i="2" s="1"/>
  <c r="F2366" i="2" a="1"/>
  <c r="F2366" i="2" s="1"/>
  <c r="F2367" i="2" a="1"/>
  <c r="F2367" i="2" s="1"/>
  <c r="F2368" i="2" a="1"/>
  <c r="F2368" i="2" s="1"/>
  <c r="F2369" i="2" a="1"/>
  <c r="F2369" i="2" s="1"/>
  <c r="F2370" i="2" a="1"/>
  <c r="F2370" i="2" s="1"/>
  <c r="F2371" i="2" a="1"/>
  <c r="F2371" i="2" s="1"/>
  <c r="G2371" i="2" s="1" a="1"/>
  <c r="G2371" i="2" s="1"/>
  <c r="F2372" i="2" a="1"/>
  <c r="F2372" i="2" s="1"/>
  <c r="F2373" i="2" a="1"/>
  <c r="F2373" i="2" s="1"/>
  <c r="F2374" i="2" a="1"/>
  <c r="F2374" i="2" s="1"/>
  <c r="H2374" i="2" s="1" a="1"/>
  <c r="H2374" i="2" s="1"/>
  <c r="F2375" i="2" a="1"/>
  <c r="F2375" i="2" s="1"/>
  <c r="F2376" i="2" a="1"/>
  <c r="F2376" i="2" s="1"/>
  <c r="F2377" i="2" a="1"/>
  <c r="F2377" i="2" s="1"/>
  <c r="F2378" i="2" a="1"/>
  <c r="F2378" i="2" s="1"/>
  <c r="F2379" i="2" a="1"/>
  <c r="F2379" i="2" s="1"/>
  <c r="F2380" i="2" a="1"/>
  <c r="F2380" i="2" s="1"/>
  <c r="F2381" i="2" a="1"/>
  <c r="F2381" i="2" s="1"/>
  <c r="F2382" i="2" a="1"/>
  <c r="F2382" i="2" s="1"/>
  <c r="F2383" i="2" a="1"/>
  <c r="F2383" i="2" s="1"/>
  <c r="F2384" i="2" a="1"/>
  <c r="F2384" i="2" s="1"/>
  <c r="F2385" i="2" a="1"/>
  <c r="F2385" i="2" s="1"/>
  <c r="F2386" i="2" a="1"/>
  <c r="F2386" i="2" s="1"/>
  <c r="F2387" i="2" a="1"/>
  <c r="F2387" i="2" s="1"/>
  <c r="F2388" i="2" a="1"/>
  <c r="F2388" i="2" s="1"/>
  <c r="F2389" i="2" a="1"/>
  <c r="F2389" i="2" s="1"/>
  <c r="H2389" i="2" s="1" a="1"/>
  <c r="H2389" i="2" s="1"/>
  <c r="F2390" i="2" a="1"/>
  <c r="F2390" i="2" s="1"/>
  <c r="F2391" i="2" a="1"/>
  <c r="F2391" i="2" s="1"/>
  <c r="F2392" i="2" a="1"/>
  <c r="F2392" i="2" s="1"/>
  <c r="F2393" i="2" a="1"/>
  <c r="F2393" i="2" s="1"/>
  <c r="F2394" i="2" a="1"/>
  <c r="F2394" i="2" s="1"/>
  <c r="F2395" i="2" a="1"/>
  <c r="F2395" i="2" s="1"/>
  <c r="F2396" i="2" a="1"/>
  <c r="F2396" i="2" s="1"/>
  <c r="F2397" i="2" a="1"/>
  <c r="F2397" i="2" s="1"/>
  <c r="F2398" i="2" a="1"/>
  <c r="F2398" i="2" s="1"/>
  <c r="F2399" i="2" a="1"/>
  <c r="F2399" i="2" s="1"/>
  <c r="H2399" i="2" s="1" a="1"/>
  <c r="H2399" i="2" s="1"/>
  <c r="F2400" i="2" a="1"/>
  <c r="F2400" i="2" s="1"/>
  <c r="F2401" i="2" a="1"/>
  <c r="F2401" i="2" s="1"/>
  <c r="F2402" i="2" a="1"/>
  <c r="F2402" i="2" s="1"/>
  <c r="F2403" i="2" a="1"/>
  <c r="F2403" i="2" s="1"/>
  <c r="F2404" i="2" a="1"/>
  <c r="F2404" i="2" s="1"/>
  <c r="F2405" i="2" a="1"/>
  <c r="F2405" i="2" s="1"/>
  <c r="F2406" i="2" a="1"/>
  <c r="F2406" i="2" s="1"/>
  <c r="H2406" i="2" s="1" a="1"/>
  <c r="H2406" i="2" s="1"/>
  <c r="F2407" i="2" a="1"/>
  <c r="F2407" i="2" s="1"/>
  <c r="H2407" i="2" s="1" a="1"/>
  <c r="H2407" i="2" s="1"/>
  <c r="F2408" i="2" a="1"/>
  <c r="F2408" i="2" s="1"/>
  <c r="H2408" i="2" s="1" a="1"/>
  <c r="H2408" i="2" s="1"/>
  <c r="F2409" i="2" a="1"/>
  <c r="F2409" i="2" s="1"/>
  <c r="F2410" i="2" a="1"/>
  <c r="F2410" i="2" s="1"/>
  <c r="F2411" i="2" a="1"/>
  <c r="F2411" i="2" s="1"/>
  <c r="F2412" i="2" a="1"/>
  <c r="F2412" i="2" s="1"/>
  <c r="F2413" i="2" a="1"/>
  <c r="F2413" i="2" s="1"/>
  <c r="F2414" i="2" a="1"/>
  <c r="F2414" i="2" s="1"/>
  <c r="F2415" i="2" a="1"/>
  <c r="F2415" i="2" s="1"/>
  <c r="F2416" i="2" a="1"/>
  <c r="F2416" i="2" s="1"/>
  <c r="F2417" i="2" a="1"/>
  <c r="F2417" i="2" s="1"/>
  <c r="F2418" i="2" a="1"/>
  <c r="F2418" i="2" s="1"/>
  <c r="F2419" i="2" a="1"/>
  <c r="F2419" i="2" s="1"/>
  <c r="F2420" i="2" a="1"/>
  <c r="F2420" i="2" s="1"/>
  <c r="F2421" i="2" a="1"/>
  <c r="F2421" i="2" s="1"/>
  <c r="F2422" i="2" a="1"/>
  <c r="F2422" i="2" s="1"/>
  <c r="F2423" i="2" a="1"/>
  <c r="F2423" i="2" s="1"/>
  <c r="G2423" i="2" s="1" a="1"/>
  <c r="G2423" i="2" s="1"/>
  <c r="F2424" i="2" a="1"/>
  <c r="F2424" i="2" s="1"/>
  <c r="F2425" i="2" a="1"/>
  <c r="F2425" i="2" s="1"/>
  <c r="F2426" i="2" a="1"/>
  <c r="F2426" i="2" s="1"/>
  <c r="F2427" i="2" a="1"/>
  <c r="F2427" i="2" s="1"/>
  <c r="F2428" i="2" a="1"/>
  <c r="F2428" i="2" s="1"/>
  <c r="F2429" i="2" a="1"/>
  <c r="F2429" i="2" s="1"/>
  <c r="F2430" i="2" a="1"/>
  <c r="F2430" i="2" s="1"/>
  <c r="F2431" i="2" a="1"/>
  <c r="F2431" i="2" s="1"/>
  <c r="F2432" i="2" a="1"/>
  <c r="F2432" i="2" s="1"/>
  <c r="F2433" i="2" a="1"/>
  <c r="F2433" i="2" s="1"/>
  <c r="F2434" i="2" a="1"/>
  <c r="F2434" i="2" s="1"/>
  <c r="H2434" i="2" s="1" a="1"/>
  <c r="H2434" i="2" s="1"/>
  <c r="F2435" i="2" a="1"/>
  <c r="F2435" i="2" s="1"/>
  <c r="F2436" i="2" a="1"/>
  <c r="F2436" i="2" s="1"/>
  <c r="F2437" i="2" a="1"/>
  <c r="F2437" i="2" s="1"/>
  <c r="F2438" i="2" a="1"/>
  <c r="F2438" i="2" s="1"/>
  <c r="F2439" i="2" a="1"/>
  <c r="F2439" i="2" s="1"/>
  <c r="F2440" i="2" a="1"/>
  <c r="F2440" i="2" s="1"/>
  <c r="F2441" i="2" a="1"/>
  <c r="F2441" i="2" s="1"/>
  <c r="F2442" i="2" a="1"/>
  <c r="F2442" i="2" s="1"/>
  <c r="F2443" i="2" a="1"/>
  <c r="F2443" i="2" s="1"/>
  <c r="F2444" i="2" a="1"/>
  <c r="F2444" i="2" s="1"/>
  <c r="F2445" i="2" a="1"/>
  <c r="F2445" i="2" s="1"/>
  <c r="F2446" i="2" a="1"/>
  <c r="F2446" i="2" s="1"/>
  <c r="F2447" i="2" a="1"/>
  <c r="F2447" i="2" s="1"/>
  <c r="F2448" i="2" a="1"/>
  <c r="F2448" i="2" s="1"/>
  <c r="H2448" i="2" s="1" a="1"/>
  <c r="H2448" i="2" s="1"/>
  <c r="F2449" i="2" a="1"/>
  <c r="F2449" i="2" s="1"/>
  <c r="F2450" i="2" a="1"/>
  <c r="F2450" i="2" s="1"/>
  <c r="F2451" i="2" a="1"/>
  <c r="F2451" i="2" s="1"/>
  <c r="F2452" i="2" a="1"/>
  <c r="F2452" i="2" s="1"/>
  <c r="F2453" i="2" a="1"/>
  <c r="F2453" i="2" s="1"/>
  <c r="F2454" i="2" a="1"/>
  <c r="F2454" i="2" s="1"/>
  <c r="F2455" i="2" a="1"/>
  <c r="F2455" i="2" s="1"/>
  <c r="G2455" i="2" s="1" a="1"/>
  <c r="G2455" i="2" s="1"/>
  <c r="F2456" i="2" a="1"/>
  <c r="F2456" i="2" s="1"/>
  <c r="F2457" i="2" a="1"/>
  <c r="F2457" i="2" s="1"/>
  <c r="H2457" i="2" s="1" a="1"/>
  <c r="H2457" i="2" s="1"/>
  <c r="F2458" i="2" a="1"/>
  <c r="F2458" i="2" s="1"/>
  <c r="H2458" i="2" s="1" a="1"/>
  <c r="H2458" i="2" s="1"/>
  <c r="F2459" i="2" a="1"/>
  <c r="F2459" i="2" s="1"/>
  <c r="F2460" i="2" a="1"/>
  <c r="F2460" i="2" s="1"/>
  <c r="F2461" i="2" a="1"/>
  <c r="F2461" i="2" s="1"/>
  <c r="F2462" i="2" a="1"/>
  <c r="F2462" i="2" s="1"/>
  <c r="F2463" i="2" a="1"/>
  <c r="F2463" i="2" s="1"/>
  <c r="F2464" i="2" a="1"/>
  <c r="F2464" i="2" s="1"/>
  <c r="F2465" i="2" a="1"/>
  <c r="F2465" i="2" s="1"/>
  <c r="F2466" i="2" a="1"/>
  <c r="F2466" i="2" s="1"/>
  <c r="F2467" i="2" a="1"/>
  <c r="F2467" i="2" s="1"/>
  <c r="F2468" i="2" a="1"/>
  <c r="F2468" i="2" s="1"/>
  <c r="F2469" i="2" a="1"/>
  <c r="F2469" i="2" s="1"/>
  <c r="F2470" i="2" a="1"/>
  <c r="F2470" i="2" s="1"/>
  <c r="F2471" i="2" a="1"/>
  <c r="F2471" i="2" s="1"/>
  <c r="F2472" i="2" a="1"/>
  <c r="F2472" i="2" s="1"/>
  <c r="F2473" i="2" a="1"/>
  <c r="F2473" i="2" s="1"/>
  <c r="F2474" i="2" a="1"/>
  <c r="F2474" i="2" s="1"/>
  <c r="F2475" i="2" a="1"/>
  <c r="F2475" i="2" s="1"/>
  <c r="F2476" i="2" a="1"/>
  <c r="F2476" i="2" s="1"/>
  <c r="F2477" i="2" a="1"/>
  <c r="F2477" i="2" s="1"/>
  <c r="F2478" i="2" a="1"/>
  <c r="F2478" i="2" s="1"/>
  <c r="F2479" i="2" a="1"/>
  <c r="F2479" i="2" s="1"/>
  <c r="F2480" i="2" a="1"/>
  <c r="F2480" i="2" s="1"/>
  <c r="F2481" i="2" a="1"/>
  <c r="F2481" i="2" s="1"/>
  <c r="F2482" i="2" a="1"/>
  <c r="F2482" i="2" s="1"/>
  <c r="H2482" i="2" s="1" a="1"/>
  <c r="H2482" i="2" s="1"/>
  <c r="F2483" i="2" a="1"/>
  <c r="F2483" i="2" s="1"/>
  <c r="F2484" i="2" a="1"/>
  <c r="F2484" i="2" s="1"/>
  <c r="F2485" i="2" a="1"/>
  <c r="F2485" i="2" s="1"/>
  <c r="F2486" i="2" a="1"/>
  <c r="F2486" i="2" s="1"/>
  <c r="F2487" i="2" a="1"/>
  <c r="F2487" i="2" s="1"/>
  <c r="F2488" i="2" a="1"/>
  <c r="F2488" i="2" s="1"/>
  <c r="H2488" i="2" s="1" a="1"/>
  <c r="H2488" i="2" s="1"/>
  <c r="F2489" i="2" a="1"/>
  <c r="F2489" i="2" s="1"/>
  <c r="F2490" i="2" a="1"/>
  <c r="F2490" i="2" s="1"/>
  <c r="F2491" i="2" a="1"/>
  <c r="F2491" i="2" s="1"/>
  <c r="F2492" i="2" a="1"/>
  <c r="F2492" i="2" s="1"/>
  <c r="F2493" i="2" a="1"/>
  <c r="F2493" i="2" s="1"/>
  <c r="F2494" i="2" a="1"/>
  <c r="F2494" i="2" s="1"/>
  <c r="F2495" i="2" a="1"/>
  <c r="F2495" i="2" s="1"/>
  <c r="F2496" i="2" a="1"/>
  <c r="F2496" i="2" s="1"/>
  <c r="F2497" i="2" a="1"/>
  <c r="F2497" i="2" s="1"/>
  <c r="F2498" i="2" a="1"/>
  <c r="F2498" i="2" s="1"/>
  <c r="F2499" i="2" a="1"/>
  <c r="F2499" i="2" s="1"/>
  <c r="F2500" i="2" a="1"/>
  <c r="F2500" i="2" s="1"/>
  <c r="F2501" i="2" a="1"/>
  <c r="F2501" i="2" s="1"/>
  <c r="F2502" i="2" a="1"/>
  <c r="F2502" i="2" s="1"/>
  <c r="F2503" i="2" a="1"/>
  <c r="F2503" i="2" s="1"/>
  <c r="F2504" i="2" a="1"/>
  <c r="F2504" i="2" s="1"/>
  <c r="F2505" i="2" a="1"/>
  <c r="F2505" i="2" s="1"/>
  <c r="F2506" i="2" a="1"/>
  <c r="F2506" i="2" s="1"/>
  <c r="H2506" i="2" s="1" a="1"/>
  <c r="H2506" i="2" s="1"/>
  <c r="F2507" i="2" a="1"/>
  <c r="F2507" i="2" s="1"/>
  <c r="G2507" i="2" s="1" a="1"/>
  <c r="G2507" i="2" s="1"/>
  <c r="F2508" i="2" a="1"/>
  <c r="F2508" i="2" s="1"/>
  <c r="F2509" i="2" a="1"/>
  <c r="F2509" i="2" s="1"/>
  <c r="H2509" i="2" s="1" a="1"/>
  <c r="H2509" i="2" s="1"/>
  <c r="F2510" i="2" a="1"/>
  <c r="F2510" i="2" s="1"/>
  <c r="F2511" i="2" a="1"/>
  <c r="F2511" i="2" s="1"/>
  <c r="F2512" i="2" a="1"/>
  <c r="F2512" i="2" s="1"/>
  <c r="G2512" i="2" s="1" a="1"/>
  <c r="G2512" i="2" s="1"/>
  <c r="F2513" i="2" a="1"/>
  <c r="F2513" i="2" s="1"/>
  <c r="F2514" i="2" a="1"/>
  <c r="F2514" i="2" s="1"/>
  <c r="F2515" i="2" a="1"/>
  <c r="F2515" i="2" s="1"/>
  <c r="F2516" i="2" a="1"/>
  <c r="F2516" i="2" s="1"/>
  <c r="F2517" i="2" a="1"/>
  <c r="F2517" i="2" s="1"/>
  <c r="F2518" i="2" a="1"/>
  <c r="F2518" i="2" s="1"/>
  <c r="F2519" i="2" a="1"/>
  <c r="F2519" i="2" s="1"/>
  <c r="F2520" i="2" a="1"/>
  <c r="F2520" i="2" s="1"/>
  <c r="F2521" i="2" a="1"/>
  <c r="F2521" i="2" s="1"/>
  <c r="H2521" i="2" s="1" a="1"/>
  <c r="H2521" i="2" s="1"/>
  <c r="F2522" i="2" a="1"/>
  <c r="F2522" i="2" s="1"/>
  <c r="F2523" i="2" a="1"/>
  <c r="F2523" i="2" s="1"/>
  <c r="F2524" i="2" a="1"/>
  <c r="F2524" i="2" s="1"/>
  <c r="F2525" i="2" a="1"/>
  <c r="F2525" i="2" s="1"/>
  <c r="F2526" i="2" a="1"/>
  <c r="F2526" i="2" s="1"/>
  <c r="F2527" i="2" a="1"/>
  <c r="F2527" i="2" s="1"/>
  <c r="F2528" i="2" a="1"/>
  <c r="F2528" i="2" s="1"/>
  <c r="F2529" i="2" a="1"/>
  <c r="F2529" i="2" s="1"/>
  <c r="F2530" i="2" a="1"/>
  <c r="F2530" i="2" s="1"/>
  <c r="F2531" i="2" a="1"/>
  <c r="F2531" i="2" s="1"/>
  <c r="H2531" i="2" s="1" a="1"/>
  <c r="H2531" i="2" s="1"/>
  <c r="F2532" i="2" a="1"/>
  <c r="F2532" i="2" s="1"/>
  <c r="F2533" i="2" a="1"/>
  <c r="F2533" i="2" s="1"/>
  <c r="H2533" i="2" s="1" a="1"/>
  <c r="H2533" i="2" s="1"/>
  <c r="F2534" i="2" a="1"/>
  <c r="F2534" i="2" s="1"/>
  <c r="F2535" i="2" a="1"/>
  <c r="F2535" i="2" s="1"/>
  <c r="F2536" i="2" a="1"/>
  <c r="F2536" i="2" s="1"/>
  <c r="F2537" i="2" a="1"/>
  <c r="F2537" i="2" s="1"/>
  <c r="F2538" i="2" a="1"/>
  <c r="F2538" i="2" s="1"/>
  <c r="F2539" i="2" a="1"/>
  <c r="F2539" i="2" s="1"/>
  <c r="F2540" i="2" a="1"/>
  <c r="F2540" i="2" s="1"/>
  <c r="F2541" i="2" a="1"/>
  <c r="F2541" i="2" s="1"/>
  <c r="F2542" i="2" a="1"/>
  <c r="F2542" i="2" s="1"/>
  <c r="G2542" i="2" s="1" a="1"/>
  <c r="G2542" i="2" s="1"/>
  <c r="F2543" i="2" a="1"/>
  <c r="F2543" i="2" s="1"/>
  <c r="F2544" i="2" a="1"/>
  <c r="F2544" i="2" s="1"/>
  <c r="F2545" i="2" a="1"/>
  <c r="F2545" i="2" s="1"/>
  <c r="F2546" i="2" a="1"/>
  <c r="F2546" i="2" s="1"/>
  <c r="F2547" i="2" a="1"/>
  <c r="F2547" i="2" s="1"/>
  <c r="F2548" i="2" a="1"/>
  <c r="F2548" i="2" s="1"/>
  <c r="F2549" i="2" a="1"/>
  <c r="F2549" i="2" s="1"/>
  <c r="F2550" i="2" a="1"/>
  <c r="F2550" i="2" s="1"/>
  <c r="F2551" i="2" a="1"/>
  <c r="F2551" i="2" s="1"/>
  <c r="F2552" i="2" a="1"/>
  <c r="F2552" i="2" s="1"/>
  <c r="F2553" i="2" a="1"/>
  <c r="F2553" i="2" s="1"/>
  <c r="F2554" i="2" a="1"/>
  <c r="F2554" i="2" s="1"/>
  <c r="F2555" i="2" a="1"/>
  <c r="F2555" i="2" s="1"/>
  <c r="H2555" i="2" s="1" a="1"/>
  <c r="H2555" i="2" s="1"/>
  <c r="F2556" i="2" a="1"/>
  <c r="F2556" i="2" s="1"/>
  <c r="H2556" i="2" s="1" a="1"/>
  <c r="H2556" i="2" s="1"/>
  <c r="F2557" i="2" a="1"/>
  <c r="F2557" i="2" s="1"/>
  <c r="H2557" i="2" s="1" a="1"/>
  <c r="H2557" i="2" s="1"/>
  <c r="F2558" i="2" a="1"/>
  <c r="F2558" i="2" s="1"/>
  <c r="H2558" i="2" s="1" a="1"/>
  <c r="H2558" i="2" s="1"/>
  <c r="F2559" i="2" a="1"/>
  <c r="F2559" i="2" s="1"/>
  <c r="F2560" i="2" a="1"/>
  <c r="F2560" i="2" s="1"/>
  <c r="F2561" i="2" a="1"/>
  <c r="F2561" i="2" s="1"/>
  <c r="F2562" i="2" a="1"/>
  <c r="F2562" i="2" s="1"/>
  <c r="F2563" i="2" a="1"/>
  <c r="F2563" i="2" s="1"/>
  <c r="F2564" i="2" a="1"/>
  <c r="F2564" i="2" s="1"/>
  <c r="F2565" i="2" a="1"/>
  <c r="F2565" i="2" s="1"/>
  <c r="F2566" i="2" a="1"/>
  <c r="F2566" i="2" s="1"/>
  <c r="F2567" i="2" a="1"/>
  <c r="F2567" i="2" s="1"/>
  <c r="F2568" i="2" a="1"/>
  <c r="F2568" i="2" s="1"/>
  <c r="F2569" i="2" a="1"/>
  <c r="F2569" i="2" s="1"/>
  <c r="F2570" i="2" a="1"/>
  <c r="F2570" i="2" s="1"/>
  <c r="H2570" i="2" s="1" a="1"/>
  <c r="H2570" i="2" s="1"/>
  <c r="F2571" i="2" a="1"/>
  <c r="F2571" i="2" s="1"/>
  <c r="G2571" i="2" s="1" a="1"/>
  <c r="G2571" i="2" s="1"/>
  <c r="F2572" i="2" a="1"/>
  <c r="F2572" i="2" s="1"/>
  <c r="F2573" i="2" a="1"/>
  <c r="F2573" i="2" s="1"/>
  <c r="H2573" i="2" s="1" a="1"/>
  <c r="H2573" i="2" s="1"/>
  <c r="F2574" i="2" a="1"/>
  <c r="F2574" i="2" s="1"/>
  <c r="F2575" i="2" a="1"/>
  <c r="F2575" i="2" s="1"/>
  <c r="F2576" i="2" a="1"/>
  <c r="F2576" i="2" s="1"/>
  <c r="F2577" i="2" a="1"/>
  <c r="F2577" i="2" s="1"/>
  <c r="F2578" i="2" a="1"/>
  <c r="F2578" i="2" s="1"/>
  <c r="F2579" i="2" a="1"/>
  <c r="F2579" i="2" s="1"/>
  <c r="F2580" i="2" a="1"/>
  <c r="F2580" i="2" s="1"/>
  <c r="F2581" i="2" a="1"/>
  <c r="F2581" i="2" s="1"/>
  <c r="F2582" i="2" a="1"/>
  <c r="F2582" i="2" s="1"/>
  <c r="F2583" i="2" a="1"/>
  <c r="F2583" i="2" s="1"/>
  <c r="F2584" i="2" a="1"/>
  <c r="F2584" i="2" s="1"/>
  <c r="F2585" i="2" a="1"/>
  <c r="F2585" i="2" s="1"/>
  <c r="F2586" i="2" a="1"/>
  <c r="F2586" i="2" s="1"/>
  <c r="F2587" i="2" a="1"/>
  <c r="F2587" i="2" s="1"/>
  <c r="F2588" i="2" a="1"/>
  <c r="F2588" i="2" s="1"/>
  <c r="F2589" i="2" a="1"/>
  <c r="F2589" i="2" s="1"/>
  <c r="F2590" i="2" a="1"/>
  <c r="F2590" i="2" s="1"/>
  <c r="H2590" i="2" s="1" a="1"/>
  <c r="H2590" i="2" s="1"/>
  <c r="F2591" i="2" a="1"/>
  <c r="F2591" i="2" s="1"/>
  <c r="F2592" i="2" a="1"/>
  <c r="F2592" i="2" s="1"/>
  <c r="F2593" i="2" a="1"/>
  <c r="F2593" i="2" s="1"/>
  <c r="F2594" i="2" a="1"/>
  <c r="F2594" i="2" s="1"/>
  <c r="H2594" i="2" s="1" a="1"/>
  <c r="H2594" i="2" s="1"/>
  <c r="F2595" i="2" a="1"/>
  <c r="F2595" i="2" s="1"/>
  <c r="F2596" i="2" a="1"/>
  <c r="F2596" i="2" s="1"/>
  <c r="F2597" i="2" a="1"/>
  <c r="F2597" i="2" s="1"/>
  <c r="F2598" i="2" a="1"/>
  <c r="F2598" i="2" s="1"/>
  <c r="F2599" i="2" a="1"/>
  <c r="F2599" i="2" s="1"/>
  <c r="F2600" i="2" a="1"/>
  <c r="F2600" i="2" s="1"/>
  <c r="G2600" i="2" s="1" a="1"/>
  <c r="G2600" i="2" s="1"/>
  <c r="F2601" i="2" a="1"/>
  <c r="F2601" i="2" s="1"/>
  <c r="G2601" i="2" s="1" a="1"/>
  <c r="G2601" i="2" s="1"/>
  <c r="F2602" i="2" a="1"/>
  <c r="F2602" i="2" s="1"/>
  <c r="F2603" i="2" a="1"/>
  <c r="F2603" i="2" s="1"/>
  <c r="F2604" i="2" a="1"/>
  <c r="F2604" i="2" s="1"/>
  <c r="F2605" i="2" a="1"/>
  <c r="F2605" i="2" s="1"/>
  <c r="F2606" i="2" a="1"/>
  <c r="F2606" i="2" s="1"/>
  <c r="F2607" i="2" a="1"/>
  <c r="F2607" i="2" s="1"/>
  <c r="F2608" i="2" a="1"/>
  <c r="F2608" i="2" s="1"/>
  <c r="F2609" i="2" a="1"/>
  <c r="F2609" i="2" s="1"/>
  <c r="H2609" i="2" s="1" a="1"/>
  <c r="H2609" i="2" s="1"/>
  <c r="F2610" i="2" a="1"/>
  <c r="F2610" i="2" s="1"/>
  <c r="F2611" i="2" a="1"/>
  <c r="F2611" i="2" s="1"/>
  <c r="F2612" i="2" a="1"/>
  <c r="F2612" i="2" s="1"/>
  <c r="F2613" i="2" a="1"/>
  <c r="F2613" i="2" s="1"/>
  <c r="F2614" i="2" a="1"/>
  <c r="F2614" i="2" s="1"/>
  <c r="H2614" i="2" s="1" a="1"/>
  <c r="H2614" i="2" s="1"/>
  <c r="F2615" i="2" a="1"/>
  <c r="F2615" i="2" s="1"/>
  <c r="F2616" i="2" a="1"/>
  <c r="F2616" i="2" s="1"/>
  <c r="F2617" i="2" a="1"/>
  <c r="F2617" i="2" s="1"/>
  <c r="F2618" i="2" a="1"/>
  <c r="F2618" i="2" s="1"/>
  <c r="F2619" i="2" a="1"/>
  <c r="F2619" i="2" s="1"/>
  <c r="F2620" i="2" a="1"/>
  <c r="F2620" i="2" s="1"/>
  <c r="H2620" i="2" s="1" a="1"/>
  <c r="H2620" i="2" s="1"/>
  <c r="F2621" i="2" a="1"/>
  <c r="F2621" i="2" s="1"/>
  <c r="G2621" i="2" s="1" a="1"/>
  <c r="G2621" i="2" s="1"/>
  <c r="F2622" i="2" a="1"/>
  <c r="F2622" i="2" s="1"/>
  <c r="F2623" i="2" a="1"/>
  <c r="F2623" i="2" s="1"/>
  <c r="F2624" i="2" a="1"/>
  <c r="F2624" i="2" s="1"/>
  <c r="F2625" i="2" a="1"/>
  <c r="F2625" i="2" s="1"/>
  <c r="F2626" i="2" a="1"/>
  <c r="F2626" i="2" s="1"/>
  <c r="F2627" i="2" a="1"/>
  <c r="F2627" i="2" s="1"/>
  <c r="H2627" i="2" s="1" a="1"/>
  <c r="H2627" i="2" s="1"/>
  <c r="F2628" i="2" a="1"/>
  <c r="F2628" i="2" s="1"/>
  <c r="H2628" i="2" s="1" a="1"/>
  <c r="H2628" i="2" s="1"/>
  <c r="F2629" i="2" a="1"/>
  <c r="F2629" i="2" s="1"/>
  <c r="F2630" i="2" a="1"/>
  <c r="F2630" i="2" s="1"/>
  <c r="F2631" i="2" a="1"/>
  <c r="F2631" i="2" s="1"/>
  <c r="F2632" i="2" a="1"/>
  <c r="F2632" i="2" s="1"/>
  <c r="F2633" i="2" a="1"/>
  <c r="F2633" i="2" s="1"/>
  <c r="F2634" i="2" a="1"/>
  <c r="F2634" i="2" s="1"/>
  <c r="F2635" i="2" a="1"/>
  <c r="F2635" i="2" s="1"/>
  <c r="F2636" i="2" a="1"/>
  <c r="F2636" i="2" s="1"/>
  <c r="F2637" i="2" a="1"/>
  <c r="F2637" i="2" s="1"/>
  <c r="F2638" i="2" a="1"/>
  <c r="F2638" i="2" s="1"/>
  <c r="F2639" i="2" a="1"/>
  <c r="F2639" i="2" s="1"/>
  <c r="F2640" i="2" a="1"/>
  <c r="F2640" i="2" s="1"/>
  <c r="F2641" i="2" a="1"/>
  <c r="F2641" i="2" s="1"/>
  <c r="F2642" i="2" a="1"/>
  <c r="F2642" i="2" s="1"/>
  <c r="F2643" i="2" a="1"/>
  <c r="F2643" i="2" s="1"/>
  <c r="F2644" i="2" a="1"/>
  <c r="F2644" i="2" s="1"/>
  <c r="F2645" i="2" a="1"/>
  <c r="F2645" i="2" s="1"/>
  <c r="F2646" i="2" a="1"/>
  <c r="F2646" i="2" s="1"/>
  <c r="F2647" i="2" a="1"/>
  <c r="F2647" i="2" s="1"/>
  <c r="F2648" i="2" a="1"/>
  <c r="F2648" i="2" s="1"/>
  <c r="F2649" i="2" a="1"/>
  <c r="F2649" i="2" s="1"/>
  <c r="G2649" i="2" s="1" a="1"/>
  <c r="G2649" i="2" s="1"/>
  <c r="F2650" i="2" a="1"/>
  <c r="F2650" i="2" s="1"/>
  <c r="G2650" i="2" s="1" a="1"/>
  <c r="G2650" i="2" s="1"/>
  <c r="F2651" i="2" a="1"/>
  <c r="F2651" i="2" s="1"/>
  <c r="F2652" i="2" a="1"/>
  <c r="F2652" i="2" s="1"/>
  <c r="H2652" i="2" s="1" a="1"/>
  <c r="H2652" i="2" s="1"/>
  <c r="F2653" i="2" a="1"/>
  <c r="F2653" i="2" s="1"/>
  <c r="F2654" i="2" a="1"/>
  <c r="F2654" i="2" s="1"/>
  <c r="G2654" i="2" s="1" a="1"/>
  <c r="G2654" i="2" s="1"/>
  <c r="F2655" i="2" a="1"/>
  <c r="F2655" i="2" s="1"/>
  <c r="F2656" i="2" a="1"/>
  <c r="F2656" i="2" s="1"/>
  <c r="F2657" i="2" a="1"/>
  <c r="F2657" i="2" s="1"/>
  <c r="F2658" i="2" a="1"/>
  <c r="F2658" i="2" s="1"/>
  <c r="F2659" i="2" a="1"/>
  <c r="F2659" i="2" s="1"/>
  <c r="F2660" i="2" a="1"/>
  <c r="F2660" i="2" s="1"/>
  <c r="F2661" i="2" a="1"/>
  <c r="F2661" i="2" s="1"/>
  <c r="F2662" i="2" a="1"/>
  <c r="F2662" i="2" s="1"/>
  <c r="F2663" i="2" a="1"/>
  <c r="F2663" i="2" s="1"/>
  <c r="F2664" i="2" a="1"/>
  <c r="F2664" i="2" s="1"/>
  <c r="H2664" i="2" s="1" a="1"/>
  <c r="H2664" i="2" s="1"/>
  <c r="F2665" i="2" a="1"/>
  <c r="F2665" i="2" s="1"/>
  <c r="F2666" i="2" a="1"/>
  <c r="F2666" i="2" s="1"/>
  <c r="F2667" i="2" a="1"/>
  <c r="F2667" i="2" s="1"/>
  <c r="F2668" i="2" a="1"/>
  <c r="F2668" i="2" s="1"/>
  <c r="F2669" i="2" a="1"/>
  <c r="F2669" i="2" s="1"/>
  <c r="F2670" i="2" a="1"/>
  <c r="F2670" i="2" s="1"/>
  <c r="F2671" i="2" a="1"/>
  <c r="F2671" i="2" s="1"/>
  <c r="F2672" i="2" a="1"/>
  <c r="F2672" i="2" s="1"/>
  <c r="F2673" i="2" a="1"/>
  <c r="F2673" i="2" s="1"/>
  <c r="H2673" i="2" s="1" a="1"/>
  <c r="H2673" i="2" s="1"/>
  <c r="F2674" i="2" a="1"/>
  <c r="F2674" i="2" s="1"/>
  <c r="H2674" i="2" s="1" a="1"/>
  <c r="H2674" i="2" s="1"/>
  <c r="F2675" i="2" a="1"/>
  <c r="F2675" i="2" s="1"/>
  <c r="F2676" i="2" a="1"/>
  <c r="F2676" i="2" s="1"/>
  <c r="F2677" i="2" a="1"/>
  <c r="F2677" i="2" s="1"/>
  <c r="F2678" i="2" a="1"/>
  <c r="F2678" i="2" s="1"/>
  <c r="F2679" i="2" a="1"/>
  <c r="F2679" i="2" s="1"/>
  <c r="F2680" i="2" a="1"/>
  <c r="F2680" i="2" s="1"/>
  <c r="F2681" i="2" a="1"/>
  <c r="F2681" i="2" s="1"/>
  <c r="F2682" i="2" a="1"/>
  <c r="F2682" i="2" s="1"/>
  <c r="F2683" i="2" a="1"/>
  <c r="F2683" i="2" s="1"/>
  <c r="F2684" i="2" a="1"/>
  <c r="F2684" i="2" s="1"/>
  <c r="F2685" i="2" a="1"/>
  <c r="F2685" i="2" s="1"/>
  <c r="F2686" i="2" a="1"/>
  <c r="F2686" i="2" s="1"/>
  <c r="F2687" i="2" a="1"/>
  <c r="F2687" i="2" s="1"/>
  <c r="F2688" i="2" a="1"/>
  <c r="F2688" i="2" s="1"/>
  <c r="F2689" i="2" a="1"/>
  <c r="F2689" i="2" s="1"/>
  <c r="F2690" i="2" a="1"/>
  <c r="F2690" i="2" s="1"/>
  <c r="F2691" i="2" a="1"/>
  <c r="F2691" i="2" s="1"/>
  <c r="F2692" i="2" a="1"/>
  <c r="F2692" i="2" s="1"/>
  <c r="F2693" i="2" a="1"/>
  <c r="F2693" i="2" s="1"/>
  <c r="F2694" i="2" a="1"/>
  <c r="F2694" i="2" s="1"/>
  <c r="F2695" i="2" a="1"/>
  <c r="F2695" i="2" s="1"/>
  <c r="F2696" i="2" a="1"/>
  <c r="F2696" i="2" s="1"/>
  <c r="F2697" i="2" a="1"/>
  <c r="F2697" i="2" s="1"/>
  <c r="F2698" i="2" a="1"/>
  <c r="F2698" i="2" s="1"/>
  <c r="F2699" i="2" a="1"/>
  <c r="F2699" i="2" s="1"/>
  <c r="F2700" i="2" a="1"/>
  <c r="F2700" i="2" s="1"/>
  <c r="F2701" i="2" a="1"/>
  <c r="F2701" i="2" s="1"/>
  <c r="F2702" i="2" a="1"/>
  <c r="F2702" i="2" s="1"/>
  <c r="F2703" i="2" a="1"/>
  <c r="F2703" i="2" s="1"/>
  <c r="F2704" i="2" a="1"/>
  <c r="F2704" i="2" s="1"/>
  <c r="F2705" i="2" a="1"/>
  <c r="F2705" i="2" s="1"/>
  <c r="F2706" i="2" a="1"/>
  <c r="F2706" i="2" s="1"/>
  <c r="F2707" i="2" a="1"/>
  <c r="F2707" i="2" s="1"/>
  <c r="F2708" i="2" a="1"/>
  <c r="F2708" i="2" s="1"/>
  <c r="F2709" i="2" a="1"/>
  <c r="F2709" i="2" s="1"/>
  <c r="F2710" i="2" a="1"/>
  <c r="F2710" i="2" s="1"/>
  <c r="H2710" i="2" s="1" a="1"/>
  <c r="H2710" i="2" s="1"/>
  <c r="F2711" i="2" a="1"/>
  <c r="F2711" i="2" s="1"/>
  <c r="H2711" i="2" s="1" a="1"/>
  <c r="H2711" i="2" s="1"/>
  <c r="F2712" i="2" a="1"/>
  <c r="F2712" i="2" s="1"/>
  <c r="H2712" i="2" s="1" a="1"/>
  <c r="H2712" i="2" s="1"/>
  <c r="F2713" i="2" a="1"/>
  <c r="F2713" i="2" s="1"/>
  <c r="F2714" i="2" a="1"/>
  <c r="F2714" i="2" s="1"/>
  <c r="F2715" i="2" a="1"/>
  <c r="F2715" i="2" s="1"/>
  <c r="F2716" i="2" a="1"/>
  <c r="F2716" i="2" s="1"/>
  <c r="F2717" i="2" a="1"/>
  <c r="F2717" i="2" s="1"/>
  <c r="F2718" i="2" a="1"/>
  <c r="F2718" i="2" s="1"/>
  <c r="F2719" i="2" a="1"/>
  <c r="F2719" i="2" s="1"/>
  <c r="F2720" i="2" a="1"/>
  <c r="F2720" i="2" s="1"/>
  <c r="F2721" i="2" a="1"/>
  <c r="F2721" i="2" s="1"/>
  <c r="H2721" i="2" s="1" a="1"/>
  <c r="H2721" i="2" s="1"/>
  <c r="F2722" i="2" a="1"/>
  <c r="F2722" i="2" s="1"/>
  <c r="F2723" i="2" a="1"/>
  <c r="F2723" i="2" s="1"/>
  <c r="F2724" i="2" a="1"/>
  <c r="F2724" i="2" s="1"/>
  <c r="F2725" i="2" a="1"/>
  <c r="F2725" i="2" s="1"/>
  <c r="F2726" i="2" a="1"/>
  <c r="F2726" i="2" s="1"/>
  <c r="F2727" i="2" a="1"/>
  <c r="F2727" i="2" s="1"/>
  <c r="F2728" i="2" a="1"/>
  <c r="F2728" i="2" s="1"/>
  <c r="H2728" i="2" s="1" a="1"/>
  <c r="H2728" i="2" s="1"/>
  <c r="F2729" i="2" a="1"/>
  <c r="F2729" i="2" s="1"/>
  <c r="F2730" i="2" a="1"/>
  <c r="F2730" i="2" s="1"/>
  <c r="F2731" i="2" a="1"/>
  <c r="F2731" i="2" s="1"/>
  <c r="F2732" i="2" a="1"/>
  <c r="F2732" i="2" s="1"/>
  <c r="F2733" i="2" a="1"/>
  <c r="F2733" i="2" s="1"/>
  <c r="H2733" i="2" s="1" a="1"/>
  <c r="H2733" i="2" s="1"/>
  <c r="F2734" i="2" a="1"/>
  <c r="F2734" i="2" s="1"/>
  <c r="F2735" i="2" a="1"/>
  <c r="F2735" i="2" s="1"/>
  <c r="F2736" i="2" a="1"/>
  <c r="F2736" i="2" s="1"/>
  <c r="F2737" i="2" a="1"/>
  <c r="F2737" i="2" s="1"/>
  <c r="F2738" i="2" a="1"/>
  <c r="F2738" i="2" s="1"/>
  <c r="F2739" i="2" a="1"/>
  <c r="F2739" i="2" s="1"/>
  <c r="F2740" i="2" a="1"/>
  <c r="F2740" i="2" s="1"/>
  <c r="F2741" i="2" a="1"/>
  <c r="F2741" i="2" s="1"/>
  <c r="F2742" i="2" a="1"/>
  <c r="F2742" i="2" s="1"/>
  <c r="H2742" i="2" s="1" a="1"/>
  <c r="H2742" i="2" s="1"/>
  <c r="F2743" i="2" a="1"/>
  <c r="F2743" i="2" s="1"/>
  <c r="F2744" i="2" a="1"/>
  <c r="F2744" i="2" s="1"/>
  <c r="F2745" i="2" a="1"/>
  <c r="F2745" i="2" s="1"/>
  <c r="F2746" i="2" a="1"/>
  <c r="F2746" i="2" s="1"/>
  <c r="F2747" i="2" a="1"/>
  <c r="F2747" i="2" s="1"/>
  <c r="F2748" i="2" a="1"/>
  <c r="F2748" i="2" s="1"/>
  <c r="F2749" i="2" a="1"/>
  <c r="F2749" i="2" s="1"/>
  <c r="F2750" i="2" a="1"/>
  <c r="F2750" i="2" s="1"/>
  <c r="F2751" i="2" a="1"/>
  <c r="F2751" i="2" s="1"/>
  <c r="F2752" i="2" a="1"/>
  <c r="F2752" i="2" s="1"/>
  <c r="H2752" i="2" s="1" a="1"/>
  <c r="H2752" i="2" s="1"/>
  <c r="F2753" i="2" a="1"/>
  <c r="F2753" i="2" s="1"/>
  <c r="F2754" i="2" a="1"/>
  <c r="F2754" i="2" s="1"/>
  <c r="F2755" i="2" a="1"/>
  <c r="F2755" i="2" s="1"/>
  <c r="F2756" i="2" a="1"/>
  <c r="F2756" i="2" s="1"/>
  <c r="F2757" i="2" a="1"/>
  <c r="F2757" i="2" s="1"/>
  <c r="F2758" i="2" a="1"/>
  <c r="F2758" i="2" s="1"/>
  <c r="H2758" i="2" s="1" a="1"/>
  <c r="H2758" i="2" s="1"/>
  <c r="F2759" i="2" a="1"/>
  <c r="F2759" i="2" s="1"/>
  <c r="F2760" i="2" a="1"/>
  <c r="F2760" i="2" s="1"/>
  <c r="F2761" i="2" a="1"/>
  <c r="F2761" i="2" s="1"/>
  <c r="F2762" i="2" a="1"/>
  <c r="F2762" i="2" s="1"/>
  <c r="F2763" i="2" a="1"/>
  <c r="F2763" i="2" s="1"/>
  <c r="F2764" i="2" a="1"/>
  <c r="F2764" i="2" s="1"/>
  <c r="F2765" i="2" a="1"/>
  <c r="F2765" i="2" s="1"/>
  <c r="H2765" i="2" s="1" a="1"/>
  <c r="H2765" i="2" s="1"/>
  <c r="F2766" i="2" a="1"/>
  <c r="F2766" i="2" s="1"/>
  <c r="H2766" i="2" s="1" a="1"/>
  <c r="H2766" i="2" s="1"/>
  <c r="F2767" i="2" a="1"/>
  <c r="F2767" i="2" s="1"/>
  <c r="F2768" i="2" a="1"/>
  <c r="F2768" i="2" s="1"/>
  <c r="F2769" i="2" a="1"/>
  <c r="F2769" i="2" s="1"/>
  <c r="F2770" i="2" a="1"/>
  <c r="F2770" i="2" s="1"/>
  <c r="F2771" i="2" a="1"/>
  <c r="F2771" i="2" s="1"/>
  <c r="F2772" i="2" a="1"/>
  <c r="F2772" i="2" s="1"/>
  <c r="F2773" i="2" a="1"/>
  <c r="F2773" i="2" s="1"/>
  <c r="F2774" i="2" a="1"/>
  <c r="F2774" i="2" s="1"/>
  <c r="F2775" i="2" a="1"/>
  <c r="F2775" i="2" s="1"/>
  <c r="F2776" i="2" a="1"/>
  <c r="F2776" i="2" s="1"/>
  <c r="H2776" i="2" s="1" a="1"/>
  <c r="H2776" i="2" s="1"/>
  <c r="F2777" i="2" a="1"/>
  <c r="F2777" i="2" s="1"/>
  <c r="F2778" i="2" a="1"/>
  <c r="F2778" i="2" s="1"/>
  <c r="F2779" i="2" a="1"/>
  <c r="F2779" i="2" s="1"/>
  <c r="F2780" i="2" a="1"/>
  <c r="F2780" i="2" s="1"/>
  <c r="H2780" i="2" s="1" a="1"/>
  <c r="H2780" i="2" s="1"/>
  <c r="F2781" i="2" a="1"/>
  <c r="F2781" i="2" s="1"/>
  <c r="H2781" i="2" s="1" a="1"/>
  <c r="H2781" i="2" s="1"/>
  <c r="F2782" i="2" a="1"/>
  <c r="F2782" i="2" s="1"/>
  <c r="H2782" i="2" s="1" a="1"/>
  <c r="H2782" i="2" s="1"/>
  <c r="D2" i="6" a="1"/>
  <c r="D2" i="6" s="1"/>
  <c r="F2" i="6" s="1" a="1"/>
  <c r="F2" i="6" s="1"/>
  <c r="D3" i="6" a="1"/>
  <c r="D3" i="6" s="1"/>
  <c r="E3" i="6" s="1" a="1"/>
  <c r="E3" i="6" s="1"/>
  <c r="D4" i="6" a="1"/>
  <c r="D4" i="6" s="1"/>
  <c r="E4" i="6" s="1" a="1"/>
  <c r="E4" i="6" s="1"/>
  <c r="D5" i="6" a="1"/>
  <c r="D5" i="6" s="1"/>
  <c r="D6" i="6" a="1"/>
  <c r="D6" i="6" s="1"/>
  <c r="D7" i="6" a="1"/>
  <c r="D7" i="6" s="1"/>
  <c r="F7" i="6" s="1" a="1"/>
  <c r="F7" i="6" s="1"/>
  <c r="D8" i="6" a="1"/>
  <c r="D8" i="6" s="1"/>
  <c r="F8" i="6" s="1" a="1"/>
  <c r="F8" i="6" s="1"/>
  <c r="D9" i="6" a="1"/>
  <c r="D9" i="6" s="1"/>
  <c r="E9" i="6" s="1" a="1"/>
  <c r="E9" i="6" s="1"/>
  <c r="D10" i="6" a="1"/>
  <c r="D10" i="6" s="1"/>
  <c r="D11" i="6" a="1"/>
  <c r="D11" i="6" s="1"/>
  <c r="F11" i="6" s="1" a="1"/>
  <c r="F11" i="6" s="1"/>
  <c r="D12" i="6" a="1"/>
  <c r="D12" i="6" s="1"/>
  <c r="F12" i="6" s="1" a="1"/>
  <c r="F12" i="6" s="1"/>
  <c r="D13" i="6" a="1"/>
  <c r="D13" i="6" s="1"/>
  <c r="F13" i="6" s="1" a="1"/>
  <c r="F13" i="6" s="1"/>
  <c r="D14" i="6" a="1"/>
  <c r="D14" i="6" s="1"/>
  <c r="D15" i="6" a="1"/>
  <c r="D15" i="6" s="1"/>
  <c r="F15" i="6" s="1" a="1"/>
  <c r="F15" i="6" s="1"/>
  <c r="D16" i="6" a="1"/>
  <c r="D16" i="6" s="1"/>
  <c r="F16" i="6" s="1" a="1"/>
  <c r="F16" i="6" s="1"/>
  <c r="D17" i="6" a="1"/>
  <c r="D17" i="6" s="1"/>
  <c r="E17" i="6" s="1" a="1"/>
  <c r="E17" i="6" s="1"/>
  <c r="D18" i="6" a="1"/>
  <c r="D18" i="6" s="1"/>
  <c r="D19" i="6" a="1"/>
  <c r="D19" i="6" s="1"/>
  <c r="F19" i="6" s="1" a="1"/>
  <c r="F19" i="6" s="1"/>
  <c r="D20" i="6" a="1"/>
  <c r="D20" i="6" s="1"/>
  <c r="F20" i="6" s="1" a="1"/>
  <c r="F20" i="6" s="1"/>
  <c r="D21" i="6" a="1"/>
  <c r="D21" i="6" s="1"/>
  <c r="E21" i="6" s="1" a="1"/>
  <c r="E21" i="6" s="1"/>
  <c r="D22" i="6" a="1"/>
  <c r="D22" i="6" s="1"/>
  <c r="E22" i="6" s="1" a="1"/>
  <c r="E22" i="6" s="1"/>
  <c r="D23" i="6" a="1"/>
  <c r="D23" i="6" s="1"/>
  <c r="F23" i="6" s="1" a="1"/>
  <c r="F23" i="6" s="1"/>
  <c r="D24" i="6" a="1"/>
  <c r="D24" i="6" s="1"/>
  <c r="D25" i="6" a="1"/>
  <c r="D25" i="6" s="1"/>
  <c r="D26" i="6" a="1"/>
  <c r="D26" i="6" s="1"/>
  <c r="F26" i="6" s="1" a="1"/>
  <c r="F26" i="6" s="1"/>
  <c r="D27" i="6" a="1"/>
  <c r="D27" i="6" s="1"/>
  <c r="F27" i="6" s="1" a="1"/>
  <c r="F27" i="6" s="1"/>
  <c r="D28" i="6" a="1"/>
  <c r="D28" i="6" s="1"/>
  <c r="D29" i="6" a="1"/>
  <c r="D29" i="6" s="1"/>
  <c r="F29" i="6" s="1" a="1"/>
  <c r="F29" i="6" s="1"/>
  <c r="D30" i="6" a="1"/>
  <c r="D30" i="6" s="1"/>
  <c r="F30" i="6" s="1" a="1"/>
  <c r="F30" i="6" s="1"/>
  <c r="D31" i="6" a="1"/>
  <c r="D31" i="6" s="1"/>
  <c r="E31" i="6" s="1" a="1"/>
  <c r="E31" i="6" s="1"/>
  <c r="D32" i="6" a="1"/>
  <c r="D32" i="6" s="1"/>
  <c r="D33" i="6" a="1"/>
  <c r="D33" i="6" s="1"/>
  <c r="D34" i="6" a="1"/>
  <c r="D34" i="6" s="1"/>
  <c r="E34" i="6" s="1" a="1"/>
  <c r="E34" i="6" s="1"/>
  <c r="D35" i="6" a="1"/>
  <c r="D35" i="6" s="1"/>
  <c r="D36" i="6" a="1"/>
  <c r="D36" i="6" s="1"/>
  <c r="E36" i="6" s="1" a="1"/>
  <c r="E36" i="6" s="1"/>
  <c r="D37" i="6" a="1"/>
  <c r="D37" i="6" s="1"/>
  <c r="D38" i="6" a="1"/>
  <c r="D38" i="6" s="1"/>
  <c r="D39" i="6" a="1"/>
  <c r="D39" i="6" s="1"/>
  <c r="F39" i="6" s="1" a="1"/>
  <c r="F39" i="6" s="1"/>
  <c r="D40" i="6" a="1"/>
  <c r="D40" i="6" s="1"/>
  <c r="D41" i="6" a="1"/>
  <c r="D41" i="6" s="1"/>
  <c r="F41" i="6" s="1" a="1"/>
  <c r="F41" i="6" s="1"/>
  <c r="D42" i="6" a="1"/>
  <c r="D42" i="6" s="1"/>
  <c r="F42" i="6" s="1" a="1"/>
  <c r="F42" i="6" s="1"/>
  <c r="D43" i="6" a="1"/>
  <c r="D43" i="6" s="1"/>
  <c r="F43" i="6" s="1" a="1"/>
  <c r="F43" i="6" s="1"/>
  <c r="D44" i="6" a="1"/>
  <c r="D44" i="6" s="1"/>
  <c r="F44" i="6" s="1" a="1"/>
  <c r="F44" i="6" s="1"/>
  <c r="D45" i="6" a="1"/>
  <c r="D45" i="6" s="1"/>
  <c r="E45" i="6" s="1" a="1"/>
  <c r="E45" i="6" s="1"/>
  <c r="D46" i="6" a="1"/>
  <c r="D46" i="6" s="1"/>
  <c r="E46" i="6" s="1" a="1"/>
  <c r="E46" i="6" s="1"/>
  <c r="D47" i="6" a="1"/>
  <c r="D47" i="6" s="1"/>
  <c r="F47" i="6" s="1" a="1"/>
  <c r="F47" i="6" s="1"/>
  <c r="D48" i="6" a="1"/>
  <c r="D48" i="6" s="1"/>
  <c r="D49" i="6" a="1"/>
  <c r="D49" i="6" s="1"/>
  <c r="D50" i="6" a="1"/>
  <c r="D50" i="6" s="1"/>
  <c r="F50" i="6" s="1" a="1"/>
  <c r="F50" i="6" s="1"/>
  <c r="D51" i="6" a="1"/>
  <c r="D51" i="6" s="1"/>
  <c r="E51" i="6" s="1" a="1"/>
  <c r="E51" i="6" s="1"/>
  <c r="D52" i="6" a="1"/>
  <c r="D52" i="6" s="1"/>
  <c r="E52" i="6" s="1" a="1"/>
  <c r="E52" i="6" s="1"/>
  <c r="D53" i="6" a="1"/>
  <c r="D53" i="6" s="1"/>
  <c r="E53" i="6" s="1" a="1"/>
  <c r="E53" i="6" s="1"/>
  <c r="D54" i="6" a="1"/>
  <c r="D54" i="6" s="1"/>
  <c r="F54" i="6" s="1" a="1"/>
  <c r="F54" i="6" s="1"/>
  <c r="D55" i="6" a="1"/>
  <c r="D55" i="6" s="1"/>
  <c r="D56" i="6" a="1"/>
  <c r="D56" i="6" s="1"/>
  <c r="E56" i="6" s="1" a="1"/>
  <c r="E56" i="6" s="1"/>
  <c r="D57" i="6" a="1"/>
  <c r="D57" i="6" s="1"/>
  <c r="F57" i="6" s="1" a="1"/>
  <c r="F57" i="6" s="1"/>
  <c r="D58" i="6" a="1"/>
  <c r="D58" i="6" s="1"/>
  <c r="F58" i="6" s="1" a="1"/>
  <c r="F58" i="6" s="1"/>
  <c r="D59" i="6" a="1"/>
  <c r="D59" i="6" s="1"/>
  <c r="D60" i="6" a="1"/>
  <c r="D60" i="6" s="1"/>
  <c r="D61" i="6" a="1"/>
  <c r="D61" i="6" s="1"/>
  <c r="D62" i="6" a="1"/>
  <c r="D62" i="6" s="1"/>
  <c r="D63" i="6" a="1"/>
  <c r="D63" i="6" s="1"/>
  <c r="F63" i="6" s="1" a="1"/>
  <c r="F63" i="6" s="1"/>
  <c r="D64" i="6" a="1"/>
  <c r="D64" i="6" s="1"/>
  <c r="D65" i="6" a="1"/>
  <c r="D65" i="6" s="1"/>
  <c r="F65" i="6" s="1" a="1"/>
  <c r="F65" i="6" s="1"/>
  <c r="D66" i="6" a="1"/>
  <c r="D66" i="6" s="1"/>
  <c r="D67" i="6" a="1"/>
  <c r="D67" i="6" s="1"/>
  <c r="F67" i="6" s="1" a="1"/>
  <c r="F67" i="6" s="1"/>
  <c r="D68" i="6" a="1"/>
  <c r="D68" i="6" s="1"/>
  <c r="F68" i="6" s="1" a="1"/>
  <c r="F68" i="6" s="1"/>
  <c r="D69" i="6" a="1"/>
  <c r="D69" i="6" s="1"/>
  <c r="F69" i="6" s="1" a="1"/>
  <c r="F69" i="6" s="1"/>
  <c r="D70" i="6" a="1"/>
  <c r="D70" i="6" s="1"/>
  <c r="E70" i="6" s="1" a="1"/>
  <c r="E70" i="6" s="1"/>
  <c r="D71" i="6" a="1"/>
  <c r="D71" i="6" s="1"/>
  <c r="E71" i="6" s="1" a="1"/>
  <c r="E71" i="6" s="1"/>
  <c r="D72" i="6" a="1"/>
  <c r="D72" i="6" s="1"/>
  <c r="F72" i="6" s="1" a="1"/>
  <c r="F72" i="6" s="1"/>
  <c r="D73" i="6" a="1"/>
  <c r="D73" i="6" s="1"/>
  <c r="F73" i="6" s="1" a="1"/>
  <c r="F73" i="6" s="1"/>
  <c r="D74" i="6" a="1"/>
  <c r="D74" i="6" s="1"/>
  <c r="D75" i="6" a="1"/>
  <c r="D75" i="6" s="1"/>
  <c r="F75" i="6" s="1" a="1"/>
  <c r="F75" i="6" s="1"/>
  <c r="D76" i="6" a="1"/>
  <c r="D76" i="6" s="1"/>
  <c r="D77" i="6" a="1"/>
  <c r="D77" i="6" s="1"/>
  <c r="E77" i="6" s="1" a="1"/>
  <c r="E77" i="6" s="1"/>
  <c r="D78" i="6" a="1"/>
  <c r="D78" i="6" s="1"/>
  <c r="F78" i="6" s="1" a="1"/>
  <c r="F78" i="6" s="1"/>
  <c r="D79" i="6" a="1"/>
  <c r="D79" i="6" s="1"/>
  <c r="F79" i="6" s="1" a="1"/>
  <c r="F79" i="6" s="1"/>
  <c r="D80" i="6" a="1"/>
  <c r="D80" i="6" s="1"/>
  <c r="F80" i="6" s="1" a="1"/>
  <c r="F80" i="6" s="1"/>
  <c r="D81" i="6" a="1"/>
  <c r="D81" i="6" s="1"/>
  <c r="E81" i="6" s="1" a="1"/>
  <c r="E81" i="6" s="1"/>
  <c r="D82" i="6" a="1"/>
  <c r="D82" i="6" s="1"/>
  <c r="F82" i="6" s="1" a="1"/>
  <c r="F82" i="6" s="1"/>
  <c r="D83" i="6" a="1"/>
  <c r="D83" i="6" s="1"/>
  <c r="E83" i="6" s="1" a="1"/>
  <c r="E83" i="6" s="1"/>
  <c r="D84" i="6" a="1"/>
  <c r="D84" i="6" s="1"/>
  <c r="D85" i="6" a="1"/>
  <c r="D85" i="6" s="1"/>
  <c r="D86" i="6" a="1"/>
  <c r="D86" i="6" s="1"/>
  <c r="D87" i="6" a="1"/>
  <c r="D87" i="6" s="1"/>
  <c r="D88" i="6" a="1"/>
  <c r="D88" i="6" s="1"/>
  <c r="E88" i="6" s="1" a="1"/>
  <c r="E88" i="6" s="1"/>
  <c r="D89" i="6" a="1"/>
  <c r="D89" i="6" s="1"/>
  <c r="F89" i="6" s="1" a="1"/>
  <c r="F89" i="6" s="1"/>
  <c r="D90" i="6" a="1"/>
  <c r="D90" i="6" s="1"/>
  <c r="D91" i="6" a="1"/>
  <c r="D91" i="6" s="1"/>
  <c r="F91" i="6" s="1" a="1"/>
  <c r="F91" i="6" s="1"/>
  <c r="D92" i="6" a="1"/>
  <c r="D92" i="6" s="1"/>
  <c r="D93" i="6" a="1"/>
  <c r="D93" i="6" s="1"/>
  <c r="F93" i="6" s="1" a="1"/>
  <c r="F93" i="6" s="1"/>
  <c r="D94" i="6" a="1"/>
  <c r="D94" i="6" s="1"/>
  <c r="D95" i="6" a="1"/>
  <c r="D95" i="6" s="1"/>
  <c r="D96" i="6" a="1"/>
  <c r="D96" i="6" s="1"/>
  <c r="F96" i="6" s="1" a="1"/>
  <c r="F96" i="6" s="1"/>
  <c r="D97" i="6" a="1"/>
  <c r="D97" i="6" s="1"/>
  <c r="D98" i="6" a="1"/>
  <c r="D98" i="6" s="1"/>
  <c r="E98" i="6" s="1" a="1"/>
  <c r="E98" i="6" s="1"/>
  <c r="D99" i="6" a="1"/>
  <c r="D99" i="6" s="1"/>
  <c r="F99" i="6" s="1" a="1"/>
  <c r="F99" i="6" s="1"/>
  <c r="D100" i="6" a="1"/>
  <c r="D100" i="6" s="1"/>
  <c r="D101" i="6" a="1"/>
  <c r="D101" i="6" s="1"/>
  <c r="D102" i="6" a="1"/>
  <c r="D102" i="6" s="1"/>
  <c r="E102" i="6" s="1" a="1"/>
  <c r="E102" i="6" s="1"/>
  <c r="D103" i="6" a="1"/>
  <c r="D103" i="6" s="1"/>
  <c r="F103" i="6" s="1" a="1"/>
  <c r="F103" i="6" s="1"/>
  <c r="D104" i="6" a="1"/>
  <c r="D104" i="6" s="1"/>
  <c r="D105" i="6" a="1"/>
  <c r="D105" i="6" s="1"/>
  <c r="F105" i="6" s="1" a="1"/>
  <c r="F105" i="6" s="1"/>
  <c r="D106" i="6" a="1"/>
  <c r="D106" i="6" s="1"/>
  <c r="F106" i="6" s="1" a="1"/>
  <c r="F106" i="6" s="1"/>
  <c r="D107" i="6" a="1"/>
  <c r="D107" i="6" s="1"/>
  <c r="E107" i="6" s="1" a="1"/>
  <c r="E107" i="6" s="1"/>
  <c r="D108" i="6" a="1"/>
  <c r="D108" i="6" s="1"/>
  <c r="D109" i="6" a="1"/>
  <c r="D109" i="6" s="1"/>
  <c r="D110" i="6" a="1"/>
  <c r="D110" i="6" s="1"/>
  <c r="D111" i="6" a="1"/>
  <c r="D111" i="6" s="1"/>
  <c r="E111" i="6" s="1" a="1"/>
  <c r="E111" i="6" s="1"/>
  <c r="D112" i="6" a="1"/>
  <c r="D112" i="6" s="1"/>
  <c r="D113" i="6" a="1"/>
  <c r="D113" i="6" s="1"/>
  <c r="F113" i="6" s="1" a="1"/>
  <c r="F113" i="6" s="1"/>
  <c r="D114" i="6" a="1"/>
  <c r="D114" i="6" s="1"/>
  <c r="F114" i="6" s="1" a="1"/>
  <c r="F114" i="6" s="1"/>
  <c r="D115" i="6" a="1"/>
  <c r="D115" i="6" s="1"/>
  <c r="D116" i="6" a="1"/>
  <c r="D116" i="6" s="1"/>
  <c r="D117" i="6" a="1"/>
  <c r="D117" i="6" s="1"/>
  <c r="F117" i="6" s="1" a="1"/>
  <c r="F117" i="6" s="1"/>
  <c r="D118" i="6" a="1"/>
  <c r="D118" i="6" s="1"/>
  <c r="D119" i="6" a="1"/>
  <c r="D119" i="6" s="1"/>
  <c r="D120" i="6" a="1"/>
  <c r="D120" i="6" s="1"/>
  <c r="D121" i="6" a="1"/>
  <c r="D121" i="6" s="1"/>
  <c r="D122" i="6" a="1"/>
  <c r="D122" i="6" s="1"/>
  <c r="D123" i="6" a="1"/>
  <c r="D123" i="6" s="1"/>
  <c r="E123" i="6" s="1" a="1"/>
  <c r="E123" i="6" s="1"/>
  <c r="D124" i="6" a="1"/>
  <c r="D124" i="6" s="1"/>
  <c r="E124" i="6" s="1" a="1"/>
  <c r="E124" i="6" s="1"/>
  <c r="D125" i="6" a="1"/>
  <c r="D125" i="6" s="1"/>
  <c r="F125" i="6" s="1" a="1"/>
  <c r="F125" i="6" s="1"/>
  <c r="D126" i="6" a="1"/>
  <c r="D126" i="6" s="1"/>
  <c r="D127" i="6" a="1"/>
  <c r="D127" i="6" s="1"/>
  <c r="F127" i="6" s="1" a="1"/>
  <c r="F127" i="6" s="1"/>
  <c r="D128" i="6" a="1"/>
  <c r="D128" i="6" s="1"/>
  <c r="F128" i="6" s="1" a="1"/>
  <c r="F128" i="6" s="1"/>
  <c r="D129" i="6" a="1"/>
  <c r="D129" i="6" s="1"/>
  <c r="E129" i="6" s="1" a="1"/>
  <c r="E129" i="6" s="1"/>
  <c r="D130" i="6" a="1"/>
  <c r="D130" i="6" s="1"/>
  <c r="D131" i="6" a="1"/>
  <c r="D131" i="6" s="1"/>
  <c r="F131" i="6" s="1" a="1"/>
  <c r="F131" i="6" s="1"/>
  <c r="D132" i="6" a="1"/>
  <c r="D132" i="6" s="1"/>
  <c r="E132" i="6" s="1" a="1"/>
  <c r="E132" i="6" s="1"/>
  <c r="D133" i="6" a="1"/>
  <c r="D133" i="6" s="1"/>
  <c r="E133" i="6" s="1" a="1"/>
  <c r="E133" i="6" s="1"/>
  <c r="D134" i="6" a="1"/>
  <c r="D134" i="6" s="1"/>
  <c r="F134" i="6" s="1" a="1"/>
  <c r="F134" i="6" s="1"/>
  <c r="D135" i="6" a="1"/>
  <c r="D135" i="6" s="1"/>
  <c r="D136" i="6" a="1"/>
  <c r="D136" i="6" s="1"/>
  <c r="D137" i="6" a="1"/>
  <c r="D137" i="6" s="1"/>
  <c r="D138" i="6" a="1"/>
  <c r="D138" i="6" s="1"/>
  <c r="F138" i="6" s="1" a="1"/>
  <c r="F138" i="6" s="1"/>
  <c r="D139" i="6" a="1"/>
  <c r="D139" i="6" s="1"/>
  <c r="D140" i="6" a="1"/>
  <c r="D140" i="6" s="1"/>
  <c r="F140" i="6" s="1" a="1"/>
  <c r="F140" i="6" s="1"/>
  <c r="D141" i="6" a="1"/>
  <c r="D141" i="6" s="1"/>
  <c r="D142" i="6" a="1"/>
  <c r="D142" i="6" s="1"/>
  <c r="F142" i="6" s="1" a="1"/>
  <c r="F142" i="6" s="1"/>
  <c r="D143" i="6" a="1"/>
  <c r="D143" i="6" s="1"/>
  <c r="F143" i="6" s="1" a="1"/>
  <c r="F143" i="6" s="1"/>
  <c r="D144" i="6" a="1"/>
  <c r="D144" i="6" s="1"/>
  <c r="D145" i="6" a="1"/>
  <c r="D145" i="6" s="1"/>
  <c r="F145" i="6" s="1" a="1"/>
  <c r="F145" i="6" s="1"/>
  <c r="D146" i="6" a="1"/>
  <c r="D146" i="6" s="1"/>
  <c r="D147" i="6" a="1"/>
  <c r="D147" i="6" s="1"/>
  <c r="E147" i="6" s="1" a="1"/>
  <c r="E147" i="6" s="1"/>
  <c r="D148" i="6" a="1"/>
  <c r="D148" i="6" s="1"/>
  <c r="D149" i="6" a="1"/>
  <c r="D149" i="6" s="1"/>
  <c r="F149" i="6" s="1" a="1"/>
  <c r="F149" i="6" s="1"/>
  <c r="D150" i="6" a="1"/>
  <c r="D150" i="6" s="1"/>
  <c r="D151" i="6" a="1"/>
  <c r="D151" i="6" s="1"/>
  <c r="F151" i="6" s="1" a="1"/>
  <c r="F151" i="6" s="1"/>
  <c r="D152" i="6" a="1"/>
  <c r="D152" i="6" s="1"/>
  <c r="F152" i="6" s="1" a="1"/>
  <c r="F152" i="6" s="1"/>
  <c r="D153" i="6" a="1"/>
  <c r="D153" i="6" s="1"/>
  <c r="E153" i="6" s="1" a="1"/>
  <c r="E153" i="6" s="1"/>
  <c r="D154" i="6" a="1"/>
  <c r="D154" i="6" s="1"/>
  <c r="F154" i="6" s="1" a="1"/>
  <c r="F154" i="6" s="1"/>
  <c r="D155" i="6" a="1"/>
  <c r="D155" i="6" s="1"/>
  <c r="E155" i="6" s="1" a="1"/>
  <c r="E155" i="6" s="1"/>
  <c r="D156" i="6" a="1"/>
  <c r="D156" i="6" s="1"/>
  <c r="E156" i="6" s="1" a="1"/>
  <c r="E156" i="6" s="1"/>
  <c r="D157" i="6" a="1"/>
  <c r="D157" i="6" s="1"/>
  <c r="D158" i="6" a="1"/>
  <c r="D158" i="6" s="1"/>
  <c r="D159" i="6" a="1"/>
  <c r="D159" i="6" s="1"/>
  <c r="E159" i="6" s="1" a="1"/>
  <c r="E159" i="6" s="1"/>
  <c r="D160" i="6" a="1"/>
  <c r="D160" i="6" s="1"/>
  <c r="E160" i="6" s="1" a="1"/>
  <c r="E160" i="6" s="1"/>
  <c r="D161" i="6" a="1"/>
  <c r="D161" i="6" s="1"/>
  <c r="F161" i="6" s="1" a="1"/>
  <c r="F161" i="6" s="1"/>
  <c r="D162" i="6" a="1"/>
  <c r="D162" i="6" s="1"/>
  <c r="F162" i="6" s="1" a="1"/>
  <c r="F162" i="6" s="1"/>
  <c r="D163" i="6" a="1"/>
  <c r="D163" i="6" s="1"/>
  <c r="F163" i="6" s="1" a="1"/>
  <c r="F163" i="6" s="1"/>
  <c r="D164" i="6" a="1"/>
  <c r="D164" i="6" s="1"/>
  <c r="F164" i="6" s="1" a="1"/>
  <c r="F164" i="6" s="1"/>
  <c r="D165" i="6" a="1"/>
  <c r="D165" i="6" s="1"/>
  <c r="F165" i="6" s="1" a="1"/>
  <c r="F165" i="6" s="1"/>
  <c r="D166" i="6" a="1"/>
  <c r="D166" i="6" s="1"/>
  <c r="E166" i="6" s="1" a="1"/>
  <c r="E166" i="6" s="1"/>
  <c r="D167" i="6" a="1"/>
  <c r="D167" i="6" s="1"/>
  <c r="D168" i="6" a="1"/>
  <c r="D168" i="6" s="1"/>
  <c r="D169" i="6" a="1"/>
  <c r="D169" i="6" s="1"/>
  <c r="F169" i="6" s="1" a="1"/>
  <c r="F169" i="6" s="1"/>
  <c r="D170" i="6" a="1"/>
  <c r="D170" i="6" s="1"/>
  <c r="F170" i="6" s="1" a="1"/>
  <c r="F170" i="6" s="1"/>
  <c r="D171" i="6" a="1"/>
  <c r="D171" i="6" s="1"/>
  <c r="D172" i="6" a="1"/>
  <c r="D172" i="6"/>
  <c r="E172" i="6" s="1" a="1"/>
  <c r="E172" i="6" s="1"/>
  <c r="D173" i="6" a="1"/>
  <c r="D173" i="6" s="1"/>
  <c r="D174" i="6" a="1"/>
  <c r="D174" i="6" s="1"/>
  <c r="D175" i="6" a="1"/>
  <c r="D175" i="6" s="1"/>
  <c r="D176" i="6" a="1"/>
  <c r="D176" i="6" s="1"/>
  <c r="D177" i="6" a="1"/>
  <c r="D177" i="6" s="1"/>
  <c r="D178" i="6" a="1"/>
  <c r="D178" i="6" s="1"/>
  <c r="F178" i="6" s="1" a="1"/>
  <c r="F178" i="6" s="1"/>
  <c r="D179" i="6" a="1"/>
  <c r="D179" i="6" s="1"/>
  <c r="F179" i="6" s="1" a="1"/>
  <c r="F179" i="6" s="1"/>
  <c r="D180" i="6" a="1"/>
  <c r="D180" i="6" s="1"/>
  <c r="E180" i="6" s="1" a="1"/>
  <c r="E180" i="6" s="1"/>
  <c r="D181" i="6" a="1"/>
  <c r="D181" i="6" s="1"/>
  <c r="F181" i="6" s="1" a="1"/>
  <c r="F181" i="6" s="1"/>
  <c r="D182" i="6" a="1"/>
  <c r="D182" i="6" s="1"/>
  <c r="F182" i="6" s="1" a="1"/>
  <c r="F182" i="6" s="1"/>
  <c r="D183" i="6" a="1"/>
  <c r="D183" i="6" s="1"/>
  <c r="F183" i="6" s="1" a="1"/>
  <c r="F183" i="6" s="1"/>
  <c r="D184" i="6" a="1"/>
  <c r="D184" i="6" s="1"/>
  <c r="D185" i="6" a="1"/>
  <c r="D185" i="6" s="1"/>
  <c r="F185" i="6" s="1" a="1"/>
  <c r="F185" i="6" s="1"/>
  <c r="D186" i="6" a="1"/>
  <c r="D186" i="6" s="1"/>
  <c r="E186" i="6" s="1" a="1"/>
  <c r="E186" i="6" s="1"/>
  <c r="D187" i="6" a="1"/>
  <c r="D187" i="6" s="1"/>
  <c r="D188" i="6" a="1"/>
  <c r="D188" i="6" s="1"/>
  <c r="F188" i="6" s="1" a="1"/>
  <c r="F188" i="6" s="1"/>
  <c r="D189" i="6" a="1"/>
  <c r="D189" i="6" s="1"/>
  <c r="F189" i="6" s="1" a="1"/>
  <c r="F189" i="6" s="1"/>
  <c r="D190" i="6" a="1"/>
  <c r="D190" i="6" s="1"/>
  <c r="F190" i="6" s="1" a="1"/>
  <c r="F190" i="6" s="1"/>
  <c r="D191" i="6" a="1"/>
  <c r="D191" i="6" s="1"/>
  <c r="F191" i="6" s="1" a="1"/>
  <c r="F191" i="6" s="1"/>
  <c r="D192" i="6" a="1"/>
  <c r="D192" i="6" s="1"/>
  <c r="D193" i="6" a="1"/>
  <c r="D193" i="6"/>
  <c r="D194" i="6" a="1"/>
  <c r="D194" i="6" s="1"/>
  <c r="E194" i="6" s="1" a="1"/>
  <c r="E194" i="6" s="1"/>
  <c r="D195" i="6" a="1"/>
  <c r="D195" i="6" s="1"/>
  <c r="F195" i="6" s="1" a="1"/>
  <c r="F195" i="6" s="1"/>
  <c r="D196" i="6" a="1"/>
  <c r="D196" i="6" s="1"/>
  <c r="D197" i="6" a="1"/>
  <c r="D197" i="6" s="1"/>
  <c r="F197" i="6" s="1" a="1"/>
  <c r="F197" i="6" s="1"/>
  <c r="D198" i="6" a="1"/>
  <c r="D198" i="6" s="1"/>
  <c r="F198" i="6" s="1" a="1"/>
  <c r="F198" i="6" s="1"/>
  <c r="D199" i="6" a="1"/>
  <c r="D199" i="6" s="1"/>
  <c r="D200" i="6" a="1"/>
  <c r="D200" i="6" s="1"/>
  <c r="D201" i="6" a="1"/>
  <c r="D201" i="6" s="1"/>
  <c r="E201" i="6" s="1" a="1"/>
  <c r="E201" i="6" s="1"/>
  <c r="D202" i="6" a="1"/>
  <c r="D202" i="6" s="1"/>
  <c r="F202" i="6" s="1" a="1"/>
  <c r="F202" i="6" s="1"/>
  <c r="D203" i="6" a="1"/>
  <c r="D203" i="6" s="1"/>
  <c r="D204" i="6" a="1"/>
  <c r="D204" i="6" s="1"/>
  <c r="F204" i="6" s="1" a="1"/>
  <c r="F204" i="6" s="1"/>
  <c r="D205" i="6" a="1"/>
  <c r="D205" i="6" s="1"/>
  <c r="E205" i="6" s="1" a="1"/>
  <c r="E205" i="6" s="1"/>
  <c r="D206" i="6" a="1"/>
  <c r="D206" i="6" s="1"/>
  <c r="D207" i="6" a="1"/>
  <c r="D207" i="6" s="1"/>
  <c r="F207" i="6" s="1" a="1"/>
  <c r="F207" i="6" s="1"/>
  <c r="D208" i="6" a="1"/>
  <c r="D208" i="6" s="1"/>
  <c r="D209" i="6" a="1"/>
  <c r="D209" i="6" s="1"/>
  <c r="E209" i="6" s="1" a="1"/>
  <c r="E209" i="6" s="1"/>
  <c r="D210" i="6" a="1"/>
  <c r="D210" i="6" s="1"/>
  <c r="F210" i="6" s="1" a="1"/>
  <c r="F210" i="6" s="1"/>
  <c r="D211" i="6" a="1"/>
  <c r="D211" i="6" s="1"/>
  <c r="F211" i="6" s="1" a="1"/>
  <c r="F211" i="6" s="1"/>
  <c r="D212" i="6" a="1"/>
  <c r="D212" i="6" s="1"/>
  <c r="E212" i="6" s="1" a="1"/>
  <c r="E212" i="6" s="1"/>
  <c r="D213" i="6" a="1"/>
  <c r="D213" i="6" s="1"/>
  <c r="F213" i="6" s="1" a="1"/>
  <c r="F213" i="6" s="1"/>
  <c r="D214" i="6" a="1"/>
  <c r="D214" i="6" s="1"/>
  <c r="E214" i="6" s="1" a="1"/>
  <c r="E214" i="6" s="1"/>
  <c r="D215" i="6" a="1"/>
  <c r="D215" i="6" s="1"/>
  <c r="E215" i="6" s="1" a="1"/>
  <c r="E215" i="6" s="1"/>
  <c r="D216" i="6" a="1"/>
  <c r="D216" i="6" s="1"/>
  <c r="E216" i="6" s="1" a="1"/>
  <c r="E216" i="6" s="1"/>
  <c r="D217" i="6" a="1"/>
  <c r="D217" i="6" s="1"/>
  <c r="F217" i="6" s="1" a="1"/>
  <c r="F217" i="6" s="1"/>
  <c r="D218" i="6" a="1"/>
  <c r="D218" i="6" s="1"/>
  <c r="D219" i="6" a="1"/>
  <c r="D219" i="6" s="1"/>
  <c r="E219" i="6" s="1" a="1"/>
  <c r="E219" i="6" s="1"/>
  <c r="D220" i="6" a="1"/>
  <c r="D220" i="6" s="1"/>
  <c r="D221" i="6" a="1"/>
  <c r="D221" i="6" s="1"/>
  <c r="F221" i="6" s="1" a="1"/>
  <c r="F221" i="6" s="1"/>
  <c r="D222" i="6" a="1"/>
  <c r="D222" i="6" s="1"/>
  <c r="F222" i="6" s="1" a="1"/>
  <c r="F222" i="6" s="1"/>
  <c r="D223" i="6" a="1"/>
  <c r="D223" i="6" s="1"/>
  <c r="F223" i="6" s="1" a="1"/>
  <c r="F223" i="6" s="1"/>
  <c r="D224" i="6" a="1"/>
  <c r="D224" i="6" s="1"/>
  <c r="E224" i="6" s="1" a="1"/>
  <c r="E224" i="6" s="1"/>
  <c r="D225" i="6" a="1"/>
  <c r="D225" i="6" s="1"/>
  <c r="E225" i="6" s="1" a="1"/>
  <c r="E225" i="6" s="1"/>
  <c r="D226" i="6" a="1"/>
  <c r="D226" i="6" s="1"/>
  <c r="D227" i="6" a="1"/>
  <c r="D227" i="6" s="1"/>
  <c r="D228" i="6" a="1"/>
  <c r="D228" i="6" s="1"/>
  <c r="D229" i="6" a="1"/>
  <c r="D229" i="6" s="1"/>
  <c r="D230" i="6" a="1"/>
  <c r="D230" i="6" s="1"/>
  <c r="F230" i="6" s="1" a="1"/>
  <c r="F230" i="6" s="1"/>
  <c r="D231" i="6" a="1"/>
  <c r="D231" i="6" s="1"/>
  <c r="F231" i="6" s="1" a="1"/>
  <c r="F231" i="6" s="1"/>
  <c r="D232" i="6" a="1"/>
  <c r="D232" i="6" s="1"/>
  <c r="D233" i="6" a="1"/>
  <c r="D233" i="6" s="1"/>
  <c r="F233" i="6" s="1" a="1"/>
  <c r="F233" i="6" s="1"/>
  <c r="D234" i="6" a="1"/>
  <c r="D234" i="6" s="1"/>
  <c r="D235" i="6" a="1"/>
  <c r="D235" i="6" s="1"/>
  <c r="F235" i="6" s="1" a="1"/>
  <c r="F235" i="6" s="1"/>
  <c r="D236" i="6" a="1"/>
  <c r="D236" i="6" s="1"/>
  <c r="E236" i="6" s="1" a="1"/>
  <c r="E236" i="6" s="1"/>
  <c r="D237" i="6" a="1"/>
  <c r="D237" i="6" s="1"/>
  <c r="F237" i="6" s="1" a="1"/>
  <c r="F237" i="6" s="1"/>
  <c r="D238" i="6" a="1"/>
  <c r="D238" i="6" s="1"/>
  <c r="F238" i="6" s="1" a="1"/>
  <c r="F238" i="6" s="1"/>
  <c r="D239" i="6" a="1"/>
  <c r="D239" i="6" s="1"/>
  <c r="F239" i="6" s="1" a="1"/>
  <c r="F239" i="6" s="1"/>
  <c r="D240" i="6" a="1"/>
  <c r="D240" i="6" s="1"/>
  <c r="F240" i="6" s="1" a="1"/>
  <c r="F240" i="6" s="1"/>
  <c r="D241" i="6" a="1"/>
  <c r="D241" i="6"/>
  <c r="F241" i="6" s="1" a="1"/>
  <c r="F241" i="6" s="1"/>
  <c r="D242" i="6" a="1"/>
  <c r="D242" i="6" s="1"/>
  <c r="D243" i="6" a="1"/>
  <c r="D243" i="6" s="1"/>
  <c r="D244" i="6" a="1"/>
  <c r="D244" i="6" s="1"/>
  <c r="F244" i="6" s="1" a="1"/>
  <c r="F244" i="6" s="1"/>
  <c r="D245" i="6" a="1"/>
  <c r="D245" i="6" s="1"/>
  <c r="F245" i="6" s="1" a="1"/>
  <c r="F245" i="6" s="1"/>
  <c r="D246" i="6" a="1"/>
  <c r="D246" i="6" s="1"/>
  <c r="E246" i="6" s="1" a="1"/>
  <c r="E246" i="6" s="1"/>
  <c r="D247" i="6" a="1"/>
  <c r="D247" i="6" s="1"/>
  <c r="E247" i="6" s="1" a="1"/>
  <c r="E247" i="6" s="1"/>
  <c r="D248" i="6" a="1"/>
  <c r="D248" i="6" s="1"/>
  <c r="F248" i="6" s="1" a="1"/>
  <c r="F248" i="6" s="1"/>
  <c r="D249" i="6" a="1"/>
  <c r="D249" i="6" s="1"/>
  <c r="F249" i="6" s="1" a="1"/>
  <c r="F249" i="6" s="1"/>
  <c r="D250" i="6" a="1"/>
  <c r="D250" i="6" s="1"/>
  <c r="D251" i="6" a="1"/>
  <c r="D251" i="6" s="1"/>
  <c r="D252" i="6" a="1"/>
  <c r="D252" i="6" s="1"/>
  <c r="D253" i="6" a="1"/>
  <c r="D253" i="6" s="1"/>
  <c r="D254" i="6" a="1"/>
  <c r="D254" i="6" s="1"/>
  <c r="D255" i="6" a="1"/>
  <c r="D255" i="6" s="1"/>
  <c r="E255" i="6" s="1" a="1"/>
  <c r="E255" i="6" s="1"/>
  <c r="D256" i="6" a="1"/>
  <c r="D256" i="6" s="1"/>
  <c r="F256" i="6" s="1" a="1"/>
  <c r="F256" i="6" s="1"/>
  <c r="D257" i="6" a="1"/>
  <c r="D257" i="6" s="1"/>
  <c r="F257" i="6" s="1" a="1"/>
  <c r="F257" i="6" s="1"/>
  <c r="D258" i="6" a="1"/>
  <c r="D258" i="6" s="1"/>
  <c r="D259" i="6" a="1"/>
  <c r="D259" i="6" s="1"/>
  <c r="D260" i="6" a="1"/>
  <c r="D260" i="6" s="1"/>
  <c r="E260" i="6" s="1" a="1"/>
  <c r="E260" i="6" s="1"/>
  <c r="D261" i="6" a="1"/>
  <c r="D261" i="6" s="1"/>
  <c r="F261" i="6" s="1" a="1"/>
  <c r="F261" i="6" s="1"/>
  <c r="D262" i="6" a="1"/>
  <c r="D262" i="6" s="1"/>
  <c r="E262" i="6" s="1" a="1"/>
  <c r="E262" i="6" s="1"/>
  <c r="D263" i="6" a="1"/>
  <c r="D263" i="6" s="1"/>
  <c r="F263" i="6" s="1" a="1"/>
  <c r="F263" i="6" s="1"/>
  <c r="D264" i="6" a="1"/>
  <c r="D264" i="6" s="1"/>
  <c r="E264" i="6" s="1" a="1"/>
  <c r="E264" i="6" s="1"/>
  <c r="D265" i="6" a="1"/>
  <c r="D265" i="6"/>
  <c r="D266" i="6" a="1"/>
  <c r="D266" i="6" s="1"/>
  <c r="D267" i="6" a="1"/>
  <c r="D267" i="6" s="1"/>
  <c r="F267" i="6" s="1" a="1"/>
  <c r="F267" i="6" s="1"/>
  <c r="D268" i="6" a="1"/>
  <c r="D268" i="6" s="1"/>
  <c r="D269" i="6" a="1"/>
  <c r="D269" i="6" s="1"/>
  <c r="F269" i="6" s="1" a="1"/>
  <c r="F269" i="6" s="1"/>
  <c r="D270" i="6" a="1"/>
  <c r="D270" i="6" s="1"/>
  <c r="F270" i="6" s="1" a="1"/>
  <c r="F270" i="6" s="1"/>
  <c r="D271" i="6" a="1"/>
  <c r="D271" i="6" s="1"/>
  <c r="D272" i="6" a="1"/>
  <c r="D272" i="6" s="1"/>
  <c r="F272" i="6" s="1" a="1"/>
  <c r="F272" i="6" s="1"/>
  <c r="D273" i="6" a="1"/>
  <c r="D273" i="6" s="1"/>
  <c r="D274" i="6" a="1"/>
  <c r="D274" i="6" s="1"/>
  <c r="E274" i="6" s="1" a="1"/>
  <c r="E274" i="6" s="1"/>
  <c r="D275" i="6" a="1"/>
  <c r="D275" i="6" s="1"/>
  <c r="D276" i="6" a="1"/>
  <c r="D276" i="6" s="1"/>
  <c r="E276" i="6" s="1" a="1"/>
  <c r="E276" i="6" s="1"/>
  <c r="D277" i="6" a="1"/>
  <c r="D277" i="6" s="1"/>
  <c r="D278" i="6" a="1"/>
  <c r="D278" i="6" s="1"/>
  <c r="F278" i="6" s="1" a="1"/>
  <c r="F278" i="6" s="1"/>
  <c r="D279" i="6" a="1"/>
  <c r="D279" i="6" s="1"/>
  <c r="F279" i="6" s="1" a="1"/>
  <c r="F279" i="6" s="1"/>
  <c r="D280" i="6" a="1"/>
  <c r="D280" i="6" s="1"/>
  <c r="F280" i="6" s="1" a="1"/>
  <c r="F280" i="6" s="1"/>
  <c r="D281" i="6" a="1"/>
  <c r="D281" i="6" s="1"/>
  <c r="D282" i="6" a="1"/>
  <c r="D282" i="6" s="1"/>
  <c r="F282" i="6" s="1" a="1"/>
  <c r="F282" i="6" s="1"/>
  <c r="D283" i="6" a="1"/>
  <c r="D283" i="6" s="1"/>
  <c r="D284" i="6" a="1"/>
  <c r="D284" i="6" s="1"/>
  <c r="F284" i="6" s="1" a="1"/>
  <c r="F284" i="6" s="1"/>
  <c r="D285" i="6" a="1"/>
  <c r="D285" i="6" s="1"/>
  <c r="D286" i="6" a="1"/>
  <c r="D286" i="6" s="1"/>
  <c r="D287" i="6" a="1"/>
  <c r="D287" i="6" s="1"/>
  <c r="F287" i="6" s="1" a="1"/>
  <c r="F287" i="6" s="1"/>
  <c r="D288" i="6" a="1"/>
  <c r="D288" i="6" s="1"/>
  <c r="D289" i="6" a="1"/>
  <c r="D289" i="6" s="1"/>
  <c r="E289" i="6" s="1" a="1"/>
  <c r="E289" i="6" s="1"/>
  <c r="D290" i="6" a="1"/>
  <c r="D290" i="6" s="1"/>
  <c r="F290" i="6" s="1" a="1"/>
  <c r="F290" i="6" s="1"/>
  <c r="D291" i="6" a="1"/>
  <c r="D291" i="6" s="1"/>
  <c r="F291" i="6" s="1" a="1"/>
  <c r="F291" i="6" s="1"/>
  <c r="D292" i="6" a="1"/>
  <c r="D292" i="6" s="1"/>
  <c r="D293" i="6" a="1"/>
  <c r="D293" i="6" s="1"/>
  <c r="F293" i="6" s="1" a="1"/>
  <c r="F293" i="6" s="1"/>
  <c r="D294" i="6" a="1"/>
  <c r="D294" i="6" s="1"/>
  <c r="E294" i="6" s="1" a="1"/>
  <c r="E294" i="6" s="1"/>
  <c r="D295" i="6" a="1"/>
  <c r="D295" i="6" s="1"/>
  <c r="E295" i="6" s="1" a="1"/>
  <c r="E295" i="6" s="1"/>
  <c r="D296" i="6" a="1"/>
  <c r="D296" i="6" s="1"/>
  <c r="E296" i="6" s="1" a="1"/>
  <c r="E296" i="6" s="1"/>
  <c r="D297" i="6" a="1"/>
  <c r="D297" i="6" s="1"/>
  <c r="E297" i="6" s="1" a="1"/>
  <c r="E297" i="6" s="1"/>
  <c r="D298" i="6" a="1"/>
  <c r="D298" i="6" s="1"/>
  <c r="D299" i="6" a="1"/>
  <c r="D299" i="6" s="1"/>
  <c r="F299" i="6" s="1" a="1"/>
  <c r="F299" i="6" s="1"/>
  <c r="D300" i="6" a="1"/>
  <c r="D300" i="6" s="1"/>
  <c r="F300" i="6" s="1" a="1"/>
  <c r="F300" i="6" s="1"/>
  <c r="D301" i="6" a="1"/>
  <c r="D301" i="6" s="1"/>
  <c r="E301" i="6" s="1" a="1"/>
  <c r="E301" i="6" s="1"/>
  <c r="D302" i="6" a="1"/>
  <c r="D302" i="6" s="1"/>
  <c r="D303" i="6" a="1"/>
  <c r="D303" i="6" s="1"/>
  <c r="D304" i="6" a="1"/>
  <c r="D304" i="6" s="1"/>
  <c r="F304" i="6" s="1" a="1"/>
  <c r="F304" i="6" s="1"/>
  <c r="D305" i="6" a="1"/>
  <c r="D305" i="6" s="1"/>
  <c r="E305" i="6" s="1" a="1"/>
  <c r="E305" i="6" s="1"/>
  <c r="D306" i="6" a="1"/>
  <c r="D306" i="6" s="1"/>
  <c r="F306" i="6" s="1" a="1"/>
  <c r="F306" i="6" s="1"/>
  <c r="D307" i="6" a="1"/>
  <c r="D307" i="6" s="1"/>
  <c r="F307" i="6" s="1" a="1"/>
  <c r="F307" i="6" s="1"/>
  <c r="D308" i="6" a="1"/>
  <c r="D308" i="6" s="1"/>
  <c r="E308" i="6" s="1" a="1"/>
  <c r="E308" i="6" s="1"/>
  <c r="D309" i="6" a="1"/>
  <c r="D309" i="6" s="1"/>
  <c r="E309" i="6" s="1" a="1"/>
  <c r="E309" i="6" s="1"/>
  <c r="D310" i="6" a="1"/>
  <c r="D310" i="6" s="1"/>
  <c r="F310" i="6" s="1" a="1"/>
  <c r="F310" i="6" s="1"/>
  <c r="D311" i="6" a="1"/>
  <c r="D311" i="6" s="1"/>
  <c r="D312" i="6" a="1"/>
  <c r="D312" i="6" s="1"/>
  <c r="F312" i="6" s="1" a="1"/>
  <c r="F312" i="6" s="1"/>
  <c r="D313" i="6" a="1"/>
  <c r="D313" i="6" s="1"/>
  <c r="F313" i="6" s="1" a="1"/>
  <c r="F313" i="6" s="1"/>
  <c r="D314" i="6" a="1"/>
  <c r="D314" i="6" s="1"/>
  <c r="E314" i="6" s="1" a="1"/>
  <c r="E314" i="6" s="1"/>
  <c r="D315" i="6" a="1"/>
  <c r="D315" i="6" s="1"/>
  <c r="F315" i="6" s="1" a="1"/>
  <c r="F315" i="6" s="1"/>
  <c r="D316" i="6" a="1"/>
  <c r="D316" i="6" s="1"/>
  <c r="E316" i="6" s="1" a="1"/>
  <c r="E316" i="6" s="1"/>
  <c r="D317" i="6" a="1"/>
  <c r="D317" i="6" s="1"/>
  <c r="D318" i="6" a="1"/>
  <c r="D318" i="6" s="1"/>
  <c r="D319" i="6" a="1"/>
  <c r="D319" i="6" s="1"/>
  <c r="F319" i="6" s="1" a="1"/>
  <c r="F319" i="6" s="1"/>
  <c r="D320" i="6" a="1"/>
  <c r="D320" i="6" s="1"/>
  <c r="E320" i="6" s="1" a="1"/>
  <c r="E320" i="6" s="1"/>
  <c r="D321" i="6" a="1"/>
  <c r="D321" i="6" s="1"/>
  <c r="F321" i="6" s="1" a="1"/>
  <c r="F321" i="6" s="1"/>
  <c r="D322" i="6" a="1"/>
  <c r="D322" i="6" s="1"/>
  <c r="F322" i="6" s="1" a="1"/>
  <c r="F322" i="6" s="1"/>
  <c r="D323" i="6" a="1"/>
  <c r="D323" i="6" s="1"/>
  <c r="F323" i="6" s="1" a="1"/>
  <c r="F323" i="6" s="1"/>
  <c r="D324" i="6" a="1"/>
  <c r="D324" i="6" s="1"/>
  <c r="F324" i="6" s="1" a="1"/>
  <c r="F324" i="6" s="1"/>
  <c r="D325" i="6" a="1"/>
  <c r="D325" i="6" s="1"/>
  <c r="D326" i="6" a="1"/>
  <c r="D326" i="6" s="1"/>
  <c r="D327" i="6" a="1"/>
  <c r="D327" i="6" s="1"/>
  <c r="E327" i="6" s="1" a="1"/>
  <c r="E327" i="6" s="1"/>
  <c r="D328" i="6" a="1"/>
  <c r="D328" i="6" s="1"/>
  <c r="F328" i="6" s="1" a="1"/>
  <c r="F328" i="6" s="1"/>
  <c r="D329" i="6" a="1"/>
  <c r="D329" i="6" s="1"/>
  <c r="E329" i="6" s="1" a="1"/>
  <c r="E329" i="6" s="1"/>
  <c r="D330" i="6" a="1"/>
  <c r="D330" i="6" s="1"/>
  <c r="E330" i="6" s="1" a="1"/>
  <c r="E330" i="6" s="1"/>
  <c r="D331" i="6" a="1"/>
  <c r="D331" i="6" s="1"/>
  <c r="E331" i="6" s="1" a="1"/>
  <c r="E331" i="6" s="1"/>
  <c r="D332" i="6" a="1"/>
  <c r="D332" i="6" s="1"/>
  <c r="F332" i="6" s="1" a="1"/>
  <c r="F332" i="6" s="1"/>
  <c r="D333" i="6" a="1"/>
  <c r="D333" i="6" s="1"/>
  <c r="F333" i="6" s="1" a="1"/>
  <c r="F333" i="6" s="1"/>
  <c r="D334" i="6" a="1"/>
  <c r="D334" i="6" s="1"/>
  <c r="D335" i="6" a="1"/>
  <c r="D335" i="6" s="1"/>
  <c r="D336" i="6" a="1"/>
  <c r="D336" i="6" s="1"/>
  <c r="D337" i="6" a="1"/>
  <c r="D337" i="6" s="1"/>
  <c r="D338" i="6" a="1"/>
  <c r="D338" i="6" s="1"/>
  <c r="E338" i="6" s="1" a="1"/>
  <c r="E338" i="6" s="1"/>
  <c r="D339" i="6" a="1"/>
  <c r="D339" i="6" s="1"/>
  <c r="D340" i="6" a="1"/>
  <c r="D340" i="6" s="1"/>
  <c r="E340" i="6" s="1" a="1"/>
  <c r="E340" i="6" s="1"/>
  <c r="D341" i="6" a="1"/>
  <c r="D341" i="6" s="1"/>
  <c r="F341" i="6" s="1" a="1"/>
  <c r="F341" i="6" s="1"/>
  <c r="D342" i="6" a="1"/>
  <c r="D342" i="6" s="1"/>
  <c r="D343" i="6" a="1"/>
  <c r="D343" i="6" s="1"/>
  <c r="F343" i="6" s="1" a="1"/>
  <c r="F343" i="6" s="1"/>
  <c r="D344" i="6" a="1"/>
  <c r="D344" i="6" s="1"/>
  <c r="E344" i="6" s="1" a="1"/>
  <c r="E344" i="6" s="1"/>
  <c r="D345" i="6" a="1"/>
  <c r="D345" i="6" s="1"/>
  <c r="E345" i="6" s="1" a="1"/>
  <c r="E345" i="6" s="1"/>
  <c r="D346" i="6" a="1"/>
  <c r="D346" i="6" s="1"/>
  <c r="D347" i="6" a="1"/>
  <c r="D347" i="6" s="1"/>
  <c r="F347" i="6" s="1" a="1"/>
  <c r="F347" i="6" s="1"/>
  <c r="D348" i="6" a="1"/>
  <c r="D348" i="6" s="1"/>
  <c r="F348" i="6" s="1" a="1"/>
  <c r="F348" i="6" s="1"/>
  <c r="D349" i="6" a="1"/>
  <c r="D349" i="6" s="1"/>
  <c r="F349" i="6" s="1" a="1"/>
  <c r="F349" i="6" s="1"/>
  <c r="D350" i="6" a="1"/>
  <c r="D350" i="6" s="1"/>
  <c r="D351" i="6" a="1"/>
  <c r="D351" i="6" s="1"/>
  <c r="E351" i="6" s="1" a="1"/>
  <c r="E351" i="6" s="1"/>
  <c r="D352" i="6" a="1"/>
  <c r="D352" i="6" s="1"/>
  <c r="F352" i="6" s="1" a="1"/>
  <c r="F352" i="6" s="1"/>
  <c r="D353" i="6" a="1"/>
  <c r="D353" i="6" s="1"/>
  <c r="F353" i="6" s="1" a="1"/>
  <c r="F353" i="6" s="1"/>
  <c r="D354" i="6" a="1"/>
  <c r="D354" i="6" s="1"/>
  <c r="F354" i="6" s="1" a="1"/>
  <c r="F354" i="6" s="1"/>
  <c r="D355" i="6" a="1"/>
  <c r="D355" i="6" s="1"/>
  <c r="F355" i="6" s="1" a="1"/>
  <c r="F355" i="6" s="1"/>
  <c r="D356" i="6" a="1"/>
  <c r="D356" i="6" s="1"/>
  <c r="F356" i="6" s="1" a="1"/>
  <c r="F356" i="6" s="1"/>
  <c r="D357" i="6" a="1"/>
  <c r="D357" i="6" s="1"/>
  <c r="E357" i="6" s="1" a="1"/>
  <c r="E357" i="6" s="1"/>
  <c r="D358" i="6" a="1"/>
  <c r="D358" i="6" s="1"/>
  <c r="D359" i="6" a="1"/>
  <c r="D359" i="6" s="1"/>
  <c r="D360" i="6" a="1"/>
  <c r="D360" i="6" s="1"/>
  <c r="E360" i="6" s="1" a="1"/>
  <c r="E360" i="6" s="1"/>
  <c r="D361" i="6" a="1"/>
  <c r="D361" i="6" s="1"/>
  <c r="D362" i="6" a="1"/>
  <c r="D362" i="6" s="1"/>
  <c r="D363" i="6" a="1"/>
  <c r="D363" i="6" s="1"/>
  <c r="F363" i="6" s="1" a="1"/>
  <c r="F363" i="6" s="1"/>
  <c r="D364" i="6" a="1"/>
  <c r="D364" i="6" s="1"/>
  <c r="D365" i="6" a="1"/>
  <c r="D365" i="6" s="1"/>
  <c r="D366" i="6" a="1"/>
  <c r="D366" i="6" s="1"/>
  <c r="D367" i="6" a="1"/>
  <c r="D367" i="6" s="1"/>
  <c r="E367" i="6" s="1" a="1"/>
  <c r="E367" i="6" s="1"/>
  <c r="D368" i="6" a="1"/>
  <c r="D368" i="6" s="1"/>
  <c r="D369" i="6" a="1"/>
  <c r="D369" i="6" s="1"/>
  <c r="E369" i="6" s="1" a="1"/>
  <c r="E369" i="6" s="1"/>
  <c r="D370" i="6" a="1"/>
  <c r="D370" i="6" s="1"/>
  <c r="F370" i="6" s="1" a="1"/>
  <c r="F370" i="6" s="1"/>
  <c r="D371" i="6" a="1"/>
  <c r="D371" i="6" s="1"/>
  <c r="F371" i="6" s="1" a="1"/>
  <c r="F371" i="6" s="1"/>
  <c r="D372" i="6" a="1"/>
  <c r="D372" i="6" s="1"/>
  <c r="E372" i="6" s="1" a="1"/>
  <c r="E372" i="6" s="1"/>
  <c r="D373" i="6" a="1"/>
  <c r="D373" i="6" s="1"/>
  <c r="D374" i="6" a="1"/>
  <c r="D374" i="6" s="1"/>
  <c r="F374" i="6" s="1" a="1"/>
  <c r="F374" i="6" s="1"/>
  <c r="D375" i="6" a="1"/>
  <c r="D375" i="6" s="1"/>
  <c r="F375" i="6" s="1" a="1"/>
  <c r="F375" i="6" s="1"/>
  <c r="D376" i="6" a="1"/>
  <c r="D376" i="6" s="1"/>
  <c r="D377" i="6" a="1"/>
  <c r="D377" i="6" s="1"/>
  <c r="E377" i="6" s="1" a="1"/>
  <c r="E377" i="6" s="1"/>
  <c r="D378" i="6" a="1"/>
  <c r="D378" i="6" s="1"/>
  <c r="D379" i="6" a="1"/>
  <c r="D379" i="6" s="1"/>
  <c r="E379" i="6" s="1" a="1"/>
  <c r="E379" i="6" s="1"/>
  <c r="D380" i="6" a="1"/>
  <c r="D380" i="6" s="1"/>
  <c r="F380" i="6" s="1" a="1"/>
  <c r="F380" i="6" s="1"/>
  <c r="D381" i="6" a="1"/>
  <c r="D381" i="6" s="1"/>
  <c r="F381" i="6" s="1" a="1"/>
  <c r="F381" i="6" s="1"/>
  <c r="D382" i="6" a="1"/>
  <c r="D382" i="6" s="1"/>
  <c r="D383" i="6" a="1"/>
  <c r="D383" i="6" s="1"/>
  <c r="D384" i="6" a="1"/>
  <c r="D384" i="6" s="1"/>
  <c r="F384" i="6" s="1" a="1"/>
  <c r="F384" i="6" s="1"/>
  <c r="D385" i="6" a="1"/>
  <c r="D385" i="6" s="1"/>
  <c r="D386" i="6" a="1"/>
  <c r="D386" i="6" s="1"/>
  <c r="E386" i="6" s="1" a="1"/>
  <c r="E386" i="6" s="1"/>
  <c r="D387" i="6" a="1"/>
  <c r="D387" i="6" s="1"/>
  <c r="E387" i="6" s="1" a="1"/>
  <c r="E387" i="6" s="1"/>
  <c r="D388" i="6" a="1"/>
  <c r="D388" i="6" s="1"/>
  <c r="D389" i="6" a="1"/>
  <c r="D389" i="6" s="1"/>
  <c r="F389" i="6" s="1" a="1"/>
  <c r="F389" i="6" s="1"/>
  <c r="D390" i="6" a="1"/>
  <c r="D390" i="6" s="1"/>
  <c r="D391" i="6" a="1"/>
  <c r="D391" i="6" s="1"/>
  <c r="F391" i="6" s="1" a="1"/>
  <c r="F391" i="6" s="1"/>
  <c r="D392" i="6" a="1"/>
  <c r="D392" i="6" s="1"/>
  <c r="F392" i="6" s="1" a="1"/>
  <c r="F392" i="6" s="1"/>
  <c r="D393" i="6" a="1"/>
  <c r="D393" i="6" s="1"/>
  <c r="E393" i="6" s="1" a="1"/>
  <c r="E393" i="6" s="1"/>
  <c r="D394" i="6" a="1"/>
  <c r="D394" i="6" s="1"/>
  <c r="D395" i="6" a="1"/>
  <c r="D395" i="6" s="1"/>
  <c r="E395" i="6" s="1" a="1"/>
  <c r="E395" i="6" s="1"/>
  <c r="D396" i="6" a="1"/>
  <c r="D396" i="6" s="1"/>
  <c r="E396" i="6" s="1" a="1"/>
  <c r="E396" i="6" s="1"/>
  <c r="D397" i="6" a="1"/>
  <c r="D397" i="6" s="1"/>
  <c r="D398" i="6" a="1"/>
  <c r="D398" i="6" s="1"/>
  <c r="E398" i="6" s="1" a="1"/>
  <c r="E398" i="6" s="1"/>
  <c r="D399" i="6" a="1"/>
  <c r="D399" i="6" s="1"/>
  <c r="D400" i="6" a="1"/>
  <c r="D400" i="6" s="1"/>
  <c r="E400" i="6" s="1" a="1"/>
  <c r="E400" i="6" s="1"/>
  <c r="D401" i="6" a="1"/>
  <c r="D401" i="6" s="1"/>
  <c r="D402" i="6" a="1"/>
  <c r="D402" i="6" s="1"/>
  <c r="F402" i="6" s="1" a="1"/>
  <c r="F402" i="6" s="1"/>
  <c r="D403" i="6" a="1"/>
  <c r="D403" i="6" s="1"/>
  <c r="E403" i="6" s="1" a="1"/>
  <c r="E403" i="6" s="1"/>
  <c r="D404" i="6" a="1"/>
  <c r="D404" i="6" s="1"/>
  <c r="F404" i="6" s="1" a="1"/>
  <c r="F404" i="6" s="1"/>
  <c r="D405" i="6" a="1"/>
  <c r="D405" i="6" s="1"/>
  <c r="F405" i="6" s="1" a="1"/>
  <c r="F405" i="6" s="1"/>
  <c r="D406" i="6" a="1"/>
  <c r="D406" i="6" s="1"/>
  <c r="F406" i="6" s="1" a="1"/>
  <c r="F406" i="6" s="1"/>
  <c r="D407" i="6" a="1"/>
  <c r="D407" i="6" s="1"/>
  <c r="D408" i="6" a="1"/>
  <c r="D408" i="6" s="1"/>
  <c r="D409" i="6" a="1"/>
  <c r="D409" i="6" s="1"/>
  <c r="F409" i="6" s="1" a="1"/>
  <c r="F409" i="6" s="1"/>
  <c r="D410" i="6" a="1"/>
  <c r="D410" i="6" s="1"/>
  <c r="E410" i="6" s="1" a="1"/>
  <c r="E410" i="6" s="1"/>
  <c r="D411" i="6" a="1"/>
  <c r="D411" i="6" s="1"/>
  <c r="D412" i="6" a="1"/>
  <c r="D412" i="6" s="1"/>
  <c r="D413" i="6" a="1"/>
  <c r="D413" i="6" s="1"/>
  <c r="F413" i="6" s="1" a="1"/>
  <c r="F413" i="6" s="1"/>
  <c r="D414" i="6" a="1"/>
  <c r="D414" i="6" s="1"/>
  <c r="D415" i="6" a="1"/>
  <c r="D415" i="6" s="1"/>
  <c r="D416" i="6" a="1"/>
  <c r="D416" i="6" s="1"/>
  <c r="F416" i="6" s="1" a="1"/>
  <c r="F416" i="6" s="1"/>
  <c r="D417" i="6" a="1"/>
  <c r="D417" i="6" s="1"/>
  <c r="E417" i="6" s="1" a="1"/>
  <c r="E417" i="6" s="1"/>
  <c r="D418" i="6" a="1"/>
  <c r="D418" i="6" s="1"/>
  <c r="F418" i="6" s="1" a="1"/>
  <c r="F418" i="6" s="1"/>
  <c r="D419" i="6" a="1"/>
  <c r="D419" i="6" s="1"/>
  <c r="D420" i="6" a="1"/>
  <c r="D420" i="6" s="1"/>
  <c r="D421" i="6" a="1"/>
  <c r="D421" i="6" s="1"/>
  <c r="D422" i="6" a="1"/>
  <c r="D422" i="6" s="1"/>
  <c r="F422" i="6" s="1" a="1"/>
  <c r="F422" i="6" s="1"/>
  <c r="D423" i="6" a="1"/>
  <c r="D423" i="6" s="1"/>
  <c r="D424" i="6" a="1"/>
  <c r="D424" i="6" s="1"/>
  <c r="D425" i="6" a="1"/>
  <c r="D425" i="6" s="1"/>
  <c r="D426" i="6" a="1"/>
  <c r="D426" i="6" s="1"/>
  <c r="F426" i="6" s="1" a="1"/>
  <c r="F426" i="6" s="1"/>
  <c r="D427" i="6" a="1"/>
  <c r="D427" i="6" s="1"/>
  <c r="D428" i="6" a="1"/>
  <c r="D428" i="6" s="1"/>
  <c r="E428" i="6" s="1" a="1"/>
  <c r="E428" i="6" s="1"/>
  <c r="D429" i="6" a="1"/>
  <c r="D429" i="6" s="1"/>
  <c r="D430" i="6" a="1"/>
  <c r="D430" i="6" s="1"/>
  <c r="F430" i="6" s="1" a="1"/>
  <c r="F430" i="6" s="1"/>
  <c r="D431" i="6" a="1"/>
  <c r="D431" i="6" s="1"/>
  <c r="D432" i="6" a="1"/>
  <c r="D432" i="6" s="1"/>
  <c r="D433" i="6" a="1"/>
  <c r="D433" i="6" s="1"/>
  <c r="F433" i="6" s="1" a="1"/>
  <c r="F433" i="6" s="1"/>
  <c r="D434" i="6" a="1"/>
  <c r="D434" i="6" s="1"/>
  <c r="D435" i="6" a="1"/>
  <c r="D435" i="6" s="1"/>
  <c r="F435" i="6" s="1" a="1"/>
  <c r="F435" i="6" s="1"/>
  <c r="D436" i="6" a="1"/>
  <c r="D436" i="6" s="1"/>
  <c r="E436" i="6" s="1" a="1"/>
  <c r="E436" i="6" s="1"/>
  <c r="D437" i="6" a="1"/>
  <c r="D437" i="6" s="1"/>
  <c r="F437" i="6" s="1" a="1"/>
  <c r="F437" i="6" s="1"/>
  <c r="D438" i="6" a="1"/>
  <c r="D438" i="6" s="1"/>
  <c r="D439" i="6" a="1"/>
  <c r="D439" i="6" s="1"/>
  <c r="F439" i="6" s="1" a="1"/>
  <c r="F439" i="6" s="1"/>
  <c r="D440" i="6" a="1"/>
  <c r="D440" i="6" s="1"/>
  <c r="E440" i="6" s="1" a="1"/>
  <c r="E440" i="6" s="1"/>
  <c r="D441" i="6" a="1"/>
  <c r="D441" i="6" s="1"/>
  <c r="D442" i="6" a="1"/>
  <c r="D442" i="6" s="1"/>
  <c r="E442" i="6" s="1" a="1"/>
  <c r="E442" i="6" s="1"/>
  <c r="D443" i="6" a="1"/>
  <c r="D443" i="6" s="1"/>
  <c r="E443" i="6" s="1" a="1"/>
  <c r="E443" i="6" s="1"/>
  <c r="D444" i="6" a="1"/>
  <c r="D444" i="6" s="1"/>
  <c r="D445" i="6" a="1"/>
  <c r="D445" i="6" s="1"/>
  <c r="E445" i="6" s="1" a="1"/>
  <c r="E445" i="6" s="1"/>
  <c r="D446" i="6" a="1"/>
  <c r="D446" i="6" s="1"/>
  <c r="D447" i="6" a="1"/>
  <c r="D447" i="6" s="1"/>
  <c r="F447" i="6" s="1" a="1"/>
  <c r="F447" i="6" s="1"/>
  <c r="D448" i="6" a="1"/>
  <c r="D448" i="6" s="1"/>
  <c r="F448" i="6" s="1" a="1"/>
  <c r="F448" i="6" s="1"/>
  <c r="D449" i="6" a="1"/>
  <c r="D449" i="6" s="1"/>
  <c r="E449" i="6" s="1" a="1"/>
  <c r="E449" i="6" s="1"/>
  <c r="D450" i="6" a="1"/>
  <c r="D450" i="6" s="1"/>
  <c r="E450" i="6" s="1" a="1"/>
  <c r="E450" i="6" s="1"/>
  <c r="D451" i="6" a="1"/>
  <c r="D451" i="6" s="1"/>
  <c r="F451" i="6" s="1" a="1"/>
  <c r="F451" i="6" s="1"/>
  <c r="D452" i="6" a="1"/>
  <c r="D452" i="6" s="1"/>
  <c r="E452" i="6" s="1" a="1"/>
  <c r="E452" i="6" s="1"/>
  <c r="D453" i="6" a="1"/>
  <c r="D453" i="6" s="1"/>
  <c r="E453" i="6" s="1" a="1"/>
  <c r="E453" i="6" s="1"/>
  <c r="D454" i="6" a="1"/>
  <c r="D454" i="6" s="1"/>
  <c r="D455" i="6" a="1"/>
  <c r="D455" i="6" s="1"/>
  <c r="D456" i="6" a="1"/>
  <c r="D456" i="6" s="1"/>
  <c r="F456" i="6" s="1" a="1"/>
  <c r="F456" i="6" s="1"/>
  <c r="D457" i="6" a="1"/>
  <c r="D457" i="6" s="1"/>
  <c r="F457" i="6" s="1" a="1"/>
  <c r="F457" i="6" s="1"/>
  <c r="D458" i="6" a="1"/>
  <c r="D458" i="6" s="1"/>
  <c r="E458" i="6" s="1" a="1"/>
  <c r="E458" i="6" s="1"/>
  <c r="D459" i="6" a="1"/>
  <c r="D459" i="6" s="1"/>
  <c r="E459" i="6" s="1" a="1"/>
  <c r="E459" i="6" s="1"/>
  <c r="D460" i="6" a="1"/>
  <c r="D460" i="6" s="1"/>
  <c r="F460" i="6" s="1" a="1"/>
  <c r="F460" i="6" s="1"/>
  <c r="D461" i="6" a="1"/>
  <c r="D461" i="6" s="1"/>
  <c r="D462" i="6" a="1"/>
  <c r="D462" i="6" s="1"/>
  <c r="D463" i="6" a="1"/>
  <c r="D463" i="6" s="1"/>
  <c r="D464" i="6" a="1"/>
  <c r="D464" i="6" s="1"/>
  <c r="E464" i="6" s="1" a="1"/>
  <c r="E464" i="6" s="1"/>
  <c r="D465" i="6" a="1"/>
  <c r="D465" i="6" s="1"/>
  <c r="F465" i="6" s="1" a="1"/>
  <c r="F465" i="6" s="1"/>
  <c r="D466" i="6" a="1"/>
  <c r="D466" i="6" s="1"/>
  <c r="F466" i="6" s="1" a="1"/>
  <c r="F466" i="6" s="1"/>
  <c r="D467" i="6" a="1"/>
  <c r="D467" i="6" s="1"/>
  <c r="E467" i="6" s="1" a="1"/>
  <c r="E467" i="6" s="1"/>
  <c r="D468" i="6" a="1"/>
  <c r="D468" i="6" s="1"/>
  <c r="D469" i="6" a="1"/>
  <c r="D469" i="6" s="1"/>
  <c r="D470" i="6" a="1"/>
  <c r="D470" i="6" s="1"/>
  <c r="D471" i="6" a="1"/>
  <c r="D471" i="6" s="1"/>
  <c r="F471" i="6" s="1" a="1"/>
  <c r="F471" i="6" s="1"/>
  <c r="D472" i="6" a="1"/>
  <c r="D472" i="6" s="1"/>
  <c r="D473" i="6" a="1"/>
  <c r="D473" i="6" s="1"/>
  <c r="D474" i="6" a="1"/>
  <c r="D474" i="6" s="1"/>
  <c r="D475" i="6" a="1"/>
  <c r="D475" i="6" s="1"/>
  <c r="D476" i="6" a="1"/>
  <c r="D476" i="6" s="1"/>
  <c r="E476" i="6" s="1" a="1"/>
  <c r="E476" i="6" s="1"/>
  <c r="D477" i="6" a="1"/>
  <c r="D477" i="6" s="1"/>
  <c r="D478" i="6" a="1"/>
  <c r="D478" i="6" s="1"/>
  <c r="D479" i="6" a="1"/>
  <c r="D479" i="6" s="1"/>
  <c r="D480" i="6" a="1"/>
  <c r="D480" i="6" s="1"/>
  <c r="D481" i="6" a="1"/>
  <c r="D481" i="6" s="1"/>
  <c r="D482" i="6" a="1"/>
  <c r="D482" i="6" s="1"/>
  <c r="E482" i="6" s="1" a="1"/>
  <c r="E482" i="6" s="1"/>
  <c r="D483" i="6" a="1"/>
  <c r="D483" i="6" s="1"/>
  <c r="D484" i="6" a="1"/>
  <c r="D484" i="6" s="1"/>
  <c r="F484" i="6" s="1" a="1"/>
  <c r="F484" i="6" s="1"/>
  <c r="D485" i="6" a="1"/>
  <c r="D485" i="6" s="1"/>
  <c r="D486" i="6" a="1"/>
  <c r="D486" i="6" s="1"/>
  <c r="D487" i="6" a="1"/>
  <c r="D487" i="6" s="1"/>
  <c r="E487" i="6" s="1" a="1"/>
  <c r="E487" i="6" s="1"/>
  <c r="D488" i="6" a="1"/>
  <c r="D488" i="6" s="1"/>
  <c r="E488" i="6" s="1" a="1"/>
  <c r="E488" i="6" s="1"/>
  <c r="D489" i="6" a="1"/>
  <c r="D489" i="6" s="1"/>
  <c r="E489" i="6" s="1" a="1"/>
  <c r="E489" i="6" s="1"/>
  <c r="D490" i="6" a="1"/>
  <c r="D490" i="6" s="1"/>
  <c r="D491" i="6" a="1"/>
  <c r="D491" i="6" s="1"/>
  <c r="F491" i="6" s="1" a="1"/>
  <c r="F491" i="6" s="1"/>
  <c r="D492" i="6" a="1"/>
  <c r="D492" i="6" s="1"/>
  <c r="D493" i="6" a="1"/>
  <c r="D493" i="6" s="1"/>
  <c r="D494" i="6" a="1"/>
  <c r="D494" i="6" s="1"/>
  <c r="F494" i="6" s="1" a="1"/>
  <c r="F494" i="6" s="1"/>
  <c r="D495" i="6" a="1"/>
  <c r="D495" i="6" s="1"/>
  <c r="E495" i="6" s="1" a="1"/>
  <c r="E495" i="6" s="1"/>
  <c r="D496" i="6" a="1"/>
  <c r="D496" i="6" s="1"/>
  <c r="E496" i="6" s="1" a="1"/>
  <c r="E496" i="6" s="1"/>
  <c r="D497" i="6" a="1"/>
  <c r="D497" i="6" s="1"/>
  <c r="D498" i="6" a="1"/>
  <c r="D498" i="6" s="1"/>
  <c r="F498" i="6" s="1" a="1"/>
  <c r="F498" i="6" s="1"/>
  <c r="D499" i="6" a="1"/>
  <c r="D499" i="6" s="1"/>
  <c r="E499" i="6" s="1" a="1"/>
  <c r="E499" i="6" s="1"/>
  <c r="D500" i="6" a="1"/>
  <c r="D500" i="6" s="1"/>
  <c r="F500" i="6" s="1" a="1"/>
  <c r="F500" i="6" s="1"/>
  <c r="D501" i="6" a="1"/>
  <c r="D501" i="6" s="1"/>
  <c r="D502" i="6" a="1"/>
  <c r="D502" i="6" s="1"/>
  <c r="E502" i="6" s="1" a="1"/>
  <c r="E502" i="6" s="1"/>
  <c r="D503" i="6" a="1"/>
  <c r="D503" i="6" s="1"/>
  <c r="E503" i="6" s="1" a="1"/>
  <c r="E503" i="6" s="1"/>
  <c r="D504" i="6" a="1"/>
  <c r="D504" i="6" s="1"/>
  <c r="D505" i="6" a="1"/>
  <c r="D505" i="6" s="1"/>
  <c r="F505" i="6" s="1" a="1"/>
  <c r="F505" i="6" s="1"/>
  <c r="D506" i="6" a="1"/>
  <c r="D506" i="6" s="1"/>
  <c r="E506" i="6" s="1" a="1"/>
  <c r="E506" i="6" s="1"/>
  <c r="D507" i="6" a="1"/>
  <c r="D507" i="6" s="1"/>
  <c r="D508" i="6" a="1"/>
  <c r="D508" i="6" s="1"/>
  <c r="D509" i="6" a="1"/>
  <c r="D509" i="6" s="1"/>
  <c r="D510" i="6" a="1"/>
  <c r="D510" i="6" s="1"/>
  <c r="E510" i="6" s="1" a="1"/>
  <c r="E510" i="6" s="1"/>
  <c r="D511" i="6" a="1"/>
  <c r="D511" i="6" s="1"/>
  <c r="E511" i="6" s="1" a="1"/>
  <c r="E511" i="6" s="1"/>
  <c r="D512" i="6" a="1"/>
  <c r="D512" i="6" s="1"/>
  <c r="D513" i="6" a="1"/>
  <c r="D513" i="6" s="1"/>
  <c r="F513" i="6" s="1" a="1"/>
  <c r="F513" i="6" s="1"/>
  <c r="D514" i="6" a="1"/>
  <c r="D514" i="6" s="1"/>
  <c r="F514" i="6" s="1" a="1"/>
  <c r="F514" i="6" s="1"/>
  <c r="D515" i="6" a="1"/>
  <c r="D515" i="6" s="1"/>
  <c r="D516" i="6" a="1"/>
  <c r="D516" i="6" s="1"/>
  <c r="D517" i="6" a="1"/>
  <c r="D517" i="6" s="1"/>
  <c r="F517" i="6" s="1" a="1"/>
  <c r="F517" i="6" s="1"/>
  <c r="D518" i="6" a="1"/>
  <c r="D518" i="6" s="1"/>
  <c r="D519" i="6" a="1"/>
  <c r="D519" i="6" s="1"/>
  <c r="E519" i="6" s="1" a="1"/>
  <c r="E519" i="6" s="1"/>
  <c r="D520" i="6" a="1"/>
  <c r="D520" i="6" s="1"/>
  <c r="D521" i="6" a="1"/>
  <c r="D521" i="6" s="1"/>
  <c r="D522" i="6" a="1"/>
  <c r="D522" i="6" s="1"/>
  <c r="D523" i="6" a="1"/>
  <c r="D523" i="6" s="1"/>
  <c r="E523" i="6" s="1" a="1"/>
  <c r="E523" i="6" s="1"/>
  <c r="D524" i="6" a="1"/>
  <c r="D524" i="6" s="1"/>
  <c r="D525" i="6" a="1"/>
  <c r="D525" i="6" s="1"/>
  <c r="E525" i="6" s="1" a="1"/>
  <c r="E525" i="6" s="1"/>
  <c r="D526" i="6" a="1"/>
  <c r="D526" i="6" s="1"/>
  <c r="E526" i="6" s="1" a="1"/>
  <c r="E526" i="6" s="1"/>
  <c r="D527" i="6" a="1"/>
  <c r="D527" i="6"/>
  <c r="F527" i="6" s="1" a="1"/>
  <c r="F527" i="6" s="1"/>
  <c r="D528" i="6" a="1"/>
  <c r="D528" i="6" s="1"/>
  <c r="E528" i="6" s="1" a="1"/>
  <c r="E528" i="6" s="1"/>
  <c r="D529" i="6" a="1"/>
  <c r="D529" i="6" s="1"/>
  <c r="F529" i="6" s="1" a="1"/>
  <c r="F529" i="6" s="1"/>
  <c r="D530" i="6" a="1"/>
  <c r="D530" i="6" s="1"/>
  <c r="D531" i="6" a="1"/>
  <c r="D531" i="6" s="1"/>
  <c r="D532" i="6" a="1"/>
  <c r="D532" i="6" s="1"/>
  <c r="E532" i="6" s="1" a="1"/>
  <c r="E532" i="6" s="1"/>
  <c r="D533" i="6" a="1"/>
  <c r="D533" i="6" s="1"/>
  <c r="E533" i="6" s="1" a="1"/>
  <c r="E533" i="6" s="1"/>
  <c r="D534" i="6" a="1"/>
  <c r="D534" i="6" s="1"/>
  <c r="D535" i="6" a="1"/>
  <c r="D535" i="6" s="1"/>
  <c r="D536" i="6" a="1"/>
  <c r="D536" i="6" s="1"/>
  <c r="D537" i="6" a="1"/>
  <c r="D537" i="6" s="1"/>
  <c r="F537" i="6" s="1" a="1"/>
  <c r="F537" i="6" s="1"/>
  <c r="D538" i="6" a="1"/>
  <c r="D538" i="6"/>
  <c r="D539" i="6" a="1"/>
  <c r="D539" i="6" s="1"/>
  <c r="F539" i="6" s="1" a="1"/>
  <c r="F539" i="6" s="1"/>
  <c r="D540" i="6" a="1"/>
  <c r="D540" i="6" s="1"/>
  <c r="F540" i="6" s="1" a="1"/>
  <c r="F540" i="6" s="1"/>
  <c r="D541" i="6" a="1"/>
  <c r="D541" i="6" s="1"/>
  <c r="D542" i="6" a="1"/>
  <c r="D542" i="6" s="1"/>
  <c r="D543" i="6" a="1"/>
  <c r="D543" i="6" s="1"/>
  <c r="D544" i="6" a="1"/>
  <c r="D544" i="6" s="1"/>
  <c r="D545" i="6" a="1"/>
  <c r="D545" i="6" s="1"/>
  <c r="E545" i="6" s="1" a="1"/>
  <c r="E545" i="6" s="1"/>
  <c r="D546" i="6" a="1"/>
  <c r="D546" i="6" s="1"/>
  <c r="E546" i="6" s="1" a="1"/>
  <c r="E546" i="6" s="1"/>
  <c r="D547" i="6" a="1"/>
  <c r="D547" i="6" s="1"/>
  <c r="F547" i="6" s="1" a="1"/>
  <c r="F547" i="6" s="1"/>
  <c r="D548" i="6" a="1"/>
  <c r="D548" i="6" s="1"/>
  <c r="D549" i="6" a="1"/>
  <c r="D549" i="6" s="1"/>
  <c r="E549" i="6" s="1" a="1"/>
  <c r="E549" i="6" s="1"/>
  <c r="D550" i="6" a="1"/>
  <c r="D550" i="6" s="1"/>
  <c r="F550" i="6" s="1" a="1"/>
  <c r="F550" i="6" s="1"/>
  <c r="D551" i="6" a="1"/>
  <c r="D551" i="6" s="1"/>
  <c r="F551" i="6" s="1" a="1"/>
  <c r="F551" i="6" s="1"/>
  <c r="D552" i="6" a="1"/>
  <c r="D552" i="6" s="1"/>
  <c r="F552" i="6" s="1" a="1"/>
  <c r="F552" i="6" s="1"/>
  <c r="D553" i="6" a="1"/>
  <c r="D553" i="6" s="1"/>
  <c r="F553" i="6" s="1" a="1"/>
  <c r="F553" i="6" s="1"/>
  <c r="D554" i="6" a="1"/>
  <c r="D554" i="6" s="1"/>
  <c r="E554" i="6" s="1" a="1"/>
  <c r="E554" i="6" s="1"/>
  <c r="D555" i="6" a="1"/>
  <c r="D555" i="6" s="1"/>
  <c r="F555" i="6" s="1" a="1"/>
  <c r="F555" i="6" s="1"/>
  <c r="D556" i="6" a="1"/>
  <c r="D556" i="6" s="1"/>
  <c r="E556" i="6" s="1" a="1"/>
  <c r="E556" i="6" s="1"/>
  <c r="D557" i="6" a="1"/>
  <c r="D557" i="6" s="1"/>
  <c r="E557" i="6" s="1" a="1"/>
  <c r="E557" i="6" s="1"/>
  <c r="D558" i="6" a="1"/>
  <c r="D558" i="6" s="1"/>
  <c r="E558" i="6" s="1" a="1"/>
  <c r="E558" i="6" s="1"/>
  <c r="D559" i="6" a="1"/>
  <c r="D559" i="6" s="1"/>
  <c r="E559" i="6" s="1" a="1"/>
  <c r="E559" i="6" s="1"/>
  <c r="D560" i="6" a="1"/>
  <c r="D560" i="6" s="1"/>
  <c r="D561" i="6" a="1"/>
  <c r="D561" i="6" s="1"/>
  <c r="D562" i="6" a="1"/>
  <c r="D562" i="6" s="1"/>
  <c r="D563" i="6" a="1"/>
  <c r="D563" i="6" s="1"/>
  <c r="D564" i="6" a="1"/>
  <c r="D564" i="6" s="1"/>
  <c r="D565" i="6" a="1"/>
  <c r="D565" i="6" s="1"/>
  <c r="F565" i="6" s="1" a="1"/>
  <c r="F565" i="6" s="1"/>
  <c r="C3" i="6" a="1"/>
  <c r="C3" i="6" s="1"/>
  <c r="C4" i="6" a="1"/>
  <c r="C4" i="6"/>
  <c r="C5" i="6" a="1"/>
  <c r="C5" i="6"/>
  <c r="C6" i="6" a="1"/>
  <c r="C6" i="6"/>
  <c r="C7" i="6" a="1"/>
  <c r="C7" i="6"/>
  <c r="C8" i="6" a="1"/>
  <c r="C8" i="6"/>
  <c r="C9" i="6" a="1"/>
  <c r="C9" i="6" s="1"/>
  <c r="C10" i="6" a="1"/>
  <c r="C10" i="6" s="1"/>
  <c r="C11" i="6" a="1"/>
  <c r="C11" i="6"/>
  <c r="C12" i="6" a="1"/>
  <c r="C12" i="6"/>
  <c r="C13" i="6" a="1"/>
  <c r="C13" i="6"/>
  <c r="C14" i="6" a="1"/>
  <c r="C14" i="6"/>
  <c r="C15" i="6" a="1"/>
  <c r="C15" i="6" s="1"/>
  <c r="C16" i="6" a="1"/>
  <c r="C16" i="6" s="1"/>
  <c r="C17" i="6" a="1"/>
  <c r="C17" i="6"/>
  <c r="C18" i="6" a="1"/>
  <c r="C18" i="6"/>
  <c r="C19" i="6" a="1"/>
  <c r="C19" i="6"/>
  <c r="C20" i="6" a="1"/>
  <c r="C20" i="6"/>
  <c r="C21" i="6" a="1"/>
  <c r="C21" i="6" s="1"/>
  <c r="C22" i="6" a="1"/>
  <c r="C22" i="6" s="1"/>
  <c r="C23" i="6" a="1"/>
  <c r="C23" i="6" s="1"/>
  <c r="C24" i="6" a="1"/>
  <c r="C24" i="6"/>
  <c r="C25" i="6" a="1"/>
  <c r="C25" i="6"/>
  <c r="C26" i="6" a="1"/>
  <c r="C26" i="6"/>
  <c r="C27" i="6" a="1"/>
  <c r="C27" i="6" s="1"/>
  <c r="C28" i="6" a="1"/>
  <c r="C28" i="6"/>
  <c r="C29" i="6" a="1"/>
  <c r="C29" i="6" s="1"/>
  <c r="C30" i="6" a="1"/>
  <c r="C30" i="6" s="1"/>
  <c r="C31" i="6" a="1"/>
  <c r="C31" i="6"/>
  <c r="C32" i="6" a="1"/>
  <c r="C32" i="6"/>
  <c r="C33" i="6" a="1"/>
  <c r="C33" i="6" s="1"/>
  <c r="C34" i="6" a="1"/>
  <c r="C34" i="6"/>
  <c r="C35" i="6" a="1"/>
  <c r="C35" i="6"/>
  <c r="C36" i="6" a="1"/>
  <c r="C36" i="6" s="1"/>
  <c r="C37" i="6" a="1"/>
  <c r="C37" i="6"/>
  <c r="C38" i="6" a="1"/>
  <c r="C38" i="6"/>
  <c r="C39" i="6" a="1"/>
  <c r="C39" i="6" s="1"/>
  <c r="C40" i="6" a="1"/>
  <c r="C40" i="6"/>
  <c r="C41" i="6" a="1"/>
  <c r="C41" i="6"/>
  <c r="C42" i="6" a="1"/>
  <c r="C42" i="6" s="1"/>
  <c r="C43" i="6" a="1"/>
  <c r="C43" i="6" s="1"/>
  <c r="C44" i="6" a="1"/>
  <c r="C44" i="6"/>
  <c r="C45" i="6" a="1"/>
  <c r="C45" i="6" s="1"/>
  <c r="C46" i="6" a="1"/>
  <c r="C46" i="6"/>
  <c r="C47" i="6" a="1"/>
  <c r="C47" i="6"/>
  <c r="C48" i="6" a="1"/>
  <c r="C48" i="6"/>
  <c r="C49" i="6" a="1"/>
  <c r="C49" i="6" s="1"/>
  <c r="C50" i="6" a="1"/>
  <c r="C50" i="6"/>
  <c r="C51" i="6" a="1"/>
  <c r="C51" i="6" s="1"/>
  <c r="C52" i="6" a="1"/>
  <c r="C52" i="6"/>
  <c r="C53" i="6" a="1"/>
  <c r="C53" i="6"/>
  <c r="C54" i="6" a="1"/>
  <c r="C54" i="6"/>
  <c r="C55" i="6" a="1"/>
  <c r="C55" i="6" s="1"/>
  <c r="C56" i="6" a="1"/>
  <c r="C56" i="6" s="1"/>
  <c r="C57" i="6" a="1"/>
  <c r="C57" i="6" s="1"/>
  <c r="C58" i="6" a="1"/>
  <c r="C58" i="6"/>
  <c r="C59" i="6" a="1"/>
  <c r="C59" i="6"/>
  <c r="C60" i="6" a="1"/>
  <c r="C60" i="6"/>
  <c r="C61" i="6" a="1"/>
  <c r="C61" i="6"/>
  <c r="C62" i="6" a="1"/>
  <c r="C62" i="6" s="1"/>
  <c r="C63" i="6" a="1"/>
  <c r="C63" i="6" s="1"/>
  <c r="C64" i="6" a="1"/>
  <c r="C64" i="6"/>
  <c r="C65" i="6" a="1"/>
  <c r="C65" i="6"/>
  <c r="C66" i="6" a="1"/>
  <c r="C66" i="6"/>
  <c r="C67" i="6" a="1"/>
  <c r="C67" i="6"/>
  <c r="C68" i="6" a="1"/>
  <c r="C68" i="6" s="1"/>
  <c r="C69" i="6" a="1"/>
  <c r="C69" i="6" s="1"/>
  <c r="C70" i="6" a="1"/>
  <c r="C70" i="6"/>
  <c r="C71" i="6" a="1"/>
  <c r="C71" i="6"/>
  <c r="C72" i="6" a="1"/>
  <c r="C72" i="6"/>
  <c r="C73" i="6" a="1"/>
  <c r="C73" i="6"/>
  <c r="C74" i="6" a="1"/>
  <c r="C74" i="6"/>
  <c r="C75" i="6" a="1"/>
  <c r="C75" i="6" s="1"/>
  <c r="C76" i="6" a="1"/>
  <c r="C76" i="6" s="1"/>
  <c r="C77" i="6" a="1"/>
  <c r="C77" i="6"/>
  <c r="C78" i="6" a="1"/>
  <c r="C78" i="6"/>
  <c r="C79" i="6" a="1"/>
  <c r="C79" i="6"/>
  <c r="C80" i="6" a="1"/>
  <c r="C80" i="6"/>
  <c r="C81" i="6" a="1"/>
  <c r="C81" i="6" s="1"/>
  <c r="C82" i="6" a="1"/>
  <c r="C82" i="6" s="1"/>
  <c r="C83" i="6" a="1"/>
  <c r="C83" i="6"/>
  <c r="C84" i="6" a="1"/>
  <c r="C84" i="6"/>
  <c r="C85" i="6" a="1"/>
  <c r="C85" i="6"/>
  <c r="C86" i="6" a="1"/>
  <c r="C86" i="6"/>
  <c r="C87" i="6" a="1"/>
  <c r="C87" i="6" s="1"/>
  <c r="C88" i="6" a="1"/>
  <c r="C88" i="6" s="1"/>
  <c r="C89" i="6" a="1"/>
  <c r="C89" i="6"/>
  <c r="C90" i="6" a="1"/>
  <c r="C90" i="6"/>
  <c r="C91" i="6" a="1"/>
  <c r="C91" i="6"/>
  <c r="C92" i="6" a="1"/>
  <c r="C92" i="6"/>
  <c r="C93" i="6" a="1"/>
  <c r="C93" i="6" s="1"/>
  <c r="C94" i="6" a="1"/>
  <c r="C94" i="6"/>
  <c r="C95" i="6" a="1"/>
  <c r="C95" i="6" s="1"/>
  <c r="C96" i="6" a="1"/>
  <c r="C96" i="6"/>
  <c r="C97" i="6" a="1"/>
  <c r="C97" i="6"/>
  <c r="C98" i="6" a="1"/>
  <c r="C98" i="6"/>
  <c r="C99" i="6" a="1"/>
  <c r="C99" i="6" s="1"/>
  <c r="C100" i="6" a="1"/>
  <c r="C100" i="6"/>
  <c r="C101" i="6" a="1"/>
  <c r="C101" i="6" s="1"/>
  <c r="C102" i="6" a="1"/>
  <c r="C102" i="6" s="1"/>
  <c r="C103" i="6" a="1"/>
  <c r="C103" i="6"/>
  <c r="C104" i="6" a="1"/>
  <c r="C104" i="6"/>
  <c r="C105" i="6" a="1"/>
  <c r="C105" i="6" s="1"/>
  <c r="C106" i="6" a="1"/>
  <c r="C106" i="6"/>
  <c r="C107" i="6" a="1"/>
  <c r="C107" i="6"/>
  <c r="C108" i="6" a="1"/>
  <c r="C108" i="6" s="1"/>
  <c r="C109" i="6" a="1"/>
  <c r="C109" i="6"/>
  <c r="C110" i="6" a="1"/>
  <c r="C110" i="6"/>
  <c r="C111" i="6" a="1"/>
  <c r="C111" i="6" s="1"/>
  <c r="C112" i="6" a="1"/>
  <c r="C112" i="6"/>
  <c r="C113" i="6" a="1"/>
  <c r="C113" i="6"/>
  <c r="C114" i="6" a="1"/>
  <c r="C114" i="6" s="1"/>
  <c r="C115" i="6" a="1"/>
  <c r="C115" i="6" s="1"/>
  <c r="C116" i="6" a="1"/>
  <c r="C116" i="6"/>
  <c r="C117" i="6" a="1"/>
  <c r="C117" i="6" s="1"/>
  <c r="C118" i="6" a="1"/>
  <c r="C118" i="6"/>
  <c r="C119" i="6" a="1"/>
  <c r="C119" i="6"/>
  <c r="C120" i="6" a="1"/>
  <c r="C120" i="6"/>
  <c r="C121" i="6" a="1"/>
  <c r="C121" i="6" s="1"/>
  <c r="C122" i="6" a="1"/>
  <c r="C122" i="6"/>
  <c r="C123" i="6" a="1"/>
  <c r="C123" i="6" s="1"/>
  <c r="C124" i="6" a="1"/>
  <c r="C124" i="6"/>
  <c r="C125" i="6" a="1"/>
  <c r="C125" i="6"/>
  <c r="C126" i="6" a="1"/>
  <c r="C126" i="6"/>
  <c r="C127" i="6" a="1"/>
  <c r="C127" i="6" s="1"/>
  <c r="C128" i="6" a="1"/>
  <c r="C128" i="6" s="1"/>
  <c r="C129" i="6" a="1"/>
  <c r="C129" i="6" s="1"/>
  <c r="C130" i="6" a="1"/>
  <c r="C130" i="6"/>
  <c r="C131" i="6" a="1"/>
  <c r="C131" i="6"/>
  <c r="C132" i="6" a="1"/>
  <c r="C132" i="6"/>
  <c r="C133" i="6" a="1"/>
  <c r="C133" i="6"/>
  <c r="C134" i="6" a="1"/>
  <c r="C134" i="6" s="1"/>
  <c r="C135" i="6" a="1"/>
  <c r="C135" i="6" s="1"/>
  <c r="C136" i="6" a="1"/>
  <c r="C136" i="6"/>
  <c r="C137" i="6" a="1"/>
  <c r="C137" i="6"/>
  <c r="C138" i="6" a="1"/>
  <c r="C138" i="6"/>
  <c r="C139" i="6" a="1"/>
  <c r="C139" i="6"/>
  <c r="C140" i="6" a="1"/>
  <c r="C140" i="6" s="1"/>
  <c r="C141" i="6" a="1"/>
  <c r="C141" i="6" s="1"/>
  <c r="C142" i="6" a="1"/>
  <c r="C142" i="6"/>
  <c r="C143" i="6" a="1"/>
  <c r="C143" i="6"/>
  <c r="C144" i="6" a="1"/>
  <c r="C144" i="6"/>
  <c r="C145" i="6" a="1"/>
  <c r="C145" i="6"/>
  <c r="C146" i="6" a="1"/>
  <c r="C146" i="6"/>
  <c r="C147" i="6" a="1"/>
  <c r="C147" i="6" s="1"/>
  <c r="C148" i="6" a="1"/>
  <c r="C148" i="6" s="1"/>
  <c r="C149" i="6" a="1"/>
  <c r="C149" i="6"/>
  <c r="C150" i="6" a="1"/>
  <c r="C150" i="6"/>
  <c r="C151" i="6" a="1"/>
  <c r="C151" i="6"/>
  <c r="C152" i="6" a="1"/>
  <c r="C152" i="6"/>
  <c r="C153" i="6" a="1"/>
  <c r="C153" i="6" s="1"/>
  <c r="C154" i="6" a="1"/>
  <c r="C154" i="6" s="1"/>
  <c r="C155" i="6" a="1"/>
  <c r="C155" i="6"/>
  <c r="C156" i="6" a="1"/>
  <c r="C156" i="6"/>
  <c r="C157" i="6" a="1"/>
  <c r="C157" i="6"/>
  <c r="C158" i="6" a="1"/>
  <c r="C158" i="6"/>
  <c r="C159" i="6" a="1"/>
  <c r="C159" i="6" s="1"/>
  <c r="C160" i="6" a="1"/>
  <c r="C160" i="6" s="1"/>
  <c r="C161" i="6" a="1"/>
  <c r="C161" i="6" s="1"/>
  <c r="C162" i="6" a="1"/>
  <c r="C162" i="6"/>
  <c r="C163" i="6" a="1"/>
  <c r="C163" i="6"/>
  <c r="C164" i="6" a="1"/>
  <c r="C164" i="6"/>
  <c r="C165" i="6" a="1"/>
  <c r="C165" i="6" s="1"/>
  <c r="C166" i="6" a="1"/>
  <c r="C166" i="6"/>
  <c r="C167" i="6" a="1"/>
  <c r="C167" i="6" s="1"/>
  <c r="C168" i="6" a="1"/>
  <c r="C168" i="6"/>
  <c r="C169" i="6" a="1"/>
  <c r="C169" i="6"/>
  <c r="C170" i="6" a="1"/>
  <c r="C170" i="6"/>
  <c r="C171" i="6" a="1"/>
  <c r="C171" i="6" s="1"/>
  <c r="C172" i="6" a="1"/>
  <c r="C172" i="6"/>
  <c r="C173" i="6" a="1"/>
  <c r="C173" i="6" s="1"/>
  <c r="C174" i="6" a="1"/>
  <c r="C174" i="6" s="1"/>
  <c r="C175" i="6" a="1"/>
  <c r="C175" i="6"/>
  <c r="C176" i="6" a="1"/>
  <c r="C176" i="6"/>
  <c r="C177" i="6" a="1"/>
  <c r="C177" i="6" s="1"/>
  <c r="C178" i="6" a="1"/>
  <c r="C178" i="6"/>
  <c r="C179" i="6" a="1"/>
  <c r="C179" i="6"/>
  <c r="C180" i="6" a="1"/>
  <c r="C180" i="6" s="1"/>
  <c r="C181" i="6" a="1"/>
  <c r="C181" i="6"/>
  <c r="C182" i="6" a="1"/>
  <c r="C182" i="6"/>
  <c r="C183" i="6" a="1"/>
  <c r="C183" i="6" s="1"/>
  <c r="C184" i="6" a="1"/>
  <c r="C184" i="6"/>
  <c r="C185" i="6" a="1"/>
  <c r="C185" i="6"/>
  <c r="C186" i="6" a="1"/>
  <c r="C186" i="6" s="1"/>
  <c r="C187" i="6" a="1"/>
  <c r="C187" i="6" s="1"/>
  <c r="C188" i="6" a="1"/>
  <c r="C188" i="6"/>
  <c r="C189" i="6" a="1"/>
  <c r="C189" i="6" s="1"/>
  <c r="C190" i="6" a="1"/>
  <c r="C190" i="6"/>
  <c r="C191" i="6" a="1"/>
  <c r="C191" i="6"/>
  <c r="C192" i="6" a="1"/>
  <c r="C192" i="6"/>
  <c r="C193" i="6" a="1"/>
  <c r="C193" i="6" s="1"/>
  <c r="C194" i="6" a="1"/>
  <c r="C194" i="6"/>
  <c r="C195" i="6" a="1"/>
  <c r="C195" i="6" s="1"/>
  <c r="C196" i="6" a="1"/>
  <c r="C196" i="6"/>
  <c r="C197" i="6" a="1"/>
  <c r="C197" i="6"/>
  <c r="C198" i="6" a="1"/>
  <c r="C198" i="6"/>
  <c r="C199" i="6" a="1"/>
  <c r="C199" i="6" s="1"/>
  <c r="C200" i="6" a="1"/>
  <c r="C200" i="6" s="1"/>
  <c r="C201" i="6" a="1"/>
  <c r="C201" i="6" s="1"/>
  <c r="C202" i="6" a="1"/>
  <c r="C202" i="6"/>
  <c r="C203" i="6" a="1"/>
  <c r="C203" i="6"/>
  <c r="C204" i="6" a="1"/>
  <c r="C204" i="6"/>
  <c r="C205" i="6" a="1"/>
  <c r="C205" i="6"/>
  <c r="C206" i="6" a="1"/>
  <c r="C206" i="6"/>
  <c r="C207" i="6" a="1"/>
  <c r="C207" i="6" s="1"/>
  <c r="C208" i="6" a="1"/>
  <c r="C208" i="6"/>
  <c r="C209" i="6" a="1"/>
  <c r="C209" i="6"/>
  <c r="C210" i="6" a="1"/>
  <c r="C210" i="6"/>
  <c r="C211" i="6" a="1"/>
  <c r="C211" i="6"/>
  <c r="C212" i="6" a="1"/>
  <c r="C212" i="6" s="1"/>
  <c r="C213" i="6" a="1"/>
  <c r="C213" i="6" s="1"/>
  <c r="C214" i="6" a="1"/>
  <c r="C214" i="6"/>
  <c r="C215" i="6" a="1"/>
  <c r="C215" i="6"/>
  <c r="C216" i="6" a="1"/>
  <c r="C216" i="6"/>
  <c r="C217" i="6" a="1"/>
  <c r="C217" i="6"/>
  <c r="C218" i="6" a="1"/>
  <c r="C218" i="6"/>
  <c r="C219" i="6" a="1"/>
  <c r="C219" i="6" s="1"/>
  <c r="C220" i="6" a="1"/>
  <c r="C220" i="6" s="1"/>
  <c r="C221" i="6" a="1"/>
  <c r="C221" i="6"/>
  <c r="C222" i="6" a="1"/>
  <c r="C222" i="6"/>
  <c r="C223" i="6" a="1"/>
  <c r="C223" i="6"/>
  <c r="C224" i="6" a="1"/>
  <c r="C224" i="6"/>
  <c r="C225" i="6" a="1"/>
  <c r="C225" i="6" s="1"/>
  <c r="C226" i="6" a="1"/>
  <c r="C226" i="6"/>
  <c r="C227" i="6" a="1"/>
  <c r="C227" i="6"/>
  <c r="C228" i="6" a="1"/>
  <c r="C228" i="6"/>
  <c r="C229" i="6" a="1"/>
  <c r="C229" i="6"/>
  <c r="C230" i="6" a="1"/>
  <c r="C230" i="6"/>
  <c r="C231" i="6" a="1"/>
  <c r="C231" i="6" s="1"/>
  <c r="C232" i="6" a="1"/>
  <c r="C232" i="6" s="1"/>
  <c r="C233" i="6" a="1"/>
  <c r="C233" i="6" s="1"/>
  <c r="C234" i="6" a="1"/>
  <c r="C234" i="6"/>
  <c r="C235" i="6" a="1"/>
  <c r="C235" i="6"/>
  <c r="C236" i="6" a="1"/>
  <c r="C236" i="6"/>
  <c r="C237" i="6" a="1"/>
  <c r="C237" i="6" s="1"/>
  <c r="C238" i="6" a="1"/>
  <c r="C238" i="6"/>
  <c r="C239" i="6" a="1"/>
  <c r="C239" i="6"/>
  <c r="C240" i="6" a="1"/>
  <c r="C240" i="6"/>
  <c r="C241" i="6" a="1"/>
  <c r="C241" i="6"/>
  <c r="C242" i="6" a="1"/>
  <c r="C242" i="6"/>
  <c r="C243" i="6" a="1"/>
  <c r="C243" i="6" s="1"/>
  <c r="C244" i="6" a="1"/>
  <c r="C244" i="6"/>
  <c r="C245" i="6" a="1"/>
  <c r="C245" i="6" s="1"/>
  <c r="C246" i="6" a="1"/>
  <c r="C246" i="6" s="1"/>
  <c r="C247" i="6" a="1"/>
  <c r="C247" i="6"/>
  <c r="C248" i="6" a="1"/>
  <c r="C248" i="6"/>
  <c r="C249" i="6" a="1"/>
  <c r="C249" i="6" s="1"/>
  <c r="C250" i="6" a="1"/>
  <c r="C250" i="6"/>
  <c r="C251" i="6" a="1"/>
  <c r="C251" i="6"/>
  <c r="C252" i="6" a="1"/>
  <c r="C252" i="6"/>
  <c r="C253" i="6" a="1"/>
  <c r="C253" i="6"/>
  <c r="C254" i="6" a="1"/>
  <c r="C254" i="6"/>
  <c r="C255" i="6" a="1"/>
  <c r="C255" i="6" s="1"/>
  <c r="C256" i="6" a="1"/>
  <c r="C256" i="6"/>
  <c r="C257" i="6" a="1"/>
  <c r="C257" i="6"/>
  <c r="C258" i="6" a="1"/>
  <c r="C258" i="6" s="1"/>
  <c r="C259" i="6" a="1"/>
  <c r="C259" i="6" s="1"/>
  <c r="C260" i="6" a="1"/>
  <c r="C260" i="6"/>
  <c r="C261" i="6" a="1"/>
  <c r="C261" i="6" s="1"/>
  <c r="C262" i="6" a="1"/>
  <c r="C262" i="6"/>
  <c r="C263" i="6" a="1"/>
  <c r="C263" i="6"/>
  <c r="C264" i="6" a="1"/>
  <c r="C264" i="6"/>
  <c r="C265" i="6" a="1"/>
  <c r="C265" i="6"/>
  <c r="C266" i="6" a="1"/>
  <c r="C266" i="6"/>
  <c r="C267" i="6" a="1"/>
  <c r="C267" i="6" s="1"/>
  <c r="C268" i="6" a="1"/>
  <c r="C268" i="6"/>
  <c r="C269" i="6" a="1"/>
  <c r="C269" i="6"/>
  <c r="C270" i="6" a="1"/>
  <c r="C270" i="6"/>
  <c r="C271" i="6" a="1"/>
  <c r="C271" i="6" s="1"/>
  <c r="C272" i="6" a="1"/>
  <c r="C272" i="6" s="1"/>
  <c r="C273" i="6" a="1"/>
  <c r="C273" i="6" s="1"/>
  <c r="C274" i="6" a="1"/>
  <c r="C274" i="6"/>
  <c r="C275" i="6" a="1"/>
  <c r="C275" i="6"/>
  <c r="C276" i="6" a="1"/>
  <c r="C276" i="6"/>
  <c r="C277" i="6" a="1"/>
  <c r="C277" i="6"/>
  <c r="C278" i="6" a="1"/>
  <c r="C278" i="6" s="1"/>
  <c r="C279" i="6" a="1"/>
  <c r="C279" i="6" s="1"/>
  <c r="C280" i="6" a="1"/>
  <c r="C280" i="6"/>
  <c r="C281" i="6" a="1"/>
  <c r="C281" i="6"/>
  <c r="C282" i="6" a="1"/>
  <c r="C282" i="6"/>
  <c r="C283" i="6" a="1"/>
  <c r="C283" i="6"/>
  <c r="C284" i="6" a="1"/>
  <c r="C284" i="6" s="1"/>
  <c r="C285" i="6" a="1"/>
  <c r="C285" i="6" s="1"/>
  <c r="C286" i="6" a="1"/>
  <c r="C286" i="6"/>
  <c r="C287" i="6" a="1"/>
  <c r="C287" i="6"/>
  <c r="C288" i="6" a="1"/>
  <c r="C288" i="6"/>
  <c r="C289" i="6" a="1"/>
  <c r="C289" i="6"/>
  <c r="C290" i="6" a="1"/>
  <c r="C290" i="6"/>
  <c r="C291" i="6" a="1"/>
  <c r="C291" i="6" s="1"/>
  <c r="C292" i="6" a="1"/>
  <c r="C292" i="6" s="1"/>
  <c r="C293" i="6" a="1"/>
  <c r="C293" i="6"/>
  <c r="C294" i="6" a="1"/>
  <c r="C294" i="6"/>
  <c r="C295" i="6" a="1"/>
  <c r="C295" i="6"/>
  <c r="C296" i="6" a="1"/>
  <c r="C296" i="6"/>
  <c r="C297" i="6" a="1"/>
  <c r="C297" i="6" s="1"/>
  <c r="C298" i="6" a="1"/>
  <c r="C298" i="6"/>
  <c r="C299" i="6" a="1"/>
  <c r="C299" i="6"/>
  <c r="C300" i="6" a="1"/>
  <c r="C300" i="6"/>
  <c r="C301" i="6" a="1"/>
  <c r="C301" i="6"/>
  <c r="C302" i="6" a="1"/>
  <c r="C302" i="6"/>
  <c r="C303" i="6" a="1"/>
  <c r="C303" i="6" s="1"/>
  <c r="C304" i="6" a="1"/>
  <c r="C304" i="6" s="1"/>
  <c r="C305" i="6" a="1"/>
  <c r="C305" i="6" s="1"/>
  <c r="C306" i="6" a="1"/>
  <c r="C306" i="6"/>
  <c r="C307" i="6" a="1"/>
  <c r="C307" i="6"/>
  <c r="C308" i="6" a="1"/>
  <c r="C308" i="6"/>
  <c r="C309" i="6" a="1"/>
  <c r="C309" i="6" s="1"/>
  <c r="C310" i="6" a="1"/>
  <c r="C310" i="6"/>
  <c r="C311" i="6" a="1"/>
  <c r="C311" i="6" s="1"/>
  <c r="C312" i="6" a="1"/>
  <c r="C312" i="6"/>
  <c r="C313" i="6" a="1"/>
  <c r="C313" i="6"/>
  <c r="C314" i="6" a="1"/>
  <c r="C314" i="6"/>
  <c r="C315" i="6" a="1"/>
  <c r="C315" i="6" s="1"/>
  <c r="C316" i="6" a="1"/>
  <c r="C316" i="6"/>
  <c r="C317" i="6" a="1"/>
  <c r="C317" i="6" s="1"/>
  <c r="C318" i="6" a="1"/>
  <c r="C318" i="6" s="1"/>
  <c r="C319" i="6" a="1"/>
  <c r="C319" i="6"/>
  <c r="C320" i="6" a="1"/>
  <c r="C320" i="6"/>
  <c r="C321" i="6" a="1"/>
  <c r="C321" i="6" s="1"/>
  <c r="C322" i="6" a="1"/>
  <c r="C322" i="6"/>
  <c r="C323" i="6" a="1"/>
  <c r="C323" i="6"/>
  <c r="C324" i="6" a="1"/>
  <c r="C324" i="6" s="1"/>
  <c r="C325" i="6" a="1"/>
  <c r="C325" i="6"/>
  <c r="C326" i="6" a="1"/>
  <c r="C326" i="6"/>
  <c r="C327" i="6" a="1"/>
  <c r="C327" i="6" s="1"/>
  <c r="C328" i="6" a="1"/>
  <c r="C328" i="6"/>
  <c r="C329" i="6" a="1"/>
  <c r="C329" i="6"/>
  <c r="C330" i="6" a="1"/>
  <c r="C330" i="6" s="1"/>
  <c r="C331" i="6" a="1"/>
  <c r="C331" i="6" s="1"/>
  <c r="C332" i="6" a="1"/>
  <c r="C332" i="6"/>
  <c r="C333" i="6" a="1"/>
  <c r="C333" i="6" s="1"/>
  <c r="C334" i="6" a="1"/>
  <c r="C334" i="6"/>
  <c r="C335" i="6" a="1"/>
  <c r="C335" i="6"/>
  <c r="C336" i="6" a="1"/>
  <c r="C336" i="6"/>
  <c r="C337" i="6" a="1"/>
  <c r="C337" i="6" s="1"/>
  <c r="C338" i="6" a="1"/>
  <c r="C338" i="6"/>
  <c r="C339" i="6" a="1"/>
  <c r="C339" i="6" s="1"/>
  <c r="C340" i="6" a="1"/>
  <c r="C340" i="6"/>
  <c r="C341" i="6" a="1"/>
  <c r="C341" i="6"/>
  <c r="C342" i="6" a="1"/>
  <c r="C342" i="6"/>
  <c r="C343" i="6" a="1"/>
  <c r="C343" i="6" s="1"/>
  <c r="C344" i="6" a="1"/>
  <c r="C344" i="6" s="1"/>
  <c r="C345" i="6" a="1"/>
  <c r="C345" i="6" s="1"/>
  <c r="C346" i="6" a="1"/>
  <c r="C346" i="6"/>
  <c r="C347" i="6" a="1"/>
  <c r="C347" i="6"/>
  <c r="C348" i="6" a="1"/>
  <c r="C348" i="6"/>
  <c r="C349" i="6" a="1"/>
  <c r="C349" i="6"/>
  <c r="C350" i="6" a="1"/>
  <c r="C350" i="6"/>
  <c r="C351" i="6" a="1"/>
  <c r="C351" i="6" s="1"/>
  <c r="C352" i="6" a="1"/>
  <c r="C352" i="6"/>
  <c r="C353" i="6" a="1"/>
  <c r="C353" i="6"/>
  <c r="C354" i="6" a="1"/>
  <c r="C354" i="6"/>
  <c r="C355" i="6" a="1"/>
  <c r="C355" i="6"/>
  <c r="C356" i="6" a="1"/>
  <c r="C356" i="6" s="1"/>
  <c r="C357" i="6" a="1"/>
  <c r="C357" i="6" s="1"/>
  <c r="C358" i="6" a="1"/>
  <c r="C358" i="6"/>
  <c r="C359" i="6" a="1"/>
  <c r="C359" i="6"/>
  <c r="C360" i="6" a="1"/>
  <c r="C360" i="6"/>
  <c r="C361" i="6" a="1"/>
  <c r="C361" i="6"/>
  <c r="C362" i="6" a="1"/>
  <c r="C362" i="6"/>
  <c r="C363" i="6" a="1"/>
  <c r="C363" i="6" s="1"/>
  <c r="C364" i="6" a="1"/>
  <c r="C364" i="6" s="1"/>
  <c r="C365" i="6" a="1"/>
  <c r="C365" i="6"/>
  <c r="C366" i="6" a="1"/>
  <c r="C366" i="6"/>
  <c r="C367" i="6" a="1"/>
  <c r="C367" i="6"/>
  <c r="C368" i="6" a="1"/>
  <c r="C368" i="6"/>
  <c r="C369" i="6" a="1"/>
  <c r="C369" i="6" s="1"/>
  <c r="C370" i="6" a="1"/>
  <c r="C370" i="6"/>
  <c r="C371" i="6" a="1"/>
  <c r="C371" i="6"/>
  <c r="C372" i="6" a="1"/>
  <c r="C372" i="6"/>
  <c r="C373" i="6" a="1"/>
  <c r="C373" i="6"/>
  <c r="C374" i="6" a="1"/>
  <c r="C374" i="6"/>
  <c r="C375" i="6" a="1"/>
  <c r="C375" i="6" s="1"/>
  <c r="C376" i="6" a="1"/>
  <c r="C376" i="6" s="1"/>
  <c r="C377" i="6" a="1"/>
  <c r="C377" i="6" s="1"/>
  <c r="C378" i="6" a="1"/>
  <c r="C378" i="6"/>
  <c r="C379" i="6" a="1"/>
  <c r="C379" i="6"/>
  <c r="C380" i="6" a="1"/>
  <c r="C380" i="6"/>
  <c r="C381" i="6" a="1"/>
  <c r="C381" i="6" s="1"/>
  <c r="C382" i="6" a="1"/>
  <c r="C382" i="6"/>
  <c r="C383" i="6" a="1"/>
  <c r="C383" i="6" s="1"/>
  <c r="C384" i="6" a="1"/>
  <c r="C384" i="6"/>
  <c r="C385" i="6" a="1"/>
  <c r="C385" i="6"/>
  <c r="C386" i="6" a="1"/>
  <c r="C386" i="6"/>
  <c r="C387" i="6" a="1"/>
  <c r="C387" i="6" s="1"/>
  <c r="C388" i="6" a="1"/>
  <c r="C388" i="6"/>
  <c r="C389" i="6" a="1"/>
  <c r="C389" i="6" s="1"/>
  <c r="C390" i="6" a="1"/>
  <c r="C390" i="6" s="1"/>
  <c r="C391" i="6" a="1"/>
  <c r="C391" i="6"/>
  <c r="C392" i="6" a="1"/>
  <c r="C392" i="6"/>
  <c r="C393" i="6" a="1"/>
  <c r="C393" i="6" s="1"/>
  <c r="C394" i="6" a="1"/>
  <c r="C394" i="6"/>
  <c r="C395" i="6" a="1"/>
  <c r="C395" i="6"/>
  <c r="C396" i="6" a="1"/>
  <c r="C396" i="6"/>
  <c r="C397" i="6" a="1"/>
  <c r="C397" i="6"/>
  <c r="C398" i="6" a="1"/>
  <c r="C398" i="6"/>
  <c r="C399" i="6" a="1"/>
  <c r="C399" i="6" s="1"/>
  <c r="C400" i="6" a="1"/>
  <c r="C400" i="6"/>
  <c r="C401" i="6" a="1"/>
  <c r="C401" i="6"/>
  <c r="C402" i="6" a="1"/>
  <c r="C402" i="6" s="1"/>
  <c r="C403" i="6" a="1"/>
  <c r="C403" i="6" s="1"/>
  <c r="C404" i="6" a="1"/>
  <c r="C404" i="6"/>
  <c r="C405" i="6" a="1"/>
  <c r="C405" i="6" s="1"/>
  <c r="C406" i="6" a="1"/>
  <c r="C406" i="6"/>
  <c r="C407" i="6" a="1"/>
  <c r="C407" i="6"/>
  <c r="C408" i="6" a="1"/>
  <c r="C408" i="6"/>
  <c r="C409" i="6" a="1"/>
  <c r="C409" i="6"/>
  <c r="C410" i="6" a="1"/>
  <c r="C410" i="6"/>
  <c r="C411" i="6" a="1"/>
  <c r="C411" i="6" s="1"/>
  <c r="C412" i="6" a="1"/>
  <c r="C412" i="6"/>
  <c r="C413" i="6" a="1"/>
  <c r="C413" i="6"/>
  <c r="C414" i="6" a="1"/>
  <c r="C414" i="6"/>
  <c r="C415" i="6" a="1"/>
  <c r="C415" i="6" s="1"/>
  <c r="C416" i="6" a="1"/>
  <c r="C416" i="6" s="1"/>
  <c r="C417" i="6" a="1"/>
  <c r="C417" i="6" s="1"/>
  <c r="C418" i="6" a="1"/>
  <c r="C418" i="6"/>
  <c r="C419" i="6" a="1"/>
  <c r="C419" i="6"/>
  <c r="C420" i="6" a="1"/>
  <c r="C420" i="6"/>
  <c r="C421" i="6" a="1"/>
  <c r="C421" i="6"/>
  <c r="C422" i="6" a="1"/>
  <c r="C422" i="6"/>
  <c r="C423" i="6" a="1"/>
  <c r="C423" i="6" s="1"/>
  <c r="C424" i="6" a="1"/>
  <c r="C424" i="6"/>
  <c r="C425" i="6" a="1"/>
  <c r="C425" i="6"/>
  <c r="C426" i="6" a="1"/>
  <c r="C426" i="6"/>
  <c r="C427" i="6" a="1"/>
  <c r="C427" i="6"/>
  <c r="C428" i="6" a="1"/>
  <c r="C428" i="6" s="1"/>
  <c r="C429" i="6" a="1"/>
  <c r="C429" i="6" s="1"/>
  <c r="C430" i="6" a="1"/>
  <c r="C430" i="6"/>
  <c r="C431" i="6" a="1"/>
  <c r="C431" i="6"/>
  <c r="C432" i="6" a="1"/>
  <c r="C432" i="6"/>
  <c r="C433" i="6" a="1"/>
  <c r="C433" i="6"/>
  <c r="C434" i="6" a="1"/>
  <c r="C434" i="6"/>
  <c r="C435" i="6" a="1"/>
  <c r="C435" i="6" s="1"/>
  <c r="C436" i="6" a="1"/>
  <c r="C436" i="6" s="1"/>
  <c r="C437" i="6" a="1"/>
  <c r="C437" i="6"/>
  <c r="C438" i="6" a="1"/>
  <c r="C438" i="6"/>
  <c r="C439" i="6" a="1"/>
  <c r="C439" i="6"/>
  <c r="C440" i="6" a="1"/>
  <c r="C440" i="6"/>
  <c r="C441" i="6" a="1"/>
  <c r="C441" i="6" s="1"/>
  <c r="C442" i="6" a="1"/>
  <c r="C442" i="6" s="1"/>
  <c r="C443" i="6" a="1"/>
  <c r="C443" i="6"/>
  <c r="C444" i="6" a="1"/>
  <c r="C444" i="6"/>
  <c r="C445" i="6" a="1"/>
  <c r="C445" i="6"/>
  <c r="C446" i="6" a="1"/>
  <c r="C446" i="6"/>
  <c r="C447" i="6" a="1"/>
  <c r="C447" i="6" s="1"/>
  <c r="C448" i="6" a="1"/>
  <c r="C448" i="6" s="1"/>
  <c r="C449" i="6" a="1"/>
  <c r="C449" i="6" s="1"/>
  <c r="C450" i="6" a="1"/>
  <c r="C450" i="6"/>
  <c r="C451" i="6" a="1"/>
  <c r="C451" i="6"/>
  <c r="C452" i="6" a="1"/>
  <c r="C452" i="6"/>
  <c r="C453" i="6" a="1"/>
  <c r="C453" i="6" s="1"/>
  <c r="C454" i="6" a="1"/>
  <c r="C454" i="6"/>
  <c r="C455" i="6" a="1"/>
  <c r="C455" i="6" s="1"/>
  <c r="C456" i="6" a="1"/>
  <c r="C456" i="6"/>
  <c r="C457" i="6" a="1"/>
  <c r="C457" i="6"/>
  <c r="C458" i="6" a="1"/>
  <c r="C458" i="6"/>
  <c r="C459" i="6" a="1"/>
  <c r="C459" i="6" s="1"/>
  <c r="C460" i="6" a="1"/>
  <c r="C460" i="6"/>
  <c r="C461" i="6" a="1"/>
  <c r="C461" i="6" s="1"/>
  <c r="C462" i="6" a="1"/>
  <c r="C462" i="6" s="1"/>
  <c r="C463" i="6" a="1"/>
  <c r="C463" i="6"/>
  <c r="C464" i="6" a="1"/>
  <c r="C464" i="6"/>
  <c r="C465" i="6" a="1"/>
  <c r="C465" i="6" s="1"/>
  <c r="C466" i="6" a="1"/>
  <c r="C466" i="6"/>
  <c r="C467" i="6" a="1"/>
  <c r="C467" i="6"/>
  <c r="C468" i="6" a="1"/>
  <c r="C468" i="6"/>
  <c r="C469" i="6" a="1"/>
  <c r="C469" i="6"/>
  <c r="C470" i="6" a="1"/>
  <c r="C470" i="6"/>
  <c r="C471" i="6" a="1"/>
  <c r="C471" i="6" s="1"/>
  <c r="C472" i="6" a="1"/>
  <c r="C472" i="6"/>
  <c r="C473" i="6" a="1"/>
  <c r="C473" i="6"/>
  <c r="C474" i="6" a="1"/>
  <c r="C474" i="6" s="1"/>
  <c r="C475" i="6" a="1"/>
  <c r="C475" i="6" s="1"/>
  <c r="C476" i="6" a="1"/>
  <c r="C476" i="6"/>
  <c r="C477" i="6" a="1"/>
  <c r="C477" i="6" s="1"/>
  <c r="C478" i="6" a="1"/>
  <c r="C478" i="6"/>
  <c r="C479" i="6" a="1"/>
  <c r="C479" i="6"/>
  <c r="C480" i="6" a="1"/>
  <c r="C480" i="6"/>
  <c r="C481" i="6" a="1"/>
  <c r="C481" i="6"/>
  <c r="C482" i="6" a="1"/>
  <c r="C482" i="6"/>
  <c r="C483" i="6" a="1"/>
  <c r="C483" i="6" s="1"/>
  <c r="C484" i="6" a="1"/>
  <c r="C484" i="6"/>
  <c r="C485" i="6" a="1"/>
  <c r="C485" i="6"/>
  <c r="C486" i="6" a="1"/>
  <c r="C486" i="6"/>
  <c r="C487" i="6" a="1"/>
  <c r="C487" i="6" s="1"/>
  <c r="C488" i="6" a="1"/>
  <c r="C488" i="6" s="1"/>
  <c r="C489" i="6" a="1"/>
  <c r="C489" i="6" s="1"/>
  <c r="C490" i="6" a="1"/>
  <c r="C490" i="6"/>
  <c r="C491" i="6" a="1"/>
  <c r="C491" i="6"/>
  <c r="C492" i="6" a="1"/>
  <c r="C492" i="6"/>
  <c r="C493" i="6" a="1"/>
  <c r="C493" i="6"/>
  <c r="C494" i="6" a="1"/>
  <c r="C494" i="6" s="1"/>
  <c r="C495" i="6" a="1"/>
  <c r="C495" i="6" s="1"/>
  <c r="C496" i="6" a="1"/>
  <c r="C496" i="6"/>
  <c r="C497" i="6" a="1"/>
  <c r="C497" i="6"/>
  <c r="C498" i="6" a="1"/>
  <c r="C498" i="6"/>
  <c r="C499" i="6" a="1"/>
  <c r="C499" i="6"/>
  <c r="C500" i="6" a="1"/>
  <c r="C500" i="6" s="1"/>
  <c r="C501" i="6" a="1"/>
  <c r="C501" i="6" s="1"/>
  <c r="C502" i="6" a="1"/>
  <c r="C502" i="6"/>
  <c r="C503" i="6" a="1"/>
  <c r="C503" i="6"/>
  <c r="C504" i="6" a="1"/>
  <c r="C504" i="6"/>
  <c r="C505" i="6" a="1"/>
  <c r="C505" i="6"/>
  <c r="C506" i="6" a="1"/>
  <c r="C506" i="6"/>
  <c r="C507" i="6" a="1"/>
  <c r="C507" i="6" s="1"/>
  <c r="C508" i="6" a="1"/>
  <c r="C508" i="6" s="1"/>
  <c r="C509" i="6" a="1"/>
  <c r="C509" i="6"/>
  <c r="C510" i="6" a="1"/>
  <c r="C510" i="6"/>
  <c r="C511" i="6" a="1"/>
  <c r="C511" i="6"/>
  <c r="C512" i="6" a="1"/>
  <c r="C512" i="6"/>
  <c r="C513" i="6" a="1"/>
  <c r="C513" i="6" s="1"/>
  <c r="C514" i="6" a="1"/>
  <c r="C514" i="6" s="1"/>
  <c r="C515" i="6" a="1"/>
  <c r="C515" i="6"/>
  <c r="C516" i="6" a="1"/>
  <c r="C516" i="6"/>
  <c r="C517" i="6" a="1"/>
  <c r="C517" i="6"/>
  <c r="C518" i="6" a="1"/>
  <c r="C518" i="6"/>
  <c r="C519" i="6" a="1"/>
  <c r="C519" i="6" s="1"/>
  <c r="C520" i="6" a="1"/>
  <c r="C520" i="6" s="1"/>
  <c r="C521" i="6" a="1"/>
  <c r="C521" i="6"/>
  <c r="C522" i="6" a="1"/>
  <c r="C522" i="6"/>
  <c r="C523" i="6" a="1"/>
  <c r="C523" i="6"/>
  <c r="C524" i="6" a="1"/>
  <c r="C524" i="6"/>
  <c r="C525" i="6" a="1"/>
  <c r="C525" i="6" s="1"/>
  <c r="C526" i="6" a="1"/>
  <c r="C526" i="6" s="1"/>
  <c r="C527" i="6" a="1"/>
  <c r="C527" i="6"/>
  <c r="C528" i="6" a="1"/>
  <c r="C528" i="6"/>
  <c r="C529" i="6" a="1"/>
  <c r="C529" i="6"/>
  <c r="C530" i="6" a="1"/>
  <c r="C530" i="6"/>
  <c r="C531" i="6" a="1"/>
  <c r="C531" i="6" s="1"/>
  <c r="C532" i="6" a="1"/>
  <c r="C532" i="6" s="1"/>
  <c r="C533" i="6" a="1"/>
  <c r="C533" i="6"/>
  <c r="C534" i="6" a="1"/>
  <c r="C534" i="6"/>
  <c r="C535" i="6" a="1"/>
  <c r="C535" i="6"/>
  <c r="C536" i="6" a="1"/>
  <c r="C536" i="6"/>
  <c r="C537" i="6" a="1"/>
  <c r="C537" i="6" s="1"/>
  <c r="C538" i="6" a="1"/>
  <c r="C538" i="6" s="1"/>
  <c r="C539" i="6" a="1"/>
  <c r="C539" i="6"/>
  <c r="C540" i="6" a="1"/>
  <c r="C540" i="6"/>
  <c r="C541" i="6" a="1"/>
  <c r="C541" i="6"/>
  <c r="C542" i="6" a="1"/>
  <c r="C542" i="6"/>
  <c r="C543" i="6" a="1"/>
  <c r="C543" i="6" s="1"/>
  <c r="C544" i="6" a="1"/>
  <c r="C544" i="6" s="1"/>
  <c r="C545" i="6" a="1"/>
  <c r="C545" i="6"/>
  <c r="C546" i="6" a="1"/>
  <c r="C546" i="6"/>
  <c r="C547" i="6" a="1"/>
  <c r="C547" i="6"/>
  <c r="C548" i="6" a="1"/>
  <c r="C548" i="6"/>
  <c r="C549" i="6" a="1"/>
  <c r="C549" i="6" s="1"/>
  <c r="C550" i="6" a="1"/>
  <c r="C550" i="6" s="1"/>
  <c r="C551" i="6" a="1"/>
  <c r="C551" i="6"/>
  <c r="C552" i="6" a="1"/>
  <c r="C552" i="6"/>
  <c r="C553" i="6" a="1"/>
  <c r="C553" i="6"/>
  <c r="C554" i="6" a="1"/>
  <c r="C554" i="6"/>
  <c r="C555" i="6" a="1"/>
  <c r="C555" i="6" s="1"/>
  <c r="C556" i="6" a="1"/>
  <c r="C556" i="6" s="1"/>
  <c r="C557" i="6" a="1"/>
  <c r="C557" i="6"/>
  <c r="C558" i="6" a="1"/>
  <c r="C558" i="6"/>
  <c r="C559" i="6" a="1"/>
  <c r="C559" i="6"/>
  <c r="C560" i="6" a="1"/>
  <c r="C560" i="6"/>
  <c r="C561" i="6" a="1"/>
  <c r="C561" i="6" s="1"/>
  <c r="C562" i="6" a="1"/>
  <c r="C562" i="6" s="1"/>
  <c r="C563" i="6" a="1"/>
  <c r="C563" i="6"/>
  <c r="C564" i="6" a="1"/>
  <c r="C564" i="6"/>
  <c r="C565" i="6" a="1"/>
  <c r="C565" i="6"/>
  <c r="C2" i="6" a="1"/>
  <c r="C2" i="6" s="1"/>
  <c r="S3" i="14" a="1"/>
  <c r="S3" i="14" s="1"/>
  <c r="S4" i="14" a="1"/>
  <c r="S4" i="14" s="1"/>
  <c r="S5" i="14" a="1"/>
  <c r="S5" i="14" s="1"/>
  <c r="S6" i="14" a="1"/>
  <c r="S6" i="14" s="1"/>
  <c r="S7" i="14" a="1"/>
  <c r="S7" i="14" s="1"/>
  <c r="S8" i="14" a="1"/>
  <c r="S8" i="14" s="1"/>
  <c r="S9" i="14" a="1"/>
  <c r="S9" i="14" s="1"/>
  <c r="S10" i="14" a="1"/>
  <c r="S10" i="14" s="1"/>
  <c r="S11" i="14" a="1"/>
  <c r="S11" i="14" s="1"/>
  <c r="S12" i="14" a="1"/>
  <c r="S12" i="14" s="1"/>
  <c r="S13" i="14" a="1"/>
  <c r="S13" i="14"/>
  <c r="S14" i="14" a="1"/>
  <c r="S14" i="14" s="1"/>
  <c r="S15" i="14" a="1"/>
  <c r="S15" i="14" s="1"/>
  <c r="S16" i="14" a="1"/>
  <c r="S16" i="14" s="1"/>
  <c r="S17" i="14" a="1"/>
  <c r="S17" i="14" s="1"/>
  <c r="S18" i="14" a="1"/>
  <c r="S18" i="14" s="1"/>
  <c r="S19" i="14" a="1"/>
  <c r="S19" i="14" s="1"/>
  <c r="S20" i="14" a="1"/>
  <c r="S20" i="14" s="1"/>
  <c r="S21" i="14" a="1"/>
  <c r="S21" i="14" s="1"/>
  <c r="S22" i="14" a="1"/>
  <c r="S22" i="14" s="1"/>
  <c r="S23" i="14" a="1"/>
  <c r="S23" i="14" s="1"/>
  <c r="S24" i="14" a="1"/>
  <c r="S24" i="14" s="1"/>
  <c r="S25" i="14" a="1"/>
  <c r="S25" i="14" s="1"/>
  <c r="S26" i="14" a="1"/>
  <c r="S26" i="14" s="1"/>
  <c r="S27" i="14" a="1"/>
  <c r="S27" i="14" s="1"/>
  <c r="S28" i="14" a="1"/>
  <c r="S28" i="14" s="1"/>
  <c r="S29" i="14" a="1"/>
  <c r="S29" i="14" s="1"/>
  <c r="S30" i="14" a="1"/>
  <c r="S30" i="14" s="1"/>
  <c r="S31" i="14" a="1"/>
  <c r="S31" i="14" s="1"/>
  <c r="S32" i="14" a="1"/>
  <c r="S32" i="14" s="1"/>
  <c r="S33" i="14" a="1"/>
  <c r="S33" i="14" s="1"/>
  <c r="S34" i="14" a="1"/>
  <c r="S34" i="14" s="1"/>
  <c r="S35" i="14" a="1"/>
  <c r="S35" i="14" s="1"/>
  <c r="S36" i="14" a="1"/>
  <c r="S36" i="14" s="1"/>
  <c r="S37" i="14" a="1"/>
  <c r="S37" i="14" s="1"/>
  <c r="S38" i="14" a="1"/>
  <c r="S38" i="14" s="1"/>
  <c r="S39" i="14" a="1"/>
  <c r="S39" i="14" s="1"/>
  <c r="S40" i="14" a="1"/>
  <c r="S40" i="14" s="1"/>
  <c r="S41" i="14" a="1"/>
  <c r="S41" i="14" s="1"/>
  <c r="S42" i="14" a="1"/>
  <c r="S42" i="14" s="1"/>
  <c r="S43" i="14" a="1"/>
  <c r="S43" i="14" s="1"/>
  <c r="S44" i="14" a="1"/>
  <c r="S44" i="14" s="1"/>
  <c r="S45" i="14" a="1"/>
  <c r="S45" i="14" s="1"/>
  <c r="S46" i="14" a="1"/>
  <c r="S46" i="14" s="1"/>
  <c r="S47" i="14" a="1"/>
  <c r="S47" i="14" s="1"/>
  <c r="S48" i="14" a="1"/>
  <c r="S48" i="14" s="1"/>
  <c r="S49" i="14" a="1"/>
  <c r="S49" i="14" s="1"/>
  <c r="S50" i="14" a="1"/>
  <c r="S50" i="14" s="1"/>
  <c r="S51" i="14" a="1"/>
  <c r="S51" i="14" s="1"/>
  <c r="S52" i="14" a="1"/>
  <c r="S52" i="14" s="1"/>
  <c r="S53" i="14" a="1"/>
  <c r="S53" i="14" s="1"/>
  <c r="S54" i="14" a="1"/>
  <c r="S54" i="14" s="1"/>
  <c r="S55" i="14" a="1"/>
  <c r="S55" i="14" s="1"/>
  <c r="S56" i="14" a="1"/>
  <c r="S56" i="14" s="1"/>
  <c r="S57" i="14" a="1"/>
  <c r="S57" i="14" s="1"/>
  <c r="S58" i="14" a="1"/>
  <c r="S58" i="14" s="1"/>
  <c r="S59" i="14" a="1"/>
  <c r="S59" i="14" s="1"/>
  <c r="S60" i="14" a="1"/>
  <c r="S60" i="14" s="1"/>
  <c r="S61" i="14" a="1"/>
  <c r="S61" i="14" s="1"/>
  <c r="S62" i="14" a="1"/>
  <c r="S62" i="14" s="1"/>
  <c r="S63" i="14" a="1"/>
  <c r="S63" i="14" s="1"/>
  <c r="S64" i="14" a="1"/>
  <c r="S64" i="14" s="1"/>
  <c r="S65" i="14" a="1"/>
  <c r="S65" i="14" s="1"/>
  <c r="S66" i="14" a="1"/>
  <c r="S66" i="14" s="1"/>
  <c r="S67" i="14" a="1"/>
  <c r="S67" i="14" s="1"/>
  <c r="S68" i="14" a="1"/>
  <c r="S68" i="14" s="1"/>
  <c r="S69" i="14" a="1"/>
  <c r="S69" i="14" s="1"/>
  <c r="S70" i="14" a="1"/>
  <c r="S70" i="14" s="1"/>
  <c r="S71" i="14" a="1"/>
  <c r="S71" i="14" s="1"/>
  <c r="S72" i="14" a="1"/>
  <c r="S72" i="14" s="1"/>
  <c r="S73" i="14" a="1"/>
  <c r="S73" i="14" s="1"/>
  <c r="S74" i="14" a="1"/>
  <c r="S74" i="14" s="1"/>
  <c r="S75" i="14" a="1"/>
  <c r="S75" i="14" s="1"/>
  <c r="S76" i="14" a="1"/>
  <c r="S76" i="14" s="1"/>
  <c r="S77" i="14" a="1"/>
  <c r="S77" i="14" s="1"/>
  <c r="S78" i="14" a="1"/>
  <c r="S78" i="14" s="1"/>
  <c r="S79" i="14" a="1"/>
  <c r="S79" i="14" s="1"/>
  <c r="S80" i="14" a="1"/>
  <c r="S80" i="14" s="1"/>
  <c r="S81" i="14" a="1"/>
  <c r="S81" i="14" s="1"/>
  <c r="S82" i="14" a="1"/>
  <c r="S82" i="14" s="1"/>
  <c r="S83" i="14" a="1"/>
  <c r="S83" i="14" s="1"/>
  <c r="S84" i="14" a="1"/>
  <c r="S84" i="14" s="1"/>
  <c r="S85" i="14" a="1"/>
  <c r="S85" i="14" s="1"/>
  <c r="S86" i="14" a="1"/>
  <c r="S86" i="14" s="1"/>
  <c r="S87" i="14" a="1"/>
  <c r="S87" i="14" s="1"/>
  <c r="S88" i="14" a="1"/>
  <c r="S88" i="14" s="1"/>
  <c r="S89" i="14" a="1"/>
  <c r="S89" i="14" s="1"/>
  <c r="S90" i="14" a="1"/>
  <c r="S90" i="14" s="1"/>
  <c r="S91" i="14" a="1"/>
  <c r="S91" i="14" s="1"/>
  <c r="S92" i="14" a="1"/>
  <c r="S92" i="14" s="1"/>
  <c r="S93" i="14" a="1"/>
  <c r="S93" i="14" s="1"/>
  <c r="S94" i="14" a="1"/>
  <c r="S94" i="14" s="1"/>
  <c r="S95" i="14" a="1"/>
  <c r="S95" i="14" s="1"/>
  <c r="S96" i="14" a="1"/>
  <c r="S96" i="14" s="1"/>
  <c r="S97" i="14" a="1"/>
  <c r="S97" i="14" s="1"/>
  <c r="S98" i="14" a="1"/>
  <c r="S98" i="14" s="1"/>
  <c r="S99" i="14" a="1"/>
  <c r="S99" i="14" s="1"/>
  <c r="S100" i="14" a="1"/>
  <c r="S100" i="14" s="1"/>
  <c r="S101" i="14" a="1"/>
  <c r="S101" i="14" s="1"/>
  <c r="S102" i="14" a="1"/>
  <c r="S102" i="14" s="1"/>
  <c r="S103" i="14" a="1"/>
  <c r="S103" i="14" s="1"/>
  <c r="S104" i="14" a="1"/>
  <c r="S104" i="14" s="1"/>
  <c r="S105" i="14" a="1"/>
  <c r="S105" i="14" s="1"/>
  <c r="S106" i="14" a="1"/>
  <c r="S106" i="14" s="1"/>
  <c r="S107" i="14" a="1"/>
  <c r="S107" i="14" s="1"/>
  <c r="S108" i="14" a="1"/>
  <c r="S108" i="14" s="1"/>
  <c r="S109" i="14" a="1"/>
  <c r="S109" i="14" s="1"/>
  <c r="S110" i="14" a="1"/>
  <c r="S110" i="14" s="1"/>
  <c r="S111" i="14" a="1"/>
  <c r="S111" i="14" s="1"/>
  <c r="S112" i="14" a="1"/>
  <c r="S112" i="14" s="1"/>
  <c r="S113" i="14" a="1"/>
  <c r="S113" i="14" s="1"/>
  <c r="S114" i="14" a="1"/>
  <c r="S114" i="14" s="1"/>
  <c r="S115" i="14" a="1"/>
  <c r="S115" i="14" s="1"/>
  <c r="S116" i="14" a="1"/>
  <c r="S116" i="14" s="1"/>
  <c r="P3" i="14" a="1"/>
  <c r="P3" i="14" s="1"/>
  <c r="P4" i="14" a="1"/>
  <c r="P4" i="14" s="1"/>
  <c r="P5" i="14" a="1"/>
  <c r="P5" i="14" s="1"/>
  <c r="P6" i="14" a="1"/>
  <c r="P6" i="14" s="1"/>
  <c r="P7" i="14" a="1"/>
  <c r="P7" i="14" s="1"/>
  <c r="P8" i="14" a="1"/>
  <c r="P8" i="14" s="1"/>
  <c r="P9" i="14" a="1"/>
  <c r="P9" i="14" s="1"/>
  <c r="P10" i="14" a="1"/>
  <c r="P10" i="14" s="1"/>
  <c r="P11" i="14" a="1"/>
  <c r="P11" i="14" s="1"/>
  <c r="P12" i="14" a="1"/>
  <c r="P12" i="14" s="1"/>
  <c r="P13" i="14" a="1"/>
  <c r="P13" i="14" s="1"/>
  <c r="P14" i="14" a="1"/>
  <c r="P14" i="14" s="1"/>
  <c r="P15" i="14" a="1"/>
  <c r="P15" i="14" s="1"/>
  <c r="P16" i="14" a="1"/>
  <c r="P16" i="14" s="1"/>
  <c r="P17" i="14" a="1"/>
  <c r="P17" i="14" s="1"/>
  <c r="P18" i="14" a="1"/>
  <c r="P18" i="14" s="1"/>
  <c r="P19" i="14" a="1"/>
  <c r="P19" i="14" s="1"/>
  <c r="P20" i="14" a="1"/>
  <c r="P20" i="14" s="1"/>
  <c r="P21" i="14" a="1"/>
  <c r="P21" i="14" s="1"/>
  <c r="P22" i="14" a="1"/>
  <c r="P22" i="14" s="1"/>
  <c r="P23" i="14" a="1"/>
  <c r="P23" i="14" s="1"/>
  <c r="P24" i="14" a="1"/>
  <c r="P24" i="14" s="1"/>
  <c r="P25" i="14" a="1"/>
  <c r="P25" i="14" s="1"/>
  <c r="P26" i="14" a="1"/>
  <c r="P26" i="14" s="1"/>
  <c r="P27" i="14" a="1"/>
  <c r="P27" i="14" s="1"/>
  <c r="P28" i="14" a="1"/>
  <c r="P28" i="14" s="1"/>
  <c r="P29" i="14" a="1"/>
  <c r="P29" i="14" s="1"/>
  <c r="P30" i="14" a="1"/>
  <c r="P30" i="14" s="1"/>
  <c r="P31" i="14" a="1"/>
  <c r="P31" i="14" s="1"/>
  <c r="P32" i="14" a="1"/>
  <c r="P32" i="14" s="1"/>
  <c r="P33" i="14" a="1"/>
  <c r="P33" i="14" s="1"/>
  <c r="P34" i="14" a="1"/>
  <c r="P34" i="14" s="1"/>
  <c r="P35" i="14" a="1"/>
  <c r="P35" i="14" s="1"/>
  <c r="P36" i="14" a="1"/>
  <c r="P36" i="14" s="1"/>
  <c r="P37" i="14" a="1"/>
  <c r="P37" i="14" s="1"/>
  <c r="P38" i="14" a="1"/>
  <c r="P38" i="14" s="1"/>
  <c r="P39" i="14" a="1"/>
  <c r="P39" i="14" s="1"/>
  <c r="P40" i="14" a="1"/>
  <c r="P40" i="14" s="1"/>
  <c r="P41" i="14" a="1"/>
  <c r="P41" i="14" s="1"/>
  <c r="P42" i="14" a="1"/>
  <c r="P42" i="14" s="1"/>
  <c r="P43" i="14" a="1"/>
  <c r="P43" i="14" s="1"/>
  <c r="P44" i="14" a="1"/>
  <c r="P44" i="14" s="1"/>
  <c r="P45" i="14" a="1"/>
  <c r="P45" i="14" s="1"/>
  <c r="P46" i="14" a="1"/>
  <c r="P46" i="14" s="1"/>
  <c r="P47" i="14" a="1"/>
  <c r="P47" i="14" s="1"/>
  <c r="P48" i="14" a="1"/>
  <c r="P48" i="14" s="1"/>
  <c r="P49" i="14" a="1"/>
  <c r="P49" i="14" s="1"/>
  <c r="P50" i="14" a="1"/>
  <c r="P50" i="14" s="1"/>
  <c r="P51" i="14" a="1"/>
  <c r="P51" i="14" s="1"/>
  <c r="P52" i="14" a="1"/>
  <c r="P52" i="14" s="1"/>
  <c r="P53" i="14" a="1"/>
  <c r="P53" i="14" s="1"/>
  <c r="P54" i="14" a="1"/>
  <c r="P54" i="14" s="1"/>
  <c r="P55" i="14" a="1"/>
  <c r="P55" i="14" s="1"/>
  <c r="P56" i="14" a="1"/>
  <c r="P56" i="14" s="1"/>
  <c r="P57" i="14" a="1"/>
  <c r="P57" i="14" s="1"/>
  <c r="P58" i="14" a="1"/>
  <c r="P58" i="14" s="1"/>
  <c r="P59" i="14" a="1"/>
  <c r="P59" i="14" s="1"/>
  <c r="P60" i="14" a="1"/>
  <c r="P60" i="14" s="1"/>
  <c r="P61" i="14" a="1"/>
  <c r="P61" i="14" s="1"/>
  <c r="P62" i="14" a="1"/>
  <c r="P62" i="14" s="1"/>
  <c r="P63" i="14" a="1"/>
  <c r="P63" i="14" s="1"/>
  <c r="P64" i="14" a="1"/>
  <c r="P64" i="14" s="1"/>
  <c r="P65" i="14" a="1"/>
  <c r="P65" i="14" s="1"/>
  <c r="P66" i="14" a="1"/>
  <c r="P66" i="14" s="1"/>
  <c r="P67" i="14" a="1"/>
  <c r="P67" i="14" s="1"/>
  <c r="P68" i="14" a="1"/>
  <c r="P68" i="14" s="1"/>
  <c r="P69" i="14" a="1"/>
  <c r="P69" i="14" s="1"/>
  <c r="P70" i="14" a="1"/>
  <c r="P70" i="14" s="1"/>
  <c r="P71" i="14" a="1"/>
  <c r="P71" i="14" s="1"/>
  <c r="P72" i="14" a="1"/>
  <c r="P72" i="14" s="1"/>
  <c r="P73" i="14" a="1"/>
  <c r="P73" i="14" s="1"/>
  <c r="P74" i="14" a="1"/>
  <c r="P74" i="14" s="1"/>
  <c r="P75" i="14" a="1"/>
  <c r="P75" i="14" s="1"/>
  <c r="P76" i="14" a="1"/>
  <c r="P76" i="14" s="1"/>
  <c r="P77" i="14" a="1"/>
  <c r="P77" i="14" s="1"/>
  <c r="P78" i="14" a="1"/>
  <c r="P78" i="14" s="1"/>
  <c r="P79" i="14" a="1"/>
  <c r="P79" i="14" s="1"/>
  <c r="P80" i="14" a="1"/>
  <c r="P80" i="14" s="1"/>
  <c r="P81" i="14" a="1"/>
  <c r="P81" i="14" s="1"/>
  <c r="P82" i="14" a="1"/>
  <c r="P82" i="14" s="1"/>
  <c r="P83" i="14" a="1"/>
  <c r="P83" i="14" s="1"/>
  <c r="P84" i="14" a="1"/>
  <c r="P84" i="14" s="1"/>
  <c r="P85" i="14" a="1"/>
  <c r="P85" i="14" s="1"/>
  <c r="P86" i="14" a="1"/>
  <c r="P86" i="14" s="1"/>
  <c r="P87" i="14" a="1"/>
  <c r="P87" i="14" s="1"/>
  <c r="P88" i="14" a="1"/>
  <c r="P88" i="14" s="1"/>
  <c r="P89" i="14" a="1"/>
  <c r="P89" i="14" s="1"/>
  <c r="P90" i="14" a="1"/>
  <c r="P90" i="14" s="1"/>
  <c r="P91" i="14" a="1"/>
  <c r="P91" i="14" s="1"/>
  <c r="P92" i="14" a="1"/>
  <c r="P92" i="14" s="1"/>
  <c r="P93" i="14" a="1"/>
  <c r="P93" i="14" s="1"/>
  <c r="P94" i="14" a="1"/>
  <c r="P94" i="14" s="1"/>
  <c r="P95" i="14" a="1"/>
  <c r="P95" i="14" s="1"/>
  <c r="P96" i="14" a="1"/>
  <c r="P96" i="14" s="1"/>
  <c r="P97" i="14" a="1"/>
  <c r="P97" i="14" s="1"/>
  <c r="P98" i="14" a="1"/>
  <c r="P98" i="14" s="1"/>
  <c r="P99" i="14" a="1"/>
  <c r="P99" i="14" s="1"/>
  <c r="P100" i="14" a="1"/>
  <c r="P100" i="14" s="1"/>
  <c r="P101" i="14" a="1"/>
  <c r="P101" i="14" s="1"/>
  <c r="P102" i="14" a="1"/>
  <c r="P102" i="14" s="1"/>
  <c r="P103" i="14" a="1"/>
  <c r="P103" i="14" s="1"/>
  <c r="P104" i="14" a="1"/>
  <c r="P104" i="14" s="1"/>
  <c r="P105" i="14" a="1"/>
  <c r="P105" i="14" s="1"/>
  <c r="P106" i="14" a="1"/>
  <c r="P106" i="14" s="1"/>
  <c r="P107" i="14" a="1"/>
  <c r="P107" i="14" s="1"/>
  <c r="P108" i="14" a="1"/>
  <c r="P108" i="14" s="1"/>
  <c r="P109" i="14" a="1"/>
  <c r="P109" i="14" s="1"/>
  <c r="P110" i="14" a="1"/>
  <c r="P110" i="14" s="1"/>
  <c r="P111" i="14" a="1"/>
  <c r="P111" i="14" s="1"/>
  <c r="P112" i="14" a="1"/>
  <c r="P112" i="14" s="1"/>
  <c r="P113" i="14" a="1"/>
  <c r="P113" i="14" s="1"/>
  <c r="P114" i="14" a="1"/>
  <c r="P114" i="14" s="1"/>
  <c r="P115" i="14" a="1"/>
  <c r="P115" i="14" s="1"/>
  <c r="P116" i="14" a="1"/>
  <c r="P116" i="14" s="1"/>
  <c r="M3" i="14" a="1"/>
  <c r="M3" i="14" s="1"/>
  <c r="M4" i="14" a="1"/>
  <c r="M4" i="14" s="1"/>
  <c r="M5" i="14" a="1"/>
  <c r="M5" i="14" s="1"/>
  <c r="M6" i="14" a="1"/>
  <c r="M6" i="14" s="1"/>
  <c r="M7" i="14" a="1"/>
  <c r="M7" i="14" s="1"/>
  <c r="M8" i="14" a="1"/>
  <c r="M8" i="14" s="1"/>
  <c r="M9" i="14" a="1"/>
  <c r="M9" i="14" s="1"/>
  <c r="M10" i="14" a="1"/>
  <c r="M10" i="14" s="1"/>
  <c r="M11" i="14" a="1"/>
  <c r="M11" i="14" s="1"/>
  <c r="M12" i="14" a="1"/>
  <c r="M12" i="14" s="1"/>
  <c r="M13" i="14" a="1"/>
  <c r="M13" i="14" s="1"/>
  <c r="M14" i="14" a="1"/>
  <c r="M14" i="14" s="1"/>
  <c r="M15" i="14" a="1"/>
  <c r="M15" i="14" s="1"/>
  <c r="M16" i="14" a="1"/>
  <c r="M16" i="14" s="1"/>
  <c r="M17" i="14" a="1"/>
  <c r="M17" i="14" s="1"/>
  <c r="M18" i="14" a="1"/>
  <c r="M18" i="14" s="1"/>
  <c r="M19" i="14" a="1"/>
  <c r="M19" i="14" s="1"/>
  <c r="M20" i="14" a="1"/>
  <c r="M20" i="14" s="1"/>
  <c r="M21" i="14" a="1"/>
  <c r="M21" i="14" s="1"/>
  <c r="M22" i="14" a="1"/>
  <c r="M22" i="14" s="1"/>
  <c r="M23" i="14" a="1"/>
  <c r="M23" i="14" s="1"/>
  <c r="M24" i="14" a="1"/>
  <c r="M24" i="14" s="1"/>
  <c r="M25" i="14" a="1"/>
  <c r="M25" i="14" s="1"/>
  <c r="M26" i="14" a="1"/>
  <c r="M26" i="14" s="1"/>
  <c r="M27" i="14" a="1"/>
  <c r="M27" i="14" s="1"/>
  <c r="M28" i="14" a="1"/>
  <c r="M28" i="14" s="1"/>
  <c r="M29" i="14" a="1"/>
  <c r="M29" i="14" s="1"/>
  <c r="M30" i="14" a="1"/>
  <c r="M30" i="14" s="1"/>
  <c r="M31" i="14" a="1"/>
  <c r="M31" i="14" s="1"/>
  <c r="M32" i="14" a="1"/>
  <c r="M32" i="14" s="1"/>
  <c r="M33" i="14" a="1"/>
  <c r="M33" i="14" s="1"/>
  <c r="M34" i="14" a="1"/>
  <c r="M34" i="14" s="1"/>
  <c r="M35" i="14" a="1"/>
  <c r="M35" i="14" s="1"/>
  <c r="M36" i="14" a="1"/>
  <c r="M36" i="14" s="1"/>
  <c r="M37" i="14" a="1"/>
  <c r="M37" i="14" s="1"/>
  <c r="M38" i="14" a="1"/>
  <c r="M38" i="14" s="1"/>
  <c r="M39" i="14" a="1"/>
  <c r="M39" i="14" s="1"/>
  <c r="M40" i="14" a="1"/>
  <c r="M40" i="14" s="1"/>
  <c r="M41" i="14" a="1"/>
  <c r="M41" i="14" s="1"/>
  <c r="M42" i="14" a="1"/>
  <c r="M42" i="14" s="1"/>
  <c r="M43" i="14" a="1"/>
  <c r="M43" i="14" s="1"/>
  <c r="M44" i="14" a="1"/>
  <c r="M44" i="14" s="1"/>
  <c r="M45" i="14" a="1"/>
  <c r="M45" i="14" s="1"/>
  <c r="M46" i="14" a="1"/>
  <c r="M46" i="14" s="1"/>
  <c r="M47" i="14" a="1"/>
  <c r="M47" i="14" s="1"/>
  <c r="M48" i="14" a="1"/>
  <c r="M48" i="14" s="1"/>
  <c r="M49" i="14" a="1"/>
  <c r="M49" i="14" s="1"/>
  <c r="M50" i="14" a="1"/>
  <c r="M50" i="14" s="1"/>
  <c r="M51" i="14" a="1"/>
  <c r="M51" i="14" s="1"/>
  <c r="M52" i="14" a="1"/>
  <c r="M52" i="14" s="1"/>
  <c r="M53" i="14" a="1"/>
  <c r="M53" i="14" s="1"/>
  <c r="M54" i="14" a="1"/>
  <c r="M54" i="14" s="1"/>
  <c r="M55" i="14" a="1"/>
  <c r="M55" i="14" s="1"/>
  <c r="M56" i="14" a="1"/>
  <c r="M56" i="14" s="1"/>
  <c r="M57" i="14" a="1"/>
  <c r="M57" i="14" s="1"/>
  <c r="M58" i="14" a="1"/>
  <c r="M58" i="14" s="1"/>
  <c r="M59" i="14" a="1"/>
  <c r="M59" i="14" s="1"/>
  <c r="M60" i="14" a="1"/>
  <c r="M60" i="14" s="1"/>
  <c r="M61" i="14" a="1"/>
  <c r="M61" i="14" s="1"/>
  <c r="M62" i="14" a="1"/>
  <c r="M62" i="14" s="1"/>
  <c r="M63" i="14" a="1"/>
  <c r="M63" i="14" s="1"/>
  <c r="M64" i="14" a="1"/>
  <c r="M64" i="14" s="1"/>
  <c r="M65" i="14" a="1"/>
  <c r="M65" i="14" s="1"/>
  <c r="M66" i="14" a="1"/>
  <c r="M66" i="14" s="1"/>
  <c r="M67" i="14" a="1"/>
  <c r="M67" i="14" s="1"/>
  <c r="M68" i="14" a="1"/>
  <c r="M68" i="14" s="1"/>
  <c r="M69" i="14" a="1"/>
  <c r="M69" i="14" s="1"/>
  <c r="M70" i="14" a="1"/>
  <c r="M70" i="14" s="1"/>
  <c r="M71" i="14" a="1"/>
  <c r="M71" i="14" s="1"/>
  <c r="M72" i="14" a="1"/>
  <c r="M72" i="14" s="1"/>
  <c r="M73" i="14" a="1"/>
  <c r="M73" i="14" s="1"/>
  <c r="M74" i="14" a="1"/>
  <c r="M74" i="14" s="1"/>
  <c r="M75" i="14" a="1"/>
  <c r="M75" i="14" s="1"/>
  <c r="M76" i="14" a="1"/>
  <c r="M76" i="14" s="1"/>
  <c r="M77" i="14" a="1"/>
  <c r="M77" i="14" s="1"/>
  <c r="M78" i="14" a="1"/>
  <c r="M78" i="14" s="1"/>
  <c r="M79" i="14" a="1"/>
  <c r="M79" i="14" s="1"/>
  <c r="M80" i="14" a="1"/>
  <c r="M80" i="14" s="1"/>
  <c r="M81" i="14" a="1"/>
  <c r="M81" i="14" s="1"/>
  <c r="M82" i="14" a="1"/>
  <c r="M82" i="14" s="1"/>
  <c r="M83" i="14" a="1"/>
  <c r="M83" i="14" s="1"/>
  <c r="M84" i="14" a="1"/>
  <c r="M84" i="14" s="1"/>
  <c r="M85" i="14" a="1"/>
  <c r="M85" i="14" s="1"/>
  <c r="M86" i="14" a="1"/>
  <c r="M86" i="14" s="1"/>
  <c r="M87" i="14" a="1"/>
  <c r="M87" i="14" s="1"/>
  <c r="M88" i="14" a="1"/>
  <c r="M88" i="14" s="1"/>
  <c r="M89" i="14" a="1"/>
  <c r="M89" i="14" s="1"/>
  <c r="M90" i="14" a="1"/>
  <c r="M90" i="14" s="1"/>
  <c r="M91" i="14" a="1"/>
  <c r="M91" i="14" s="1"/>
  <c r="M92" i="14" a="1"/>
  <c r="M92" i="14" s="1"/>
  <c r="M93" i="14" a="1"/>
  <c r="M93" i="14" s="1"/>
  <c r="M94" i="14" a="1"/>
  <c r="M94" i="14" s="1"/>
  <c r="M95" i="14" a="1"/>
  <c r="M95" i="14" s="1"/>
  <c r="M96" i="14" a="1"/>
  <c r="M96" i="14" s="1"/>
  <c r="M97" i="14" a="1"/>
  <c r="M97" i="14" s="1"/>
  <c r="M98" i="14" a="1"/>
  <c r="M98" i="14" s="1"/>
  <c r="M99" i="14" a="1"/>
  <c r="M99" i="14" s="1"/>
  <c r="M100" i="14" a="1"/>
  <c r="M100" i="14" s="1"/>
  <c r="M101" i="14" a="1"/>
  <c r="M101" i="14" s="1"/>
  <c r="M102" i="14" a="1"/>
  <c r="M102" i="14" s="1"/>
  <c r="M103" i="14" a="1"/>
  <c r="M103" i="14" s="1"/>
  <c r="M104" i="14" a="1"/>
  <c r="M104" i="14" s="1"/>
  <c r="M105" i="14" a="1"/>
  <c r="M105" i="14" s="1"/>
  <c r="M106" i="14" a="1"/>
  <c r="M106" i="14" s="1"/>
  <c r="M107" i="14" a="1"/>
  <c r="M107" i="14" s="1"/>
  <c r="M108" i="14" a="1"/>
  <c r="M108" i="14" s="1"/>
  <c r="M109" i="14" a="1"/>
  <c r="M109" i="14" s="1"/>
  <c r="M110" i="14" a="1"/>
  <c r="M110" i="14" s="1"/>
  <c r="M111" i="14" a="1"/>
  <c r="M111" i="14" s="1"/>
  <c r="M112" i="14" a="1"/>
  <c r="M112" i="14" s="1"/>
  <c r="M113" i="14" a="1"/>
  <c r="M113" i="14" s="1"/>
  <c r="M114" i="14" a="1"/>
  <c r="M114" i="14" s="1"/>
  <c r="M115" i="14" a="1"/>
  <c r="M115" i="14" s="1"/>
  <c r="M116" i="14" a="1"/>
  <c r="M116" i="14" s="1"/>
  <c r="J3" i="14" a="1"/>
  <c r="J3" i="14" s="1"/>
  <c r="J4" i="14" a="1"/>
  <c r="J4" i="14" s="1"/>
  <c r="J5" i="14" a="1"/>
  <c r="J5" i="14" s="1"/>
  <c r="J6" i="14" a="1"/>
  <c r="J6" i="14" s="1"/>
  <c r="J7" i="14" a="1"/>
  <c r="J7" i="14" s="1"/>
  <c r="J8" i="14" a="1"/>
  <c r="J8" i="14" s="1"/>
  <c r="J9" i="14" a="1"/>
  <c r="J9" i="14" s="1"/>
  <c r="J10" i="14" a="1"/>
  <c r="J10" i="14" s="1"/>
  <c r="J11" i="14" a="1"/>
  <c r="J11" i="14" s="1"/>
  <c r="J12" i="14" a="1"/>
  <c r="J12" i="14" s="1"/>
  <c r="J13" i="14" a="1"/>
  <c r="J13" i="14" s="1"/>
  <c r="J14" i="14" a="1"/>
  <c r="J14" i="14" s="1"/>
  <c r="J15" i="14" a="1"/>
  <c r="J15" i="14" s="1"/>
  <c r="J16" i="14" a="1"/>
  <c r="J16" i="14" s="1"/>
  <c r="J17" i="14" a="1"/>
  <c r="J17" i="14" s="1"/>
  <c r="J18" i="14" a="1"/>
  <c r="J18" i="14" s="1"/>
  <c r="J19" i="14" a="1"/>
  <c r="J19" i="14" s="1"/>
  <c r="J20" i="14" a="1"/>
  <c r="J20" i="14" s="1"/>
  <c r="J21" i="14" a="1"/>
  <c r="J21" i="14" s="1"/>
  <c r="J22" i="14" a="1"/>
  <c r="J22" i="14" s="1"/>
  <c r="J23" i="14" a="1"/>
  <c r="J23" i="14" s="1"/>
  <c r="J24" i="14" a="1"/>
  <c r="J24" i="14" s="1"/>
  <c r="J25" i="14" a="1"/>
  <c r="J25" i="14" s="1"/>
  <c r="J26" i="14" a="1"/>
  <c r="J26" i="14" s="1"/>
  <c r="J27" i="14" a="1"/>
  <c r="J27" i="14" s="1"/>
  <c r="J28" i="14" a="1"/>
  <c r="J28" i="14" s="1"/>
  <c r="J29" i="14" a="1"/>
  <c r="J29" i="14" s="1"/>
  <c r="J30" i="14" a="1"/>
  <c r="J30" i="14" s="1"/>
  <c r="J31" i="14" a="1"/>
  <c r="J31" i="14" s="1"/>
  <c r="J32" i="14" a="1"/>
  <c r="J32" i="14" s="1"/>
  <c r="J33" i="14" a="1"/>
  <c r="J33" i="14" s="1"/>
  <c r="J34" i="14" a="1"/>
  <c r="J34" i="14" s="1"/>
  <c r="J35" i="14" a="1"/>
  <c r="J35" i="14" s="1"/>
  <c r="J36" i="14" a="1"/>
  <c r="J36" i="14" s="1"/>
  <c r="J37" i="14" a="1"/>
  <c r="J37" i="14" s="1"/>
  <c r="J38" i="14" a="1"/>
  <c r="J38" i="14" s="1"/>
  <c r="J39" i="14" a="1"/>
  <c r="J39" i="14" s="1"/>
  <c r="J40" i="14" a="1"/>
  <c r="J40" i="14" s="1"/>
  <c r="J41" i="14" a="1"/>
  <c r="J41" i="14" s="1"/>
  <c r="J42" i="14" a="1"/>
  <c r="J42" i="14" s="1"/>
  <c r="J43" i="14" a="1"/>
  <c r="J43" i="14" s="1"/>
  <c r="J44" i="14" a="1"/>
  <c r="J44" i="14" s="1"/>
  <c r="J45" i="14" a="1"/>
  <c r="J45" i="14" s="1"/>
  <c r="J46" i="14" a="1"/>
  <c r="J46" i="14" s="1"/>
  <c r="J47" i="14" a="1"/>
  <c r="J47" i="14" s="1"/>
  <c r="J48" i="14" a="1"/>
  <c r="J48" i="14" s="1"/>
  <c r="J49" i="14" a="1"/>
  <c r="J49" i="14" s="1"/>
  <c r="J50" i="14" a="1"/>
  <c r="J50" i="14" s="1"/>
  <c r="J51" i="14" a="1"/>
  <c r="J51" i="14" s="1"/>
  <c r="J52" i="14" a="1"/>
  <c r="J52" i="14" s="1"/>
  <c r="J53" i="14" a="1"/>
  <c r="J53" i="14" s="1"/>
  <c r="J54" i="14" a="1"/>
  <c r="J54" i="14" s="1"/>
  <c r="J55" i="14" a="1"/>
  <c r="J55" i="14" s="1"/>
  <c r="J56" i="14" a="1"/>
  <c r="J56" i="14" s="1"/>
  <c r="J57" i="14" a="1"/>
  <c r="J57" i="14" s="1"/>
  <c r="J58" i="14" a="1"/>
  <c r="J58" i="14" s="1"/>
  <c r="J59" i="14" a="1"/>
  <c r="J59" i="14" s="1"/>
  <c r="J60" i="14" a="1"/>
  <c r="J60" i="14" s="1"/>
  <c r="J61" i="14" a="1"/>
  <c r="J61" i="14" s="1"/>
  <c r="J62" i="14" a="1"/>
  <c r="J62" i="14" s="1"/>
  <c r="J63" i="14" a="1"/>
  <c r="J63" i="14" s="1"/>
  <c r="J64" i="14" a="1"/>
  <c r="J64" i="14" s="1"/>
  <c r="J65" i="14" a="1"/>
  <c r="J65" i="14" s="1"/>
  <c r="J66" i="14" a="1"/>
  <c r="J66" i="14" s="1"/>
  <c r="J67" i="14" a="1"/>
  <c r="J67" i="14" s="1"/>
  <c r="J68" i="14" a="1"/>
  <c r="J68" i="14" s="1"/>
  <c r="J69" i="14" a="1"/>
  <c r="J69" i="14" s="1"/>
  <c r="J70" i="14" a="1"/>
  <c r="J70" i="14" s="1"/>
  <c r="J71" i="14" a="1"/>
  <c r="J71" i="14" s="1"/>
  <c r="J72" i="14" a="1"/>
  <c r="J72" i="14" s="1"/>
  <c r="J73" i="14" a="1"/>
  <c r="J73" i="14" s="1"/>
  <c r="J74" i="14" a="1"/>
  <c r="J74" i="14" s="1"/>
  <c r="J75" i="14" a="1"/>
  <c r="J75" i="14" s="1"/>
  <c r="J76" i="14" a="1"/>
  <c r="J76" i="14" s="1"/>
  <c r="J77" i="14" a="1"/>
  <c r="J77" i="14" s="1"/>
  <c r="J78" i="14" a="1"/>
  <c r="J78" i="14" s="1"/>
  <c r="J79" i="14" a="1"/>
  <c r="J79" i="14" s="1"/>
  <c r="J80" i="14" a="1"/>
  <c r="J80" i="14" s="1"/>
  <c r="J81" i="14" a="1"/>
  <c r="J81" i="14" s="1"/>
  <c r="J82" i="14" a="1"/>
  <c r="J82" i="14" s="1"/>
  <c r="J83" i="14" a="1"/>
  <c r="J83" i="14" s="1"/>
  <c r="J84" i="14" a="1"/>
  <c r="J84" i="14" s="1"/>
  <c r="J85" i="14" a="1"/>
  <c r="J85" i="14" s="1"/>
  <c r="J86" i="14" a="1"/>
  <c r="J86" i="14" s="1"/>
  <c r="J87" i="14" a="1"/>
  <c r="J87" i="14" s="1"/>
  <c r="J88" i="14" a="1"/>
  <c r="J88" i="14" s="1"/>
  <c r="J89" i="14" a="1"/>
  <c r="J89" i="14" s="1"/>
  <c r="J90" i="14" a="1"/>
  <c r="J90" i="14" s="1"/>
  <c r="J91" i="14" a="1"/>
  <c r="J91" i="14" s="1"/>
  <c r="J92" i="14" a="1"/>
  <c r="J92" i="14" s="1"/>
  <c r="J93" i="14" a="1"/>
  <c r="J93" i="14" s="1"/>
  <c r="J94" i="14" a="1"/>
  <c r="J94" i="14" s="1"/>
  <c r="J95" i="14" a="1"/>
  <c r="J95" i="14" s="1"/>
  <c r="J96" i="14" a="1"/>
  <c r="J96" i="14" s="1"/>
  <c r="J97" i="14" a="1"/>
  <c r="J97" i="14" s="1"/>
  <c r="J98" i="14" a="1"/>
  <c r="J98" i="14" s="1"/>
  <c r="J99" i="14" a="1"/>
  <c r="J99" i="14" s="1"/>
  <c r="J100" i="14" a="1"/>
  <c r="J100" i="14" s="1"/>
  <c r="J101" i="14" a="1"/>
  <c r="J101" i="14" s="1"/>
  <c r="J102" i="14" a="1"/>
  <c r="J102" i="14" s="1"/>
  <c r="J103" i="14" a="1"/>
  <c r="J103" i="14" s="1"/>
  <c r="J104" i="14" a="1"/>
  <c r="J104" i="14" s="1"/>
  <c r="J105" i="14" a="1"/>
  <c r="J105" i="14" s="1"/>
  <c r="J106" i="14" a="1"/>
  <c r="J106" i="14" s="1"/>
  <c r="J107" i="14" a="1"/>
  <c r="J107" i="14" s="1"/>
  <c r="J108" i="14" a="1"/>
  <c r="J108" i="14" s="1"/>
  <c r="J109" i="14" a="1"/>
  <c r="J109" i="14" s="1"/>
  <c r="J110" i="14" a="1"/>
  <c r="J110" i="14" s="1"/>
  <c r="J111" i="14" a="1"/>
  <c r="J111" i="14" s="1"/>
  <c r="J112" i="14" a="1"/>
  <c r="J112" i="14" s="1"/>
  <c r="J113" i="14" a="1"/>
  <c r="J113" i="14" s="1"/>
  <c r="J114" i="14" a="1"/>
  <c r="J114" i="14" s="1"/>
  <c r="J115" i="14" a="1"/>
  <c r="J115" i="14" s="1"/>
  <c r="J116" i="14" a="1"/>
  <c r="J116" i="14" s="1"/>
  <c r="B2" i="14" a="1"/>
  <c r="B2" i="14" s="1"/>
  <c r="B3" i="14" a="1"/>
  <c r="B3" i="14" s="1"/>
  <c r="B4" i="14" a="1"/>
  <c r="B4" i="14" s="1"/>
  <c r="B5" i="14" a="1"/>
  <c r="B5" i="14" s="1"/>
  <c r="B6" i="14" a="1"/>
  <c r="B6" i="14" s="1"/>
  <c r="B7" i="14" a="1"/>
  <c r="B7" i="14" s="1"/>
  <c r="B8" i="14" a="1"/>
  <c r="B8" i="14" s="1"/>
  <c r="B9" i="14" a="1"/>
  <c r="B9" i="14" s="1"/>
  <c r="B10" i="14" a="1"/>
  <c r="B10" i="14" s="1"/>
  <c r="B11" i="14" a="1"/>
  <c r="B11" i="14" s="1"/>
  <c r="B12" i="14" a="1"/>
  <c r="B12" i="14" s="1"/>
  <c r="B13" i="14" a="1"/>
  <c r="B13" i="14" s="1"/>
  <c r="B14" i="14" a="1"/>
  <c r="B14" i="14" s="1"/>
  <c r="B15" i="14" a="1"/>
  <c r="B15" i="14" s="1"/>
  <c r="B16" i="14" a="1"/>
  <c r="B16" i="14" s="1"/>
  <c r="B17" i="14" a="1"/>
  <c r="B17" i="14" s="1"/>
  <c r="B18" i="14" a="1"/>
  <c r="B18" i="14" s="1"/>
  <c r="B19" i="14" a="1"/>
  <c r="B19" i="14" s="1"/>
  <c r="B20" i="14" a="1"/>
  <c r="B20" i="14" s="1"/>
  <c r="B21" i="14" a="1"/>
  <c r="B21" i="14" s="1"/>
  <c r="B22" i="14" a="1"/>
  <c r="B22" i="14" s="1"/>
  <c r="B23" i="14" a="1"/>
  <c r="B23" i="14" s="1"/>
  <c r="B24" i="14" a="1"/>
  <c r="B24" i="14" s="1"/>
  <c r="B25" i="14" a="1"/>
  <c r="B25" i="14" s="1"/>
  <c r="B26" i="14" a="1"/>
  <c r="B26" i="14" s="1"/>
  <c r="B27" i="14" a="1"/>
  <c r="B27" i="14" s="1"/>
  <c r="B28" i="14" a="1"/>
  <c r="B28" i="14" s="1"/>
  <c r="B29" i="14" a="1"/>
  <c r="B29" i="14" s="1"/>
  <c r="B30" i="14" a="1"/>
  <c r="B30" i="14" s="1"/>
  <c r="B31" i="14" a="1"/>
  <c r="B31" i="14" s="1"/>
  <c r="B32" i="14" a="1"/>
  <c r="B32" i="14" s="1"/>
  <c r="B33" i="14" a="1"/>
  <c r="B33" i="14" s="1"/>
  <c r="B34" i="14" a="1"/>
  <c r="B34" i="14" s="1"/>
  <c r="B35" i="14" a="1"/>
  <c r="B35" i="14" s="1"/>
  <c r="B36" i="14" a="1"/>
  <c r="B36" i="14" s="1"/>
  <c r="B37" i="14" a="1"/>
  <c r="B37" i="14" s="1"/>
  <c r="B38" i="14" a="1"/>
  <c r="B38" i="14" s="1"/>
  <c r="B39" i="14" a="1"/>
  <c r="B39" i="14" s="1"/>
  <c r="B40" i="14" a="1"/>
  <c r="B40" i="14" s="1"/>
  <c r="B41" i="14" a="1"/>
  <c r="B41" i="14" s="1"/>
  <c r="B42" i="14" a="1"/>
  <c r="B42" i="14" s="1"/>
  <c r="B43" i="14" a="1"/>
  <c r="B43" i="14" s="1"/>
  <c r="B44" i="14" a="1"/>
  <c r="B44" i="14" s="1"/>
  <c r="B45" i="14" a="1"/>
  <c r="B45" i="14" s="1"/>
  <c r="B46" i="14" a="1"/>
  <c r="B46" i="14" s="1"/>
  <c r="B47" i="14" a="1"/>
  <c r="B47" i="14" s="1"/>
  <c r="B48" i="14" a="1"/>
  <c r="B48" i="14" s="1"/>
  <c r="B49" i="14" a="1"/>
  <c r="B49" i="14" s="1"/>
  <c r="B50" i="14" a="1"/>
  <c r="B50" i="14" s="1"/>
  <c r="B51" i="14" a="1"/>
  <c r="B51" i="14" s="1"/>
  <c r="B52" i="14" a="1"/>
  <c r="B52" i="14" s="1"/>
  <c r="B53" i="14" a="1"/>
  <c r="B53" i="14" s="1"/>
  <c r="B54" i="14" a="1"/>
  <c r="B54" i="14" s="1"/>
  <c r="B55" i="14" a="1"/>
  <c r="B55" i="14" s="1"/>
  <c r="B56" i="14" a="1"/>
  <c r="B56" i="14" s="1"/>
  <c r="B57" i="14" a="1"/>
  <c r="B57" i="14" s="1"/>
  <c r="B58" i="14" a="1"/>
  <c r="B58" i="14" s="1"/>
  <c r="B59" i="14" a="1"/>
  <c r="B59" i="14" s="1"/>
  <c r="B60" i="14" a="1"/>
  <c r="B60" i="14" s="1"/>
  <c r="B61" i="14" a="1"/>
  <c r="B61" i="14" s="1"/>
  <c r="B62" i="14" a="1"/>
  <c r="B62" i="14" s="1"/>
  <c r="B63" i="14" a="1"/>
  <c r="B63" i="14" s="1"/>
  <c r="B64" i="14" a="1"/>
  <c r="B64" i="14" s="1"/>
  <c r="B65" i="14" a="1"/>
  <c r="B65" i="14" s="1"/>
  <c r="B66" i="14" a="1"/>
  <c r="B66" i="14" s="1"/>
  <c r="B67" i="14" a="1"/>
  <c r="B67" i="14" s="1"/>
  <c r="B68" i="14" a="1"/>
  <c r="B68" i="14" s="1"/>
  <c r="B69" i="14" a="1"/>
  <c r="B69" i="14" s="1"/>
  <c r="B70" i="14" a="1"/>
  <c r="B70" i="14" s="1"/>
  <c r="B71" i="14" a="1"/>
  <c r="B71" i="14" s="1"/>
  <c r="B72" i="14" a="1"/>
  <c r="B72" i="14" s="1"/>
  <c r="B73" i="14" a="1"/>
  <c r="B73" i="14" s="1"/>
  <c r="B74" i="14" a="1"/>
  <c r="B74" i="14" s="1"/>
  <c r="B75" i="14" a="1"/>
  <c r="B75" i="14" s="1"/>
  <c r="B76" i="14" a="1"/>
  <c r="B76" i="14" s="1"/>
  <c r="B77" i="14" a="1"/>
  <c r="B77" i="14" s="1"/>
  <c r="B78" i="14" a="1"/>
  <c r="B78" i="14" s="1"/>
  <c r="B79" i="14" a="1"/>
  <c r="B79" i="14" s="1"/>
  <c r="B80" i="14" a="1"/>
  <c r="B80" i="14" s="1"/>
  <c r="B81" i="14" a="1"/>
  <c r="B81" i="14" s="1"/>
  <c r="B82" i="14" a="1"/>
  <c r="B82" i="14" s="1"/>
  <c r="B83" i="14" a="1"/>
  <c r="B83" i="14" s="1"/>
  <c r="B84" i="14" a="1"/>
  <c r="B84" i="14" s="1"/>
  <c r="B85" i="14" a="1"/>
  <c r="B85" i="14" s="1"/>
  <c r="B86" i="14" a="1"/>
  <c r="B86" i="14" s="1"/>
  <c r="B87" i="14" a="1"/>
  <c r="B87" i="14" s="1"/>
  <c r="B88" i="14" a="1"/>
  <c r="B88" i="14" s="1"/>
  <c r="B89" i="14" a="1"/>
  <c r="B89" i="14" s="1"/>
  <c r="B90" i="14" a="1"/>
  <c r="B90" i="14" s="1"/>
  <c r="B91" i="14" a="1"/>
  <c r="B91" i="14" s="1"/>
  <c r="B92" i="14" a="1"/>
  <c r="B92" i="14" s="1"/>
  <c r="B93" i="14" a="1"/>
  <c r="B93" i="14" s="1"/>
  <c r="B94" i="14" a="1"/>
  <c r="B94" i="14" s="1"/>
  <c r="B95" i="14" a="1"/>
  <c r="B95" i="14" s="1"/>
  <c r="B96" i="14" a="1"/>
  <c r="B96" i="14" s="1"/>
  <c r="B97" i="14" a="1"/>
  <c r="B97" i="14" s="1"/>
  <c r="B98" i="14" a="1"/>
  <c r="B98" i="14" s="1"/>
  <c r="B99" i="14" a="1"/>
  <c r="B99" i="14" s="1"/>
  <c r="B100" i="14" a="1"/>
  <c r="B100" i="14" s="1"/>
  <c r="B101" i="14" a="1"/>
  <c r="B101" i="14" s="1"/>
  <c r="B102" i="14" a="1"/>
  <c r="B102" i="14" s="1"/>
  <c r="B103" i="14" a="1"/>
  <c r="B103" i="14" s="1"/>
  <c r="B104" i="14" a="1"/>
  <c r="B104" i="14" s="1"/>
  <c r="B105" i="14" a="1"/>
  <c r="B105" i="14" s="1"/>
  <c r="B106" i="14" a="1"/>
  <c r="B106" i="14" s="1"/>
  <c r="B107" i="14" a="1"/>
  <c r="B107" i="14" s="1"/>
  <c r="B108" i="14" a="1"/>
  <c r="B108" i="14" s="1"/>
  <c r="B109" i="14" a="1"/>
  <c r="B109" i="14" s="1"/>
  <c r="B110" i="14" a="1"/>
  <c r="B110" i="14" s="1"/>
  <c r="B111" i="14" a="1"/>
  <c r="B111" i="14" s="1"/>
  <c r="B112" i="14" a="1"/>
  <c r="B112" i="14" s="1"/>
  <c r="B113" i="14" a="1"/>
  <c r="B113" i="14" s="1"/>
  <c r="B114" i="14" a="1"/>
  <c r="B114" i="14" s="1"/>
  <c r="B115" i="14" a="1"/>
  <c r="B115" i="14" s="1"/>
  <c r="B116" i="14" a="1"/>
  <c r="B116" i="14" s="1"/>
  <c r="D116" i="8"/>
  <c r="D115" i="8"/>
  <c r="D113" i="8"/>
  <c r="D112" i="8"/>
  <c r="D110" i="8"/>
  <c r="D101" i="8"/>
  <c r="D100" i="8"/>
  <c r="D78" i="8"/>
  <c r="D63" i="8"/>
  <c r="D61" i="8"/>
  <c r="D60" i="8"/>
  <c r="D57" i="8"/>
  <c r="D56" i="8"/>
  <c r="D55" i="8"/>
  <c r="D54" i="8"/>
  <c r="D45" i="8"/>
  <c r="D44" i="8"/>
  <c r="D12" i="8"/>
  <c r="D11" i="8"/>
  <c r="D10" i="8"/>
  <c r="D7" i="8"/>
  <c r="D6" i="8"/>
  <c r="D5" i="8"/>
  <c r="D4" i="8"/>
  <c r="D116" i="4"/>
  <c r="D115" i="4"/>
  <c r="D113" i="4"/>
  <c r="D112" i="4"/>
  <c r="D110" i="4"/>
  <c r="D107" i="4"/>
  <c r="D104" i="4"/>
  <c r="D102" i="4"/>
  <c r="D101" i="4"/>
  <c r="D91" i="4"/>
  <c r="D88" i="4"/>
  <c r="D87" i="4"/>
  <c r="D86" i="4"/>
  <c r="D76" i="4"/>
  <c r="D73" i="4"/>
  <c r="D72" i="4"/>
  <c r="D71" i="4"/>
  <c r="D69" i="4"/>
  <c r="D65" i="4"/>
  <c r="D63" i="4"/>
  <c r="D61" i="4"/>
  <c r="D60" i="4"/>
  <c r="D59" i="4"/>
  <c r="D58" i="4"/>
  <c r="D57" i="4"/>
  <c r="D56" i="4"/>
  <c r="D55" i="4"/>
  <c r="D54" i="4"/>
  <c r="D52" i="4"/>
  <c r="D50" i="4"/>
  <c r="D48" i="4"/>
  <c r="D46" i="4"/>
  <c r="D45" i="4"/>
  <c r="D36" i="4"/>
  <c r="D34" i="4"/>
  <c r="D33" i="4"/>
  <c r="D32" i="4"/>
  <c r="D23" i="4"/>
  <c r="D21" i="4"/>
  <c r="D20" i="4"/>
  <c r="D19" i="4"/>
  <c r="D18" i="4"/>
  <c r="D14" i="4"/>
  <c r="D12" i="4"/>
  <c r="D11" i="4"/>
  <c r="D10" i="4"/>
  <c r="D9" i="4"/>
  <c r="D8" i="4"/>
  <c r="D7" i="4"/>
  <c r="D6" i="4"/>
  <c r="D5" i="4"/>
  <c r="D4" i="4"/>
  <c r="E333" i="6" l="1" a="1"/>
  <c r="E333" i="6" s="1"/>
  <c r="F360" i="6" a="1"/>
  <c r="F360" i="6" s="1"/>
  <c r="G2712" i="2" a="1"/>
  <c r="G2712" i="2" s="1"/>
  <c r="G1687" i="2" a="1"/>
  <c r="G1687" i="2" s="1"/>
  <c r="E269" i="6" a="1"/>
  <c r="E269" i="6" s="1"/>
  <c r="G2590" i="2" a="1"/>
  <c r="G2590" i="2" s="1"/>
  <c r="F260" i="6" a="1"/>
  <c r="F260" i="6" s="1"/>
  <c r="G260" i="6" s="1"/>
  <c r="G1682" i="2" a="1"/>
  <c r="G1682" i="2" s="1"/>
  <c r="E272" i="6" a="1"/>
  <c r="E272" i="6" s="1"/>
  <c r="G272" i="6" s="1"/>
  <c r="E261" i="6" a="1"/>
  <c r="E261" i="6" s="1"/>
  <c r="G1650" i="2" a="1"/>
  <c r="G1650" i="2" s="1"/>
  <c r="E96" i="6" a="1"/>
  <c r="E96" i="6" s="1"/>
  <c r="G1168" i="2" a="1"/>
  <c r="G1168" i="2" s="1"/>
  <c r="F262" i="6" a="1"/>
  <c r="F262" i="6" s="1"/>
  <c r="E233" i="6" a="1"/>
  <c r="E233" i="6" s="1"/>
  <c r="F386" i="6" a="1"/>
  <c r="F386" i="6" s="1"/>
  <c r="G386" i="6" s="1"/>
  <c r="G1111" i="2" a="1"/>
  <c r="G1111" i="2" s="1"/>
  <c r="F369" i="6" a="1"/>
  <c r="F369" i="6" s="1"/>
  <c r="G369" i="6" s="1"/>
  <c r="G536" i="2" a="1"/>
  <c r="G536" i="2" s="1"/>
  <c r="I536" i="2" s="1"/>
  <c r="E196" i="6" a="1"/>
  <c r="E196" i="6" s="1"/>
  <c r="F196" i="6" a="1"/>
  <c r="F196" i="6" s="1"/>
  <c r="G196" i="6" s="1"/>
  <c r="F357" i="6" a="1"/>
  <c r="F357" i="6" s="1"/>
  <c r="E93" i="6" a="1"/>
  <c r="E93" i="6" s="1"/>
  <c r="G93" i="6" s="1"/>
  <c r="E418" i="6" a="1"/>
  <c r="E418" i="6" s="1"/>
  <c r="G418" i="6" s="1"/>
  <c r="E195" i="6" a="1"/>
  <c r="E195" i="6" s="1"/>
  <c r="G195" i="6" s="1"/>
  <c r="G975" i="2" a="1"/>
  <c r="G975" i="2" s="1"/>
  <c r="F519" i="6" a="1"/>
  <c r="F519" i="6" s="1"/>
  <c r="G519" i="6" s="1"/>
  <c r="E170" i="6" a="1"/>
  <c r="E170" i="6" s="1"/>
  <c r="F452" i="6" a="1"/>
  <c r="F452" i="6" s="1"/>
  <c r="E319" i="6" a="1"/>
  <c r="E319" i="6" s="1"/>
  <c r="F440" i="6" a="1"/>
  <c r="F440" i="6" s="1"/>
  <c r="G440" i="6" s="1"/>
  <c r="F297" i="6" a="1"/>
  <c r="F297" i="6" s="1"/>
  <c r="G297" i="6" s="1"/>
  <c r="F71" i="6" a="1"/>
  <c r="F71" i="6" s="1"/>
  <c r="G71" i="6" s="1"/>
  <c r="G2334" i="2" a="1"/>
  <c r="G2334" i="2" s="1"/>
  <c r="G488" i="2" a="1"/>
  <c r="G488" i="2" s="1"/>
  <c r="I488" i="2" s="1"/>
  <c r="E103" i="6" a="1"/>
  <c r="E103" i="6" s="1"/>
  <c r="G103" i="6" s="1"/>
  <c r="F351" i="6" a="1"/>
  <c r="F351" i="6" s="1"/>
  <c r="F186" i="6" a="1"/>
  <c r="F186" i="6" s="1"/>
  <c r="E416" i="6" a="1"/>
  <c r="E416" i="6" s="1"/>
  <c r="G416" i="6" s="1"/>
  <c r="E11" i="6" a="1"/>
  <c r="E11" i="6" s="1"/>
  <c r="G11" i="6" s="1"/>
  <c r="F123" i="6" a="1"/>
  <c r="F123" i="6" s="1"/>
  <c r="G2594" i="2" a="1"/>
  <c r="G2594" i="2" s="1"/>
  <c r="E185" i="6" a="1"/>
  <c r="E185" i="6" s="1"/>
  <c r="G185" i="6" s="1"/>
  <c r="F340" i="6" a="1"/>
  <c r="F340" i="6" s="1"/>
  <c r="F309" i="6" a="1"/>
  <c r="F309" i="6" s="1"/>
  <c r="G309" i="6" s="1"/>
  <c r="G505" i="2" a="1"/>
  <c r="G505" i="2" s="1"/>
  <c r="I505" i="2" s="1"/>
  <c r="E310" i="6" a="1"/>
  <c r="E310" i="6" s="1"/>
  <c r="E131" i="6" a="1"/>
  <c r="E131" i="6" s="1"/>
  <c r="G131" i="6" s="1"/>
  <c r="F9" i="6" a="1"/>
  <c r="F9" i="6" s="1"/>
  <c r="G2164" i="2" a="1"/>
  <c r="G2164" i="2" s="1"/>
  <c r="G275" i="2" a="1"/>
  <c r="G275" i="2" s="1"/>
  <c r="I275" i="2" s="1"/>
  <c r="F194" i="6" a="1"/>
  <c r="F194" i="6" s="1"/>
  <c r="G1149" i="2" a="1"/>
  <c r="G1149" i="2" s="1"/>
  <c r="E50" i="6" a="1"/>
  <c r="E50" i="6" s="1"/>
  <c r="F111" i="6" a="1"/>
  <c r="F111" i="6" s="1"/>
  <c r="G111" i="6" s="1"/>
  <c r="F81" i="6" a="1"/>
  <c r="F81" i="6" s="1"/>
  <c r="E290" i="6" a="1"/>
  <c r="E290" i="6" s="1"/>
  <c r="F395" i="6" a="1"/>
  <c r="F395" i="6" s="1"/>
  <c r="F4" i="6" a="1"/>
  <c r="F4" i="6" s="1"/>
  <c r="G4" i="6" s="1"/>
  <c r="G1846" i="2" a="1"/>
  <c r="G1846" i="2" s="1"/>
  <c r="G223" i="2" a="1"/>
  <c r="G223" i="2" s="1"/>
  <c r="F121" i="6" a="1"/>
  <c r="F121" i="6" s="1"/>
  <c r="E121" i="6" a="1"/>
  <c r="E121" i="6" s="1"/>
  <c r="H720" i="2" a="1"/>
  <c r="H720" i="2" s="1"/>
  <c r="G720" i="2" a="1"/>
  <c r="G720" i="2" s="1"/>
  <c r="E385" i="6" a="1"/>
  <c r="E385" i="6" s="1"/>
  <c r="F385" i="6" a="1"/>
  <c r="F385" i="6" s="1"/>
  <c r="F412" i="6" a="1"/>
  <c r="F412" i="6" s="1"/>
  <c r="E412" i="6" a="1"/>
  <c r="E412" i="6" s="1"/>
  <c r="F475" i="6" a="1"/>
  <c r="F475" i="6" s="1"/>
  <c r="E475" i="6" a="1"/>
  <c r="E475" i="6" s="1"/>
  <c r="E432" i="6" a="1"/>
  <c r="E432" i="6" s="1"/>
  <c r="F432" i="6" a="1"/>
  <c r="F432" i="6" s="1"/>
  <c r="E355" i="6" a="1"/>
  <c r="E355" i="6" s="1"/>
  <c r="F464" i="6" a="1"/>
  <c r="F464" i="6" s="1"/>
  <c r="E448" i="6" a="1"/>
  <c r="E448" i="6" s="1"/>
  <c r="E198" i="6" a="1"/>
  <c r="E198" i="6" s="1"/>
  <c r="G198" i="6" s="1"/>
  <c r="F305" i="6" a="1"/>
  <c r="F305" i="6" s="1"/>
  <c r="G1181" i="2" a="1"/>
  <c r="G1181" i="2" s="1"/>
  <c r="G569" i="2" a="1"/>
  <c r="G569" i="2" s="1"/>
  <c r="E179" i="6" a="1"/>
  <c r="E179" i="6" s="1"/>
  <c r="G179" i="6" s="1"/>
  <c r="G2308" i="2" a="1"/>
  <c r="G2308" i="2" s="1"/>
  <c r="G1477" i="2" a="1"/>
  <c r="G1477" i="2" s="1"/>
  <c r="G214" i="2" a="1"/>
  <c r="G214" i="2" s="1"/>
  <c r="E439" i="6" a="1"/>
  <c r="E439" i="6" s="1"/>
  <c r="G1854" i="2" a="1"/>
  <c r="G1854" i="2" s="1"/>
  <c r="E354" i="6" a="1"/>
  <c r="E354" i="6" s="1"/>
  <c r="G354" i="6" s="1"/>
  <c r="G1668" i="2" a="1"/>
  <c r="G1668" i="2" s="1"/>
  <c r="E244" i="6" a="1"/>
  <c r="E244" i="6" s="1"/>
  <c r="E78" i="6" a="1"/>
  <c r="E78" i="6" s="1"/>
  <c r="G78" i="6" s="1"/>
  <c r="E68" i="6" a="1"/>
  <c r="E68" i="6" s="1"/>
  <c r="G68" i="6" s="1"/>
  <c r="F410" i="6" a="1"/>
  <c r="F410" i="6" s="1"/>
  <c r="G410" i="6" s="1"/>
  <c r="F255" i="6" a="1"/>
  <c r="F255" i="6" s="1"/>
  <c r="G255" i="6" s="1"/>
  <c r="E513" i="6" a="1"/>
  <c r="E513" i="6" s="1"/>
  <c r="G513" i="6" s="1"/>
  <c r="E287" i="6" a="1"/>
  <c r="E287" i="6" s="1"/>
  <c r="G287" i="6" s="1"/>
  <c r="F393" i="6" a="1"/>
  <c r="F393" i="6" s="1"/>
  <c r="G393" i="6" s="1"/>
  <c r="F338" i="6" a="1"/>
  <c r="F338" i="6" s="1"/>
  <c r="F225" i="6" a="1"/>
  <c r="F225" i="6" s="1"/>
  <c r="G225" i="6" s="1"/>
  <c r="G2261" i="2" a="1"/>
  <c r="G2261" i="2" s="1"/>
  <c r="G1467" i="2" a="1"/>
  <c r="G1467" i="2" s="1"/>
  <c r="G719" i="2" a="1"/>
  <c r="G719" i="2" s="1"/>
  <c r="G110" i="2" a="1"/>
  <c r="G110" i="2" s="1"/>
  <c r="I110" i="2" s="1"/>
  <c r="E178" i="6" a="1"/>
  <c r="E178" i="6" s="1"/>
  <c r="G178" i="6" s="1"/>
  <c r="F147" i="6" a="1"/>
  <c r="F147" i="6" s="1"/>
  <c r="G147" i="6" s="1"/>
  <c r="G480" i="2" a="1"/>
  <c r="G480" i="2" s="1"/>
  <c r="I480" i="2" s="1"/>
  <c r="G298" i="2" a="1"/>
  <c r="G298" i="2" s="1"/>
  <c r="E409" i="6" a="1"/>
  <c r="E409" i="6" s="1"/>
  <c r="G1588" i="2" a="1"/>
  <c r="G1588" i="2" s="1"/>
  <c r="E402" i="6" a="1"/>
  <c r="E402" i="6" s="1"/>
  <c r="G402" i="6" s="1"/>
  <c r="E392" i="6" a="1"/>
  <c r="E392" i="6" s="1"/>
  <c r="E207" i="6" a="1"/>
  <c r="E207" i="6" s="1"/>
  <c r="E20" i="6" a="1"/>
  <c r="E20" i="6" s="1"/>
  <c r="G20" i="6" s="1"/>
  <c r="F387" i="6" a="1"/>
  <c r="F387" i="6" s="1"/>
  <c r="G387" i="6" s="1"/>
  <c r="F331" i="6" a="1"/>
  <c r="F331" i="6" s="1"/>
  <c r="F209" i="6" a="1"/>
  <c r="F209" i="6" s="1"/>
  <c r="G209" i="6" s="1"/>
  <c r="F52" i="6" a="1"/>
  <c r="F52" i="6" s="1"/>
  <c r="G52" i="6" s="1"/>
  <c r="G2174" i="2" a="1"/>
  <c r="G2174" i="2" s="1"/>
  <c r="G1443" i="2" a="1"/>
  <c r="G1443" i="2" s="1"/>
  <c r="G718" i="2" a="1"/>
  <c r="G718" i="2" s="1"/>
  <c r="I718" i="2" s="1"/>
  <c r="G74" i="2" a="1"/>
  <c r="G74" i="2" s="1"/>
  <c r="I74" i="2" s="1"/>
  <c r="E430" i="6" a="1"/>
  <c r="E430" i="6" s="1"/>
  <c r="G1023" i="2" a="1"/>
  <c r="G1023" i="2" s="1"/>
  <c r="G747" i="2" a="1"/>
  <c r="G747" i="2" s="1"/>
  <c r="I747" i="2" s="1"/>
  <c r="E456" i="6" a="1"/>
  <c r="E456" i="6" s="1"/>
  <c r="E375" i="6" a="1"/>
  <c r="E375" i="6" s="1"/>
  <c r="E280" i="6" a="1"/>
  <c r="E280" i="6" s="1"/>
  <c r="E204" i="6" a="1"/>
  <c r="E204" i="6" s="1"/>
  <c r="G204" i="6" s="1"/>
  <c r="E105" i="6" a="1"/>
  <c r="E105" i="6" s="1"/>
  <c r="E12" i="6" a="1"/>
  <c r="E12" i="6" s="1"/>
  <c r="U4" i="14" s="1"/>
  <c r="F201" i="6" a="1"/>
  <c r="F201" i="6" s="1"/>
  <c r="G201" i="6" s="1"/>
  <c r="F17" i="6" a="1"/>
  <c r="F17" i="6" s="1"/>
  <c r="G2173" i="2" a="1"/>
  <c r="G2173" i="2" s="1"/>
  <c r="G1189" i="2" a="1"/>
  <c r="G1189" i="2" s="1"/>
  <c r="G695" i="2" a="1"/>
  <c r="G695" i="2" s="1"/>
  <c r="I695" i="2" s="1"/>
  <c r="G63" i="2" a="1"/>
  <c r="G63" i="2" s="1"/>
  <c r="I63" i="2" s="1"/>
  <c r="F318" i="6" a="1"/>
  <c r="F318" i="6" s="1"/>
  <c r="E318" i="6" a="1"/>
  <c r="E318" i="6" s="1"/>
  <c r="F421" i="6" a="1"/>
  <c r="F421" i="6" s="1"/>
  <c r="E421" i="6" a="1"/>
  <c r="E421" i="6" s="1"/>
  <c r="F346" i="6" a="1"/>
  <c r="F346" i="6" s="1"/>
  <c r="E346" i="6" a="1"/>
  <c r="E346" i="6" s="1"/>
  <c r="E229" i="6" a="1"/>
  <c r="E229" i="6" s="1"/>
  <c r="F229" i="6" a="1"/>
  <c r="F229" i="6" s="1"/>
  <c r="E100" i="6" a="1"/>
  <c r="E100" i="6" s="1"/>
  <c r="F100" i="6" a="1"/>
  <c r="F100" i="6" s="1"/>
  <c r="F473" i="6" a="1"/>
  <c r="F473" i="6" s="1"/>
  <c r="E473" i="6" a="1"/>
  <c r="E473" i="6" s="1"/>
  <c r="F564" i="6" a="1"/>
  <c r="F564" i="6" s="1"/>
  <c r="E564" i="6" a="1"/>
  <c r="E564" i="6" s="1"/>
  <c r="F472" i="6" a="1"/>
  <c r="F472" i="6" s="1"/>
  <c r="E472" i="6" a="1"/>
  <c r="E472" i="6" s="1"/>
  <c r="F563" i="6" a="1"/>
  <c r="F563" i="6" s="1"/>
  <c r="E563" i="6" a="1"/>
  <c r="E563" i="6" s="1"/>
  <c r="F481" i="6" a="1"/>
  <c r="F481" i="6" s="1"/>
  <c r="E481" i="6" a="1"/>
  <c r="E481" i="6" s="1"/>
  <c r="F365" i="6" a="1"/>
  <c r="F365" i="6" s="1"/>
  <c r="E365" i="6" a="1"/>
  <c r="E365" i="6" s="1"/>
  <c r="F562" i="6" a="1"/>
  <c r="F562" i="6" s="1"/>
  <c r="E562" i="6" a="1"/>
  <c r="E562" i="6" s="1"/>
  <c r="E480" i="6" a="1"/>
  <c r="E480" i="6" s="1"/>
  <c r="F480" i="6" a="1"/>
  <c r="F480" i="6" s="1"/>
  <c r="H2006" i="2" a="1"/>
  <c r="H2006" i="2" s="1"/>
  <c r="G2006" i="2" a="1"/>
  <c r="G2006" i="2" s="1"/>
  <c r="E25" i="6" a="1"/>
  <c r="E25" i="6" s="1"/>
  <c r="F25" i="6" a="1"/>
  <c r="F25" i="6" s="1"/>
  <c r="G25" i="6" s="1"/>
  <c r="E253" i="6" a="1"/>
  <c r="E253" i="6" s="1"/>
  <c r="F253" i="6" a="1"/>
  <c r="F253" i="6" s="1"/>
  <c r="H2749" i="2" a="1"/>
  <c r="H2749" i="2" s="1"/>
  <c r="G2749" i="2" a="1"/>
  <c r="G2749" i="2" s="1"/>
  <c r="G2306" i="2" a="1"/>
  <c r="G2306" i="2" s="1"/>
  <c r="H2306" i="2" a="1"/>
  <c r="H2306" i="2" s="1"/>
  <c r="F521" i="6" a="1"/>
  <c r="F521" i="6" s="1"/>
  <c r="E521" i="6" a="1"/>
  <c r="E521" i="6" s="1"/>
  <c r="E64" i="6" a="1"/>
  <c r="E64" i="6" s="1"/>
  <c r="F64" i="6" a="1"/>
  <c r="F64" i="6" s="1"/>
  <c r="E536" i="6" a="1"/>
  <c r="E536" i="6" s="1"/>
  <c r="F536" i="6" a="1"/>
  <c r="F536" i="6" s="1"/>
  <c r="E520" i="6" a="1"/>
  <c r="E520" i="6" s="1"/>
  <c r="F520" i="6" a="1"/>
  <c r="F520" i="6" s="1"/>
  <c r="E61" i="6" a="1"/>
  <c r="E61" i="6" s="1"/>
  <c r="F61" i="6" a="1"/>
  <c r="F61" i="6" s="1"/>
  <c r="E444" i="6" a="1"/>
  <c r="E444" i="6" s="1"/>
  <c r="F444" i="6" a="1"/>
  <c r="F444" i="6" s="1"/>
  <c r="F10" i="6" a="1"/>
  <c r="F10" i="6" s="1"/>
  <c r="E10" i="6" a="1"/>
  <c r="E10" i="6" s="1"/>
  <c r="G2729" i="2" a="1"/>
  <c r="G2729" i="2" s="1"/>
  <c r="H2729" i="2" a="1"/>
  <c r="H2729" i="2" s="1"/>
  <c r="H2314" i="2" a="1"/>
  <c r="H2314" i="2" s="1"/>
  <c r="G2314" i="2" a="1"/>
  <c r="G2314" i="2" s="1"/>
  <c r="H1961" i="2" a="1"/>
  <c r="H1961" i="2" s="1"/>
  <c r="G1961" i="2" a="1"/>
  <c r="G1961" i="2" s="1"/>
  <c r="E125" i="6" a="1"/>
  <c r="E125" i="6" s="1"/>
  <c r="F77" i="6" a="1"/>
  <c r="F77" i="6" s="1"/>
  <c r="G77" i="6" s="1"/>
  <c r="H2118" i="2" a="1"/>
  <c r="H2118" i="2" s="1"/>
  <c r="G2118" i="2" a="1"/>
  <c r="G2118" i="2" s="1"/>
  <c r="E378" i="6" a="1"/>
  <c r="E378" i="6" s="1"/>
  <c r="F378" i="6" a="1"/>
  <c r="F378" i="6" s="1"/>
  <c r="E286" i="6" a="1"/>
  <c r="E286" i="6" s="1"/>
  <c r="F286" i="6" a="1"/>
  <c r="F286" i="6" s="1"/>
  <c r="E265" i="6" a="1"/>
  <c r="E265" i="6" s="1"/>
  <c r="F265" i="6" a="1"/>
  <c r="F265" i="6" s="1"/>
  <c r="E58" i="6" a="1"/>
  <c r="E58" i="6" s="1"/>
  <c r="G58" i="6" s="1"/>
  <c r="F511" i="6" a="1"/>
  <c r="F511" i="6" s="1"/>
  <c r="G2547" i="2" a="1"/>
  <c r="G2547" i="2" s="1"/>
  <c r="H2547" i="2" a="1"/>
  <c r="H2547" i="2" s="1"/>
  <c r="G2253" i="2" a="1"/>
  <c r="G2253" i="2" s="1"/>
  <c r="H2253" i="2" a="1"/>
  <c r="H2253" i="2" s="1"/>
  <c r="F538" i="6" a="1"/>
  <c r="F538" i="6" s="1"/>
  <c r="E538" i="6" a="1"/>
  <c r="E538" i="6" s="1"/>
  <c r="E368" i="6" a="1"/>
  <c r="E368" i="6" s="1"/>
  <c r="F368" i="6" a="1"/>
  <c r="F368" i="6" s="1"/>
  <c r="F85" i="6" a="1"/>
  <c r="F85" i="6" s="1"/>
  <c r="E85" i="6" a="1"/>
  <c r="E85" i="6" s="1"/>
  <c r="F510" i="6" a="1"/>
  <c r="F510" i="6" s="1"/>
  <c r="G510" i="6" s="1"/>
  <c r="F124" i="6" a="1"/>
  <c r="F124" i="6" s="1"/>
  <c r="G124" i="6" s="1"/>
  <c r="H1757" i="2" a="1"/>
  <c r="H1757" i="2" s="1"/>
  <c r="G1757" i="2" a="1"/>
  <c r="G1757" i="2" s="1"/>
  <c r="H584" i="2" a="1"/>
  <c r="H584" i="2" s="1"/>
  <c r="G584" i="2" a="1"/>
  <c r="G584" i="2" s="1"/>
  <c r="E483" i="6" a="1"/>
  <c r="E483" i="6" s="1"/>
  <c r="F483" i="6" a="1"/>
  <c r="F483" i="6" s="1"/>
  <c r="F474" i="6" a="1"/>
  <c r="F474" i="6" s="1"/>
  <c r="E474" i="6" a="1"/>
  <c r="E474" i="6" s="1"/>
  <c r="E350" i="6" a="1"/>
  <c r="E350" i="6" s="1"/>
  <c r="F350" i="6" a="1"/>
  <c r="F350" i="6" s="1"/>
  <c r="G350" i="6" s="1"/>
  <c r="H2279" i="2" a="1"/>
  <c r="H2279" i="2" s="1"/>
  <c r="G2279" i="2" a="1"/>
  <c r="G2279" i="2" s="1"/>
  <c r="H2145" i="2" a="1"/>
  <c r="H2145" i="2" s="1"/>
  <c r="G2145" i="2" a="1"/>
  <c r="G2145" i="2" s="1"/>
  <c r="F141" i="6" a="1"/>
  <c r="F141" i="6" s="1"/>
  <c r="V30" i="14" s="1"/>
  <c r="E141" i="6" a="1"/>
  <c r="E141" i="6" s="1"/>
  <c r="F259" i="6" a="1"/>
  <c r="F259" i="6" s="1"/>
  <c r="E259" i="6" a="1"/>
  <c r="E259" i="6" s="1"/>
  <c r="H2015" i="2" a="1"/>
  <c r="H2015" i="2" s="1"/>
  <c r="G2015" i="2" a="1"/>
  <c r="G2015" i="2" s="1"/>
  <c r="H1500" i="2" a="1"/>
  <c r="H1500" i="2" s="1"/>
  <c r="G1500" i="2" a="1"/>
  <c r="G1500" i="2" s="1"/>
  <c r="H832" i="2" a="1"/>
  <c r="H832" i="2" s="1"/>
  <c r="G832" i="2" a="1"/>
  <c r="G832" i="2" s="1"/>
  <c r="F436" i="6" a="1"/>
  <c r="F436" i="6" s="1"/>
  <c r="G436" i="6" s="1"/>
  <c r="E152" i="6" a="1"/>
  <c r="E152" i="6" s="1"/>
  <c r="G152" i="6" s="1"/>
  <c r="F366" i="6" a="1"/>
  <c r="F366" i="6" s="1"/>
  <c r="E366" i="6" a="1"/>
  <c r="E366" i="6" s="1"/>
  <c r="F302" i="6" a="1"/>
  <c r="F302" i="6" s="1"/>
  <c r="E302" i="6" a="1"/>
  <c r="E302" i="6" s="1"/>
  <c r="F273" i="6" a="1"/>
  <c r="F273" i="6" s="1"/>
  <c r="E273" i="6" a="1"/>
  <c r="E273" i="6" s="1"/>
  <c r="F168" i="6" a="1"/>
  <c r="F168" i="6" s="1"/>
  <c r="E168" i="6" a="1"/>
  <c r="E168" i="6" s="1"/>
  <c r="E494" i="6" a="1"/>
  <c r="E494" i="6" s="1"/>
  <c r="E471" i="6" a="1"/>
  <c r="E471" i="6" s="1"/>
  <c r="G471" i="6" s="1"/>
  <c r="E426" i="6" a="1"/>
  <c r="E426" i="6" s="1"/>
  <c r="E352" i="6" a="1"/>
  <c r="E352" i="6" s="1"/>
  <c r="E299" i="6" a="1"/>
  <c r="E299" i="6" s="1"/>
  <c r="G299" i="6" s="1"/>
  <c r="E270" i="6" a="1"/>
  <c r="E270" i="6" s="1"/>
  <c r="G270" i="6" s="1"/>
  <c r="E235" i="6" a="1"/>
  <c r="E235" i="6" s="1"/>
  <c r="E89" i="6" a="1"/>
  <c r="E89" i="6" s="1"/>
  <c r="G89" i="6" s="1"/>
  <c r="F489" i="6" a="1"/>
  <c r="F489" i="6" s="1"/>
  <c r="G489" i="6" s="1"/>
  <c r="F450" i="6" a="1"/>
  <c r="F450" i="6" s="1"/>
  <c r="F51" i="6" a="1"/>
  <c r="F51" i="6" s="1"/>
  <c r="G51" i="6" s="1"/>
  <c r="H2682" i="2" a="1"/>
  <c r="H2682" i="2" s="1"/>
  <c r="G2682" i="2" a="1"/>
  <c r="G2682" i="2" s="1"/>
  <c r="H2220" i="2" a="1"/>
  <c r="H2220" i="2" s="1"/>
  <c r="G2220" i="2" a="1"/>
  <c r="G2220" i="2" s="1"/>
  <c r="H2029" i="2" a="1"/>
  <c r="H2029" i="2" s="1"/>
  <c r="G2029" i="2" a="1"/>
  <c r="G2029" i="2" s="1"/>
  <c r="G1833" i="2" a="1"/>
  <c r="G1833" i="2" s="1"/>
  <c r="H1833" i="2" a="1"/>
  <c r="H1833" i="2" s="1"/>
  <c r="H1733" i="2" a="1"/>
  <c r="H1733" i="2" s="1"/>
  <c r="G1733" i="2" a="1"/>
  <c r="G1733" i="2" s="1"/>
  <c r="G2062" i="2" a="1"/>
  <c r="G2062" i="2" s="1"/>
  <c r="G212" i="2" a="1"/>
  <c r="G212" i="2" s="1"/>
  <c r="H2332" i="2" a="1"/>
  <c r="H2332" i="2" s="1"/>
  <c r="G2332" i="2" a="1"/>
  <c r="G2332" i="2" s="1"/>
  <c r="H2245" i="2" a="1"/>
  <c r="H2245" i="2" s="1"/>
  <c r="G2245" i="2" a="1"/>
  <c r="G2245" i="2" s="1"/>
  <c r="H2748" i="2" a="1"/>
  <c r="H2748" i="2" s="1"/>
  <c r="G2748" i="2" a="1"/>
  <c r="G2748" i="2" s="1"/>
  <c r="H1304" i="2" a="1"/>
  <c r="H1304" i="2" s="1"/>
  <c r="G1304" i="2" a="1"/>
  <c r="G1304" i="2" s="1"/>
  <c r="F87" i="6" a="1"/>
  <c r="F87" i="6" s="1"/>
  <c r="E87" i="6" a="1"/>
  <c r="E87" i="6" s="1"/>
  <c r="H2637" i="2" a="1"/>
  <c r="H2637" i="2" s="1"/>
  <c r="G2637" i="2" a="1"/>
  <c r="G2637" i="2" s="1"/>
  <c r="H1884" i="2" a="1"/>
  <c r="H1884" i="2" s="1"/>
  <c r="G1884" i="2" a="1"/>
  <c r="G1884" i="2" s="1"/>
  <c r="H1809" i="2" a="1"/>
  <c r="H1809" i="2" s="1"/>
  <c r="G1809" i="2" a="1"/>
  <c r="G1809" i="2" s="1"/>
  <c r="E28" i="6" a="1"/>
  <c r="E28" i="6" s="1"/>
  <c r="F28" i="6" a="1"/>
  <c r="F28" i="6" s="1"/>
  <c r="E555" i="6" a="1"/>
  <c r="E555" i="6" s="1"/>
  <c r="G555" i="6" s="1"/>
  <c r="E517" i="6" a="1"/>
  <c r="E517" i="6" s="1"/>
  <c r="E435" i="6" a="1"/>
  <c r="E435" i="6" s="1"/>
  <c r="G435" i="6" s="1"/>
  <c r="H2696" i="2" a="1"/>
  <c r="H2696" i="2" s="1"/>
  <c r="G2696" i="2" a="1"/>
  <c r="G2696" i="2" s="1"/>
  <c r="E492" i="6" a="1"/>
  <c r="E492" i="6" s="1"/>
  <c r="F492" i="6" a="1"/>
  <c r="F492" i="6" s="1"/>
  <c r="G492" i="6" s="1"/>
  <c r="E199" i="6" a="1"/>
  <c r="E199" i="6" s="1"/>
  <c r="F199" i="6" a="1"/>
  <c r="F199" i="6" s="1"/>
  <c r="G2442" i="2" a="1"/>
  <c r="G2442" i="2" s="1"/>
  <c r="H2442" i="2" a="1"/>
  <c r="H2442" i="2" s="1"/>
  <c r="F530" i="6" a="1"/>
  <c r="F530" i="6" s="1"/>
  <c r="E530" i="6" a="1"/>
  <c r="E530" i="6" s="1"/>
  <c r="E441" i="6" a="1"/>
  <c r="E441" i="6" s="1"/>
  <c r="F441" i="6" a="1"/>
  <c r="F441" i="6" s="1"/>
  <c r="H2221" i="2" a="1"/>
  <c r="H2221" i="2" s="1"/>
  <c r="G2221" i="2" a="1"/>
  <c r="G2221" i="2" s="1"/>
  <c r="E303" i="6" a="1"/>
  <c r="E303" i="6" s="1"/>
  <c r="F303" i="6" a="1"/>
  <c r="F303" i="6" s="1"/>
  <c r="E353" i="6" a="1"/>
  <c r="E353" i="6" s="1"/>
  <c r="G353" i="6" s="1"/>
  <c r="F417" i="6" a="1"/>
  <c r="F417" i="6" s="1"/>
  <c r="G417" i="6" s="1"/>
  <c r="F295" i="6" a="1"/>
  <c r="F295" i="6" s="1"/>
  <c r="H2734" i="2" a="1"/>
  <c r="H2734" i="2" s="1"/>
  <c r="G2734" i="2" a="1"/>
  <c r="G2734" i="2" s="1"/>
  <c r="F411" i="6" a="1"/>
  <c r="F411" i="6" s="1"/>
  <c r="E411" i="6" a="1"/>
  <c r="E411" i="6" s="1"/>
  <c r="E339" i="6" a="1"/>
  <c r="E339" i="6" s="1"/>
  <c r="F339" i="6" a="1"/>
  <c r="F339" i="6" s="1"/>
  <c r="F177" i="6" a="1"/>
  <c r="F177" i="6" s="1"/>
  <c r="E177" i="6" a="1"/>
  <c r="E177" i="6" s="1"/>
  <c r="E537" i="6" a="1"/>
  <c r="E537" i="6" s="1"/>
  <c r="G537" i="6" s="1"/>
  <c r="E466" i="6" a="1"/>
  <c r="E466" i="6" s="1"/>
  <c r="E347" i="6" a="1"/>
  <c r="E347" i="6" s="1"/>
  <c r="E151" i="6" a="1"/>
  <c r="E151" i="6" s="1"/>
  <c r="G151" i="6" s="1"/>
  <c r="E117" i="6" a="1"/>
  <c r="E117" i="6" s="1"/>
  <c r="G117" i="6" s="1"/>
  <c r="F546" i="6" a="1"/>
  <c r="F546" i="6" s="1"/>
  <c r="F488" i="6" a="1"/>
  <c r="F488" i="6" s="1"/>
  <c r="F445" i="6" a="1"/>
  <c r="F445" i="6" s="1"/>
  <c r="F377" i="6" a="1"/>
  <c r="F377" i="6" s="1"/>
  <c r="G377" i="6" s="1"/>
  <c r="F330" i="6" a="1"/>
  <c r="F330" i="6" s="1"/>
  <c r="G330" i="6" s="1"/>
  <c r="F294" i="6" a="1"/>
  <c r="F294" i="6" s="1"/>
  <c r="G294" i="6" s="1"/>
  <c r="F172" i="6" a="1"/>
  <c r="F172" i="6" s="1"/>
  <c r="G172" i="6" s="1"/>
  <c r="G2777" i="2" a="1"/>
  <c r="G2777" i="2" s="1"/>
  <c r="H2777" i="2" a="1"/>
  <c r="H2777" i="2" s="1"/>
  <c r="H2276" i="2" a="1"/>
  <c r="H2276" i="2" s="1"/>
  <c r="G2276" i="2" a="1"/>
  <c r="G2276" i="2" s="1"/>
  <c r="H2103" i="2" a="1"/>
  <c r="H2103" i="2" s="1"/>
  <c r="G2103" i="2" a="1"/>
  <c r="G2103" i="2" s="1"/>
  <c r="H1410" i="2" a="1"/>
  <c r="H1410" i="2" s="1"/>
  <c r="G1410" i="2" a="1"/>
  <c r="G1410" i="2" s="1"/>
  <c r="H663" i="2" a="1"/>
  <c r="H663" i="2" s="1"/>
  <c r="G663" i="2" a="1"/>
  <c r="G663" i="2" s="1"/>
  <c r="F518" i="6" a="1"/>
  <c r="F518" i="6" s="1"/>
  <c r="E518" i="6" a="1"/>
  <c r="E518" i="6" s="1"/>
  <c r="E193" i="6" a="1"/>
  <c r="E193" i="6" s="1"/>
  <c r="F193" i="6" a="1"/>
  <c r="F193" i="6" s="1"/>
  <c r="H2689" i="2" a="1"/>
  <c r="H2689" i="2" s="1"/>
  <c r="G2689" i="2" a="1"/>
  <c r="G2689" i="2" s="1"/>
  <c r="H2474" i="2" a="1"/>
  <c r="H2474" i="2" s="1"/>
  <c r="G2474" i="2" a="1"/>
  <c r="G2474" i="2" s="1"/>
  <c r="H2370" i="2" a="1"/>
  <c r="H2370" i="2" s="1"/>
  <c r="G2370" i="2" a="1"/>
  <c r="G2370" i="2" s="1"/>
  <c r="F463" i="6" a="1"/>
  <c r="F463" i="6" s="1"/>
  <c r="E463" i="6" a="1"/>
  <c r="E463" i="6" s="1"/>
  <c r="F281" i="6" a="1"/>
  <c r="F281" i="6" s="1"/>
  <c r="E281" i="6" a="1"/>
  <c r="E281" i="6" s="1"/>
  <c r="E148" i="6" a="1"/>
  <c r="E148" i="6" s="1"/>
  <c r="F148" i="6" a="1"/>
  <c r="F148" i="6" s="1"/>
  <c r="F33" i="6" a="1"/>
  <c r="F33" i="6" s="1"/>
  <c r="E33" i="6" a="1"/>
  <c r="E33" i="6" s="1"/>
  <c r="E529" i="6" a="1"/>
  <c r="E529" i="6" s="1"/>
  <c r="E465" i="6" a="1"/>
  <c r="E465" i="6" s="1"/>
  <c r="G465" i="6" s="1"/>
  <c r="E391" i="6" a="1"/>
  <c r="E391" i="6" s="1"/>
  <c r="G391" i="6" s="1"/>
  <c r="E188" i="6" a="1"/>
  <c r="E188" i="6" s="1"/>
  <c r="E114" i="6" a="1"/>
  <c r="E114" i="6" s="1"/>
  <c r="G114" i="6" s="1"/>
  <c r="F545" i="6" a="1"/>
  <c r="F545" i="6" s="1"/>
  <c r="G545" i="6" s="1"/>
  <c r="F482" i="6" a="1"/>
  <c r="F482" i="6" s="1"/>
  <c r="F329" i="6" a="1"/>
  <c r="F329" i="6" s="1"/>
  <c r="H2238" i="2" a="1"/>
  <c r="H2238" i="2" s="1"/>
  <c r="G2238" i="2" a="1"/>
  <c r="G2238" i="2" s="1"/>
  <c r="H1991" i="2" a="1"/>
  <c r="H1991" i="2" s="1"/>
  <c r="G1991" i="2" a="1"/>
  <c r="G1991" i="2" s="1"/>
  <c r="H1851" i="2" a="1"/>
  <c r="H1851" i="2" s="1"/>
  <c r="G1851" i="2" a="1"/>
  <c r="G1851" i="2" s="1"/>
  <c r="H1832" i="2" a="1"/>
  <c r="H1832" i="2" s="1"/>
  <c r="G1832" i="2" a="1"/>
  <c r="G1832" i="2" s="1"/>
  <c r="H795" i="2" a="1"/>
  <c r="H795" i="2" s="1"/>
  <c r="G795" i="2" a="1"/>
  <c r="G795" i="2" s="1"/>
  <c r="G1182" i="2" a="1"/>
  <c r="G1182" i="2" s="1"/>
  <c r="E232" i="6" a="1"/>
  <c r="E232" i="6" s="1"/>
  <c r="F232" i="6" a="1"/>
  <c r="F232" i="6" s="1"/>
  <c r="E69" i="6" a="1"/>
  <c r="E69" i="6" s="1"/>
  <c r="G69" i="6" s="1"/>
  <c r="E397" i="6" a="1"/>
  <c r="E397" i="6" s="1"/>
  <c r="F397" i="6" a="1"/>
  <c r="F397" i="6" s="1"/>
  <c r="F298" i="6" a="1"/>
  <c r="F298" i="6" s="1"/>
  <c r="E298" i="6" a="1"/>
  <c r="E298" i="6" s="1"/>
  <c r="U62" i="14" s="1"/>
  <c r="H2005" i="2" a="1"/>
  <c r="H2005" i="2" s="1"/>
  <c r="G2005" i="2" a="1"/>
  <c r="G2005" i="2" s="1"/>
  <c r="H1997" i="2" a="1"/>
  <c r="H1997" i="2" s="1"/>
  <c r="G1997" i="2" a="1"/>
  <c r="G1997" i="2" s="1"/>
  <c r="G1800" i="2" a="1"/>
  <c r="G1800" i="2" s="1"/>
  <c r="H1800" i="2" a="1"/>
  <c r="H1800" i="2" s="1"/>
  <c r="H1285" i="2" a="1"/>
  <c r="H1285" i="2" s="1"/>
  <c r="G1285" i="2" a="1"/>
  <c r="G1285" i="2" s="1"/>
  <c r="H1053" i="2" a="1"/>
  <c r="H1053" i="2" s="1"/>
  <c r="G1053" i="2" a="1"/>
  <c r="G1053" i="2" s="1"/>
  <c r="G2548" i="2" a="1"/>
  <c r="G2548" i="2" s="1"/>
  <c r="H2548" i="2" a="1"/>
  <c r="H2548" i="2" s="1"/>
  <c r="H128" i="2" a="1"/>
  <c r="H128" i="2" s="1"/>
  <c r="G128" i="2" a="1"/>
  <c r="G128" i="2" s="1"/>
  <c r="H2498" i="2" a="1"/>
  <c r="H2498" i="2" s="1"/>
  <c r="G2498" i="2" a="1"/>
  <c r="G2498" i="2" s="1"/>
  <c r="H2194" i="2" a="1"/>
  <c r="H2194" i="2" s="1"/>
  <c r="G2194" i="2" a="1"/>
  <c r="G2194" i="2" s="1"/>
  <c r="F208" i="6" a="1"/>
  <c r="F208" i="6" s="1"/>
  <c r="E208" i="6" a="1"/>
  <c r="E208" i="6" s="1"/>
  <c r="E279" i="6" a="1"/>
  <c r="E279" i="6" s="1"/>
  <c r="G279" i="6" s="1"/>
  <c r="E161" i="6" a="1"/>
  <c r="E161" i="6" s="1"/>
  <c r="G161" i="6" s="1"/>
  <c r="F296" i="6" a="1"/>
  <c r="F296" i="6" s="1"/>
  <c r="H2695" i="2" a="1"/>
  <c r="H2695" i="2" s="1"/>
  <c r="G2695" i="2" a="1"/>
  <c r="G2695" i="2" s="1"/>
  <c r="H583" i="2" a="1"/>
  <c r="H583" i="2" s="1"/>
  <c r="G583" i="2" a="1"/>
  <c r="G583" i="2" s="1"/>
  <c r="E94" i="6" a="1"/>
  <c r="E94" i="6" s="1"/>
  <c r="F94" i="6" a="1"/>
  <c r="F94" i="6" s="1"/>
  <c r="E539" i="6" a="1"/>
  <c r="E539" i="6" s="1"/>
  <c r="H2345" i="2" a="1"/>
  <c r="H2345" i="2" s="1"/>
  <c r="G2345" i="2" a="1"/>
  <c r="G2345" i="2" s="1"/>
  <c r="H1723" i="2" a="1"/>
  <c r="H1723" i="2" s="1"/>
  <c r="G1723" i="2" a="1"/>
  <c r="G1723" i="2" s="1"/>
  <c r="H1537" i="2" a="1"/>
  <c r="H1537" i="2" s="1"/>
  <c r="G1537" i="2" a="1"/>
  <c r="G1537" i="2" s="1"/>
  <c r="F512" i="6" a="1"/>
  <c r="F512" i="6" s="1"/>
  <c r="E512" i="6" a="1"/>
  <c r="E512" i="6" s="1"/>
  <c r="F429" i="6" a="1"/>
  <c r="F429" i="6" s="1"/>
  <c r="E429" i="6" a="1"/>
  <c r="E429" i="6" s="1"/>
  <c r="F419" i="6" a="1"/>
  <c r="F419" i="6" s="1"/>
  <c r="E419" i="6" a="1"/>
  <c r="E419" i="6" s="1"/>
  <c r="E62" i="6" a="1"/>
  <c r="E62" i="6" s="1"/>
  <c r="F62" i="6" a="1"/>
  <c r="F62" i="6" s="1"/>
  <c r="E565" i="6" a="1"/>
  <c r="E565" i="6" s="1"/>
  <c r="E484" i="6" a="1"/>
  <c r="E484" i="6" s="1"/>
  <c r="E384" i="6" a="1"/>
  <c r="E384" i="6" s="1"/>
  <c r="E263" i="6" a="1"/>
  <c r="E263" i="6" s="1"/>
  <c r="E217" i="6" a="1"/>
  <c r="E217" i="6" s="1"/>
  <c r="E142" i="6" a="1"/>
  <c r="E142" i="6" s="1"/>
  <c r="G142" i="6" s="1"/>
  <c r="E113" i="6" a="1"/>
  <c r="E113" i="6" s="1"/>
  <c r="G113" i="6" s="1"/>
  <c r="E19" i="6" a="1"/>
  <c r="E19" i="6" s="1"/>
  <c r="G19" i="6" s="1"/>
  <c r="F443" i="6" a="1"/>
  <c r="F443" i="6" s="1"/>
  <c r="G443" i="6" s="1"/>
  <c r="F398" i="6" a="1"/>
  <c r="F398" i="6" s="1"/>
  <c r="F327" i="6" a="1"/>
  <c r="F327" i="6" s="1"/>
  <c r="F276" i="6" a="1"/>
  <c r="F276" i="6" s="1"/>
  <c r="F159" i="6" a="1"/>
  <c r="F159" i="6" s="1"/>
  <c r="G159" i="6" s="1"/>
  <c r="F98" i="6" a="1"/>
  <c r="F98" i="6" s="1"/>
  <c r="G98" i="6" s="1"/>
  <c r="F36" i="6" a="1"/>
  <c r="F36" i="6" s="1"/>
  <c r="H2285" i="2" a="1"/>
  <c r="H2285" i="2" s="1"/>
  <c r="G2285" i="2" a="1"/>
  <c r="G2285" i="2" s="1"/>
  <c r="H2037" i="2" a="1"/>
  <c r="H2037" i="2" s="1"/>
  <c r="G2037" i="2" a="1"/>
  <c r="G2037" i="2" s="1"/>
  <c r="H131" i="2" a="1"/>
  <c r="H131" i="2" s="1"/>
  <c r="G131" i="2" a="1"/>
  <c r="G131" i="2" s="1"/>
  <c r="G2573" i="2" a="1"/>
  <c r="G2573" i="2" s="1"/>
  <c r="E136" i="6" a="1"/>
  <c r="E136" i="6" s="1"/>
  <c r="F136" i="6" a="1"/>
  <c r="F136" i="6" s="1"/>
  <c r="H2660" i="2" a="1"/>
  <c r="H2660" i="2" s="1"/>
  <c r="G2660" i="2" a="1"/>
  <c r="G2660" i="2" s="1"/>
  <c r="E425" i="6" a="1"/>
  <c r="E425" i="6" s="1"/>
  <c r="F425" i="6" a="1"/>
  <c r="F425" i="6" s="1"/>
  <c r="E388" i="6" a="1"/>
  <c r="E388" i="6" s="1"/>
  <c r="F388" i="6" a="1"/>
  <c r="F388" i="6" s="1"/>
  <c r="F59" i="6" a="1"/>
  <c r="F59" i="6" s="1"/>
  <c r="E59" i="6" a="1"/>
  <c r="E59" i="6" s="1"/>
  <c r="E37" i="6" a="1"/>
  <c r="E37" i="6" s="1"/>
  <c r="F37" i="6" a="1"/>
  <c r="F37" i="6" s="1"/>
  <c r="E67" i="6" a="1"/>
  <c r="E67" i="6" s="1"/>
  <c r="G67" i="6" s="1"/>
  <c r="H1344" i="2" a="1"/>
  <c r="H1344" i="2" s="1"/>
  <c r="G1344" i="2" a="1"/>
  <c r="G1344" i="2" s="1"/>
  <c r="H1855" i="2" a="1"/>
  <c r="H1855" i="2" s="1"/>
  <c r="G1855" i="2" a="1"/>
  <c r="G1855" i="2" s="1"/>
  <c r="G1466" i="2" a="1"/>
  <c r="G1466" i="2" s="1"/>
  <c r="H1466" i="2" a="1"/>
  <c r="H1466" i="2" s="1"/>
  <c r="H1446" i="2" a="1"/>
  <c r="H1446" i="2" s="1"/>
  <c r="G1446" i="2" a="1"/>
  <c r="G1446" i="2" s="1"/>
  <c r="E249" i="6" a="1"/>
  <c r="E249" i="6" s="1"/>
  <c r="G249" i="6" s="1"/>
  <c r="H2375" i="2" a="1"/>
  <c r="H2375" i="2" s="1"/>
  <c r="G2375" i="2" a="1"/>
  <c r="G2375" i="2" s="1"/>
  <c r="H2252" i="2" a="1"/>
  <c r="H2252" i="2" s="1"/>
  <c r="G2252" i="2" a="1"/>
  <c r="G2252" i="2" s="1"/>
  <c r="F453" i="6" a="1"/>
  <c r="F453" i="6" s="1"/>
  <c r="H2184" i="2" a="1"/>
  <c r="H2184" i="2" s="1"/>
  <c r="G2184" i="2" a="1"/>
  <c r="G2184" i="2" s="1"/>
  <c r="H1928" i="2" a="1"/>
  <c r="H1928" i="2" s="1"/>
  <c r="G1928" i="2" a="1"/>
  <c r="G1928" i="2" s="1"/>
  <c r="F379" i="6" a="1"/>
  <c r="F379" i="6" s="1"/>
  <c r="H2779" i="2" a="1"/>
  <c r="H2779" i="2" s="1"/>
  <c r="G2779" i="2" a="1"/>
  <c r="G2779" i="2" s="1"/>
  <c r="H2383" i="2" a="1"/>
  <c r="H2383" i="2" s="1"/>
  <c r="G2383" i="2" a="1"/>
  <c r="G2383" i="2" s="1"/>
  <c r="H2212" i="2" a="1"/>
  <c r="H2212" i="2" s="1"/>
  <c r="G2212" i="2" a="1"/>
  <c r="G2212" i="2" s="1"/>
  <c r="H1604" i="2" a="1"/>
  <c r="H1604" i="2" s="1"/>
  <c r="G1604" i="2" a="1"/>
  <c r="G1604" i="2" s="1"/>
  <c r="H1422" i="2" a="1"/>
  <c r="H1422" i="2" s="1"/>
  <c r="G1422" i="2" a="1"/>
  <c r="G1422" i="2" s="1"/>
  <c r="H582" i="2" a="1"/>
  <c r="H582" i="2" s="1"/>
  <c r="G582" i="2" a="1"/>
  <c r="G582" i="2" s="1"/>
  <c r="G2158" i="2" a="1"/>
  <c r="G2158" i="2" s="1"/>
  <c r="F364" i="6" a="1"/>
  <c r="F364" i="6" s="1"/>
  <c r="E364" i="6" a="1"/>
  <c r="E364" i="6" s="1"/>
  <c r="E174" i="6" a="1"/>
  <c r="E174" i="6" s="1"/>
  <c r="F174" i="6" a="1"/>
  <c r="F174" i="6" s="1"/>
  <c r="G174" i="6" s="1"/>
  <c r="E457" i="6" a="1"/>
  <c r="E457" i="6" s="1"/>
  <c r="E343" i="6" a="1"/>
  <c r="E343" i="6" s="1"/>
  <c r="G343" i="6" s="1"/>
  <c r="E291" i="6" a="1"/>
  <c r="E291" i="6" s="1"/>
  <c r="E213" i="6" a="1"/>
  <c r="E213" i="6" s="1"/>
  <c r="G213" i="6" s="1"/>
  <c r="E106" i="6" a="1"/>
  <c r="E106" i="6" s="1"/>
  <c r="G106" i="6" s="1"/>
  <c r="E15" i="6" a="1"/>
  <c r="E15" i="6" s="1"/>
  <c r="G15" i="6" s="1"/>
  <c r="F525" i="6" a="1"/>
  <c r="F525" i="6" s="1"/>
  <c r="G525" i="6" s="1"/>
  <c r="F442" i="6" a="1"/>
  <c r="F442" i="6" s="1"/>
  <c r="G442" i="6" s="1"/>
  <c r="F396" i="6" a="1"/>
  <c r="F396" i="6" s="1"/>
  <c r="F367" i="6" a="1"/>
  <c r="F367" i="6" s="1"/>
  <c r="G367" i="6" s="1"/>
  <c r="F320" i="6" a="1"/>
  <c r="F320" i="6" s="1"/>
  <c r="G320" i="6" s="1"/>
  <c r="F264" i="6" a="1"/>
  <c r="F264" i="6" s="1"/>
  <c r="G264" i="6" s="1"/>
  <c r="F219" i="6" a="1"/>
  <c r="F219" i="6" s="1"/>
  <c r="G219" i="6" s="1"/>
  <c r="F31" i="6" a="1"/>
  <c r="F31" i="6" s="1"/>
  <c r="G31" i="6" s="1"/>
  <c r="G2730" i="2" a="1"/>
  <c r="G2730" i="2" s="1"/>
  <c r="H2730" i="2" a="1"/>
  <c r="H2730" i="2" s="1"/>
  <c r="H2427" i="2" a="1"/>
  <c r="H2427" i="2" s="1"/>
  <c r="G2427" i="2" a="1"/>
  <c r="G2427" i="2" s="1"/>
  <c r="H2295" i="2" a="1"/>
  <c r="H2295" i="2" s="1"/>
  <c r="G2295" i="2" a="1"/>
  <c r="G2295" i="2" s="1"/>
  <c r="H1970" i="2" a="1"/>
  <c r="H1970" i="2" s="1"/>
  <c r="G1970" i="2" a="1"/>
  <c r="G1970" i="2" s="1"/>
  <c r="G1954" i="2" a="1"/>
  <c r="G1954" i="2" s="1"/>
  <c r="H1954" i="2" a="1"/>
  <c r="H1954" i="2" s="1"/>
  <c r="H1286" i="2" a="1"/>
  <c r="H1286" i="2" s="1"/>
  <c r="G1286" i="2" a="1"/>
  <c r="G1286" i="2" s="1"/>
  <c r="H1004" i="2" a="1"/>
  <c r="H1004" i="2" s="1"/>
  <c r="G1004" i="2" a="1"/>
  <c r="G1004" i="2" s="1"/>
  <c r="H794" i="2" a="1"/>
  <c r="H794" i="2" s="1"/>
  <c r="G794" i="2" a="1"/>
  <c r="G794" i="2" s="1"/>
  <c r="G2482" i="2" a="1"/>
  <c r="G2482" i="2" s="1"/>
  <c r="H2621" i="2" a="1"/>
  <c r="H2621" i="2" s="1"/>
  <c r="E254" i="6" a="1"/>
  <c r="E254" i="6" s="1"/>
  <c r="F254" i="6" a="1"/>
  <c r="F254" i="6" s="1"/>
  <c r="E139" i="6" a="1"/>
  <c r="E139" i="6" s="1"/>
  <c r="F139" i="6" a="1"/>
  <c r="F139" i="6" s="1"/>
  <c r="G139" i="6" s="1"/>
  <c r="E86" i="6" a="1"/>
  <c r="E86" i="6" s="1"/>
  <c r="F86" i="6" a="1"/>
  <c r="F86" i="6" s="1"/>
  <c r="E60" i="6" a="1"/>
  <c r="E60" i="6" s="1"/>
  <c r="F60" i="6" a="1"/>
  <c r="F60" i="6" s="1"/>
  <c r="E197" i="6" a="1"/>
  <c r="E197" i="6" s="1"/>
  <c r="F3" i="6" a="1"/>
  <c r="F3" i="6" s="1"/>
  <c r="H2481" i="2" a="1"/>
  <c r="H2481" i="2" s="1"/>
  <c r="G2481" i="2" a="1"/>
  <c r="G2481" i="2" s="1"/>
  <c r="H2419" i="2" a="1"/>
  <c r="H2419" i="2" s="1"/>
  <c r="G2419" i="2" a="1"/>
  <c r="G2419" i="2" s="1"/>
  <c r="H1987" i="2" a="1"/>
  <c r="H1987" i="2" s="1"/>
  <c r="G1987" i="2" a="1"/>
  <c r="G1987" i="2" s="1"/>
  <c r="H1385" i="2" a="1"/>
  <c r="H1385" i="2" s="1"/>
  <c r="G1385" i="2" a="1"/>
  <c r="G1385" i="2" s="1"/>
  <c r="H960" i="2" a="1"/>
  <c r="H960" i="2" s="1"/>
  <c r="G960" i="2" a="1"/>
  <c r="G960" i="2" s="1"/>
  <c r="H353" i="2" a="1"/>
  <c r="H353" i="2" s="1"/>
  <c r="G353" i="2" a="1"/>
  <c r="G353" i="2" s="1"/>
  <c r="H2572" i="2" a="1"/>
  <c r="H2572" i="2" s="1"/>
  <c r="G2572" i="2" a="1"/>
  <c r="G2572" i="2" s="1"/>
  <c r="H2497" i="2" a="1"/>
  <c r="H2497" i="2" s="1"/>
  <c r="G2497" i="2" a="1"/>
  <c r="G2497" i="2" s="1"/>
  <c r="H2443" i="2" a="1"/>
  <c r="H2443" i="2" s="1"/>
  <c r="G2443" i="2" a="1"/>
  <c r="G2443" i="2" s="1"/>
  <c r="H2056" i="2" a="1"/>
  <c r="H2056" i="2" s="1"/>
  <c r="G2056" i="2" a="1"/>
  <c r="G2056" i="2" s="1"/>
  <c r="H1808" i="2" a="1"/>
  <c r="H1808" i="2" s="1"/>
  <c r="G1808" i="2" a="1"/>
  <c r="G1808" i="2" s="1"/>
  <c r="H1759" i="2" a="1"/>
  <c r="H1759" i="2" s="1"/>
  <c r="G1759" i="2" a="1"/>
  <c r="G1759" i="2" s="1"/>
  <c r="H1538" i="2" a="1"/>
  <c r="H1538" i="2" s="1"/>
  <c r="G1538" i="2" a="1"/>
  <c r="G1538" i="2" s="1"/>
  <c r="H1284" i="2" a="1"/>
  <c r="H1284" i="2" s="1"/>
  <c r="G1284" i="2" a="1"/>
  <c r="G1284" i="2" s="1"/>
  <c r="E39" i="6" a="1"/>
  <c r="E39" i="6" s="1"/>
  <c r="H2745" i="2" a="1"/>
  <c r="H2745" i="2" s="1"/>
  <c r="G2745" i="2" a="1"/>
  <c r="G2745" i="2" s="1"/>
  <c r="H1767" i="2" a="1"/>
  <c r="H1767" i="2" s="1"/>
  <c r="G1767" i="2" a="1"/>
  <c r="G1767" i="2" s="1"/>
  <c r="H1516" i="2" a="1"/>
  <c r="H1516" i="2" s="1"/>
  <c r="G1516" i="2" a="1"/>
  <c r="G1516" i="2" s="1"/>
  <c r="H1506" i="2" a="1"/>
  <c r="H1506" i="2" s="1"/>
  <c r="G1506" i="2" a="1"/>
  <c r="G1506" i="2" s="1"/>
  <c r="H1352" i="2" a="1"/>
  <c r="H1352" i="2" s="1"/>
  <c r="G1352" i="2" a="1"/>
  <c r="G1352" i="2" s="1"/>
  <c r="H1066" i="2" a="1"/>
  <c r="H1066" i="2" s="1"/>
  <c r="G1066" i="2" a="1"/>
  <c r="G1066" i="2" s="1"/>
  <c r="H2571" i="2" a="1"/>
  <c r="H2571" i="2" s="1"/>
  <c r="H32" i="2" a="1"/>
  <c r="H32" i="2" s="1"/>
  <c r="G32" i="2" a="1"/>
  <c r="G32" i="2" s="1"/>
  <c r="G1953" i="2" a="1"/>
  <c r="G1953" i="2" s="1"/>
  <c r="E356" i="6" a="1"/>
  <c r="E356" i="6" s="1"/>
  <c r="G356" i="6" s="1"/>
  <c r="E341" i="6" a="1"/>
  <c r="E341" i="6" s="1"/>
  <c r="E189" i="6" a="1"/>
  <c r="E189" i="6" s="1"/>
  <c r="G189" i="6" s="1"/>
  <c r="H2698" i="2" a="1"/>
  <c r="H2698" i="2" s="1"/>
  <c r="G2698" i="2" a="1"/>
  <c r="G2698" i="2" s="1"/>
  <c r="H2278" i="2" a="1"/>
  <c r="H2278" i="2" s="1"/>
  <c r="G2278" i="2" a="1"/>
  <c r="G2278" i="2" s="1"/>
  <c r="H1896" i="2" a="1"/>
  <c r="H1896" i="2" s="1"/>
  <c r="G1896" i="2" a="1"/>
  <c r="G1896" i="2" s="1"/>
  <c r="H1602" i="2" a="1"/>
  <c r="H1602" i="2" s="1"/>
  <c r="G1602" i="2" a="1"/>
  <c r="G1602" i="2" s="1"/>
  <c r="H1536" i="2" a="1"/>
  <c r="H1536" i="2" s="1"/>
  <c r="G1536" i="2" a="1"/>
  <c r="G1536" i="2" s="1"/>
  <c r="H1271" i="2" a="1"/>
  <c r="H1271" i="2" s="1"/>
  <c r="G1271" i="2" a="1"/>
  <c r="G1271" i="2" s="1"/>
  <c r="H360" i="2" a="1"/>
  <c r="H360" i="2" s="1"/>
  <c r="G360" i="2" a="1"/>
  <c r="G360" i="2" s="1"/>
  <c r="G1456" i="2" a="1"/>
  <c r="G1456" i="2" s="1"/>
  <c r="H2351" i="2" a="1"/>
  <c r="H2351" i="2" s="1"/>
  <c r="G2351" i="2" a="1"/>
  <c r="G2351" i="2" s="1"/>
  <c r="G2207" i="2" a="1"/>
  <c r="G2207" i="2" s="1"/>
  <c r="H2207" i="2" a="1"/>
  <c r="H2207" i="2" s="1"/>
  <c r="H1590" i="2" a="1"/>
  <c r="H1590" i="2" s="1"/>
  <c r="G1590" i="2" a="1"/>
  <c r="G1590" i="2" s="1"/>
  <c r="H1411" i="2" a="1"/>
  <c r="H1411" i="2" s="1"/>
  <c r="G1411" i="2" a="1"/>
  <c r="G1411" i="2" s="1"/>
  <c r="H817" i="2" a="1"/>
  <c r="H817" i="2" s="1"/>
  <c r="G817" i="2" a="1"/>
  <c r="G817" i="2" s="1"/>
  <c r="G1926" i="2" a="1"/>
  <c r="G1926" i="2" s="1"/>
  <c r="G2711" i="2" a="1"/>
  <c r="G2711" i="2" s="1"/>
  <c r="H1272" i="2" a="1"/>
  <c r="H1272" i="2" s="1"/>
  <c r="G1272" i="2" a="1"/>
  <c r="G1272" i="2" s="1"/>
  <c r="H358" i="2" a="1"/>
  <c r="H358" i="2" s="1"/>
  <c r="G358" i="2" a="1"/>
  <c r="G358" i="2" s="1"/>
  <c r="H167" i="2" a="1"/>
  <c r="H167" i="2" s="1"/>
  <c r="G167" i="2" a="1"/>
  <c r="G167" i="2" s="1"/>
  <c r="G2710" i="2" a="1"/>
  <c r="G2710" i="2" s="1"/>
  <c r="G2052" i="2" a="1"/>
  <c r="G2052" i="2" s="1"/>
  <c r="G1560" i="2" a="1"/>
  <c r="G1560" i="2" s="1"/>
  <c r="G518" i="2" a="1"/>
  <c r="G518" i="2" s="1"/>
  <c r="I518" i="2" s="1"/>
  <c r="G2702" i="2" a="1"/>
  <c r="G2702" i="2" s="1"/>
  <c r="H2702" i="2" a="1"/>
  <c r="H2702" i="2" s="1"/>
  <c r="H2604" i="2" a="1"/>
  <c r="H2604" i="2" s="1"/>
  <c r="G2604" i="2" a="1"/>
  <c r="G2604" i="2" s="1"/>
  <c r="H1503" i="2" a="1"/>
  <c r="H1503" i="2" s="1"/>
  <c r="G1503" i="2" a="1"/>
  <c r="G1503" i="2" s="1"/>
  <c r="G2241" i="2" a="1"/>
  <c r="G2241" i="2" s="1"/>
  <c r="G2044" i="2" a="1"/>
  <c r="G2044" i="2" s="1"/>
  <c r="G1551" i="2" a="1"/>
  <c r="G1551" i="2" s="1"/>
  <c r="G1340" i="2" a="1"/>
  <c r="G1340" i="2" s="1"/>
  <c r="G68" i="2" a="1"/>
  <c r="G68" i="2" s="1"/>
  <c r="H2183" i="2" a="1"/>
  <c r="H2183" i="2" s="1"/>
  <c r="G2183" i="2" a="1"/>
  <c r="G2183" i="2" s="1"/>
  <c r="H2117" i="2" a="1"/>
  <c r="H2117" i="2" s="1"/>
  <c r="G2117" i="2" a="1"/>
  <c r="G2117" i="2" s="1"/>
  <c r="H1878" i="2" a="1"/>
  <c r="H1878" i="2" s="1"/>
  <c r="G1878" i="2" a="1"/>
  <c r="G1878" i="2" s="1"/>
  <c r="H1735" i="2" a="1"/>
  <c r="H1735" i="2" s="1"/>
  <c r="G1735" i="2" a="1"/>
  <c r="G1735" i="2" s="1"/>
  <c r="G2727" i="2" a="1"/>
  <c r="G2727" i="2" s="1"/>
  <c r="H2727" i="2" a="1"/>
  <c r="H2727" i="2" s="1"/>
  <c r="H2500" i="2" a="1"/>
  <c r="H2500" i="2" s="1"/>
  <c r="G2500" i="2" a="1"/>
  <c r="G2500" i="2" s="1"/>
  <c r="G2492" i="2" a="1"/>
  <c r="G2492" i="2" s="1"/>
  <c r="H2492" i="2" a="1"/>
  <c r="H2492" i="2" s="1"/>
  <c r="H2077" i="2" a="1"/>
  <c r="H2077" i="2" s="1"/>
  <c r="G2077" i="2" a="1"/>
  <c r="G2077" i="2" s="1"/>
  <c r="H1894" i="2" a="1"/>
  <c r="H1894" i="2" s="1"/>
  <c r="G1894" i="2" a="1"/>
  <c r="G1894" i="2" s="1"/>
  <c r="H1637" i="2" a="1"/>
  <c r="H1637" i="2" s="1"/>
  <c r="G1637" i="2" a="1"/>
  <c r="G1637" i="2" s="1"/>
  <c r="H857" i="2" a="1"/>
  <c r="H857" i="2" s="1"/>
  <c r="G857" i="2" a="1"/>
  <c r="G857" i="2" s="1"/>
  <c r="H672" i="2" a="1"/>
  <c r="H672" i="2" s="1"/>
  <c r="G672" i="2" a="1"/>
  <c r="G672" i="2" s="1"/>
  <c r="H145" i="2" a="1"/>
  <c r="H145" i="2" s="1"/>
  <c r="G145" i="2" a="1"/>
  <c r="G145" i="2" s="1"/>
  <c r="G2224" i="2" a="1"/>
  <c r="G2224" i="2" s="1"/>
  <c r="H2016" i="2" a="1"/>
  <c r="H2016" i="2" s="1"/>
  <c r="G2016" i="2" a="1"/>
  <c r="G2016" i="2" s="1"/>
  <c r="H1636" i="2" a="1"/>
  <c r="H1636" i="2" s="1"/>
  <c r="G1636" i="2" a="1"/>
  <c r="G1636" i="2" s="1"/>
  <c r="H434" i="2" a="1"/>
  <c r="H434" i="2" s="1"/>
  <c r="G434" i="2" a="1"/>
  <c r="G434" i="2" s="1"/>
  <c r="H164" i="2" a="1"/>
  <c r="H164" i="2" s="1"/>
  <c r="G164" i="2" a="1"/>
  <c r="G164" i="2" s="1"/>
  <c r="G2182" i="2" a="1"/>
  <c r="G2182" i="2" s="1"/>
  <c r="G436" i="2" a="1"/>
  <c r="G436" i="2" s="1"/>
  <c r="G1110" i="2" a="1"/>
  <c r="G1110" i="2" s="1"/>
  <c r="G930" i="2" a="1"/>
  <c r="G930" i="2" s="1"/>
  <c r="G1109" i="2" a="1"/>
  <c r="G1109" i="2" s="1"/>
  <c r="G901" i="2" a="1"/>
  <c r="G901" i="2" s="1"/>
  <c r="G1758" i="2" a="1"/>
  <c r="G1758" i="2" s="1"/>
  <c r="G1283" i="2" a="1"/>
  <c r="G1283" i="2" s="1"/>
  <c r="G1100" i="2" a="1"/>
  <c r="G1100" i="2" s="1"/>
  <c r="G163" i="2" a="1"/>
  <c r="G163" i="2" s="1"/>
  <c r="I163" i="2" s="1"/>
  <c r="H1227" i="2" a="1"/>
  <c r="H1227" i="2" s="1"/>
  <c r="G1505" i="2" a="1"/>
  <c r="G1505" i="2" s="1"/>
  <c r="G1389" i="2" a="1"/>
  <c r="G1389" i="2" s="1"/>
  <c r="G1504" i="2" a="1"/>
  <c r="G1504" i="2" s="1"/>
  <c r="H973" i="2" a="1"/>
  <c r="H973" i="2" s="1"/>
  <c r="G1225" i="2" a="1"/>
  <c r="G1225" i="2" s="1"/>
  <c r="G326" i="2" a="1"/>
  <c r="G326" i="2" s="1"/>
  <c r="H915" i="2" a="1"/>
  <c r="H915" i="2" s="1"/>
  <c r="H2471" i="2" a="1"/>
  <c r="H2471" i="2" s="1"/>
  <c r="G2471" i="2" a="1"/>
  <c r="G2471" i="2" s="1"/>
  <c r="E431" i="6" a="1"/>
  <c r="E431" i="6" s="1"/>
  <c r="F431" i="6" a="1"/>
  <c r="F431" i="6" s="1"/>
  <c r="F234" i="6" a="1"/>
  <c r="F234" i="6" s="1"/>
  <c r="E234" i="6" a="1"/>
  <c r="E234" i="6" s="1"/>
  <c r="H1708" i="2" a="1"/>
  <c r="H1708" i="2" s="1"/>
  <c r="G1708" i="2" a="1"/>
  <c r="G1708" i="2" s="1"/>
  <c r="F390" i="6" a="1"/>
  <c r="F390" i="6" s="1"/>
  <c r="E390" i="6" a="1"/>
  <c r="E390" i="6" s="1"/>
  <c r="E407" i="6" a="1"/>
  <c r="E407" i="6" s="1"/>
  <c r="F407" i="6" a="1"/>
  <c r="F407" i="6" s="1"/>
  <c r="E275" i="6" a="1"/>
  <c r="E275" i="6" s="1"/>
  <c r="F275" i="6" a="1"/>
  <c r="F275" i="6" s="1"/>
  <c r="H1812" i="2" a="1"/>
  <c r="H1812" i="2" s="1"/>
  <c r="G1812" i="2" a="1"/>
  <c r="G1812" i="2" s="1"/>
  <c r="H2456" i="2" a="1"/>
  <c r="H2456" i="2" s="1"/>
  <c r="G2456" i="2" a="1"/>
  <c r="G2456" i="2" s="1"/>
  <c r="F438" i="6" a="1"/>
  <c r="F438" i="6" s="1"/>
  <c r="E438" i="6" a="1"/>
  <c r="E438" i="6" s="1"/>
  <c r="H2550" i="2" a="1"/>
  <c r="H2550" i="2" s="1"/>
  <c r="G2550" i="2" a="1"/>
  <c r="G2550" i="2" s="1"/>
  <c r="H2310" i="2" a="1"/>
  <c r="H2310" i="2" s="1"/>
  <c r="G2310" i="2" a="1"/>
  <c r="G2310" i="2" s="1"/>
  <c r="H1487" i="2" a="1"/>
  <c r="H1487" i="2" s="1"/>
  <c r="G1487" i="2" a="1"/>
  <c r="G1487" i="2" s="1"/>
  <c r="H263" i="2" a="1"/>
  <c r="H263" i="2" s="1"/>
  <c r="G263" i="2" a="1"/>
  <c r="G263" i="2" s="1"/>
  <c r="F283" i="6" a="1"/>
  <c r="F283" i="6" s="1"/>
  <c r="E283" i="6" a="1"/>
  <c r="E283" i="6" s="1"/>
  <c r="F135" i="6" a="1"/>
  <c r="F135" i="6" s="1"/>
  <c r="E135" i="6" a="1"/>
  <c r="E135" i="6" s="1"/>
  <c r="H2671" i="2" a="1"/>
  <c r="H2671" i="2" s="1"/>
  <c r="G2671" i="2" a="1"/>
  <c r="G2671" i="2" s="1"/>
  <c r="H2447" i="2" a="1"/>
  <c r="H2447" i="2" s="1"/>
  <c r="G2447" i="2" a="1"/>
  <c r="G2447" i="2" s="1"/>
  <c r="H2304" i="2" a="1"/>
  <c r="H2304" i="2" s="1"/>
  <c r="G2304" i="2" a="1"/>
  <c r="G2304" i="2" s="1"/>
  <c r="H1827" i="2" a="1"/>
  <c r="H1827" i="2" s="1"/>
  <c r="G1827" i="2" a="1"/>
  <c r="G1827" i="2" s="1"/>
  <c r="F479" i="6" a="1"/>
  <c r="F479" i="6" s="1"/>
  <c r="E479" i="6" a="1"/>
  <c r="E479" i="6" s="1"/>
  <c r="F326" i="6" a="1"/>
  <c r="F326" i="6" s="1"/>
  <c r="E326" i="6" a="1"/>
  <c r="E326" i="6" s="1"/>
  <c r="G2519" i="2" a="1"/>
  <c r="G2519" i="2" s="1"/>
  <c r="H2519" i="2" a="1"/>
  <c r="H2519" i="2" s="1"/>
  <c r="H2226" i="2" a="1"/>
  <c r="H2226" i="2" s="1"/>
  <c r="G2226" i="2" a="1"/>
  <c r="G2226" i="2" s="1"/>
  <c r="G1930" i="2" a="1"/>
  <c r="G1930" i="2" s="1"/>
  <c r="H1930" i="2" a="1"/>
  <c r="H1930" i="2" s="1"/>
  <c r="H1892" i="2" a="1"/>
  <c r="H1892" i="2" s="1"/>
  <c r="G1892" i="2" a="1"/>
  <c r="G1892" i="2" s="1"/>
  <c r="G1468" i="2" a="1"/>
  <c r="G1468" i="2" s="1"/>
  <c r="H1468" i="2" a="1"/>
  <c r="H1468" i="2" s="1"/>
  <c r="H929" i="2" a="1"/>
  <c r="H929" i="2" s="1"/>
  <c r="G929" i="2" a="1"/>
  <c r="G929" i="2" s="1"/>
  <c r="F470" i="6" a="1"/>
  <c r="F470" i="6" s="1"/>
  <c r="E470" i="6" a="1"/>
  <c r="E470" i="6" s="1"/>
  <c r="F335" i="6" a="1"/>
  <c r="F335" i="6" s="1"/>
  <c r="E335" i="6" a="1"/>
  <c r="E335" i="6" s="1"/>
  <c r="F158" i="6" a="1"/>
  <c r="F158" i="6" s="1"/>
  <c r="E158" i="6" a="1"/>
  <c r="E158" i="6" s="1"/>
  <c r="H2760" i="2" a="1"/>
  <c r="H2760" i="2" s="1"/>
  <c r="G2760" i="2" a="1"/>
  <c r="G2760" i="2" s="1"/>
  <c r="H1214" i="2" a="1"/>
  <c r="H1214" i="2" s="1"/>
  <c r="G1214" i="2" a="1"/>
  <c r="G1214" i="2" s="1"/>
  <c r="G1007" i="2" a="1"/>
  <c r="G1007" i="2" s="1"/>
  <c r="H1007" i="2" a="1"/>
  <c r="H1007" i="2" s="1"/>
  <c r="H33" i="2" a="1"/>
  <c r="H33" i="2" s="1"/>
  <c r="G33" i="2" a="1"/>
  <c r="G33" i="2" s="1"/>
  <c r="F561" i="6" a="1"/>
  <c r="F561" i="6" s="1"/>
  <c r="E561" i="6" a="1"/>
  <c r="E561" i="6" s="1"/>
  <c r="H2743" i="2" a="1"/>
  <c r="H2743" i="2" s="1"/>
  <c r="G2743" i="2" a="1"/>
  <c r="G2743" i="2" s="1"/>
  <c r="H2634" i="2" a="1"/>
  <c r="H2634" i="2" s="1"/>
  <c r="G2634" i="2" a="1"/>
  <c r="G2634" i="2" s="1"/>
  <c r="G1540" i="2" a="1"/>
  <c r="G1540" i="2" s="1"/>
  <c r="H1540" i="2" a="1"/>
  <c r="H1540" i="2" s="1"/>
  <c r="H1186" i="2" a="1"/>
  <c r="H1186" i="2" s="1"/>
  <c r="G1186" i="2" a="1"/>
  <c r="G1186" i="2" s="1"/>
  <c r="H1133" i="2" a="1"/>
  <c r="H1133" i="2" s="1"/>
  <c r="G1133" i="2" a="1"/>
  <c r="G1133" i="2" s="1"/>
  <c r="H1116" i="2" a="1"/>
  <c r="H1116" i="2" s="1"/>
  <c r="G1116" i="2" a="1"/>
  <c r="G1116" i="2" s="1"/>
  <c r="H1106" i="2" a="1"/>
  <c r="H1106" i="2" s="1"/>
  <c r="G1106" i="2" a="1"/>
  <c r="G1106" i="2" s="1"/>
  <c r="F184" i="6" a="1"/>
  <c r="F184" i="6" s="1"/>
  <c r="E184" i="6" a="1"/>
  <c r="E184" i="6" s="1"/>
  <c r="F502" i="6" a="1"/>
  <c r="F502" i="6" s="1"/>
  <c r="H2018" i="2" a="1"/>
  <c r="H2018" i="2" s="1"/>
  <c r="G2018" i="2" a="1"/>
  <c r="G2018" i="2" s="1"/>
  <c r="H1548" i="2" a="1"/>
  <c r="H1548" i="2" s="1"/>
  <c r="G1548" i="2" a="1"/>
  <c r="G1548" i="2" s="1"/>
  <c r="H1512" i="2" a="1"/>
  <c r="H1512" i="2" s="1"/>
  <c r="G1512" i="2" a="1"/>
  <c r="G1512" i="2" s="1"/>
  <c r="H1494" i="2" a="1"/>
  <c r="H1494" i="2" s="1"/>
  <c r="G1494" i="2" a="1"/>
  <c r="G1494" i="2" s="1"/>
  <c r="H1306" i="2" a="1"/>
  <c r="H1306" i="2" s="1"/>
  <c r="G1306" i="2" a="1"/>
  <c r="G1306" i="2" s="1"/>
  <c r="H594" i="2" a="1"/>
  <c r="H594" i="2" s="1"/>
  <c r="G594" i="2" a="1"/>
  <c r="G594" i="2" s="1"/>
  <c r="H454" i="2" a="1"/>
  <c r="H454" i="2" s="1"/>
  <c r="G454" i="2" a="1"/>
  <c r="G454" i="2" s="1"/>
  <c r="H435" i="2" a="1"/>
  <c r="H435" i="2" s="1"/>
  <c r="G435" i="2" a="1"/>
  <c r="G435" i="2" s="1"/>
  <c r="E524" i="6" a="1"/>
  <c r="E524" i="6" s="1"/>
  <c r="F524" i="6" a="1"/>
  <c r="F524" i="6" s="1"/>
  <c r="F509" i="6" a="1"/>
  <c r="F509" i="6" s="1"/>
  <c r="E509" i="6" a="1"/>
  <c r="E509" i="6" s="1"/>
  <c r="F376" i="6" a="1"/>
  <c r="F376" i="6" s="1"/>
  <c r="E376" i="6" a="1"/>
  <c r="E376" i="6" s="1"/>
  <c r="F48" i="6" a="1"/>
  <c r="F48" i="6" s="1"/>
  <c r="E48" i="6" a="1"/>
  <c r="E48" i="6" s="1"/>
  <c r="H2757" i="2" a="1"/>
  <c r="H2757" i="2" s="1"/>
  <c r="G2757" i="2" a="1"/>
  <c r="G2757" i="2" s="1"/>
  <c r="H2641" i="2" a="1"/>
  <c r="H2641" i="2" s="1"/>
  <c r="G2641" i="2" a="1"/>
  <c r="G2641" i="2" s="1"/>
  <c r="G2403" i="2" a="1"/>
  <c r="G2403" i="2" s="1"/>
  <c r="H2403" i="2" a="1"/>
  <c r="H2403" i="2" s="1"/>
  <c r="H2001" i="2" a="1"/>
  <c r="H2001" i="2" s="1"/>
  <c r="G2001" i="2" a="1"/>
  <c r="G2001" i="2" s="1"/>
  <c r="H1763" i="2" a="1"/>
  <c r="H1763" i="2" s="1"/>
  <c r="G1763" i="2" a="1"/>
  <c r="G1763" i="2" s="1"/>
  <c r="H1649" i="2" a="1"/>
  <c r="H1649" i="2" s="1"/>
  <c r="G1649" i="2" a="1"/>
  <c r="G1649" i="2" s="1"/>
  <c r="E227" i="6" a="1"/>
  <c r="E227" i="6" s="1"/>
  <c r="F227" i="6" a="1"/>
  <c r="F227" i="6" s="1"/>
  <c r="E95" i="6" a="1"/>
  <c r="E95" i="6" s="1"/>
  <c r="F95" i="6" a="1"/>
  <c r="F95" i="6" s="1"/>
  <c r="H2774" i="2" a="1"/>
  <c r="H2774" i="2" s="1"/>
  <c r="G2774" i="2" a="1"/>
  <c r="G2774" i="2" s="1"/>
  <c r="G2615" i="2" a="1"/>
  <c r="G2615" i="2" s="1"/>
  <c r="H2615" i="2" a="1"/>
  <c r="H2615" i="2" s="1"/>
  <c r="G2592" i="2" a="1"/>
  <c r="G2592" i="2" s="1"/>
  <c r="H2592" i="2" a="1"/>
  <c r="H2592" i="2" s="1"/>
  <c r="H2026" i="2" a="1"/>
  <c r="H2026" i="2" s="1"/>
  <c r="G2026" i="2" a="1"/>
  <c r="G2026" i="2" s="1"/>
  <c r="H1563" i="2" a="1"/>
  <c r="H1563" i="2" s="1"/>
  <c r="G1563" i="2" a="1"/>
  <c r="G1563" i="2" s="1"/>
  <c r="H1350" i="2" a="1"/>
  <c r="H1350" i="2" s="1"/>
  <c r="G1350" i="2" a="1"/>
  <c r="G1350" i="2" s="1"/>
  <c r="H563" i="2" a="1"/>
  <c r="H563" i="2" s="1"/>
  <c r="G563" i="2" a="1"/>
  <c r="G563" i="2" s="1"/>
  <c r="H527" i="2" a="1"/>
  <c r="H527" i="2" s="1"/>
  <c r="G527" i="2" a="1"/>
  <c r="G527" i="2" s="1"/>
  <c r="E515" i="6" a="1"/>
  <c r="E515" i="6" s="1"/>
  <c r="F515" i="6" a="1"/>
  <c r="F515" i="6" s="1"/>
  <c r="F252" i="6" a="1"/>
  <c r="F252" i="6" s="1"/>
  <c r="E252" i="6" a="1"/>
  <c r="E252" i="6" s="1"/>
  <c r="E226" i="6" a="1"/>
  <c r="E226" i="6" s="1"/>
  <c r="F226" i="6" a="1"/>
  <c r="F226" i="6" s="1"/>
  <c r="F112" i="6" a="1"/>
  <c r="F112" i="6" s="1"/>
  <c r="E112" i="6" a="1"/>
  <c r="E112" i="6" s="1"/>
  <c r="F76" i="6" a="1"/>
  <c r="F76" i="6" s="1"/>
  <c r="E76" i="6" a="1"/>
  <c r="E76" i="6" s="1"/>
  <c r="F66" i="6" a="1"/>
  <c r="F66" i="6" s="1"/>
  <c r="V15" i="14" s="1"/>
  <c r="E66" i="6" a="1"/>
  <c r="E66" i="6" s="1"/>
  <c r="G66" i="6" s="1"/>
  <c r="F528" i="6" a="1"/>
  <c r="F528" i="6" s="1"/>
  <c r="G528" i="6" s="1"/>
  <c r="F160" i="6" a="1"/>
  <c r="F160" i="6" s="1"/>
  <c r="G2773" i="2" a="1"/>
  <c r="G2773" i="2" s="1"/>
  <c r="H2773" i="2" a="1"/>
  <c r="H2773" i="2" s="1"/>
  <c r="H2631" i="2" a="1"/>
  <c r="H2631" i="2" s="1"/>
  <c r="G2631" i="2" a="1"/>
  <c r="G2631" i="2" s="1"/>
  <c r="H2607" i="2" a="1"/>
  <c r="H2607" i="2" s="1"/>
  <c r="G2607" i="2" a="1"/>
  <c r="G2607" i="2" s="1"/>
  <c r="G2599" i="2" a="1"/>
  <c r="G2599" i="2" s="1"/>
  <c r="H2599" i="2" a="1"/>
  <c r="H2599" i="2" s="1"/>
  <c r="H2582" i="2" a="1"/>
  <c r="H2582" i="2" s="1"/>
  <c r="G2582" i="2" a="1"/>
  <c r="G2582" i="2" s="1"/>
  <c r="G2514" i="2" a="1"/>
  <c r="G2514" i="2" s="1"/>
  <c r="H2514" i="2" a="1"/>
  <c r="H2514" i="2" s="1"/>
  <c r="H2340" i="2" a="1"/>
  <c r="H2340" i="2" s="1"/>
  <c r="G2340" i="2" a="1"/>
  <c r="G2340" i="2" s="1"/>
  <c r="G2057" i="2" a="1"/>
  <c r="G2057" i="2" s="1"/>
  <c r="H2057" i="2" a="1"/>
  <c r="H2057" i="2" s="1"/>
  <c r="G2049" i="2" a="1"/>
  <c r="G2049" i="2" s="1"/>
  <c r="H2049" i="2" a="1"/>
  <c r="H2049" i="2" s="1"/>
  <c r="G2033" i="2" a="1"/>
  <c r="G2033" i="2" s="1"/>
  <c r="H2033" i="2" a="1"/>
  <c r="H2033" i="2" s="1"/>
  <c r="G1681" i="2" a="1"/>
  <c r="G1681" i="2" s="1"/>
  <c r="H1681" i="2" a="1"/>
  <c r="H1681" i="2" s="1"/>
  <c r="H1673" i="2" a="1"/>
  <c r="H1673" i="2" s="1"/>
  <c r="G1673" i="2" a="1"/>
  <c r="G1673" i="2" s="1"/>
  <c r="G1666" i="2" a="1"/>
  <c r="G1666" i="2" s="1"/>
  <c r="H1666" i="2" a="1"/>
  <c r="H1666" i="2" s="1"/>
  <c r="H1656" i="2" a="1"/>
  <c r="H1656" i="2" s="1"/>
  <c r="G1656" i="2" a="1"/>
  <c r="G1656" i="2" s="1"/>
  <c r="H1638" i="2" a="1"/>
  <c r="H1638" i="2" s="1"/>
  <c r="G1638" i="2" a="1"/>
  <c r="G1638" i="2" s="1"/>
  <c r="H1622" i="2" a="1"/>
  <c r="H1622" i="2" s="1"/>
  <c r="G1622" i="2" a="1"/>
  <c r="G1622" i="2" s="1"/>
  <c r="H1594" i="2" a="1"/>
  <c r="H1594" i="2" s="1"/>
  <c r="G1594" i="2" a="1"/>
  <c r="G1594" i="2" s="1"/>
  <c r="H1586" i="2" a="1"/>
  <c r="H1586" i="2" s="1"/>
  <c r="G1586" i="2" a="1"/>
  <c r="G1586" i="2" s="1"/>
  <c r="H1562" i="2" a="1"/>
  <c r="H1562" i="2" s="1"/>
  <c r="G1562" i="2" a="1"/>
  <c r="G1562" i="2" s="1"/>
  <c r="H1295" i="2" a="1"/>
  <c r="H1295" i="2" s="1"/>
  <c r="G1295" i="2" a="1"/>
  <c r="G1295" i="2" s="1"/>
  <c r="H1240" i="2" a="1"/>
  <c r="H1240" i="2" s="1"/>
  <c r="G1240" i="2" a="1"/>
  <c r="G1240" i="2" s="1"/>
  <c r="H1230" i="2" a="1"/>
  <c r="H1230" i="2" s="1"/>
  <c r="G1230" i="2" a="1"/>
  <c r="G1230" i="2" s="1"/>
  <c r="H863" i="2" a="1"/>
  <c r="H863" i="2" s="1"/>
  <c r="G863" i="2" a="1"/>
  <c r="G863" i="2" s="1"/>
  <c r="H94" i="2" a="1"/>
  <c r="H94" i="2" s="1"/>
  <c r="G94" i="2" a="1"/>
  <c r="G94" i="2" s="1"/>
  <c r="H84" i="2" a="1"/>
  <c r="H84" i="2" s="1"/>
  <c r="G84" i="2" a="1"/>
  <c r="G84" i="2" s="1"/>
  <c r="F126" i="6" a="1"/>
  <c r="F126" i="6" s="1"/>
  <c r="E126" i="6" a="1"/>
  <c r="E126" i="6" s="1"/>
  <c r="H2686" i="2" a="1"/>
  <c r="H2686" i="2" s="1"/>
  <c r="G2686" i="2" a="1"/>
  <c r="G2686" i="2" s="1"/>
  <c r="H2439" i="2" a="1"/>
  <c r="H2439" i="2" s="1"/>
  <c r="G2439" i="2" a="1"/>
  <c r="G2439" i="2" s="1"/>
  <c r="H1885" i="2" a="1"/>
  <c r="H1885" i="2" s="1"/>
  <c r="G1885" i="2" a="1"/>
  <c r="G1885" i="2" s="1"/>
  <c r="H1819" i="2" a="1"/>
  <c r="H1819" i="2" s="1"/>
  <c r="G1819" i="2" a="1"/>
  <c r="G1819" i="2" s="1"/>
  <c r="H1424" i="2" a="1"/>
  <c r="H1424" i="2" s="1"/>
  <c r="G1424" i="2" a="1"/>
  <c r="G1424" i="2" s="1"/>
  <c r="E336" i="6" a="1"/>
  <c r="E336" i="6" s="1"/>
  <c r="F336" i="6" a="1"/>
  <c r="F336" i="6" s="1"/>
  <c r="E317" i="6" a="1"/>
  <c r="E317" i="6" s="1"/>
  <c r="F317" i="6" a="1"/>
  <c r="F317" i="6" s="1"/>
  <c r="G2761" i="2" a="1"/>
  <c r="G2761" i="2" s="1"/>
  <c r="H2761" i="2" a="1"/>
  <c r="H2761" i="2" s="1"/>
  <c r="H2694" i="2" a="1"/>
  <c r="H2694" i="2" s="1"/>
  <c r="G2694" i="2" a="1"/>
  <c r="G2694" i="2" s="1"/>
  <c r="H2234" i="2" a="1"/>
  <c r="H2234" i="2" s="1"/>
  <c r="G2234" i="2" a="1"/>
  <c r="G2234" i="2" s="1"/>
  <c r="H1946" i="2" a="1"/>
  <c r="H1946" i="2" s="1"/>
  <c r="G1946" i="2" a="1"/>
  <c r="G1946" i="2" s="1"/>
  <c r="H1916" i="2" a="1"/>
  <c r="H1916" i="2" s="1"/>
  <c r="G1916" i="2" a="1"/>
  <c r="G1916" i="2" s="1"/>
  <c r="H946" i="2" a="1"/>
  <c r="H946" i="2" s="1"/>
  <c r="G946" i="2" a="1"/>
  <c r="G946" i="2" s="1"/>
  <c r="H243" i="2" a="1"/>
  <c r="H243" i="2" s="1"/>
  <c r="G243" i="2" a="1"/>
  <c r="G243" i="2" s="1"/>
  <c r="E478" i="6" a="1"/>
  <c r="E478" i="6" s="1"/>
  <c r="F478" i="6" a="1"/>
  <c r="F478" i="6" s="1"/>
  <c r="F361" i="6" a="1"/>
  <c r="F361" i="6" s="1"/>
  <c r="E361" i="6" a="1"/>
  <c r="E361" i="6" s="1"/>
  <c r="H2744" i="2" a="1"/>
  <c r="H2744" i="2" s="1"/>
  <c r="G2744" i="2" a="1"/>
  <c r="G2744" i="2" s="1"/>
  <c r="H2291" i="2" a="1"/>
  <c r="H2291" i="2" s="1"/>
  <c r="G2291" i="2" a="1"/>
  <c r="G2291" i="2" s="1"/>
  <c r="G1899" i="2" a="1"/>
  <c r="G1899" i="2" s="1"/>
  <c r="H1899" i="2" a="1"/>
  <c r="H1899" i="2" s="1"/>
  <c r="H281" i="2" a="1"/>
  <c r="H281" i="2" s="1"/>
  <c r="G281" i="2" a="1"/>
  <c r="G281" i="2" s="1"/>
  <c r="F334" i="6" a="1"/>
  <c r="F334" i="6" s="1"/>
  <c r="E334" i="6" a="1"/>
  <c r="E334" i="6" s="1"/>
  <c r="E32" i="6" a="1"/>
  <c r="E32" i="6" s="1"/>
  <c r="F32" i="6" a="1"/>
  <c r="F32" i="6" s="1"/>
  <c r="H2019" i="2" a="1"/>
  <c r="H2019" i="2" s="1"/>
  <c r="G2019" i="2" a="1"/>
  <c r="G2019" i="2" s="1"/>
  <c r="H1530" i="2" a="1"/>
  <c r="H1530" i="2" s="1"/>
  <c r="G1530" i="2" a="1"/>
  <c r="G1530" i="2" s="1"/>
  <c r="H1097" i="2" a="1"/>
  <c r="H1097" i="2" s="1"/>
  <c r="G1097" i="2" a="1"/>
  <c r="G1097" i="2" s="1"/>
  <c r="H1069" i="2" a="1"/>
  <c r="H1069" i="2" s="1"/>
  <c r="G1069" i="2" a="1"/>
  <c r="G1069" i="2" s="1"/>
  <c r="H364" i="2" a="1"/>
  <c r="H364" i="2" s="1"/>
  <c r="G364" i="2" a="1"/>
  <c r="G364" i="2" s="1"/>
  <c r="F560" i="6" a="1"/>
  <c r="F560" i="6" s="1"/>
  <c r="E560" i="6" a="1"/>
  <c r="E560" i="6" s="1"/>
  <c r="U115" i="14" s="1"/>
  <c r="F493" i="6" a="1"/>
  <c r="F493" i="6" s="1"/>
  <c r="E493" i="6" a="1"/>
  <c r="E493" i="6" s="1"/>
  <c r="F359" i="6" a="1"/>
  <c r="F359" i="6" s="1"/>
  <c r="E359" i="6" a="1"/>
  <c r="E359" i="6" s="1"/>
  <c r="F40" i="6" a="1"/>
  <c r="F40" i="6" s="1"/>
  <c r="V10" i="14" s="1"/>
  <c r="E40" i="6" a="1"/>
  <c r="E40" i="6" s="1"/>
  <c r="E547" i="6" a="1"/>
  <c r="E547" i="6" s="1"/>
  <c r="U113" i="14" s="1"/>
  <c r="H2750" i="2" a="1"/>
  <c r="H2750" i="2" s="1"/>
  <c r="G2750" i="2" a="1"/>
  <c r="G2750" i="2" s="1"/>
  <c r="H1994" i="2" a="1"/>
  <c r="H1994" i="2" s="1"/>
  <c r="G1994" i="2" a="1"/>
  <c r="G1994" i="2" s="1"/>
  <c r="H1539" i="2" a="1"/>
  <c r="H1539" i="2" s="1"/>
  <c r="G1539" i="2" a="1"/>
  <c r="G1539" i="2" s="1"/>
  <c r="H1195" i="2" a="1"/>
  <c r="H1195" i="2" s="1"/>
  <c r="G1195" i="2" a="1"/>
  <c r="G1195" i="2" s="1"/>
  <c r="H465" i="2" a="1"/>
  <c r="H465" i="2" s="1"/>
  <c r="G465" i="2" a="1"/>
  <c r="G465" i="2" s="1"/>
  <c r="G444" i="2" a="1"/>
  <c r="G444" i="2" s="1"/>
  <c r="H444" i="2" a="1"/>
  <c r="H444" i="2" s="1"/>
  <c r="H409" i="2" a="1"/>
  <c r="H409" i="2" s="1"/>
  <c r="G409" i="2" a="1"/>
  <c r="G409" i="2" s="1"/>
  <c r="H399" i="2" a="1"/>
  <c r="H399" i="2" s="1"/>
  <c r="G399" i="2" a="1"/>
  <c r="G399" i="2" s="1"/>
  <c r="H372" i="2" a="1"/>
  <c r="H372" i="2" s="1"/>
  <c r="G372" i="2" a="1"/>
  <c r="G372" i="2" s="1"/>
  <c r="E501" i="6" a="1"/>
  <c r="E501" i="6" s="1"/>
  <c r="F501" i="6" a="1"/>
  <c r="F501" i="6" s="1"/>
  <c r="E228" i="6" a="1"/>
  <c r="E228" i="6" s="1"/>
  <c r="F228" i="6" a="1"/>
  <c r="F228" i="6" s="1"/>
  <c r="F200" i="6" a="1"/>
  <c r="F200" i="6" s="1"/>
  <c r="E200" i="6" a="1"/>
  <c r="E200" i="6" s="1"/>
  <c r="E192" i="6" a="1"/>
  <c r="E192" i="6" s="1"/>
  <c r="F192" i="6" a="1"/>
  <c r="F192" i="6" s="1"/>
  <c r="E23" i="6" a="1"/>
  <c r="E23" i="6" s="1"/>
  <c r="U6" i="14" s="1"/>
  <c r="H2574" i="2" a="1"/>
  <c r="H2574" i="2" s="1"/>
  <c r="G2574" i="2" a="1"/>
  <c r="G2574" i="2" s="1"/>
  <c r="H2027" i="2" a="1"/>
  <c r="H2027" i="2" s="1"/>
  <c r="G2027" i="2" a="1"/>
  <c r="G2027" i="2" s="1"/>
  <c r="H2010" i="2" a="1"/>
  <c r="H2010" i="2" s="1"/>
  <c r="G2010" i="2" a="1"/>
  <c r="G2010" i="2" s="1"/>
  <c r="H1993" i="2" a="1"/>
  <c r="H1993" i="2" s="1"/>
  <c r="G1993" i="2" a="1"/>
  <c r="G1993" i="2" s="1"/>
  <c r="H1315" i="2" a="1"/>
  <c r="H1315" i="2" s="1"/>
  <c r="G1315" i="2" a="1"/>
  <c r="G1315" i="2" s="1"/>
  <c r="H1212" i="2" a="1"/>
  <c r="H1212" i="2" s="1"/>
  <c r="G1212" i="2" a="1"/>
  <c r="G1212" i="2" s="1"/>
  <c r="H475" i="2" a="1"/>
  <c r="H475" i="2" s="1"/>
  <c r="G475" i="2" a="1"/>
  <c r="G475" i="2" s="1"/>
  <c r="H21" i="2" a="1"/>
  <c r="H21" i="2" s="1"/>
  <c r="G21" i="2" a="1"/>
  <c r="G21" i="2" s="1"/>
  <c r="H13" i="2" a="1"/>
  <c r="H13" i="2" s="1"/>
  <c r="G13" i="2" a="1"/>
  <c r="G13" i="2" s="1"/>
  <c r="H5" i="2" a="1"/>
  <c r="H5" i="2" s="1"/>
  <c r="G5" i="2" a="1"/>
  <c r="G5" i="2" s="1"/>
  <c r="H2583" i="2" a="1"/>
  <c r="H2583" i="2" s="1"/>
  <c r="G2583" i="2" a="1"/>
  <c r="G2583" i="2" s="1"/>
  <c r="H2333" i="2" a="1"/>
  <c r="H2333" i="2" s="1"/>
  <c r="G2333" i="2" a="1"/>
  <c r="G2333" i="2" s="1"/>
  <c r="H2324" i="2" a="1"/>
  <c r="H2324" i="2" s="1"/>
  <c r="G2324" i="2" a="1"/>
  <c r="G2324" i="2" s="1"/>
  <c r="H2317" i="2" a="1"/>
  <c r="H2317" i="2" s="1"/>
  <c r="G2317" i="2" a="1"/>
  <c r="G2317" i="2" s="1"/>
  <c r="H1648" i="2" a="1"/>
  <c r="H1648" i="2" s="1"/>
  <c r="G1648" i="2" a="1"/>
  <c r="G1648" i="2" s="1"/>
  <c r="H1612" i="2" a="1"/>
  <c r="H1612" i="2" s="1"/>
  <c r="G1612" i="2" a="1"/>
  <c r="G1612" i="2" s="1"/>
  <c r="H1220" i="2" a="1"/>
  <c r="H1220" i="2" s="1"/>
  <c r="G1220" i="2" a="1"/>
  <c r="G1220" i="2" s="1"/>
  <c r="H854" i="2" a="1"/>
  <c r="H854" i="2" s="1"/>
  <c r="G854" i="2" a="1"/>
  <c r="G854" i="2" s="1"/>
  <c r="H573" i="2" a="1"/>
  <c r="H573" i="2" s="1"/>
  <c r="G573" i="2" a="1"/>
  <c r="G573" i="2" s="1"/>
  <c r="H554" i="2" a="1"/>
  <c r="H554" i="2" s="1"/>
  <c r="G554" i="2" a="1"/>
  <c r="G554" i="2" s="1"/>
  <c r="H483" i="2" a="1"/>
  <c r="H483" i="2" s="1"/>
  <c r="G483" i="2" a="1"/>
  <c r="G483" i="2" s="1"/>
  <c r="H77" i="2" a="1"/>
  <c r="H77" i="2" s="1"/>
  <c r="G77" i="2" a="1"/>
  <c r="G77" i="2" s="1"/>
  <c r="E522" i="6" a="1"/>
  <c r="E522" i="6" s="1"/>
  <c r="F522" i="6" a="1"/>
  <c r="F522" i="6" s="1"/>
  <c r="F383" i="6" a="1"/>
  <c r="F383" i="6" s="1"/>
  <c r="E383" i="6" a="1"/>
  <c r="E383" i="6" s="1"/>
  <c r="E373" i="6" a="1"/>
  <c r="E373" i="6" s="1"/>
  <c r="F373" i="6" a="1"/>
  <c r="F373" i="6" s="1"/>
  <c r="F268" i="6" a="1"/>
  <c r="F268" i="6" s="1"/>
  <c r="E268" i="6" a="1"/>
  <c r="E268" i="6" s="1"/>
  <c r="F251" i="6" a="1"/>
  <c r="F251" i="6" s="1"/>
  <c r="E251" i="6" a="1"/>
  <c r="E251" i="6" s="1"/>
  <c r="F243" i="6" a="1"/>
  <c r="F243" i="6" s="1"/>
  <c r="E243" i="6" a="1"/>
  <c r="E243" i="6" s="1"/>
  <c r="E84" i="6" a="1"/>
  <c r="E84" i="6" s="1"/>
  <c r="F84" i="6" a="1"/>
  <c r="F84" i="6" s="1"/>
  <c r="H2648" i="2" a="1"/>
  <c r="H2648" i="2" s="1"/>
  <c r="G2648" i="2" a="1"/>
  <c r="G2648" i="2" s="1"/>
  <c r="H2639" i="2" a="1"/>
  <c r="H2639" i="2" s="1"/>
  <c r="G2639" i="2" a="1"/>
  <c r="G2639" i="2" s="1"/>
  <c r="H2538" i="2" a="1"/>
  <c r="H2538" i="2" s="1"/>
  <c r="G2538" i="2" a="1"/>
  <c r="G2538" i="2" s="1"/>
  <c r="H2394" i="2" a="1"/>
  <c r="H2394" i="2" s="1"/>
  <c r="G2394" i="2" a="1"/>
  <c r="G2394" i="2" s="1"/>
  <c r="H2385" i="2" a="1"/>
  <c r="H2385" i="2" s="1"/>
  <c r="G2385" i="2" a="1"/>
  <c r="G2385" i="2" s="1"/>
  <c r="H2148" i="2" a="1"/>
  <c r="H2148" i="2" s="1"/>
  <c r="G2148" i="2" a="1"/>
  <c r="G2148" i="2" s="1"/>
  <c r="G2139" i="2" a="1"/>
  <c r="G2139" i="2" s="1"/>
  <c r="H2139" i="2" a="1"/>
  <c r="H2139" i="2" s="1"/>
  <c r="H2082" i="2" a="1"/>
  <c r="H2082" i="2" s="1"/>
  <c r="G2082" i="2" a="1"/>
  <c r="G2082" i="2" s="1"/>
  <c r="H2074" i="2" a="1"/>
  <c r="H2074" i="2" s="1"/>
  <c r="G2074" i="2" a="1"/>
  <c r="G2074" i="2" s="1"/>
  <c r="H2048" i="2" a="1"/>
  <c r="H2048" i="2" s="1"/>
  <c r="G2048" i="2" a="1"/>
  <c r="G2048" i="2" s="1"/>
  <c r="H2041" i="2" a="1"/>
  <c r="H2041" i="2" s="1"/>
  <c r="G2041" i="2" a="1"/>
  <c r="G2041" i="2" s="1"/>
  <c r="H1879" i="2" a="1"/>
  <c r="H1879" i="2" s="1"/>
  <c r="G1879" i="2" a="1"/>
  <c r="G1879" i="2" s="1"/>
  <c r="H1761" i="2" a="1"/>
  <c r="H1761" i="2" s="1"/>
  <c r="G1761" i="2" a="1"/>
  <c r="G1761" i="2" s="1"/>
  <c r="H1699" i="2" a="1"/>
  <c r="H1699" i="2" s="1"/>
  <c r="G1699" i="2" a="1"/>
  <c r="G1699" i="2" s="1"/>
  <c r="H1312" i="2" a="1"/>
  <c r="H1312" i="2" s="1"/>
  <c r="G1312" i="2" a="1"/>
  <c r="G1312" i="2" s="1"/>
  <c r="H802" i="2" a="1"/>
  <c r="H802" i="2" s="1"/>
  <c r="G802" i="2" a="1"/>
  <c r="G802" i="2" s="1"/>
  <c r="H793" i="2" a="1"/>
  <c r="H793" i="2" s="1"/>
  <c r="G793" i="2" a="1"/>
  <c r="G793" i="2" s="1"/>
  <c r="H760" i="2" a="1"/>
  <c r="H760" i="2" s="1"/>
  <c r="G760" i="2" a="1"/>
  <c r="G760" i="2" s="1"/>
  <c r="H751" i="2" a="1"/>
  <c r="H751" i="2" s="1"/>
  <c r="G751" i="2" a="1"/>
  <c r="G751" i="2" s="1"/>
  <c r="H742" i="2" a="1"/>
  <c r="H742" i="2" s="1"/>
  <c r="G742" i="2" a="1"/>
  <c r="G742" i="2" s="1"/>
  <c r="H712" i="2" a="1"/>
  <c r="H712" i="2" s="1"/>
  <c r="G712" i="2" a="1"/>
  <c r="G712" i="2" s="1"/>
  <c r="H704" i="2" a="1"/>
  <c r="H704" i="2" s="1"/>
  <c r="G704" i="2" a="1"/>
  <c r="G704" i="2" s="1"/>
  <c r="H696" i="2" a="1"/>
  <c r="H696" i="2" s="1"/>
  <c r="G696" i="2" a="1"/>
  <c r="G696" i="2" s="1"/>
  <c r="H687" i="2" a="1"/>
  <c r="H687" i="2" s="1"/>
  <c r="G687" i="2" a="1"/>
  <c r="G687" i="2" s="1"/>
  <c r="H669" i="2" a="1"/>
  <c r="H669" i="2" s="1"/>
  <c r="G669" i="2" a="1"/>
  <c r="G669" i="2" s="1"/>
  <c r="H93" i="2" a="1"/>
  <c r="H93" i="2" s="1"/>
  <c r="G93" i="2" a="1"/>
  <c r="G93" i="2" s="1"/>
  <c r="F292" i="6" a="1"/>
  <c r="F292" i="6" s="1"/>
  <c r="E292" i="6" a="1"/>
  <c r="E292" i="6" s="1"/>
  <c r="H2227" i="2" a="1"/>
  <c r="H2227" i="2" s="1"/>
  <c r="G2227" i="2" a="1"/>
  <c r="G2227" i="2" s="1"/>
  <c r="H912" i="2" a="1"/>
  <c r="H912" i="2" s="1"/>
  <c r="G912" i="2" a="1"/>
  <c r="G912" i="2" s="1"/>
  <c r="F455" i="6" a="1"/>
  <c r="F455" i="6" s="1"/>
  <c r="E455" i="6" a="1"/>
  <c r="E455" i="6" s="1"/>
  <c r="F6" i="6" a="1"/>
  <c r="F6" i="6" s="1"/>
  <c r="E6" i="6" a="1"/>
  <c r="E6" i="6" s="1"/>
  <c r="H2283" i="2" a="1"/>
  <c r="H2283" i="2" s="1"/>
  <c r="G2283" i="2" a="1"/>
  <c r="G2283" i="2" s="1"/>
  <c r="H2216" i="2" a="1"/>
  <c r="H2216" i="2" s="1"/>
  <c r="G2216" i="2" a="1"/>
  <c r="G2216" i="2" s="1"/>
  <c r="H982" i="2" a="1"/>
  <c r="H982" i="2" s="1"/>
  <c r="G982" i="2" a="1"/>
  <c r="G982" i="2" s="1"/>
  <c r="E548" i="6" a="1"/>
  <c r="E548" i="6" s="1"/>
  <c r="F548" i="6" a="1"/>
  <c r="F548" i="6" s="1"/>
  <c r="F14" i="6" a="1"/>
  <c r="F14" i="6" s="1"/>
  <c r="E14" i="6" a="1"/>
  <c r="E14" i="6" s="1"/>
  <c r="H2242" i="2" a="1"/>
  <c r="H2242" i="2" s="1"/>
  <c r="G2242" i="2" a="1"/>
  <c r="G2242" i="2" s="1"/>
  <c r="H307" i="2" a="1"/>
  <c r="H307" i="2" s="1"/>
  <c r="G307" i="2" a="1"/>
  <c r="G307" i="2" s="1"/>
  <c r="F486" i="6" a="1"/>
  <c r="F486" i="6" s="1"/>
  <c r="E486" i="6" a="1"/>
  <c r="E486" i="6" s="1"/>
  <c r="E167" i="6" a="1"/>
  <c r="E167" i="6" s="1"/>
  <c r="F167" i="6" a="1"/>
  <c r="F167" i="6" s="1"/>
  <c r="E157" i="6" a="1"/>
  <c r="E157" i="6" s="1"/>
  <c r="F157" i="6" a="1"/>
  <c r="F157" i="6" s="1"/>
  <c r="E134" i="6" a="1"/>
  <c r="E134" i="6" s="1"/>
  <c r="G134" i="6" s="1"/>
  <c r="G2565" i="2" a="1"/>
  <c r="G2565" i="2" s="1"/>
  <c r="H2565" i="2" a="1"/>
  <c r="H2565" i="2" s="1"/>
  <c r="F516" i="6" a="1"/>
  <c r="F516" i="6" s="1"/>
  <c r="E516" i="6" a="1"/>
  <c r="E516" i="6" s="1"/>
  <c r="F508" i="6" a="1"/>
  <c r="F508" i="6" s="1"/>
  <c r="E508" i="6" a="1"/>
  <c r="E508" i="6" s="1"/>
  <c r="E300" i="6" a="1"/>
  <c r="E300" i="6" s="1"/>
  <c r="H2034" i="2" a="1"/>
  <c r="H2034" i="2" s="1"/>
  <c r="G2034" i="2" a="1"/>
  <c r="G2034" i="2" s="1"/>
  <c r="H535" i="2" a="1"/>
  <c r="H535" i="2" s="1"/>
  <c r="G535" i="2" a="1"/>
  <c r="G535" i="2" s="1"/>
  <c r="H85" i="2" a="1"/>
  <c r="H85" i="2" s="1"/>
  <c r="G85" i="2" a="1"/>
  <c r="G85" i="2" s="1"/>
  <c r="E544" i="6" a="1"/>
  <c r="E544" i="6" s="1"/>
  <c r="F544" i="6" a="1"/>
  <c r="F544" i="6" s="1"/>
  <c r="F415" i="6" a="1"/>
  <c r="F415" i="6" s="1"/>
  <c r="E415" i="6" a="1"/>
  <c r="E415" i="6" s="1"/>
  <c r="F399" i="6" a="1"/>
  <c r="F399" i="6" s="1"/>
  <c r="E399" i="6" a="1"/>
  <c r="E399" i="6" s="1"/>
  <c r="E382" i="6" a="1"/>
  <c r="E382" i="6" s="1"/>
  <c r="F382" i="6" a="1"/>
  <c r="F382" i="6" s="1"/>
  <c r="F277" i="6" a="1"/>
  <c r="F277" i="6" s="1"/>
  <c r="E277" i="6" a="1"/>
  <c r="E277" i="6" s="1"/>
  <c r="E250" i="6" a="1"/>
  <c r="E250" i="6" s="1"/>
  <c r="F250" i="6" a="1"/>
  <c r="F250" i="6" s="1"/>
  <c r="F242" i="6" a="1"/>
  <c r="F242" i="6" s="1"/>
  <c r="E242" i="6" a="1"/>
  <c r="E242" i="6" s="1"/>
  <c r="F120" i="6" a="1"/>
  <c r="F120" i="6" s="1"/>
  <c r="E120" i="6" a="1"/>
  <c r="E120" i="6" s="1"/>
  <c r="F110" i="6" a="1"/>
  <c r="F110" i="6" s="1"/>
  <c r="E110" i="6" a="1"/>
  <c r="E110" i="6" s="1"/>
  <c r="F101" i="6" a="1"/>
  <c r="F101" i="6" s="1"/>
  <c r="E101" i="6" a="1"/>
  <c r="E101" i="6" s="1"/>
  <c r="F92" i="6" a="1"/>
  <c r="F92" i="6" s="1"/>
  <c r="E92" i="6" a="1"/>
  <c r="E92" i="6" s="1"/>
  <c r="E41" i="6" a="1"/>
  <c r="E41" i="6" s="1"/>
  <c r="G41" i="6" s="1"/>
  <c r="F308" i="6" a="1"/>
  <c r="F308" i="6" s="1"/>
  <c r="F88" i="6" a="1"/>
  <c r="F88" i="6" s="1"/>
  <c r="H2731" i="2" a="1"/>
  <c r="H2731" i="2" s="1"/>
  <c r="G2731" i="2" a="1"/>
  <c r="G2731" i="2" s="1"/>
  <c r="G2545" i="2" a="1"/>
  <c r="G2545" i="2" s="1"/>
  <c r="H2545" i="2" a="1"/>
  <c r="H2545" i="2" s="1"/>
  <c r="H2425" i="2" a="1"/>
  <c r="H2425" i="2" s="1"/>
  <c r="G2425" i="2" a="1"/>
  <c r="G2425" i="2" s="1"/>
  <c r="H2417" i="2" a="1"/>
  <c r="H2417" i="2" s="1"/>
  <c r="G2417" i="2" a="1"/>
  <c r="G2417" i="2" s="1"/>
  <c r="G2410" i="2" a="1"/>
  <c r="G2410" i="2" s="1"/>
  <c r="H2410" i="2" a="1"/>
  <c r="H2410" i="2" s="1"/>
  <c r="G2384" i="2" a="1"/>
  <c r="G2384" i="2" s="1"/>
  <c r="H2384" i="2" a="1"/>
  <c r="H2384" i="2" s="1"/>
  <c r="H2196" i="2" a="1"/>
  <c r="H2196" i="2" s="1"/>
  <c r="G2196" i="2" a="1"/>
  <c r="G2196" i="2" s="1"/>
  <c r="G2187" i="2" a="1"/>
  <c r="G2187" i="2" s="1"/>
  <c r="H2187" i="2" a="1"/>
  <c r="H2187" i="2" s="1"/>
  <c r="H2156" i="2" a="1"/>
  <c r="H2156" i="2" s="1"/>
  <c r="G2156" i="2" a="1"/>
  <c r="G2156" i="2" s="1"/>
  <c r="H2105" i="2" a="1"/>
  <c r="H2105" i="2" s="1"/>
  <c r="G2105" i="2" a="1"/>
  <c r="G2105" i="2" s="1"/>
  <c r="G2097" i="2" a="1"/>
  <c r="G2097" i="2" s="1"/>
  <c r="H2097" i="2" a="1"/>
  <c r="H2097" i="2" s="1"/>
  <c r="H2073" i="2" a="1"/>
  <c r="H2073" i="2" s="1"/>
  <c r="G2073" i="2" a="1"/>
  <c r="G2073" i="2" s="1"/>
  <c r="H2064" i="2" a="1"/>
  <c r="H2064" i="2" s="1"/>
  <c r="G2064" i="2" a="1"/>
  <c r="G2064" i="2" s="1"/>
  <c r="H1787" i="2" a="1"/>
  <c r="H1787" i="2" s="1"/>
  <c r="G1787" i="2" a="1"/>
  <c r="G1787" i="2" s="1"/>
  <c r="G1776" i="2" a="1"/>
  <c r="G1776" i="2" s="1"/>
  <c r="H1776" i="2" a="1"/>
  <c r="H1776" i="2" s="1"/>
  <c r="H1768" i="2" a="1"/>
  <c r="H1768" i="2" s="1"/>
  <c r="G1768" i="2" a="1"/>
  <c r="G1768" i="2" s="1"/>
  <c r="H1760" i="2" a="1"/>
  <c r="H1760" i="2" s="1"/>
  <c r="G1760" i="2" a="1"/>
  <c r="G1760" i="2" s="1"/>
  <c r="H1741" i="2" a="1"/>
  <c r="H1741" i="2" s="1"/>
  <c r="G1741" i="2" a="1"/>
  <c r="G1741" i="2" s="1"/>
  <c r="H1698" i="2" a="1"/>
  <c r="H1698" i="2" s="1"/>
  <c r="G1698" i="2" a="1"/>
  <c r="G1698" i="2" s="1"/>
  <c r="H1689" i="2" a="1"/>
  <c r="H1689" i="2" s="1"/>
  <c r="G1689" i="2" a="1"/>
  <c r="G1689" i="2" s="1"/>
  <c r="H1454" i="2" a="1"/>
  <c r="H1454" i="2" s="1"/>
  <c r="G1454" i="2" a="1"/>
  <c r="G1454" i="2" s="1"/>
  <c r="H1338" i="2" a="1"/>
  <c r="H1338" i="2" s="1"/>
  <c r="G1338" i="2" a="1"/>
  <c r="G1338" i="2" s="1"/>
  <c r="H1330" i="2" a="1"/>
  <c r="H1330" i="2" s="1"/>
  <c r="G1330" i="2" a="1"/>
  <c r="G1330" i="2" s="1"/>
  <c r="H1321" i="2" a="1"/>
  <c r="H1321" i="2" s="1"/>
  <c r="G1321" i="2" a="1"/>
  <c r="G1321" i="2" s="1"/>
  <c r="H810" i="2" a="1"/>
  <c r="H810" i="2" s="1"/>
  <c r="G810" i="2" a="1"/>
  <c r="G810" i="2" s="1"/>
  <c r="H227" i="2" a="1"/>
  <c r="H227" i="2" s="1"/>
  <c r="G227" i="2" a="1"/>
  <c r="G227" i="2" s="1"/>
  <c r="H101" i="2" a="1"/>
  <c r="H101" i="2" s="1"/>
  <c r="G101" i="2" a="1"/>
  <c r="G101" i="2" s="1"/>
  <c r="E541" i="6" a="1"/>
  <c r="E541" i="6" s="1"/>
  <c r="F541" i="6" a="1"/>
  <c r="F541" i="6" s="1"/>
  <c r="F534" i="6" a="1"/>
  <c r="F534" i="6" s="1"/>
  <c r="E534" i="6" a="1"/>
  <c r="E534" i="6" s="1"/>
  <c r="H2679" i="2" a="1"/>
  <c r="H2679" i="2" s="1"/>
  <c r="G2679" i="2" a="1"/>
  <c r="G2679" i="2" s="1"/>
  <c r="H2502" i="2" a="1"/>
  <c r="H2502" i="2" s="1"/>
  <c r="G2502" i="2" a="1"/>
  <c r="G2502" i="2" s="1"/>
  <c r="H2493" i="2" a="1"/>
  <c r="H2493" i="2" s="1"/>
  <c r="G2493" i="2" a="1"/>
  <c r="G2493" i="2" s="1"/>
  <c r="H2478" i="2" a="1"/>
  <c r="H2478" i="2" s="1"/>
  <c r="G2478" i="2" a="1"/>
  <c r="G2478" i="2" s="1"/>
  <c r="H2462" i="2" a="1"/>
  <c r="H2462" i="2" s="1"/>
  <c r="G2462" i="2" a="1"/>
  <c r="G2462" i="2" s="1"/>
  <c r="H2210" i="2" a="1"/>
  <c r="H2210" i="2" s="1"/>
  <c r="G2210" i="2" a="1"/>
  <c r="G2210" i="2" s="1"/>
  <c r="H2202" i="2" a="1"/>
  <c r="H2202" i="2" s="1"/>
  <c r="G2202" i="2" a="1"/>
  <c r="G2202" i="2" s="1"/>
  <c r="H1971" i="2" a="1"/>
  <c r="H1971" i="2" s="1"/>
  <c r="G1971" i="2" a="1"/>
  <c r="G1971" i="2" s="1"/>
  <c r="G1867" i="2" a="1"/>
  <c r="G1867" i="2" s="1"/>
  <c r="H1867" i="2" a="1"/>
  <c r="H1867" i="2" s="1"/>
  <c r="H1938" i="2" a="1"/>
  <c r="H1938" i="2" s="1"/>
  <c r="G1938" i="2" a="1"/>
  <c r="G1938" i="2" s="1"/>
  <c r="H1923" i="2" a="1"/>
  <c r="H1923" i="2" s="1"/>
  <c r="G1923" i="2" a="1"/>
  <c r="G1923" i="2" s="1"/>
  <c r="H920" i="2" a="1"/>
  <c r="H920" i="2" s="1"/>
  <c r="G920" i="2" a="1"/>
  <c r="G920" i="2" s="1"/>
  <c r="F454" i="6" a="1"/>
  <c r="F454" i="6" s="1"/>
  <c r="E454" i="6" a="1"/>
  <c r="E454" i="6" s="1"/>
  <c r="F325" i="6" a="1"/>
  <c r="F325" i="6" s="1"/>
  <c r="E325" i="6" a="1"/>
  <c r="E325" i="6" s="1"/>
  <c r="F150" i="6" a="1"/>
  <c r="F150" i="6" s="1"/>
  <c r="E150" i="6" a="1"/>
  <c r="E150" i="6" s="1"/>
  <c r="F5" i="6" a="1"/>
  <c r="F5" i="6" s="1"/>
  <c r="E5" i="6" a="1"/>
  <c r="E5" i="6" s="1"/>
  <c r="H1979" i="2" a="1"/>
  <c r="H1979" i="2" s="1"/>
  <c r="G1979" i="2" a="1"/>
  <c r="G1979" i="2" s="1"/>
  <c r="H1945" i="2" a="1"/>
  <c r="H1945" i="2" s="1"/>
  <c r="G1945" i="2" a="1"/>
  <c r="G1945" i="2" s="1"/>
  <c r="H1929" i="2" a="1"/>
  <c r="H1929" i="2" s="1"/>
  <c r="G1929" i="2" a="1"/>
  <c r="G1929" i="2" s="1"/>
  <c r="H1907" i="2" a="1"/>
  <c r="H1907" i="2" s="1"/>
  <c r="G1907" i="2" a="1"/>
  <c r="G1907" i="2" s="1"/>
  <c r="H467" i="2" a="1"/>
  <c r="H467" i="2" s="1"/>
  <c r="G467" i="2" a="1"/>
  <c r="G467" i="2" s="1"/>
  <c r="H354" i="2" a="1"/>
  <c r="H354" i="2" s="1"/>
  <c r="G354" i="2" a="1"/>
  <c r="G354" i="2" s="1"/>
  <c r="E477" i="6" a="1"/>
  <c r="E477" i="6" s="1"/>
  <c r="F477" i="6" a="1"/>
  <c r="F477" i="6" s="1"/>
  <c r="E469" i="6" a="1"/>
  <c r="E469" i="6" s="1"/>
  <c r="F469" i="6" a="1"/>
  <c r="F469" i="6" s="1"/>
  <c r="F24" i="6" a="1"/>
  <c r="F24" i="6" s="1"/>
  <c r="E24" i="6" a="1"/>
  <c r="E24" i="6" s="1"/>
  <c r="F342" i="6" a="1"/>
  <c r="F342" i="6" s="1"/>
  <c r="E342" i="6" a="1"/>
  <c r="E342" i="6" s="1"/>
  <c r="F49" i="6" a="1"/>
  <c r="F49" i="6" s="1"/>
  <c r="E49" i="6" a="1"/>
  <c r="E49" i="6" s="1"/>
  <c r="H2379" i="2" a="1"/>
  <c r="H2379" i="2" s="1"/>
  <c r="G2379" i="2" a="1"/>
  <c r="G2379" i="2" s="1"/>
  <c r="E282" i="6" a="1"/>
  <c r="E282" i="6" s="1"/>
  <c r="E424" i="6" a="1"/>
  <c r="E424" i="6" s="1"/>
  <c r="F424" i="6" a="1"/>
  <c r="F424" i="6" s="1"/>
  <c r="F414" i="6" a="1"/>
  <c r="F414" i="6" s="1"/>
  <c r="E414" i="6" a="1"/>
  <c r="E414" i="6" s="1"/>
  <c r="E311" i="6" a="1"/>
  <c r="E311" i="6" s="1"/>
  <c r="F311" i="6" a="1"/>
  <c r="F311" i="6" s="1"/>
  <c r="G311" i="6" s="1"/>
  <c r="F266" i="6" a="1"/>
  <c r="F266" i="6" s="1"/>
  <c r="E266" i="6" a="1"/>
  <c r="E266" i="6" s="1"/>
  <c r="F258" i="6" a="1"/>
  <c r="F258" i="6" s="1"/>
  <c r="E258" i="6" a="1"/>
  <c r="E258" i="6" s="1"/>
  <c r="F119" i="6" a="1"/>
  <c r="F119" i="6" s="1"/>
  <c r="E119" i="6" a="1"/>
  <c r="E119" i="6" s="1"/>
  <c r="F109" i="6" a="1"/>
  <c r="F109" i="6" s="1"/>
  <c r="E109" i="6" a="1"/>
  <c r="E109" i="6" s="1"/>
  <c r="F18" i="6" a="1"/>
  <c r="F18" i="6" s="1"/>
  <c r="E18" i="6" a="1"/>
  <c r="E18" i="6" s="1"/>
  <c r="U5" i="14" s="1"/>
  <c r="E328" i="6" a="1"/>
  <c r="E328" i="6" s="1"/>
  <c r="G328" i="6" s="1"/>
  <c r="F554" i="6" a="1"/>
  <c r="F554" i="6" s="1"/>
  <c r="G554" i="6" s="1"/>
  <c r="H2747" i="2" a="1"/>
  <c r="H2747" i="2" s="1"/>
  <c r="G2747" i="2" a="1"/>
  <c r="G2747" i="2" s="1"/>
  <c r="H2713" i="2" a="1"/>
  <c r="H2713" i="2" s="1"/>
  <c r="G2713" i="2" a="1"/>
  <c r="G2713" i="2" s="1"/>
  <c r="H2646" i="2" a="1"/>
  <c r="H2646" i="2" s="1"/>
  <c r="G2646" i="2" a="1"/>
  <c r="G2646" i="2" s="1"/>
  <c r="H2432" i="2" a="1"/>
  <c r="H2432" i="2" s="1"/>
  <c r="G2432" i="2" a="1"/>
  <c r="G2432" i="2" s="1"/>
  <c r="G2424" i="2" a="1"/>
  <c r="G2424" i="2" s="1"/>
  <c r="H2424" i="2" a="1"/>
  <c r="H2424" i="2" s="1"/>
  <c r="H2409" i="2" a="1"/>
  <c r="H2409" i="2" s="1"/>
  <c r="G2409" i="2" a="1"/>
  <c r="G2409" i="2" s="1"/>
  <c r="H2195" i="2" a="1"/>
  <c r="H2195" i="2" s="1"/>
  <c r="G2195" i="2" a="1"/>
  <c r="G2195" i="2" s="1"/>
  <c r="H2179" i="2" a="1"/>
  <c r="H2179" i="2" s="1"/>
  <c r="G2179" i="2" a="1"/>
  <c r="G2179" i="2" s="1"/>
  <c r="H2163" i="2" a="1"/>
  <c r="H2163" i="2" s="1"/>
  <c r="G2163" i="2" a="1"/>
  <c r="G2163" i="2" s="1"/>
  <c r="H2155" i="2" a="1"/>
  <c r="H2155" i="2" s="1"/>
  <c r="G2155" i="2" a="1"/>
  <c r="G2155" i="2" s="1"/>
  <c r="G1797" i="2" a="1"/>
  <c r="G1797" i="2" s="1"/>
  <c r="H1797" i="2" a="1"/>
  <c r="H1797" i="2" s="1"/>
  <c r="H1786" i="2" a="1"/>
  <c r="H1786" i="2" s="1"/>
  <c r="G1786" i="2" a="1"/>
  <c r="G1786" i="2" s="1"/>
  <c r="H1775" i="2" a="1"/>
  <c r="H1775" i="2" s="1"/>
  <c r="G1775" i="2" a="1"/>
  <c r="G1775" i="2" s="1"/>
  <c r="H1481" i="2" a="1"/>
  <c r="H1481" i="2" s="1"/>
  <c r="G1481" i="2" a="1"/>
  <c r="G1481" i="2" s="1"/>
  <c r="H1417" i="2" a="1"/>
  <c r="H1417" i="2" s="1"/>
  <c r="G1417" i="2" a="1"/>
  <c r="G1417" i="2" s="1"/>
  <c r="H1375" i="2" a="1"/>
  <c r="H1375" i="2" s="1"/>
  <c r="G1375" i="2" a="1"/>
  <c r="G1375" i="2" s="1"/>
  <c r="H256" i="2" a="1"/>
  <c r="H256" i="2" s="1"/>
  <c r="G256" i="2" a="1"/>
  <c r="G256" i="2" s="1"/>
  <c r="H217" i="2" a="1"/>
  <c r="H217" i="2" s="1"/>
  <c r="G217" i="2" a="1"/>
  <c r="G217" i="2" s="1"/>
  <c r="H181" i="2" a="1"/>
  <c r="H181" i="2" s="1"/>
  <c r="G181" i="2" a="1"/>
  <c r="G181" i="2" s="1"/>
  <c r="H136" i="2" a="1"/>
  <c r="H136" i="2" s="1"/>
  <c r="G136" i="2" a="1"/>
  <c r="G136" i="2" s="1"/>
  <c r="H109" i="2" a="1"/>
  <c r="H109" i="2" s="1"/>
  <c r="G109" i="2" a="1"/>
  <c r="G109" i="2" s="1"/>
  <c r="H2655" i="2" a="1"/>
  <c r="H2655" i="2" s="1"/>
  <c r="G2655" i="2" a="1"/>
  <c r="G2655" i="2" s="1"/>
  <c r="G2568" i="2" a="1"/>
  <c r="G2568" i="2" s="1"/>
  <c r="H2568" i="2" a="1"/>
  <c r="H2568" i="2" s="1"/>
  <c r="H2535" i="2" a="1"/>
  <c r="H2535" i="2" s="1"/>
  <c r="G2535" i="2" a="1"/>
  <c r="G2535" i="2" s="1"/>
  <c r="H2520" i="2" a="1"/>
  <c r="H2520" i="2" s="1"/>
  <c r="G2520" i="2" a="1"/>
  <c r="G2520" i="2" s="1"/>
  <c r="H2510" i="2" a="1"/>
  <c r="H2510" i="2" s="1"/>
  <c r="G2510" i="2" a="1"/>
  <c r="G2510" i="2" s="1"/>
  <c r="H2486" i="2" a="1"/>
  <c r="H2486" i="2" s="1"/>
  <c r="G2486" i="2" a="1"/>
  <c r="G2486" i="2" s="1"/>
  <c r="H2217" i="2" a="1"/>
  <c r="H2217" i="2" s="1"/>
  <c r="G2217" i="2" a="1"/>
  <c r="G2217" i="2" s="1"/>
  <c r="H1442" i="2" a="1"/>
  <c r="H1442" i="2" s="1"/>
  <c r="G1442" i="2" a="1"/>
  <c r="G1442" i="2" s="1"/>
  <c r="F446" i="6" a="1"/>
  <c r="F446" i="6" s="1"/>
  <c r="E446" i="6" a="1"/>
  <c r="E446" i="6" s="1"/>
  <c r="E169" i="6" a="1"/>
  <c r="E169" i="6" s="1"/>
  <c r="H2701" i="2" a="1"/>
  <c r="H2701" i="2" s="1"/>
  <c r="G2701" i="2" a="1"/>
  <c r="G2701" i="2" s="1"/>
  <c r="G2685" i="2" a="1"/>
  <c r="G2685" i="2" s="1"/>
  <c r="H2685" i="2" a="1"/>
  <c r="H2685" i="2" s="1"/>
  <c r="H2243" i="2" a="1"/>
  <c r="H2243" i="2" s="1"/>
  <c r="G2243" i="2" a="1"/>
  <c r="G2243" i="2" s="1"/>
  <c r="H2209" i="2" a="1"/>
  <c r="H2209" i="2" s="1"/>
  <c r="G2209" i="2" a="1"/>
  <c r="G2209" i="2" s="1"/>
  <c r="H1900" i="2" a="1"/>
  <c r="H1900" i="2" s="1"/>
  <c r="G1900" i="2" a="1"/>
  <c r="G1900" i="2" s="1"/>
  <c r="H1478" i="2" a="1"/>
  <c r="H1478" i="2" s="1"/>
  <c r="G1478" i="2" a="1"/>
  <c r="G1478" i="2" s="1"/>
  <c r="G1207" i="2" a="1"/>
  <c r="G1207" i="2" s="1"/>
  <c r="H1207" i="2" a="1"/>
  <c r="H1207" i="2" s="1"/>
  <c r="H234" i="2" a="1"/>
  <c r="H234" i="2" s="1"/>
  <c r="G234" i="2" a="1"/>
  <c r="G234" i="2" s="1"/>
  <c r="E462" i="6" a="1"/>
  <c r="E462" i="6" s="1"/>
  <c r="F462" i="6" a="1"/>
  <c r="F462" i="6" s="1"/>
  <c r="F203" i="6" a="1"/>
  <c r="F203" i="6" s="1"/>
  <c r="E203" i="6" a="1"/>
  <c r="E203" i="6" s="1"/>
  <c r="H2619" i="2" a="1"/>
  <c r="H2619" i="2" s="1"/>
  <c r="G2619" i="2" a="1"/>
  <c r="G2619" i="2" s="1"/>
  <c r="H2364" i="2" a="1"/>
  <c r="H2364" i="2" s="1"/>
  <c r="G2364" i="2" a="1"/>
  <c r="G2364" i="2" s="1"/>
  <c r="G2233" i="2" a="1"/>
  <c r="G2233" i="2" s="1"/>
  <c r="H2233" i="2" a="1"/>
  <c r="H2233" i="2" s="1"/>
  <c r="H1036" i="2" a="1"/>
  <c r="H1036" i="2" s="1"/>
  <c r="G1036" i="2" a="1"/>
  <c r="G1036" i="2" s="1"/>
  <c r="H998" i="2" a="1"/>
  <c r="H998" i="2" s="1"/>
  <c r="G998" i="2" a="1"/>
  <c r="G998" i="2" s="1"/>
  <c r="H289" i="2" a="1"/>
  <c r="H289" i="2" s="1"/>
  <c r="G289" i="2" a="1"/>
  <c r="G289" i="2" s="1"/>
  <c r="F220" i="6" a="1"/>
  <c r="F220" i="6" s="1"/>
  <c r="E220" i="6" a="1"/>
  <c r="E220" i="6" s="1"/>
  <c r="H1986" i="2" a="1"/>
  <c r="H1986" i="2" s="1"/>
  <c r="G1986" i="2" a="1"/>
  <c r="G1986" i="2" s="1"/>
  <c r="H1495" i="2" a="1"/>
  <c r="H1495" i="2" s="1"/>
  <c r="G1495" i="2" a="1"/>
  <c r="G1495" i="2" s="1"/>
  <c r="H1223" i="2" a="1"/>
  <c r="H1223" i="2" s="1"/>
  <c r="G1223" i="2" a="1"/>
  <c r="G1223" i="2" s="1"/>
  <c r="E485" i="6" a="1"/>
  <c r="E485" i="6" s="1"/>
  <c r="F485" i="6" a="1"/>
  <c r="F485" i="6" s="1"/>
  <c r="F175" i="6" a="1"/>
  <c r="F175" i="6" s="1"/>
  <c r="E175" i="6" a="1"/>
  <c r="E175" i="6" s="1"/>
  <c r="E447" i="6" a="1"/>
  <c r="E447" i="6" s="1"/>
  <c r="G447" i="6" s="1"/>
  <c r="H2301" i="2" a="1"/>
  <c r="H2301" i="2" s="1"/>
  <c r="G2301" i="2" a="1"/>
  <c r="G2301" i="2" s="1"/>
  <c r="E358" i="6" a="1"/>
  <c r="E358" i="6" s="1"/>
  <c r="F358" i="6" a="1"/>
  <c r="F358" i="6" s="1"/>
  <c r="F218" i="6" a="1"/>
  <c r="F218" i="6" s="1"/>
  <c r="E218" i="6" a="1"/>
  <c r="E218" i="6" s="1"/>
  <c r="H2318" i="2" a="1"/>
  <c r="H2318" i="2" s="1"/>
  <c r="G2318" i="2" a="1"/>
  <c r="G2318" i="2" s="1"/>
  <c r="H1555" i="2" a="1"/>
  <c r="H1555" i="2" s="1"/>
  <c r="G1555" i="2" a="1"/>
  <c r="G1555" i="2" s="1"/>
  <c r="F542" i="6" a="1"/>
  <c r="F542" i="6" s="1"/>
  <c r="E542" i="6" a="1"/>
  <c r="E542" i="6" s="1"/>
  <c r="E535" i="6" a="1"/>
  <c r="E535" i="6" s="1"/>
  <c r="F535" i="6" a="1"/>
  <c r="F535" i="6" s="1"/>
  <c r="F423" i="6" a="1"/>
  <c r="F423" i="6" s="1"/>
  <c r="E423" i="6" a="1"/>
  <c r="E423" i="6" s="1"/>
  <c r="E144" i="6" a="1"/>
  <c r="E144" i="6" s="1"/>
  <c r="F144" i="6" a="1"/>
  <c r="F144" i="6" s="1"/>
  <c r="E118" i="6" a="1"/>
  <c r="E118" i="6" s="1"/>
  <c r="F118" i="6" a="1"/>
  <c r="F118" i="6" s="1"/>
  <c r="E374" i="6" a="1"/>
  <c r="E374" i="6" s="1"/>
  <c r="E143" i="6" a="1"/>
  <c r="E143" i="6" s="1"/>
  <c r="G143" i="6" s="1"/>
  <c r="E13" i="6" a="1"/>
  <c r="E13" i="6" s="1"/>
  <c r="G13" i="6" s="1"/>
  <c r="H2754" i="2" a="1"/>
  <c r="H2754" i="2" s="1"/>
  <c r="G2754" i="2" a="1"/>
  <c r="G2754" i="2" s="1"/>
  <c r="H2663" i="2" a="1"/>
  <c r="H2663" i="2" s="1"/>
  <c r="G2663" i="2" a="1"/>
  <c r="G2663" i="2" s="1"/>
  <c r="H2656" i="2" a="1"/>
  <c r="H2656" i="2" s="1"/>
  <c r="G2656" i="2" a="1"/>
  <c r="G2656" i="2" s="1"/>
  <c r="H2552" i="2" a="1"/>
  <c r="H2552" i="2" s="1"/>
  <c r="G2552" i="2" a="1"/>
  <c r="G2552" i="2" s="1"/>
  <c r="G2463" i="2" a="1"/>
  <c r="G2463" i="2" s="1"/>
  <c r="H2463" i="2" a="1"/>
  <c r="H2463" i="2" s="1"/>
  <c r="H2440" i="2" a="1"/>
  <c r="H2440" i="2" s="1"/>
  <c r="G2440" i="2" a="1"/>
  <c r="G2440" i="2" s="1"/>
  <c r="H2431" i="2" a="1"/>
  <c r="H2431" i="2" s="1"/>
  <c r="G2431" i="2" a="1"/>
  <c r="G2431" i="2" s="1"/>
  <c r="G2294" i="2" a="1"/>
  <c r="G2294" i="2" s="1"/>
  <c r="H2294" i="2" a="1"/>
  <c r="H2294" i="2" s="1"/>
  <c r="G1877" i="2" a="1"/>
  <c r="G1877" i="2" s="1"/>
  <c r="H1877" i="2" a="1"/>
  <c r="H1877" i="2" s="1"/>
  <c r="H1868" i="2" a="1"/>
  <c r="H1868" i="2" s="1"/>
  <c r="G1868" i="2" a="1"/>
  <c r="G1868" i="2" s="1"/>
  <c r="H1803" i="2" a="1"/>
  <c r="H1803" i="2" s="1"/>
  <c r="G1803" i="2" a="1"/>
  <c r="G1803" i="2" s="1"/>
  <c r="H1796" i="2" a="1"/>
  <c r="H1796" i="2" s="1"/>
  <c r="G1796" i="2" a="1"/>
  <c r="G1796" i="2" s="1"/>
  <c r="H1489" i="2" a="1"/>
  <c r="H1489" i="2" s="1"/>
  <c r="G1489" i="2" a="1"/>
  <c r="G1489" i="2" s="1"/>
  <c r="H1416" i="2" a="1"/>
  <c r="H1416" i="2" s="1"/>
  <c r="G1416" i="2" a="1"/>
  <c r="G1416" i="2" s="1"/>
  <c r="H1408" i="2" a="1"/>
  <c r="H1408" i="2" s="1"/>
  <c r="G1408" i="2" a="1"/>
  <c r="G1408" i="2" s="1"/>
  <c r="G1390" i="2" a="1"/>
  <c r="G1390" i="2" s="1"/>
  <c r="H1390" i="2" a="1"/>
  <c r="H1390" i="2" s="1"/>
  <c r="H1382" i="2" a="1"/>
  <c r="H1382" i="2" s="1"/>
  <c r="G1382" i="2" a="1"/>
  <c r="G1382" i="2" s="1"/>
  <c r="H1064" i="2" a="1"/>
  <c r="H1064" i="2" s="1"/>
  <c r="G1064" i="2" a="1"/>
  <c r="G1064" i="2" s="1"/>
  <c r="H904" i="2" a="1"/>
  <c r="H904" i="2" s="1"/>
  <c r="G904" i="2" a="1"/>
  <c r="G904" i="2" s="1"/>
  <c r="H357" i="2" a="1"/>
  <c r="H357" i="2" s="1"/>
  <c r="G357" i="2" a="1"/>
  <c r="G357" i="2" s="1"/>
  <c r="H225" i="2" a="1"/>
  <c r="H225" i="2" s="1"/>
  <c r="G225" i="2" a="1"/>
  <c r="G225" i="2" s="1"/>
  <c r="G2556" i="2" a="1"/>
  <c r="G2556" i="2" s="1"/>
  <c r="H1320" i="2" a="1"/>
  <c r="H1320" i="2" s="1"/>
  <c r="G1320" i="2" a="1"/>
  <c r="G1320" i="2" s="1"/>
  <c r="H1276" i="2" a="1"/>
  <c r="H1276" i="2" s="1"/>
  <c r="G1276" i="2" a="1"/>
  <c r="G1276" i="2" s="1"/>
  <c r="H1258" i="2" a="1"/>
  <c r="H1258" i="2" s="1"/>
  <c r="G1258" i="2" a="1"/>
  <c r="G1258" i="2" s="1"/>
  <c r="H834" i="2" a="1"/>
  <c r="H834" i="2" s="1"/>
  <c r="G834" i="2" a="1"/>
  <c r="G834" i="2" s="1"/>
  <c r="H818" i="2" a="1"/>
  <c r="H818" i="2" s="1"/>
  <c r="G818" i="2" a="1"/>
  <c r="G818" i="2" s="1"/>
  <c r="H741" i="2" a="1"/>
  <c r="H741" i="2" s="1"/>
  <c r="G741" i="2" a="1"/>
  <c r="G741" i="2" s="1"/>
  <c r="H572" i="2" a="1"/>
  <c r="H572" i="2" s="1"/>
  <c r="G572" i="2" a="1"/>
  <c r="G572" i="2" s="1"/>
  <c r="H453" i="2" a="1"/>
  <c r="H453" i="2" s="1"/>
  <c r="G453" i="2" a="1"/>
  <c r="G453" i="2" s="1"/>
  <c r="H382" i="2" a="1"/>
  <c r="H382" i="2" s="1"/>
  <c r="G382" i="2" a="1"/>
  <c r="G382" i="2" s="1"/>
  <c r="H306" i="2" a="1"/>
  <c r="H306" i="2" s="1"/>
  <c r="G306" i="2" a="1"/>
  <c r="G306" i="2" s="1"/>
  <c r="H252" i="2" a="1"/>
  <c r="H252" i="2" s="1"/>
  <c r="G252" i="2" a="1"/>
  <c r="G252" i="2" s="1"/>
  <c r="G100" i="2" a="1"/>
  <c r="G100" i="2" s="1"/>
  <c r="H100" i="2" a="1"/>
  <c r="H100" i="2" s="1"/>
  <c r="H1237" i="2" a="1"/>
  <c r="H1237" i="2" s="1"/>
  <c r="G1237" i="2" a="1"/>
  <c r="G1237" i="2" s="1"/>
  <c r="H1146" i="2" a="1"/>
  <c r="H1146" i="2" s="1"/>
  <c r="G1146" i="2" a="1"/>
  <c r="G1146" i="2" s="1"/>
  <c r="H1121" i="2" a="1"/>
  <c r="H1121" i="2" s="1"/>
  <c r="G1121" i="2" a="1"/>
  <c r="G1121" i="2" s="1"/>
  <c r="H1103" i="2" a="1"/>
  <c r="H1103" i="2" s="1"/>
  <c r="G1103" i="2" a="1"/>
  <c r="G1103" i="2" s="1"/>
  <c r="H1094" i="2" a="1"/>
  <c r="H1094" i="2" s="1"/>
  <c r="G1094" i="2" a="1"/>
  <c r="G1094" i="2" s="1"/>
  <c r="H1050" i="2" a="1"/>
  <c r="H1050" i="2" s="1"/>
  <c r="G1050" i="2" a="1"/>
  <c r="G1050" i="2" s="1"/>
  <c r="H996" i="2" a="1"/>
  <c r="H996" i="2" s="1"/>
  <c r="G996" i="2" a="1"/>
  <c r="G996" i="2" s="1"/>
  <c r="H970" i="2" a="1"/>
  <c r="H970" i="2" s="1"/>
  <c r="G970" i="2" a="1"/>
  <c r="G970" i="2" s="1"/>
  <c r="G866" i="2" a="1"/>
  <c r="G866" i="2" s="1"/>
  <c r="H866" i="2" a="1"/>
  <c r="H866" i="2" s="1"/>
  <c r="H824" i="2" a="1"/>
  <c r="H824" i="2" s="1"/>
  <c r="G824" i="2" a="1"/>
  <c r="G824" i="2" s="1"/>
  <c r="H525" i="2" a="1"/>
  <c r="H525" i="2" s="1"/>
  <c r="G525" i="2" a="1"/>
  <c r="G525" i="2" s="1"/>
  <c r="H461" i="2" a="1"/>
  <c r="H461" i="2" s="1"/>
  <c r="G461" i="2" a="1"/>
  <c r="G461" i="2" s="1"/>
  <c r="H351" i="2" a="1"/>
  <c r="H351" i="2" s="1"/>
  <c r="G351" i="2" a="1"/>
  <c r="G351" i="2" s="1"/>
  <c r="H279" i="2" a="1"/>
  <c r="H279" i="2" s="1"/>
  <c r="G279" i="2" a="1"/>
  <c r="G279" i="2" s="1"/>
  <c r="H187" i="2" a="1"/>
  <c r="H187" i="2" s="1"/>
  <c r="G187" i="2" a="1"/>
  <c r="G187" i="2" s="1"/>
  <c r="H132" i="2" a="1"/>
  <c r="H132" i="2" s="1"/>
  <c r="G132" i="2" a="1"/>
  <c r="G132" i="2" s="1"/>
  <c r="H98" i="2" a="1"/>
  <c r="H98" i="2" s="1"/>
  <c r="G98" i="2" a="1"/>
  <c r="G98" i="2" s="1"/>
  <c r="G2782" i="2" a="1"/>
  <c r="G2782" i="2" s="1"/>
  <c r="G1248" i="2" a="1"/>
  <c r="G1248" i="2" s="1"/>
  <c r="F490" i="6" a="1"/>
  <c r="F490" i="6" s="1"/>
  <c r="E490" i="6" a="1"/>
  <c r="E490" i="6" s="1"/>
  <c r="U101" i="14" s="1"/>
  <c r="E420" i="6" a="1"/>
  <c r="E420" i="6" s="1"/>
  <c r="F420" i="6" a="1"/>
  <c r="F420" i="6" s="1"/>
  <c r="E206" i="6" a="1"/>
  <c r="E206" i="6" s="1"/>
  <c r="F206" i="6" a="1"/>
  <c r="F206" i="6" s="1"/>
  <c r="E380" i="6" a="1"/>
  <c r="E380" i="6" s="1"/>
  <c r="E241" i="6" a="1"/>
  <c r="E241" i="6" s="1"/>
  <c r="U51" i="14" s="1"/>
  <c r="H2740" i="2" a="1"/>
  <c r="H2740" i="2" s="1"/>
  <c r="G2740" i="2" a="1"/>
  <c r="G2740" i="2" s="1"/>
  <c r="H2732" i="2" a="1"/>
  <c r="H2732" i="2" s="1"/>
  <c r="G2732" i="2" a="1"/>
  <c r="G2732" i="2" s="1"/>
  <c r="H2724" i="2" a="1"/>
  <c r="H2724" i="2" s="1"/>
  <c r="G2724" i="2" a="1"/>
  <c r="G2724" i="2" s="1"/>
  <c r="H2642" i="2" a="1"/>
  <c r="H2642" i="2" s="1"/>
  <c r="G2642" i="2" a="1"/>
  <c r="G2642" i="2" s="1"/>
  <c r="G2635" i="2" a="1"/>
  <c r="G2635" i="2" s="1"/>
  <c r="H2635" i="2" a="1"/>
  <c r="H2635" i="2" s="1"/>
  <c r="H2561" i="2" a="1"/>
  <c r="H2561" i="2" s="1"/>
  <c r="G2561" i="2" a="1"/>
  <c r="G2561" i="2" s="1"/>
  <c r="H2553" i="2" a="1"/>
  <c r="H2553" i="2" s="1"/>
  <c r="G2553" i="2" a="1"/>
  <c r="G2553" i="2" s="1"/>
  <c r="H2546" i="2" a="1"/>
  <c r="H2546" i="2" s="1"/>
  <c r="G2546" i="2" a="1"/>
  <c r="G2546" i="2" s="1"/>
  <c r="H2539" i="2" a="1"/>
  <c r="H2539" i="2" s="1"/>
  <c r="G2539" i="2" a="1"/>
  <c r="G2539" i="2" s="1"/>
  <c r="H2484" i="2" a="1"/>
  <c r="H2484" i="2" s="1"/>
  <c r="G2484" i="2" a="1"/>
  <c r="G2484" i="2" s="1"/>
  <c r="H2422" i="2" a="1"/>
  <c r="H2422" i="2" s="1"/>
  <c r="G2422" i="2" a="1"/>
  <c r="G2422" i="2" s="1"/>
  <c r="H2390" i="2" a="1"/>
  <c r="H2390" i="2" s="1"/>
  <c r="G2390" i="2" a="1"/>
  <c r="G2390" i="2" s="1"/>
  <c r="H2338" i="2" a="1"/>
  <c r="H2338" i="2" s="1"/>
  <c r="G2338" i="2" a="1"/>
  <c r="G2338" i="2" s="1"/>
  <c r="G2329" i="2" a="1"/>
  <c r="G2329" i="2" s="1"/>
  <c r="H2329" i="2" a="1"/>
  <c r="H2329" i="2" s="1"/>
  <c r="H2134" i="2" a="1"/>
  <c r="H2134" i="2" s="1"/>
  <c r="G2134" i="2" a="1"/>
  <c r="G2134" i="2" s="1"/>
  <c r="H1967" i="2" a="1"/>
  <c r="H1967" i="2" s="1"/>
  <c r="G1967" i="2" a="1"/>
  <c r="G1967" i="2" s="1"/>
  <c r="G1920" i="2" a="1"/>
  <c r="G1920" i="2" s="1"/>
  <c r="H1920" i="2" a="1"/>
  <c r="H1920" i="2" s="1"/>
  <c r="H1618" i="2" a="1"/>
  <c r="H1618" i="2" s="1"/>
  <c r="G1618" i="2" a="1"/>
  <c r="G1618" i="2" s="1"/>
  <c r="H1591" i="2" a="1"/>
  <c r="H1591" i="2" s="1"/>
  <c r="G1591" i="2" a="1"/>
  <c r="G1591" i="2" s="1"/>
  <c r="H1439" i="2" a="1"/>
  <c r="H1439" i="2" s="1"/>
  <c r="G1439" i="2" a="1"/>
  <c r="G1439" i="2" s="1"/>
  <c r="H1163" i="2" a="1"/>
  <c r="H1163" i="2" s="1"/>
  <c r="G1163" i="2" a="1"/>
  <c r="G1163" i="2" s="1"/>
  <c r="H1093" i="2" a="1"/>
  <c r="H1093" i="2" s="1"/>
  <c r="G1093" i="2" a="1"/>
  <c r="G1093" i="2" s="1"/>
  <c r="G1042" i="2" a="1"/>
  <c r="G1042" i="2" s="1"/>
  <c r="H1042" i="2" a="1"/>
  <c r="H1042" i="2" s="1"/>
  <c r="H934" i="2" a="1"/>
  <c r="H934" i="2" s="1"/>
  <c r="G934" i="2" a="1"/>
  <c r="G934" i="2" s="1"/>
  <c r="H790" i="2" a="1"/>
  <c r="H790" i="2" s="1"/>
  <c r="G790" i="2" a="1"/>
  <c r="G790" i="2" s="1"/>
  <c r="H631" i="2" a="1"/>
  <c r="H631" i="2" s="1"/>
  <c r="G631" i="2" a="1"/>
  <c r="G631" i="2" s="1"/>
  <c r="H579" i="2" a="1"/>
  <c r="H579" i="2" s="1"/>
  <c r="G579" i="2" a="1"/>
  <c r="G579" i="2" s="1"/>
  <c r="H532" i="2" a="1"/>
  <c r="H532" i="2" s="1"/>
  <c r="G532" i="2" a="1"/>
  <c r="G532" i="2" s="1"/>
  <c r="H460" i="2" a="1"/>
  <c r="H460" i="2" s="1"/>
  <c r="G460" i="2" a="1"/>
  <c r="G460" i="2" s="1"/>
  <c r="H449" i="2" a="1"/>
  <c r="H449" i="2" s="1"/>
  <c r="G449" i="2" a="1"/>
  <c r="G449" i="2" s="1"/>
  <c r="I449" i="2" s="1"/>
  <c r="H350" i="2" a="1"/>
  <c r="H350" i="2" s="1"/>
  <c r="G350" i="2" a="1"/>
  <c r="G350" i="2" s="1"/>
  <c r="H259" i="2" a="1"/>
  <c r="H259" i="2" s="1"/>
  <c r="G259" i="2" a="1"/>
  <c r="G259" i="2" s="1"/>
  <c r="H221" i="2" a="1"/>
  <c r="H221" i="2" s="1"/>
  <c r="G221" i="2" a="1"/>
  <c r="G221" i="2" s="1"/>
  <c r="G2112" i="2" a="1"/>
  <c r="G2112" i="2" s="1"/>
  <c r="G1927" i="2" a="1"/>
  <c r="G1927" i="2" s="1"/>
  <c r="G1584" i="2" a="1"/>
  <c r="G1584" i="2" s="1"/>
  <c r="G416" i="2" a="1"/>
  <c r="G416" i="2" s="1"/>
  <c r="G297" i="2" a="1"/>
  <c r="G297" i="2" s="1"/>
  <c r="I297" i="2" s="1"/>
  <c r="E288" i="6" a="1"/>
  <c r="E288" i="6" s="1"/>
  <c r="F288" i="6" a="1"/>
  <c r="F288" i="6" s="1"/>
  <c r="F130" i="6" a="1"/>
  <c r="F130" i="6" s="1"/>
  <c r="E130" i="6" a="1"/>
  <c r="E130" i="6" s="1"/>
  <c r="E552" i="6" a="1"/>
  <c r="E552" i="6" s="1"/>
  <c r="E324" i="6" a="1"/>
  <c r="E324" i="6" s="1"/>
  <c r="G324" i="6" s="1"/>
  <c r="F533" i="6" a="1"/>
  <c r="F533" i="6" s="1"/>
  <c r="F216" i="6" a="1"/>
  <c r="F216" i="6" s="1"/>
  <c r="G216" i="6" s="1"/>
  <c r="F83" i="6" a="1"/>
  <c r="F83" i="6" s="1"/>
  <c r="G83" i="6" s="1"/>
  <c r="F22" i="6" a="1"/>
  <c r="F22" i="6" s="1"/>
  <c r="G22" i="6" s="1"/>
  <c r="G2715" i="2" a="1"/>
  <c r="G2715" i="2" s="1"/>
  <c r="H2715" i="2" a="1"/>
  <c r="H2715" i="2" s="1"/>
  <c r="H2706" i="2" a="1"/>
  <c r="H2706" i="2" s="1"/>
  <c r="G2706" i="2" a="1"/>
  <c r="G2706" i="2" s="1"/>
  <c r="G2346" i="2" a="1"/>
  <c r="G2346" i="2" s="1"/>
  <c r="H2346" i="2" a="1"/>
  <c r="H2346" i="2" s="1"/>
  <c r="H2133" i="2" a="1"/>
  <c r="H2133" i="2" s="1"/>
  <c r="G2133" i="2" a="1"/>
  <c r="G2133" i="2" s="1"/>
  <c r="G1990" i="2" a="1"/>
  <c r="G1990" i="2" s="1"/>
  <c r="H1990" i="2" a="1"/>
  <c r="H1990" i="2" s="1"/>
  <c r="H1781" i="2" a="1"/>
  <c r="H1781" i="2" s="1"/>
  <c r="G1781" i="2" a="1"/>
  <c r="G1781" i="2" s="1"/>
  <c r="H1713" i="2" a="1"/>
  <c r="H1713" i="2" s="1"/>
  <c r="G1713" i="2" a="1"/>
  <c r="G1713" i="2" s="1"/>
  <c r="H1704" i="2" a="1"/>
  <c r="H1704" i="2" s="1"/>
  <c r="G1704" i="2" a="1"/>
  <c r="G1704" i="2" s="1"/>
  <c r="H1662" i="2" a="1"/>
  <c r="H1662" i="2" s="1"/>
  <c r="G1662" i="2" a="1"/>
  <c r="G1662" i="2" s="1"/>
  <c r="H1544" i="2" a="1"/>
  <c r="H1544" i="2" s="1"/>
  <c r="G1544" i="2" a="1"/>
  <c r="G1544" i="2" s="1"/>
  <c r="H1343" i="2" a="1"/>
  <c r="H1343" i="2" s="1"/>
  <c r="G1343" i="2" a="1"/>
  <c r="G1343" i="2" s="1"/>
  <c r="H1325" i="2" a="1"/>
  <c r="H1325" i="2" s="1"/>
  <c r="G1325" i="2" a="1"/>
  <c r="G1325" i="2" s="1"/>
  <c r="H1316" i="2" a="1"/>
  <c r="H1316" i="2" s="1"/>
  <c r="G1316" i="2" a="1"/>
  <c r="G1316" i="2" s="1"/>
  <c r="H1154" i="2" a="1"/>
  <c r="H1154" i="2" s="1"/>
  <c r="G1154" i="2" a="1"/>
  <c r="G1154" i="2" s="1"/>
  <c r="H1013" i="2" a="1"/>
  <c r="H1013" i="2" s="1"/>
  <c r="G1013" i="2" a="1"/>
  <c r="G1013" i="2" s="1"/>
  <c r="H899" i="2" a="1"/>
  <c r="H899" i="2" s="1"/>
  <c r="G899" i="2" a="1"/>
  <c r="G899" i="2" s="1"/>
  <c r="H691" i="2" a="1"/>
  <c r="H691" i="2" s="1"/>
  <c r="G691" i="2" a="1"/>
  <c r="G691" i="2" s="1"/>
  <c r="H614" i="2" a="1"/>
  <c r="H614" i="2" s="1"/>
  <c r="G614" i="2" a="1"/>
  <c r="G614" i="2" s="1"/>
  <c r="H459" i="2" a="1"/>
  <c r="H459" i="2" s="1"/>
  <c r="G459" i="2" a="1"/>
  <c r="G459" i="2" s="1"/>
  <c r="H331" i="2" a="1"/>
  <c r="H331" i="2" s="1"/>
  <c r="G331" i="2" a="1"/>
  <c r="G331" i="2" s="1"/>
  <c r="H322" i="2" a="1"/>
  <c r="H322" i="2" s="1"/>
  <c r="G322" i="2" a="1"/>
  <c r="G322" i="2" s="1"/>
  <c r="H186" i="2" a="1"/>
  <c r="H186" i="2" s="1"/>
  <c r="G186" i="2" a="1"/>
  <c r="G186" i="2" s="1"/>
  <c r="G1032" i="2" a="1"/>
  <c r="G1032" i="2" s="1"/>
  <c r="G35" i="2" a="1"/>
  <c r="G35" i="2" s="1"/>
  <c r="F531" i="6" a="1"/>
  <c r="F531" i="6" s="1"/>
  <c r="E531" i="6" a="1"/>
  <c r="E531" i="6" s="1"/>
  <c r="F504" i="6" a="1"/>
  <c r="F504" i="6" s="1"/>
  <c r="E504" i="6" a="1"/>
  <c r="E504" i="6" s="1"/>
  <c r="E394" i="6" a="1"/>
  <c r="E394" i="6" s="1"/>
  <c r="F394" i="6" a="1"/>
  <c r="F394" i="6" s="1"/>
  <c r="E337" i="6" a="1"/>
  <c r="E337" i="6" s="1"/>
  <c r="F337" i="6" a="1"/>
  <c r="F337" i="6" s="1"/>
  <c r="E171" i="6" a="1"/>
  <c r="E171" i="6" s="1"/>
  <c r="F171" i="6" a="1"/>
  <c r="F171" i="6" s="1"/>
  <c r="E498" i="6" a="1"/>
  <c r="E498" i="6" s="1"/>
  <c r="G498" i="6" s="1"/>
  <c r="E433" i="6" a="1"/>
  <c r="E433" i="6" s="1"/>
  <c r="G433" i="6" s="1"/>
  <c r="E406" i="6" a="1"/>
  <c r="E406" i="6" s="1"/>
  <c r="E370" i="6" a="1"/>
  <c r="E370" i="6" s="1"/>
  <c r="E332" i="6" a="1"/>
  <c r="E332" i="6" s="1"/>
  <c r="G332" i="6" s="1"/>
  <c r="E323" i="6" a="1"/>
  <c r="E323" i="6" s="1"/>
  <c r="E267" i="6" a="1"/>
  <c r="E267" i="6" s="1"/>
  <c r="G267" i="6" s="1"/>
  <c r="E248" i="6" a="1"/>
  <c r="E248" i="6" s="1"/>
  <c r="E239" i="6" a="1"/>
  <c r="E239" i="6" s="1"/>
  <c r="G239" i="6" s="1"/>
  <c r="E230" i="6" a="1"/>
  <c r="E230" i="6" s="1"/>
  <c r="G230" i="6" s="1"/>
  <c r="E211" i="6" a="1"/>
  <c r="E211" i="6" s="1"/>
  <c r="G211" i="6" s="1"/>
  <c r="E183" i="6" a="1"/>
  <c r="E183" i="6" s="1"/>
  <c r="E165" i="6" a="1"/>
  <c r="E165" i="6" s="1"/>
  <c r="G165" i="6" s="1"/>
  <c r="E138" i="6" a="1"/>
  <c r="E138" i="6" s="1"/>
  <c r="G138" i="6" s="1"/>
  <c r="E128" i="6" a="1"/>
  <c r="E128" i="6" s="1"/>
  <c r="G128" i="6" s="1"/>
  <c r="E91" i="6" a="1"/>
  <c r="E91" i="6" s="1"/>
  <c r="G91" i="6" s="1"/>
  <c r="E82" i="6" a="1"/>
  <c r="E82" i="6" s="1"/>
  <c r="G82" i="6" s="1"/>
  <c r="E72" i="6" a="1"/>
  <c r="E72" i="6" s="1"/>
  <c r="E54" i="6" a="1"/>
  <c r="E54" i="6" s="1"/>
  <c r="E44" i="6" a="1"/>
  <c r="E44" i="6" s="1"/>
  <c r="E27" i="6" a="1"/>
  <c r="E27" i="6" s="1"/>
  <c r="E8" i="6" a="1"/>
  <c r="E8" i="6" s="1"/>
  <c r="F549" i="6" a="1"/>
  <c r="F549" i="6" s="1"/>
  <c r="G549" i="6" s="1"/>
  <c r="F523" i="6" a="1"/>
  <c r="F523" i="6" s="1"/>
  <c r="F506" i="6" a="1"/>
  <c r="F506" i="6" s="1"/>
  <c r="G506" i="6" s="1"/>
  <c r="F487" i="6" a="1"/>
  <c r="F487" i="6" s="1"/>
  <c r="F314" i="6" a="1"/>
  <c r="F314" i="6" s="1"/>
  <c r="F205" i="6" a="1"/>
  <c r="F205" i="6" s="1"/>
  <c r="G205" i="6" s="1"/>
  <c r="F180" i="6" a="1"/>
  <c r="F180" i="6" s="1"/>
  <c r="G180" i="6" s="1"/>
  <c r="F155" i="6" a="1"/>
  <c r="F155" i="6" s="1"/>
  <c r="G155" i="6" s="1"/>
  <c r="F45" i="6" a="1"/>
  <c r="F45" i="6" s="1"/>
  <c r="G45" i="6" s="1"/>
  <c r="F34" i="6" a="1"/>
  <c r="F34" i="6" s="1"/>
  <c r="G34" i="6" s="1"/>
  <c r="F21" i="6" a="1"/>
  <c r="F21" i="6" s="1"/>
  <c r="H2768" i="2" a="1"/>
  <c r="H2768" i="2" s="1"/>
  <c r="G2768" i="2" a="1"/>
  <c r="G2768" i="2" s="1"/>
  <c r="H2738" i="2" a="1"/>
  <c r="H2738" i="2" s="1"/>
  <c r="G2738" i="2" a="1"/>
  <c r="G2738" i="2" s="1"/>
  <c r="G2723" i="2" a="1"/>
  <c r="G2723" i="2" s="1"/>
  <c r="H2723" i="2" a="1"/>
  <c r="H2723" i="2" s="1"/>
  <c r="G2714" i="2" a="1"/>
  <c r="G2714" i="2" s="1"/>
  <c r="H2714" i="2" a="1"/>
  <c r="H2714" i="2" s="1"/>
  <c r="H2697" i="2" a="1"/>
  <c r="H2697" i="2" s="1"/>
  <c r="G2697" i="2" a="1"/>
  <c r="G2697" i="2" s="1"/>
  <c r="H2690" i="2" a="1"/>
  <c r="H2690" i="2" s="1"/>
  <c r="G2690" i="2" a="1"/>
  <c r="G2690" i="2" s="1"/>
  <c r="G2667" i="2" a="1"/>
  <c r="G2667" i="2" s="1"/>
  <c r="H2667" i="2" a="1"/>
  <c r="H2667" i="2" s="1"/>
  <c r="H2626" i="2" a="1"/>
  <c r="H2626" i="2" s="1"/>
  <c r="G2626" i="2" a="1"/>
  <c r="G2626" i="2" s="1"/>
  <c r="H2603" i="2" a="1"/>
  <c r="H2603" i="2" s="1"/>
  <c r="G2603" i="2" a="1"/>
  <c r="G2603" i="2" s="1"/>
  <c r="H2596" i="2" a="1"/>
  <c r="H2596" i="2" s="1"/>
  <c r="G2596" i="2" a="1"/>
  <c r="G2596" i="2" s="1"/>
  <c r="H2587" i="2" a="1"/>
  <c r="H2587" i="2" s="1"/>
  <c r="G2587" i="2" a="1"/>
  <c r="G2587" i="2" s="1"/>
  <c r="G2577" i="2" a="1"/>
  <c r="G2577" i="2" s="1"/>
  <c r="H2577" i="2" a="1"/>
  <c r="H2577" i="2" s="1"/>
  <c r="H2560" i="2" a="1"/>
  <c r="H2560" i="2" s="1"/>
  <c r="G2560" i="2" a="1"/>
  <c r="G2560" i="2" s="1"/>
  <c r="H2483" i="2" a="1"/>
  <c r="H2483" i="2" s="1"/>
  <c r="G2483" i="2" a="1"/>
  <c r="G2483" i="2" s="1"/>
  <c r="G2388" i="2" a="1"/>
  <c r="G2388" i="2" s="1"/>
  <c r="H2388" i="2" a="1"/>
  <c r="H2388" i="2" s="1"/>
  <c r="H2355" i="2" a="1"/>
  <c r="H2355" i="2" s="1"/>
  <c r="G2355" i="2" a="1"/>
  <c r="G2355" i="2" s="1"/>
  <c r="H2336" i="2" a="1"/>
  <c r="H2336" i="2" s="1"/>
  <c r="G2336" i="2" a="1"/>
  <c r="G2336" i="2" s="1"/>
  <c r="H2277" i="2" a="1"/>
  <c r="H2277" i="2" s="1"/>
  <c r="G2277" i="2" a="1"/>
  <c r="G2277" i="2" s="1"/>
  <c r="H2270" i="2" a="1"/>
  <c r="H2270" i="2" s="1"/>
  <c r="G2270" i="2" a="1"/>
  <c r="G2270" i="2" s="1"/>
  <c r="H2255" i="2" a="1"/>
  <c r="H2255" i="2" s="1"/>
  <c r="G2255" i="2" a="1"/>
  <c r="G2255" i="2" s="1"/>
  <c r="H2167" i="2" a="1"/>
  <c r="H2167" i="2" s="1"/>
  <c r="G2167" i="2" a="1"/>
  <c r="G2167" i="2" s="1"/>
  <c r="H2160" i="2" a="1"/>
  <c r="H2160" i="2" s="1"/>
  <c r="G2160" i="2" a="1"/>
  <c r="G2160" i="2" s="1"/>
  <c r="H2142" i="2" a="1"/>
  <c r="H2142" i="2" s="1"/>
  <c r="G2142" i="2" a="1"/>
  <c r="G2142" i="2" s="1"/>
  <c r="H2109" i="2" a="1"/>
  <c r="H2109" i="2" s="1"/>
  <c r="G2109" i="2" a="1"/>
  <c r="G2109" i="2" s="1"/>
  <c r="H2101" i="2" a="1"/>
  <c r="H2101" i="2" s="1"/>
  <c r="G2101" i="2" a="1"/>
  <c r="G2101" i="2" s="1"/>
  <c r="H2093" i="2" a="1"/>
  <c r="H2093" i="2" s="1"/>
  <c r="G2093" i="2" a="1"/>
  <c r="G2093" i="2" s="1"/>
  <c r="G2069" i="2" a="1"/>
  <c r="G2069" i="2" s="1"/>
  <c r="H2069" i="2" a="1"/>
  <c r="H2069" i="2" s="1"/>
  <c r="H2013" i="2" a="1"/>
  <c r="H2013" i="2" s="1"/>
  <c r="G2013" i="2" a="1"/>
  <c r="G2013" i="2" s="1"/>
  <c r="G1989" i="2" a="1"/>
  <c r="G1989" i="2" s="1"/>
  <c r="H1989" i="2" a="1"/>
  <c r="H1989" i="2" s="1"/>
  <c r="H1973" i="2" a="1"/>
  <c r="H1973" i="2" s="1"/>
  <c r="G1973" i="2" a="1"/>
  <c r="G1973" i="2" s="1"/>
  <c r="H1966" i="2" a="1"/>
  <c r="H1966" i="2" s="1"/>
  <c r="G1966" i="2" a="1"/>
  <c r="G1966" i="2" s="1"/>
  <c r="H1958" i="2" a="1"/>
  <c r="H1958" i="2" s="1"/>
  <c r="G1958" i="2" a="1"/>
  <c r="G1958" i="2" s="1"/>
  <c r="G1941" i="2" a="1"/>
  <c r="G1941" i="2" s="1"/>
  <c r="H1941" i="2" a="1"/>
  <c r="H1941" i="2" s="1"/>
  <c r="G1933" i="2" a="1"/>
  <c r="G1933" i="2" s="1"/>
  <c r="H1933" i="2" a="1"/>
  <c r="H1933" i="2" s="1"/>
  <c r="H1872" i="2" a="1"/>
  <c r="H1872" i="2" s="1"/>
  <c r="G1872" i="2" a="1"/>
  <c r="G1872" i="2" s="1"/>
  <c r="H1863" i="2" a="1"/>
  <c r="H1863" i="2" s="1"/>
  <c r="G1863" i="2" a="1"/>
  <c r="G1863" i="2" s="1"/>
  <c r="H1823" i="2" a="1"/>
  <c r="H1823" i="2" s="1"/>
  <c r="G1823" i="2" a="1"/>
  <c r="G1823" i="2" s="1"/>
  <c r="H1780" i="2" a="1"/>
  <c r="H1780" i="2" s="1"/>
  <c r="G1780" i="2" a="1"/>
  <c r="G1780" i="2" s="1"/>
  <c r="H1746" i="2" a="1"/>
  <c r="H1746" i="2" s="1"/>
  <c r="G1746" i="2" a="1"/>
  <c r="G1746" i="2" s="1"/>
  <c r="H1728" i="2" a="1"/>
  <c r="H1728" i="2" s="1"/>
  <c r="G1728" i="2" a="1"/>
  <c r="G1728" i="2" s="1"/>
  <c r="H1720" i="2" a="1"/>
  <c r="H1720" i="2" s="1"/>
  <c r="G1720" i="2" a="1"/>
  <c r="G1720" i="2" s="1"/>
  <c r="H1712" i="2" a="1"/>
  <c r="H1712" i="2" s="1"/>
  <c r="G1712" i="2" a="1"/>
  <c r="G1712" i="2" s="1"/>
  <c r="H1684" i="2" a="1"/>
  <c r="H1684" i="2" s="1"/>
  <c r="G1684" i="2" a="1"/>
  <c r="G1684" i="2" s="1"/>
  <c r="H1642" i="2" a="1"/>
  <c r="H1642" i="2" s="1"/>
  <c r="G1642" i="2" a="1"/>
  <c r="G1642" i="2" s="1"/>
  <c r="H1626" i="2" a="1"/>
  <c r="H1626" i="2" s="1"/>
  <c r="G1626" i="2" a="1"/>
  <c r="G1626" i="2" s="1"/>
  <c r="H1616" i="2" a="1"/>
  <c r="H1616" i="2" s="1"/>
  <c r="G1616" i="2" a="1"/>
  <c r="G1616" i="2" s="1"/>
  <c r="H1606" i="2" a="1"/>
  <c r="H1606" i="2" s="1"/>
  <c r="G1606" i="2" a="1"/>
  <c r="G1606" i="2" s="1"/>
  <c r="H1598" i="2" a="1"/>
  <c r="H1598" i="2" s="1"/>
  <c r="G1598" i="2" a="1"/>
  <c r="G1598" i="2" s="1"/>
  <c r="H1583" i="2" a="1"/>
  <c r="H1583" i="2" s="1"/>
  <c r="G1583" i="2" a="1"/>
  <c r="G1583" i="2" s="1"/>
  <c r="G1575" i="2" a="1"/>
  <c r="G1575" i="2" s="1"/>
  <c r="H1575" i="2" a="1"/>
  <c r="H1575" i="2" s="1"/>
  <c r="H1567" i="2" a="1"/>
  <c r="H1567" i="2" s="1"/>
  <c r="G1567" i="2" a="1"/>
  <c r="G1567" i="2" s="1"/>
  <c r="H1534" i="2" a="1"/>
  <c r="H1534" i="2" s="1"/>
  <c r="G1534" i="2" a="1"/>
  <c r="G1534" i="2" s="1"/>
  <c r="H1507" i="2" a="1"/>
  <c r="H1507" i="2" s="1"/>
  <c r="G1507" i="2" a="1"/>
  <c r="G1507" i="2" s="1"/>
  <c r="H1499" i="2" a="1"/>
  <c r="H1499" i="2" s="1"/>
  <c r="G1499" i="2" a="1"/>
  <c r="G1499" i="2" s="1"/>
  <c r="H1490" i="2" a="1"/>
  <c r="H1490" i="2" s="1"/>
  <c r="G1490" i="2" a="1"/>
  <c r="G1490" i="2" s="1"/>
  <c r="H1402" i="2" a="1"/>
  <c r="H1402" i="2" s="1"/>
  <c r="G1402" i="2" a="1"/>
  <c r="G1402" i="2" s="1"/>
  <c r="H1368" i="2" a="1"/>
  <c r="H1368" i="2" s="1"/>
  <c r="G1368" i="2" a="1"/>
  <c r="G1368" i="2" s="1"/>
  <c r="H1360" i="2" a="1"/>
  <c r="H1360" i="2" s="1"/>
  <c r="G1360" i="2" a="1"/>
  <c r="G1360" i="2" s="1"/>
  <c r="H1342" i="2" a="1"/>
  <c r="H1342" i="2" s="1"/>
  <c r="G1342" i="2" a="1"/>
  <c r="G1342" i="2" s="1"/>
  <c r="H1324" i="2" a="1"/>
  <c r="H1324" i="2" s="1"/>
  <c r="G1324" i="2" a="1"/>
  <c r="G1324" i="2" s="1"/>
  <c r="H1298" i="2" a="1"/>
  <c r="H1298" i="2" s="1"/>
  <c r="G1298" i="2" a="1"/>
  <c r="G1298" i="2" s="1"/>
  <c r="G1281" i="2" a="1"/>
  <c r="G1281" i="2" s="1"/>
  <c r="H1281" i="2" a="1"/>
  <c r="H1281" i="2" s="1"/>
  <c r="H1263" i="2" a="1"/>
  <c r="H1263" i="2" s="1"/>
  <c r="G1263" i="2" a="1"/>
  <c r="G1263" i="2" s="1"/>
  <c r="H1244" i="2" a="1"/>
  <c r="H1244" i="2" s="1"/>
  <c r="G1244" i="2" a="1"/>
  <c r="G1244" i="2" s="1"/>
  <c r="H1199" i="2" a="1"/>
  <c r="H1199" i="2" s="1"/>
  <c r="G1199" i="2" a="1"/>
  <c r="G1199" i="2" s="1"/>
  <c r="H1153" i="2" a="1"/>
  <c r="H1153" i="2" s="1"/>
  <c r="G1153" i="2" a="1"/>
  <c r="G1153" i="2" s="1"/>
  <c r="H1136" i="2" a="1"/>
  <c r="H1136" i="2" s="1"/>
  <c r="G1136" i="2" a="1"/>
  <c r="G1136" i="2" s="1"/>
  <c r="H1082" i="2" a="1"/>
  <c r="H1082" i="2" s="1"/>
  <c r="G1082" i="2" a="1"/>
  <c r="G1082" i="2" s="1"/>
  <c r="H1056" i="2" a="1"/>
  <c r="H1056" i="2" s="1"/>
  <c r="G1056" i="2" a="1"/>
  <c r="G1056" i="2" s="1"/>
  <c r="H1041" i="2" a="1"/>
  <c r="H1041" i="2" s="1"/>
  <c r="G1041" i="2" a="1"/>
  <c r="G1041" i="2" s="1"/>
  <c r="H1020" i="2" a="1"/>
  <c r="H1020" i="2" s="1"/>
  <c r="G1020" i="2" a="1"/>
  <c r="G1020" i="2" s="1"/>
  <c r="H1012" i="2" a="1"/>
  <c r="H1012" i="2" s="1"/>
  <c r="G1012" i="2" a="1"/>
  <c r="G1012" i="2" s="1"/>
  <c r="H967" i="2" a="1"/>
  <c r="H967" i="2" s="1"/>
  <c r="G967" i="2" a="1"/>
  <c r="G967" i="2" s="1"/>
  <c r="H949" i="2" a="1"/>
  <c r="H949" i="2" s="1"/>
  <c r="G949" i="2" a="1"/>
  <c r="G949" i="2" s="1"/>
  <c r="G940" i="2" a="1"/>
  <c r="G940" i="2" s="1"/>
  <c r="H940" i="2" a="1"/>
  <c r="H940" i="2" s="1"/>
  <c r="H932" i="2" a="1"/>
  <c r="H932" i="2" s="1"/>
  <c r="G932" i="2" a="1"/>
  <c r="G932" i="2" s="1"/>
  <c r="H907" i="2" a="1"/>
  <c r="H907" i="2" s="1"/>
  <c r="G907" i="2" a="1"/>
  <c r="G907" i="2" s="1"/>
  <c r="H890" i="2" a="1"/>
  <c r="H890" i="2" s="1"/>
  <c r="G890" i="2" a="1"/>
  <c r="G890" i="2" s="1"/>
  <c r="H883" i="2" a="1"/>
  <c r="H883" i="2" s="1"/>
  <c r="G883" i="2" a="1"/>
  <c r="G883" i="2" s="1"/>
  <c r="H874" i="2" a="1"/>
  <c r="H874" i="2" s="1"/>
  <c r="G874" i="2" a="1"/>
  <c r="G874" i="2" s="1"/>
  <c r="H847" i="2" a="1"/>
  <c r="H847" i="2" s="1"/>
  <c r="G847" i="2" a="1"/>
  <c r="G847" i="2" s="1"/>
  <c r="H839" i="2" a="1"/>
  <c r="H839" i="2" s="1"/>
  <c r="G839" i="2" a="1"/>
  <c r="G839" i="2" s="1"/>
  <c r="H831" i="2" a="1"/>
  <c r="H831" i="2" s="1"/>
  <c r="G831" i="2" a="1"/>
  <c r="G831" i="2" s="1"/>
  <c r="H822" i="2" a="1"/>
  <c r="H822" i="2" s="1"/>
  <c r="G822" i="2" a="1"/>
  <c r="G822" i="2" s="1"/>
  <c r="H814" i="2" a="1"/>
  <c r="H814" i="2" s="1"/>
  <c r="G814" i="2" a="1"/>
  <c r="G814" i="2" s="1"/>
  <c r="H736" i="2" a="1"/>
  <c r="H736" i="2" s="1"/>
  <c r="G736" i="2" a="1"/>
  <c r="G736" i="2" s="1"/>
  <c r="H690" i="2" a="1"/>
  <c r="H690" i="2" s="1"/>
  <c r="G690" i="2" a="1"/>
  <c r="G690" i="2" s="1"/>
  <c r="H682" i="2" a="1"/>
  <c r="H682" i="2" s="1"/>
  <c r="G682" i="2" a="1"/>
  <c r="G682" i="2" s="1"/>
  <c r="H674" i="2" a="1"/>
  <c r="H674" i="2" s="1"/>
  <c r="G674" i="2" a="1"/>
  <c r="G674" i="2" s="1"/>
  <c r="H587" i="2" a="1"/>
  <c r="H587" i="2" s="1"/>
  <c r="G587" i="2" a="1"/>
  <c r="G587" i="2" s="1"/>
  <c r="H468" i="2" a="1"/>
  <c r="H468" i="2" s="1"/>
  <c r="G468" i="2" a="1"/>
  <c r="G468" i="2" s="1"/>
  <c r="H458" i="2" a="1"/>
  <c r="H458" i="2" s="1"/>
  <c r="G458" i="2" a="1"/>
  <c r="G458" i="2" s="1"/>
  <c r="H439" i="2" a="1"/>
  <c r="H439" i="2" s="1"/>
  <c r="G439" i="2" a="1"/>
  <c r="G439" i="2" s="1"/>
  <c r="H394" i="2" a="1"/>
  <c r="H394" i="2" s="1"/>
  <c r="G394" i="2" a="1"/>
  <c r="G394" i="2" s="1"/>
  <c r="H386" i="2" a="1"/>
  <c r="H386" i="2" s="1"/>
  <c r="G386" i="2" a="1"/>
  <c r="G386" i="2" s="1"/>
  <c r="H312" i="2" a="1"/>
  <c r="H312" i="2" s="1"/>
  <c r="G312" i="2" a="1"/>
  <c r="G312" i="2" s="1"/>
  <c r="H301" i="2" a="1"/>
  <c r="H301" i="2" s="1"/>
  <c r="G301" i="2" a="1"/>
  <c r="G301" i="2" s="1"/>
  <c r="H293" i="2" a="1"/>
  <c r="H293" i="2" s="1"/>
  <c r="G293" i="2" a="1"/>
  <c r="G293" i="2" s="1"/>
  <c r="H220" i="2" a="1"/>
  <c r="H220" i="2" s="1"/>
  <c r="G220" i="2" a="1"/>
  <c r="G220" i="2" s="1"/>
  <c r="H211" i="2" a="1"/>
  <c r="H211" i="2" s="1"/>
  <c r="G211" i="2" a="1"/>
  <c r="G211" i="2" s="1"/>
  <c r="H202" i="2" a="1"/>
  <c r="H202" i="2" s="1"/>
  <c r="G202" i="2" a="1"/>
  <c r="G202" i="2" s="1"/>
  <c r="H194" i="2" a="1"/>
  <c r="H194" i="2" s="1"/>
  <c r="G194" i="2" a="1"/>
  <c r="G194" i="2" s="1"/>
  <c r="H148" i="2" a="1"/>
  <c r="H148" i="2" s="1"/>
  <c r="G148" i="2" a="1"/>
  <c r="G148" i="2" s="1"/>
  <c r="H140" i="2" a="1"/>
  <c r="H140" i="2" s="1"/>
  <c r="G140" i="2" a="1"/>
  <c r="G140" i="2" s="1"/>
  <c r="H129" i="2" a="1"/>
  <c r="H129" i="2" s="1"/>
  <c r="G129" i="2" a="1"/>
  <c r="G129" i="2" s="1"/>
  <c r="H121" i="2" a="1"/>
  <c r="H121" i="2" s="1"/>
  <c r="G121" i="2" a="1"/>
  <c r="G121" i="2" s="1"/>
  <c r="H60" i="2" a="1"/>
  <c r="H60" i="2" s="1"/>
  <c r="G60" i="2" a="1"/>
  <c r="G60" i="2" s="1"/>
  <c r="I60" i="2" s="1"/>
  <c r="H43" i="2" a="1"/>
  <c r="H43" i="2" s="1"/>
  <c r="G43" i="2" a="1"/>
  <c r="G43" i="2" s="1"/>
  <c r="H34" i="2" a="1"/>
  <c r="H34" i="2" s="1"/>
  <c r="G34" i="2" a="1"/>
  <c r="G34" i="2" s="1"/>
  <c r="H24" i="2" a="1"/>
  <c r="H24" i="2" s="1"/>
  <c r="G24" i="2" a="1"/>
  <c r="G24" i="2" s="1"/>
  <c r="H17" i="2" a="1"/>
  <c r="H17" i="2" s="1"/>
  <c r="G17" i="2" a="1"/>
  <c r="G17" i="2" s="1"/>
  <c r="H9" i="2" a="1"/>
  <c r="H9" i="2" s="1"/>
  <c r="G9" i="2" a="1"/>
  <c r="G9" i="2" s="1"/>
  <c r="G2721" i="2" a="1"/>
  <c r="G2721" i="2" s="1"/>
  <c r="G2531" i="2" a="1"/>
  <c r="G2531" i="2" s="1"/>
  <c r="G2311" i="2" a="1"/>
  <c r="G2311" i="2" s="1"/>
  <c r="G2157" i="2" a="1"/>
  <c r="G2157" i="2" s="1"/>
  <c r="G1790" i="2" a="1"/>
  <c r="G1790" i="2" s="1"/>
  <c r="G1714" i="2" a="1"/>
  <c r="G1714" i="2" s="1"/>
  <c r="G1226" i="2" a="1"/>
  <c r="G1226" i="2" s="1"/>
  <c r="G1122" i="2" a="1"/>
  <c r="G1122" i="2" s="1"/>
  <c r="G898" i="2" a="1"/>
  <c r="G898" i="2" s="1"/>
  <c r="G661" i="2" a="1"/>
  <c r="G661" i="2" s="1"/>
  <c r="G517" i="2" a="1"/>
  <c r="G517" i="2" s="1"/>
  <c r="I517" i="2" s="1"/>
  <c r="H1502" i="2" a="1"/>
  <c r="H1502" i="2" s="1"/>
  <c r="G1502" i="2" a="1"/>
  <c r="G1502" i="2" s="1"/>
  <c r="H1486" i="2" a="1"/>
  <c r="H1486" i="2" s="1"/>
  <c r="G1486" i="2" a="1"/>
  <c r="G1486" i="2" s="1"/>
  <c r="H1078" i="2" a="1"/>
  <c r="H1078" i="2" s="1"/>
  <c r="G1078" i="2" a="1"/>
  <c r="G1078" i="2" s="1"/>
  <c r="H1061" i="2" a="1"/>
  <c r="H1061" i="2" s="1"/>
  <c r="G1061" i="2" a="1"/>
  <c r="G1061" i="2" s="1"/>
  <c r="H1025" i="2" a="1"/>
  <c r="H1025" i="2" s="1"/>
  <c r="G1025" i="2" a="1"/>
  <c r="G1025" i="2" s="1"/>
  <c r="H989" i="2" a="1"/>
  <c r="H989" i="2" s="1"/>
  <c r="G989" i="2" a="1"/>
  <c r="G989" i="2" s="1"/>
  <c r="H962" i="2" a="1"/>
  <c r="H962" i="2" s="1"/>
  <c r="G962" i="2" a="1"/>
  <c r="G962" i="2" s="1"/>
  <c r="H759" i="2" a="1"/>
  <c r="H759" i="2" s="1"/>
  <c r="G759" i="2" a="1"/>
  <c r="G759" i="2" s="1"/>
  <c r="H703" i="2" a="1"/>
  <c r="H703" i="2" s="1"/>
  <c r="G703" i="2" a="1"/>
  <c r="G703" i="2" s="1"/>
  <c r="H553" i="2" a="1"/>
  <c r="H553" i="2" s="1"/>
  <c r="G553" i="2" a="1"/>
  <c r="G553" i="2" s="1"/>
  <c r="H464" i="2" a="1"/>
  <c r="H464" i="2" s="1"/>
  <c r="G464" i="2" a="1"/>
  <c r="G464" i="2" s="1"/>
  <c r="H180" i="2" a="1"/>
  <c r="H180" i="2" s="1"/>
  <c r="G180" i="2" a="1"/>
  <c r="G180" i="2" s="1"/>
  <c r="H47" i="2" a="1"/>
  <c r="H47" i="2" s="1"/>
  <c r="G47" i="2" a="1"/>
  <c r="G47" i="2" s="1"/>
  <c r="E30" i="6" a="1"/>
  <c r="E30" i="6" s="1"/>
  <c r="G2678" i="2" a="1"/>
  <c r="G2678" i="2" s="1"/>
  <c r="H2678" i="2" a="1"/>
  <c r="H2678" i="2" s="1"/>
  <c r="G2661" i="2" a="1"/>
  <c r="G2661" i="2" s="1"/>
  <c r="H2661" i="2" a="1"/>
  <c r="H2661" i="2" s="1"/>
  <c r="G2591" i="2" a="1"/>
  <c r="G2591" i="2" s="1"/>
  <c r="H2591" i="2" a="1"/>
  <c r="H2591" i="2" s="1"/>
  <c r="H2501" i="2" a="1"/>
  <c r="H2501" i="2" s="1"/>
  <c r="G2501" i="2" a="1"/>
  <c r="G2501" i="2" s="1"/>
  <c r="H2307" i="2" a="1"/>
  <c r="H2307" i="2" s="1"/>
  <c r="G2307" i="2" a="1"/>
  <c r="G2307" i="2" s="1"/>
  <c r="H2300" i="2" a="1"/>
  <c r="H2300" i="2" s="1"/>
  <c r="G2300" i="2" a="1"/>
  <c r="G2300" i="2" s="1"/>
  <c r="H2201" i="2" a="1"/>
  <c r="H2201" i="2" s="1"/>
  <c r="G2201" i="2" a="1"/>
  <c r="G2201" i="2" s="1"/>
  <c r="H2193" i="2" a="1"/>
  <c r="H2193" i="2" s="1"/>
  <c r="G2193" i="2" a="1"/>
  <c r="G2193" i="2" s="1"/>
  <c r="H2185" i="2" a="1"/>
  <c r="H2185" i="2" s="1"/>
  <c r="G2185" i="2" a="1"/>
  <c r="G2185" i="2" s="1"/>
  <c r="H2178" i="2" a="1"/>
  <c r="H2178" i="2" s="1"/>
  <c r="G2178" i="2" a="1"/>
  <c r="G2178" i="2" s="1"/>
  <c r="H2072" i="2" a="1"/>
  <c r="H2072" i="2" s="1"/>
  <c r="G2072" i="2" a="1"/>
  <c r="G2072" i="2" s="1"/>
  <c r="H1937" i="2" a="1"/>
  <c r="H1937" i="2" s="1"/>
  <c r="G1937" i="2" a="1"/>
  <c r="G1937" i="2" s="1"/>
  <c r="H1834" i="2" a="1"/>
  <c r="H1834" i="2" s="1"/>
  <c r="G1834" i="2" a="1"/>
  <c r="G1834" i="2" s="1"/>
  <c r="G1785" i="2" a="1"/>
  <c r="G1785" i="2" s="1"/>
  <c r="H1785" i="2" a="1"/>
  <c r="H1785" i="2" s="1"/>
  <c r="H1750" i="2" a="1"/>
  <c r="H1750" i="2" s="1"/>
  <c r="G1750" i="2" a="1"/>
  <c r="G1750" i="2" s="1"/>
  <c r="H1715" i="2" a="1"/>
  <c r="H1715" i="2" s="1"/>
  <c r="G1715" i="2" a="1"/>
  <c r="G1715" i="2" s="1"/>
  <c r="H1511" i="2" a="1"/>
  <c r="H1511" i="2" s="1"/>
  <c r="G1511" i="2" a="1"/>
  <c r="G1511" i="2" s="1"/>
  <c r="H1423" i="2" a="1"/>
  <c r="H1423" i="2" s="1"/>
  <c r="G1423" i="2" a="1"/>
  <c r="G1423" i="2" s="1"/>
  <c r="H1302" i="2" a="1"/>
  <c r="H1302" i="2" s="1"/>
  <c r="G1302" i="2" a="1"/>
  <c r="G1302" i="2" s="1"/>
  <c r="H1247" i="2" a="1"/>
  <c r="H1247" i="2" s="1"/>
  <c r="G1247" i="2" a="1"/>
  <c r="G1247" i="2" s="1"/>
  <c r="H842" i="2" a="1"/>
  <c r="H842" i="2" s="1"/>
  <c r="G842" i="2" a="1"/>
  <c r="G842" i="2" s="1"/>
  <c r="H800" i="2" a="1"/>
  <c r="H800" i="2" s="1"/>
  <c r="G800" i="2" a="1"/>
  <c r="G800" i="2" s="1"/>
  <c r="H750" i="2" a="1"/>
  <c r="H750" i="2" s="1"/>
  <c r="G750" i="2" a="1"/>
  <c r="G750" i="2" s="1"/>
  <c r="H607" i="2" a="1"/>
  <c r="H607" i="2" s="1"/>
  <c r="G607" i="2" a="1"/>
  <c r="G607" i="2" s="1"/>
  <c r="H591" i="2" a="1"/>
  <c r="H591" i="2" s="1"/>
  <c r="G591" i="2" a="1"/>
  <c r="G591" i="2" s="1"/>
  <c r="H561" i="2" a="1"/>
  <c r="H561" i="2" s="1"/>
  <c r="G561" i="2" a="1"/>
  <c r="G561" i="2" s="1"/>
  <c r="H381" i="2" a="1"/>
  <c r="H381" i="2" s="1"/>
  <c r="G381" i="2" a="1"/>
  <c r="G381" i="2" s="1"/>
  <c r="H371" i="2" a="1"/>
  <c r="H371" i="2" s="1"/>
  <c r="G371" i="2" a="1"/>
  <c r="G371" i="2" s="1"/>
  <c r="H324" i="2" a="1"/>
  <c r="H324" i="2" s="1"/>
  <c r="G324" i="2" a="1"/>
  <c r="G324" i="2" s="1"/>
  <c r="H305" i="2" a="1"/>
  <c r="H305" i="2" s="1"/>
  <c r="G305" i="2" a="1"/>
  <c r="G305" i="2" s="1"/>
  <c r="H288" i="2" a="1"/>
  <c r="H288" i="2" s="1"/>
  <c r="G288" i="2" a="1"/>
  <c r="G288" i="2" s="1"/>
  <c r="H170" i="2" a="1"/>
  <c r="H170" i="2" s="1"/>
  <c r="G170" i="2" a="1"/>
  <c r="G170" i="2" s="1"/>
  <c r="H55" i="2" a="1"/>
  <c r="H55" i="2" s="1"/>
  <c r="G55" i="2" a="1"/>
  <c r="G55" i="2" s="1"/>
  <c r="H46" i="2" a="1"/>
  <c r="H46" i="2" s="1"/>
  <c r="G46" i="2" a="1"/>
  <c r="G46" i="2" s="1"/>
  <c r="F507" i="6" a="1"/>
  <c r="F507" i="6" s="1"/>
  <c r="E507" i="6" a="1"/>
  <c r="E507" i="6" s="1"/>
  <c r="F468" i="6" a="1"/>
  <c r="F468" i="6" s="1"/>
  <c r="E468" i="6" a="1"/>
  <c r="E468" i="6" s="1"/>
  <c r="E307" i="6" a="1"/>
  <c r="E307" i="6" s="1"/>
  <c r="G307" i="6" s="1"/>
  <c r="H2772" i="2" a="1"/>
  <c r="H2772" i="2" s="1"/>
  <c r="G2772" i="2" a="1"/>
  <c r="G2772" i="2" s="1"/>
  <c r="H2693" i="2" a="1"/>
  <c r="H2693" i="2" s="1"/>
  <c r="G2693" i="2" a="1"/>
  <c r="G2693" i="2" s="1"/>
  <c r="G2684" i="2" a="1"/>
  <c r="G2684" i="2" s="1"/>
  <c r="H2684" i="2" a="1"/>
  <c r="H2684" i="2" s="1"/>
  <c r="H2598" i="2" a="1"/>
  <c r="H2598" i="2" s="1"/>
  <c r="G2598" i="2" a="1"/>
  <c r="G2598" i="2" s="1"/>
  <c r="G2525" i="2" a="1"/>
  <c r="G2525" i="2" s="1"/>
  <c r="H2525" i="2" a="1"/>
  <c r="H2525" i="2" s="1"/>
  <c r="H2485" i="2" a="1"/>
  <c r="H2485" i="2" s="1"/>
  <c r="G2485" i="2" a="1"/>
  <c r="G2485" i="2" s="1"/>
  <c r="H2200" i="2" a="1"/>
  <c r="H2200" i="2" s="1"/>
  <c r="G2200" i="2" a="1"/>
  <c r="G2200" i="2" s="1"/>
  <c r="H2126" i="2" a="1"/>
  <c r="H2126" i="2" s="1"/>
  <c r="G2126" i="2" a="1"/>
  <c r="G2126" i="2" s="1"/>
  <c r="H2119" i="2" a="1"/>
  <c r="H2119" i="2" s="1"/>
  <c r="G2119" i="2" a="1"/>
  <c r="G2119" i="2" s="1"/>
  <c r="H2095" i="2" a="1"/>
  <c r="H2095" i="2" s="1"/>
  <c r="G2095" i="2" a="1"/>
  <c r="G2095" i="2" s="1"/>
  <c r="H1898" i="2" a="1"/>
  <c r="H1898" i="2" s="1"/>
  <c r="G1898" i="2" a="1"/>
  <c r="G1898" i="2" s="1"/>
  <c r="H1842" i="2" a="1"/>
  <c r="H1842" i="2" s="1"/>
  <c r="G1842" i="2" a="1"/>
  <c r="G1842" i="2" s="1"/>
  <c r="G1739" i="2" a="1"/>
  <c r="G1739" i="2" s="1"/>
  <c r="H1739" i="2" a="1"/>
  <c r="H1739" i="2" s="1"/>
  <c r="H1664" i="2" a="1"/>
  <c r="H1664" i="2" s="1"/>
  <c r="G1664" i="2" a="1"/>
  <c r="G1664" i="2" s="1"/>
  <c r="H1519" i="2" a="1"/>
  <c r="H1519" i="2" s="1"/>
  <c r="G1519" i="2" a="1"/>
  <c r="G1519" i="2" s="1"/>
  <c r="H1475" i="2" a="1"/>
  <c r="H1475" i="2" s="1"/>
  <c r="G1475" i="2" a="1"/>
  <c r="G1475" i="2" s="1"/>
  <c r="H1457" i="2" a="1"/>
  <c r="H1457" i="2" s="1"/>
  <c r="G1457" i="2" a="1"/>
  <c r="G1457" i="2" s="1"/>
  <c r="H1396" i="2" a="1"/>
  <c r="H1396" i="2" s="1"/>
  <c r="G1396" i="2" a="1"/>
  <c r="G1396" i="2" s="1"/>
  <c r="H1274" i="2" a="1"/>
  <c r="H1274" i="2" s="1"/>
  <c r="G1274" i="2" a="1"/>
  <c r="G1274" i="2" s="1"/>
  <c r="H1228" i="2" a="1"/>
  <c r="H1228" i="2" s="1"/>
  <c r="G1228" i="2" a="1"/>
  <c r="G1228" i="2" s="1"/>
  <c r="H1164" i="2" a="1"/>
  <c r="H1164" i="2" s="1"/>
  <c r="G1164" i="2" a="1"/>
  <c r="G1164" i="2" s="1"/>
  <c r="H1104" i="2" a="1"/>
  <c r="H1104" i="2" s="1"/>
  <c r="G1104" i="2" a="1"/>
  <c r="G1104" i="2" s="1"/>
  <c r="H1076" i="2" a="1"/>
  <c r="H1076" i="2" s="1"/>
  <c r="G1076" i="2" a="1"/>
  <c r="G1076" i="2" s="1"/>
  <c r="H1043" i="2" a="1"/>
  <c r="H1043" i="2" s="1"/>
  <c r="G1043" i="2" a="1"/>
  <c r="G1043" i="2" s="1"/>
  <c r="G1024" i="2" a="1"/>
  <c r="G1024" i="2" s="1"/>
  <c r="H1024" i="2" a="1"/>
  <c r="H1024" i="2" s="1"/>
  <c r="H808" i="2" a="1"/>
  <c r="H808" i="2" s="1"/>
  <c r="G808" i="2" a="1"/>
  <c r="G808" i="2" s="1"/>
  <c r="H799" i="2" a="1"/>
  <c r="H799" i="2" s="1"/>
  <c r="G799" i="2" a="1"/>
  <c r="G799" i="2" s="1"/>
  <c r="H775" i="2" a="1"/>
  <c r="H775" i="2" s="1"/>
  <c r="G775" i="2" a="1"/>
  <c r="G775" i="2" s="1"/>
  <c r="H766" i="2" a="1"/>
  <c r="H766" i="2" s="1"/>
  <c r="G766" i="2" a="1"/>
  <c r="G766" i="2" s="1"/>
  <c r="H481" i="2" a="1"/>
  <c r="H481" i="2" s="1"/>
  <c r="G481" i="2" a="1"/>
  <c r="G481" i="2" s="1"/>
  <c r="H472" i="2" a="1"/>
  <c r="H472" i="2" s="1"/>
  <c r="G472" i="2" a="1"/>
  <c r="G472" i="2" s="1"/>
  <c r="H334" i="2" a="1"/>
  <c r="H334" i="2" s="1"/>
  <c r="G334" i="2" a="1"/>
  <c r="G334" i="2" s="1"/>
  <c r="G315" i="2" a="1"/>
  <c r="G315" i="2" s="1"/>
  <c r="H315" i="2" a="1"/>
  <c r="H315" i="2" s="1"/>
  <c r="H304" i="2" a="1"/>
  <c r="H304" i="2" s="1"/>
  <c r="G304" i="2" a="1"/>
  <c r="G304" i="2" s="1"/>
  <c r="H188" i="2" a="1"/>
  <c r="H188" i="2" s="1"/>
  <c r="G188" i="2" a="1"/>
  <c r="G188" i="2" s="1"/>
  <c r="H107" i="2" a="1"/>
  <c r="H107" i="2" s="1"/>
  <c r="G107" i="2" a="1"/>
  <c r="G107" i="2" s="1"/>
  <c r="H82" i="2" a="1"/>
  <c r="H82" i="2" s="1"/>
  <c r="G82" i="2" a="1"/>
  <c r="G82" i="2" s="1"/>
  <c r="H2455" i="2" a="1"/>
  <c r="H2455" i="2" s="1"/>
  <c r="F55" i="6" a="1"/>
  <c r="F55" i="6" s="1"/>
  <c r="E55" i="6" a="1"/>
  <c r="E55" i="6" s="1"/>
  <c r="E65" i="6" a="1"/>
  <c r="E65" i="6" s="1"/>
  <c r="F316" i="6" a="1"/>
  <c r="F316" i="6" s="1"/>
  <c r="G316" i="6" s="1"/>
  <c r="H2741" i="2" a="1"/>
  <c r="H2741" i="2" s="1"/>
  <c r="G2741" i="2" a="1"/>
  <c r="G2741" i="2" s="1"/>
  <c r="H2612" i="2" a="1"/>
  <c r="H2612" i="2" s="1"/>
  <c r="G2612" i="2" a="1"/>
  <c r="G2612" i="2" s="1"/>
  <c r="H2605" i="2" a="1"/>
  <c r="H2605" i="2" s="1"/>
  <c r="G2605" i="2" a="1"/>
  <c r="G2605" i="2" s="1"/>
  <c r="H2580" i="2" a="1"/>
  <c r="H2580" i="2" s="1"/>
  <c r="G2580" i="2" a="1"/>
  <c r="G2580" i="2" s="1"/>
  <c r="H2508" i="2" a="1"/>
  <c r="H2508" i="2" s="1"/>
  <c r="G2508" i="2" a="1"/>
  <c r="G2508" i="2" s="1"/>
  <c r="H2499" i="2" a="1"/>
  <c r="H2499" i="2" s="1"/>
  <c r="G2499" i="2" a="1"/>
  <c r="G2499" i="2" s="1"/>
  <c r="H2491" i="2" a="1"/>
  <c r="H2491" i="2" s="1"/>
  <c r="G2491" i="2" a="1"/>
  <c r="G2491" i="2" s="1"/>
  <c r="H2280" i="2" a="1"/>
  <c r="H2280" i="2" s="1"/>
  <c r="G2280" i="2" a="1"/>
  <c r="G2280" i="2" s="1"/>
  <c r="H2263" i="2" a="1"/>
  <c r="H2263" i="2" s="1"/>
  <c r="G2263" i="2" a="1"/>
  <c r="G2263" i="2" s="1"/>
  <c r="H2223" i="2" a="1"/>
  <c r="H2223" i="2" s="1"/>
  <c r="G2223" i="2" a="1"/>
  <c r="G2223" i="2" s="1"/>
  <c r="H2111" i="2" a="1"/>
  <c r="H2111" i="2" s="1"/>
  <c r="G2111" i="2" a="1"/>
  <c r="G2111" i="2" s="1"/>
  <c r="H2088" i="2" a="1"/>
  <c r="H2088" i="2" s="1"/>
  <c r="G2088" i="2" a="1"/>
  <c r="G2088" i="2" s="1"/>
  <c r="H2046" i="2" a="1"/>
  <c r="H2046" i="2" s="1"/>
  <c r="G2046" i="2" a="1"/>
  <c r="G2046" i="2" s="1"/>
  <c r="H1976" i="2" a="1"/>
  <c r="H1976" i="2" s="1"/>
  <c r="G1976" i="2" a="1"/>
  <c r="G1976" i="2" s="1"/>
  <c r="G1913" i="2" a="1"/>
  <c r="G1913" i="2" s="1"/>
  <c r="H1913" i="2" a="1"/>
  <c r="H1913" i="2" s="1"/>
  <c r="H1905" i="2" a="1"/>
  <c r="H1905" i="2" s="1"/>
  <c r="G1905" i="2" a="1"/>
  <c r="G1905" i="2" s="1"/>
  <c r="H1825" i="2" a="1"/>
  <c r="H1825" i="2" s="1"/>
  <c r="G1825" i="2" a="1"/>
  <c r="G1825" i="2" s="1"/>
  <c r="H1678" i="2" a="1"/>
  <c r="H1678" i="2" s="1"/>
  <c r="G1678" i="2" a="1"/>
  <c r="G1678" i="2" s="1"/>
  <c r="H1619" i="2" a="1"/>
  <c r="H1619" i="2" s="1"/>
  <c r="G1619" i="2" a="1"/>
  <c r="G1619" i="2" s="1"/>
  <c r="H1577" i="2" a="1"/>
  <c r="H1577" i="2" s="1"/>
  <c r="G1577" i="2" a="1"/>
  <c r="G1577" i="2" s="1"/>
  <c r="H1474" i="2" a="1"/>
  <c r="H1474" i="2" s="1"/>
  <c r="G1474" i="2" a="1"/>
  <c r="G1474" i="2" s="1"/>
  <c r="H1465" i="2" a="1"/>
  <c r="H1465" i="2" s="1"/>
  <c r="G1465" i="2" a="1"/>
  <c r="G1465" i="2" s="1"/>
  <c r="H1430" i="2" a="1"/>
  <c r="H1430" i="2" s="1"/>
  <c r="G1430" i="2" a="1"/>
  <c r="G1430" i="2" s="1"/>
  <c r="H1421" i="2" a="1"/>
  <c r="H1421" i="2" s="1"/>
  <c r="G1421" i="2" a="1"/>
  <c r="G1421" i="2" s="1"/>
  <c r="H1300" i="2" a="1"/>
  <c r="H1300" i="2" s="1"/>
  <c r="G1300" i="2" a="1"/>
  <c r="G1300" i="2" s="1"/>
  <c r="H1291" i="2" a="1"/>
  <c r="H1291" i="2" s="1"/>
  <c r="G1291" i="2" a="1"/>
  <c r="G1291" i="2" s="1"/>
  <c r="H1273" i="2" a="1"/>
  <c r="H1273" i="2" s="1"/>
  <c r="G1273" i="2" a="1"/>
  <c r="G1273" i="2" s="1"/>
  <c r="G1265" i="2" a="1"/>
  <c r="G1265" i="2" s="1"/>
  <c r="H1265" i="2" a="1"/>
  <c r="H1265" i="2" s="1"/>
  <c r="H658" i="2" a="1"/>
  <c r="H658" i="2" s="1"/>
  <c r="G658" i="2" a="1"/>
  <c r="G658" i="2" s="1"/>
  <c r="H616" i="2" a="1"/>
  <c r="H616" i="2" s="1"/>
  <c r="G616" i="2" a="1"/>
  <c r="G616" i="2" s="1"/>
  <c r="H379" i="2" a="1"/>
  <c r="H379" i="2" s="1"/>
  <c r="G379" i="2" a="1"/>
  <c r="G379" i="2" s="1"/>
  <c r="H295" i="2" a="1"/>
  <c r="H295" i="2" s="1"/>
  <c r="G295" i="2" a="1"/>
  <c r="G295" i="2" s="1"/>
  <c r="H204" i="2" a="1"/>
  <c r="H204" i="2" s="1"/>
  <c r="G204" i="2" a="1"/>
  <c r="G204" i="2" s="1"/>
  <c r="H151" i="2" a="1"/>
  <c r="H151" i="2" s="1"/>
  <c r="G151" i="2" a="1"/>
  <c r="G151" i="2" s="1"/>
  <c r="H106" i="2" a="1"/>
  <c r="H106" i="2" s="1"/>
  <c r="G106" i="2" a="1"/>
  <c r="G106" i="2" s="1"/>
  <c r="G2742" i="2" a="1"/>
  <c r="G2742" i="2" s="1"/>
  <c r="E363" i="6" a="1"/>
  <c r="E363" i="6" s="1"/>
  <c r="E315" i="6" a="1"/>
  <c r="E315" i="6" s="1"/>
  <c r="E223" i="6" a="1"/>
  <c r="E223" i="6" s="1"/>
  <c r="F133" i="6" a="1"/>
  <c r="F133" i="6" s="1"/>
  <c r="G133" i="6" s="1"/>
  <c r="H2692" i="2" a="1"/>
  <c r="H2692" i="2" s="1"/>
  <c r="G2692" i="2" a="1"/>
  <c r="G2692" i="2" s="1"/>
  <c r="H2683" i="2" a="1"/>
  <c r="H2683" i="2" s="1"/>
  <c r="G2683" i="2" a="1"/>
  <c r="G2683" i="2" s="1"/>
  <c r="H2675" i="2" a="1"/>
  <c r="H2675" i="2" s="1"/>
  <c r="G2675" i="2" a="1"/>
  <c r="G2675" i="2" s="1"/>
  <c r="H2597" i="2" a="1"/>
  <c r="H2597" i="2" s="1"/>
  <c r="G2597" i="2" a="1"/>
  <c r="G2597" i="2" s="1"/>
  <c r="H2588" i="2" a="1"/>
  <c r="H2588" i="2" s="1"/>
  <c r="G2588" i="2" a="1"/>
  <c r="G2588" i="2" s="1"/>
  <c r="H2516" i="2" a="1"/>
  <c r="H2516" i="2" s="1"/>
  <c r="G2516" i="2" a="1"/>
  <c r="G2516" i="2" s="1"/>
  <c r="H2468" i="2" a="1"/>
  <c r="H2468" i="2" s="1"/>
  <c r="G2468" i="2" a="1"/>
  <c r="G2468" i="2" s="1"/>
  <c r="H2460" i="2" a="1"/>
  <c r="H2460" i="2" s="1"/>
  <c r="G2460" i="2" a="1"/>
  <c r="G2460" i="2" s="1"/>
  <c r="H2256" i="2" a="1"/>
  <c r="H2256" i="2" s="1"/>
  <c r="G2256" i="2" a="1"/>
  <c r="G2256" i="2" s="1"/>
  <c r="H2222" i="2" a="1"/>
  <c r="H2222" i="2" s="1"/>
  <c r="G2222" i="2" a="1"/>
  <c r="G2222" i="2" s="1"/>
  <c r="H1982" i="2" a="1"/>
  <c r="H1982" i="2" s="1"/>
  <c r="G1982" i="2" a="1"/>
  <c r="G1982" i="2" s="1"/>
  <c r="H1975" i="2" a="1"/>
  <c r="H1975" i="2" s="1"/>
  <c r="G1975" i="2" a="1"/>
  <c r="G1975" i="2" s="1"/>
  <c r="H1959" i="2" a="1"/>
  <c r="H1959" i="2" s="1"/>
  <c r="G1959" i="2" a="1"/>
  <c r="G1959" i="2" s="1"/>
  <c r="H1840" i="2" a="1"/>
  <c r="H1840" i="2" s="1"/>
  <c r="G1840" i="2" a="1"/>
  <c r="G1840" i="2" s="1"/>
  <c r="G1729" i="2" a="1"/>
  <c r="G1729" i="2" s="1"/>
  <c r="H1729" i="2" a="1"/>
  <c r="H1729" i="2" s="1"/>
  <c r="H1403" i="2" a="1"/>
  <c r="H1403" i="2" s="1"/>
  <c r="G1403" i="2" a="1"/>
  <c r="G1403" i="2" s="1"/>
  <c r="H1129" i="2" a="1"/>
  <c r="H1129" i="2" s="1"/>
  <c r="G1129" i="2" a="1"/>
  <c r="G1129" i="2" s="1"/>
  <c r="H1084" i="2" a="1"/>
  <c r="H1084" i="2" s="1"/>
  <c r="G1084" i="2" a="1"/>
  <c r="G1084" i="2" s="1"/>
  <c r="H1057" i="2" a="1"/>
  <c r="H1057" i="2" s="1"/>
  <c r="G1057" i="2" a="1"/>
  <c r="G1057" i="2" s="1"/>
  <c r="H942" i="2" a="1"/>
  <c r="H942" i="2" s="1"/>
  <c r="G942" i="2" a="1"/>
  <c r="G942" i="2" s="1"/>
  <c r="H774" i="2" a="1"/>
  <c r="H774" i="2" s="1"/>
  <c r="G774" i="2" a="1"/>
  <c r="G774" i="2" s="1"/>
  <c r="H765" i="2" a="1"/>
  <c r="H765" i="2" s="1"/>
  <c r="G765" i="2" a="1"/>
  <c r="G765" i="2" s="1"/>
  <c r="H683" i="2" a="1"/>
  <c r="H683" i="2" s="1"/>
  <c r="G683" i="2" a="1"/>
  <c r="G683" i="2" s="1"/>
  <c r="H675" i="2" a="1"/>
  <c r="H675" i="2" s="1"/>
  <c r="G675" i="2" a="1"/>
  <c r="G675" i="2" s="1"/>
  <c r="H615" i="2" a="1"/>
  <c r="H615" i="2" s="1"/>
  <c r="G615" i="2" a="1"/>
  <c r="G615" i="2" s="1"/>
  <c r="H588" i="2" a="1"/>
  <c r="H588" i="2" s="1"/>
  <c r="G588" i="2" a="1"/>
  <c r="G588" i="2" s="1"/>
  <c r="H177" i="2" a="1"/>
  <c r="H177" i="2" s="1"/>
  <c r="G177" i="2" a="1"/>
  <c r="G177" i="2" s="1"/>
  <c r="H150" i="2" a="1"/>
  <c r="H150" i="2" s="1"/>
  <c r="G150" i="2" a="1"/>
  <c r="G150" i="2" s="1"/>
  <c r="H36" i="2" a="1"/>
  <c r="H36" i="2" s="1"/>
  <c r="G36" i="2" a="1"/>
  <c r="G36" i="2" s="1"/>
  <c r="G2781" i="2" a="1"/>
  <c r="G2781" i="2" s="1"/>
  <c r="G801" i="2" a="1"/>
  <c r="G801" i="2" s="1"/>
  <c r="I801" i="2" s="1"/>
  <c r="E240" i="6" a="1"/>
  <c r="E240" i="6" s="1"/>
  <c r="G240" i="6" s="1"/>
  <c r="F459" i="6" a="1"/>
  <c r="F459" i="6" s="1"/>
  <c r="G459" i="6" s="1"/>
  <c r="F132" i="6" a="1"/>
  <c r="F132" i="6" s="1"/>
  <c r="G132" i="6" s="1"/>
  <c r="H2769" i="2" a="1"/>
  <c r="H2769" i="2" s="1"/>
  <c r="G2769" i="2" a="1"/>
  <c r="G2769" i="2" s="1"/>
  <c r="H2611" i="2" a="1"/>
  <c r="H2611" i="2" s="1"/>
  <c r="G2611" i="2" a="1"/>
  <c r="G2611" i="2" s="1"/>
  <c r="H2381" i="2" a="1"/>
  <c r="H2381" i="2" s="1"/>
  <c r="G2381" i="2" a="1"/>
  <c r="G2381" i="2" s="1"/>
  <c r="H2372" i="2" a="1"/>
  <c r="H2372" i="2" s="1"/>
  <c r="G2372" i="2" a="1"/>
  <c r="G2372" i="2" s="1"/>
  <c r="H2337" i="2" a="1"/>
  <c r="H2337" i="2" s="1"/>
  <c r="G2337" i="2" a="1"/>
  <c r="G2337" i="2" s="1"/>
  <c r="H2287" i="2" a="1"/>
  <c r="H2287" i="2" s="1"/>
  <c r="G2287" i="2" a="1"/>
  <c r="G2287" i="2" s="1"/>
  <c r="H2262" i="2" a="1"/>
  <c r="H2262" i="2" s="1"/>
  <c r="G2262" i="2" a="1"/>
  <c r="G2262" i="2" s="1"/>
  <c r="H2239" i="2" a="1"/>
  <c r="H2239" i="2" s="1"/>
  <c r="G2239" i="2" a="1"/>
  <c r="G2239" i="2" s="1"/>
  <c r="H1864" i="2" a="1"/>
  <c r="H1864" i="2" s="1"/>
  <c r="G1864" i="2" a="1"/>
  <c r="G1864" i="2" s="1"/>
  <c r="H1839" i="2" a="1"/>
  <c r="H1839" i="2" s="1"/>
  <c r="G1839" i="2" a="1"/>
  <c r="G1839" i="2" s="1"/>
  <c r="H1807" i="2" a="1"/>
  <c r="H1807" i="2" s="1"/>
  <c r="G1807" i="2" a="1"/>
  <c r="G1807" i="2" s="1"/>
  <c r="H1747" i="2" a="1"/>
  <c r="H1747" i="2" s="1"/>
  <c r="G1747" i="2" a="1"/>
  <c r="G1747" i="2" s="1"/>
  <c r="H1736" i="2" a="1"/>
  <c r="H1736" i="2" s="1"/>
  <c r="G1736" i="2" a="1"/>
  <c r="G1736" i="2" s="1"/>
  <c r="H1617" i="2" a="1"/>
  <c r="H1617" i="2" s="1"/>
  <c r="G1617" i="2" a="1"/>
  <c r="G1617" i="2" s="1"/>
  <c r="H1438" i="2" a="1"/>
  <c r="H1438" i="2" s="1"/>
  <c r="G1438" i="2" a="1"/>
  <c r="G1438" i="2" s="1"/>
  <c r="H1351" i="2" a="1"/>
  <c r="H1351" i="2" s="1"/>
  <c r="G1351" i="2" a="1"/>
  <c r="G1351" i="2" s="1"/>
  <c r="H1334" i="2" a="1"/>
  <c r="H1334" i="2" s="1"/>
  <c r="G1334" i="2" a="1"/>
  <c r="G1334" i="2" s="1"/>
  <c r="H1200" i="2" a="1"/>
  <c r="H1200" i="2" s="1"/>
  <c r="G1200" i="2" a="1"/>
  <c r="G1200" i="2" s="1"/>
  <c r="H1162" i="2" a="1"/>
  <c r="H1162" i="2" s="1"/>
  <c r="G1162" i="2" a="1"/>
  <c r="G1162" i="2" s="1"/>
  <c r="H1021" i="2" a="1"/>
  <c r="H1021" i="2" s="1"/>
  <c r="G1021" i="2" a="1"/>
  <c r="G1021" i="2" s="1"/>
  <c r="H1003" i="2" a="1"/>
  <c r="H1003" i="2" s="1"/>
  <c r="G1003" i="2" a="1"/>
  <c r="G1003" i="2" s="1"/>
  <c r="H985" i="2" a="1"/>
  <c r="H985" i="2" s="1"/>
  <c r="G985" i="2" a="1"/>
  <c r="G985" i="2" s="1"/>
  <c r="H891" i="2" a="1"/>
  <c r="H891" i="2" s="1"/>
  <c r="G891" i="2" a="1"/>
  <c r="G891" i="2" s="1"/>
  <c r="H815" i="2" a="1"/>
  <c r="H815" i="2" s="1"/>
  <c r="G815" i="2" a="1"/>
  <c r="G815" i="2" s="1"/>
  <c r="H797" i="2" a="1"/>
  <c r="H797" i="2" s="1"/>
  <c r="G797" i="2" a="1"/>
  <c r="G797" i="2" s="1"/>
  <c r="H789" i="2" a="1"/>
  <c r="H789" i="2" s="1"/>
  <c r="G789" i="2" a="1"/>
  <c r="G789" i="2" s="1"/>
  <c r="G773" i="2" a="1"/>
  <c r="G773" i="2" s="1"/>
  <c r="H773" i="2" a="1"/>
  <c r="H773" i="2" s="1"/>
  <c r="H756" i="2" a="1"/>
  <c r="H756" i="2" s="1"/>
  <c r="G756" i="2" a="1"/>
  <c r="G756" i="2" s="1"/>
  <c r="H737" i="2" a="1"/>
  <c r="H737" i="2" s="1"/>
  <c r="G737" i="2" a="1"/>
  <c r="G737" i="2" s="1"/>
  <c r="H596" i="2" a="1"/>
  <c r="H596" i="2" s="1"/>
  <c r="G596" i="2" a="1"/>
  <c r="G596" i="2" s="1"/>
  <c r="H431" i="2" a="1"/>
  <c r="H431" i="2" s="1"/>
  <c r="G431" i="2" a="1"/>
  <c r="G431" i="2" s="1"/>
  <c r="H25" i="2" a="1"/>
  <c r="H25" i="2" s="1"/>
  <c r="G25" i="2" a="1"/>
  <c r="G25" i="2" s="1"/>
  <c r="G1147" i="2" a="1"/>
  <c r="G1147" i="2" s="1"/>
  <c r="E434" i="6" a="1"/>
  <c r="E434" i="6" s="1"/>
  <c r="F434" i="6" a="1"/>
  <c r="F434" i="6" s="1"/>
  <c r="E401" i="6" a="1"/>
  <c r="E401" i="6" s="1"/>
  <c r="U83" i="14" s="1"/>
  <c r="F401" i="6" a="1"/>
  <c r="F401" i="6" s="1"/>
  <c r="F187" i="6" a="1"/>
  <c r="F187" i="6" s="1"/>
  <c r="E187" i="6" a="1"/>
  <c r="E187" i="6" s="1"/>
  <c r="F137" i="6" a="1"/>
  <c r="F137" i="6" s="1"/>
  <c r="E137" i="6" a="1"/>
  <c r="E137" i="6" s="1"/>
  <c r="F104" i="6" a="1"/>
  <c r="F104" i="6" s="1"/>
  <c r="E104" i="6" a="1"/>
  <c r="E104" i="6" s="1"/>
  <c r="F35" i="6" a="1"/>
  <c r="F35" i="6" s="1"/>
  <c r="E35" i="6" a="1"/>
  <c r="E35" i="6" s="1"/>
  <c r="E551" i="6" a="1"/>
  <c r="E551" i="6" s="1"/>
  <c r="U114" i="14" s="1"/>
  <c r="E460" i="6" a="1"/>
  <c r="E460" i="6" s="1"/>
  <c r="E451" i="6" a="1"/>
  <c r="E451" i="6" s="1"/>
  <c r="E322" i="6" a="1"/>
  <c r="E322" i="6" s="1"/>
  <c r="E313" i="6" a="1"/>
  <c r="E313" i="6" s="1"/>
  <c r="G313" i="6" s="1"/>
  <c r="E304" i="6" a="1"/>
  <c r="E304" i="6" s="1"/>
  <c r="G304" i="6" s="1"/>
  <c r="E257" i="6" a="1"/>
  <c r="E257" i="6" s="1"/>
  <c r="E221" i="6" a="1"/>
  <c r="E221" i="6" s="1"/>
  <c r="E202" i="6" a="1"/>
  <c r="E202" i="6" s="1"/>
  <c r="E182" i="6" a="1"/>
  <c r="E182" i="6" s="1"/>
  <c r="E164" i="6" a="1"/>
  <c r="E164" i="6" s="1"/>
  <c r="E63" i="6" a="1"/>
  <c r="E63" i="6" s="1"/>
  <c r="G63" i="6" s="1"/>
  <c r="E26" i="6" a="1"/>
  <c r="E26" i="6" s="1"/>
  <c r="G26" i="6" s="1"/>
  <c r="E2" i="6" a="1"/>
  <c r="E2" i="6" s="1"/>
  <c r="F558" i="6" a="1"/>
  <c r="F558" i="6" s="1"/>
  <c r="G558" i="6" s="1"/>
  <c r="F532" i="6" a="1"/>
  <c r="F532" i="6" s="1"/>
  <c r="F496" i="6" a="1"/>
  <c r="F496" i="6" s="1"/>
  <c r="F467" i="6" a="1"/>
  <c r="F467" i="6" s="1"/>
  <c r="G467" i="6" s="1"/>
  <c r="F458" i="6" a="1"/>
  <c r="F458" i="6" s="1"/>
  <c r="F449" i="6" a="1"/>
  <c r="F449" i="6" s="1"/>
  <c r="G449" i="6" s="1"/>
  <c r="F345" i="6" a="1"/>
  <c r="F345" i="6" s="1"/>
  <c r="F236" i="6" a="1"/>
  <c r="F236" i="6" s="1"/>
  <c r="G236" i="6" s="1"/>
  <c r="F215" i="6" a="1"/>
  <c r="F215" i="6" s="1"/>
  <c r="F153" i="6" a="1"/>
  <c r="F153" i="6" s="1"/>
  <c r="F129" i="6" a="1"/>
  <c r="F129" i="6" s="1"/>
  <c r="G129" i="6" s="1"/>
  <c r="F70" i="6" a="1"/>
  <c r="F70" i="6" s="1"/>
  <c r="H2767" i="2" a="1"/>
  <c r="H2767" i="2" s="1"/>
  <c r="G2767" i="2" a="1"/>
  <c r="G2767" i="2" s="1"/>
  <c r="H2737" i="2" a="1"/>
  <c r="H2737" i="2" s="1"/>
  <c r="G2737" i="2" a="1"/>
  <c r="G2737" i="2" s="1"/>
  <c r="H2705" i="2" a="1"/>
  <c r="H2705" i="2" s="1"/>
  <c r="G2705" i="2" a="1"/>
  <c r="G2705" i="2" s="1"/>
  <c r="H2666" i="2" a="1"/>
  <c r="H2666" i="2" s="1"/>
  <c r="G2666" i="2" a="1"/>
  <c r="G2666" i="2" s="1"/>
  <c r="H2658" i="2" a="1"/>
  <c r="H2658" i="2" s="1"/>
  <c r="G2658" i="2" a="1"/>
  <c r="G2658" i="2" s="1"/>
  <c r="H2625" i="2" a="1"/>
  <c r="H2625" i="2" s="1"/>
  <c r="G2625" i="2" a="1"/>
  <c r="G2625" i="2" s="1"/>
  <c r="H2610" i="2" a="1"/>
  <c r="H2610" i="2" s="1"/>
  <c r="G2610" i="2" a="1"/>
  <c r="G2610" i="2" s="1"/>
  <c r="H2602" i="2" a="1"/>
  <c r="H2602" i="2" s="1"/>
  <c r="G2602" i="2" a="1"/>
  <c r="G2602" i="2" s="1"/>
  <c r="H2595" i="2" a="1"/>
  <c r="H2595" i="2" s="1"/>
  <c r="G2595" i="2" a="1"/>
  <c r="G2595" i="2" s="1"/>
  <c r="H2586" i="2" a="1"/>
  <c r="H2586" i="2" s="1"/>
  <c r="G2586" i="2" a="1"/>
  <c r="G2586" i="2" s="1"/>
  <c r="G2576" i="2" a="1"/>
  <c r="G2576" i="2" s="1"/>
  <c r="H2576" i="2" a="1"/>
  <c r="H2576" i="2" s="1"/>
  <c r="H2559" i="2" a="1"/>
  <c r="H2559" i="2" s="1"/>
  <c r="G2559" i="2" a="1"/>
  <c r="G2559" i="2" s="1"/>
  <c r="H2505" i="2" a="1"/>
  <c r="H2505" i="2" s="1"/>
  <c r="G2505" i="2" a="1"/>
  <c r="G2505" i="2" s="1"/>
  <c r="H2489" i="2" a="1"/>
  <c r="H2489" i="2" s="1"/>
  <c r="G2489" i="2" a="1"/>
  <c r="G2489" i="2" s="1"/>
  <c r="H2396" i="2" a="1"/>
  <c r="H2396" i="2" s="1"/>
  <c r="G2396" i="2" a="1"/>
  <c r="G2396" i="2" s="1"/>
  <c r="H2344" i="2" a="1"/>
  <c r="H2344" i="2" s="1"/>
  <c r="G2344" i="2" a="1"/>
  <c r="G2344" i="2" s="1"/>
  <c r="H2286" i="2" a="1"/>
  <c r="H2286" i="2" s="1"/>
  <c r="G2286" i="2" a="1"/>
  <c r="G2286" i="2" s="1"/>
  <c r="H2229" i="2" a="1"/>
  <c r="H2229" i="2" s="1"/>
  <c r="G2229" i="2" a="1"/>
  <c r="G2229" i="2" s="1"/>
  <c r="H2189" i="2" a="1"/>
  <c r="H2189" i="2" s="1"/>
  <c r="G2189" i="2" a="1"/>
  <c r="G2189" i="2" s="1"/>
  <c r="H2159" i="2" a="1"/>
  <c r="H2159" i="2" s="1"/>
  <c r="G2159" i="2" a="1"/>
  <c r="G2159" i="2" s="1"/>
  <c r="H2150" i="2" a="1"/>
  <c r="H2150" i="2" s="1"/>
  <c r="G2150" i="2" a="1"/>
  <c r="G2150" i="2" s="1"/>
  <c r="H2108" i="2" a="1"/>
  <c r="H2108" i="2" s="1"/>
  <c r="G2108" i="2" a="1"/>
  <c r="G2108" i="2" s="1"/>
  <c r="H2059" i="2" a="1"/>
  <c r="H2059" i="2" s="1"/>
  <c r="G2059" i="2" a="1"/>
  <c r="G2059" i="2" s="1"/>
  <c r="G2021" i="2" a="1"/>
  <c r="G2021" i="2" s="1"/>
  <c r="H2021" i="2" a="1"/>
  <c r="H2021" i="2" s="1"/>
  <c r="H1950" i="2" a="1"/>
  <c r="H1950" i="2" s="1"/>
  <c r="G1950" i="2" a="1"/>
  <c r="G1950" i="2" s="1"/>
  <c r="H1887" i="2" a="1"/>
  <c r="H1887" i="2" s="1"/>
  <c r="G1887" i="2" a="1"/>
  <c r="G1887" i="2" s="1"/>
  <c r="H1862" i="2" a="1"/>
  <c r="H1862" i="2" s="1"/>
  <c r="G1862" i="2" a="1"/>
  <c r="G1862" i="2" s="1"/>
  <c r="H1838" i="2" a="1"/>
  <c r="H1838" i="2" s="1"/>
  <c r="G1838" i="2" a="1"/>
  <c r="G1838" i="2" s="1"/>
  <c r="H1806" i="2" a="1"/>
  <c r="H1806" i="2" s="1"/>
  <c r="G1806" i="2" a="1"/>
  <c r="G1806" i="2" s="1"/>
  <c r="H1755" i="2" a="1"/>
  <c r="H1755" i="2" s="1"/>
  <c r="G1755" i="2" a="1"/>
  <c r="G1755" i="2" s="1"/>
  <c r="H1745" i="2" a="1"/>
  <c r="H1745" i="2" s="1"/>
  <c r="G1745" i="2" a="1"/>
  <c r="G1745" i="2" s="1"/>
  <c r="H1727" i="2" a="1"/>
  <c r="H1727" i="2" s="1"/>
  <c r="G1727" i="2" a="1"/>
  <c r="G1727" i="2" s="1"/>
  <c r="H1660" i="2" a="1"/>
  <c r="H1660" i="2" s="1"/>
  <c r="G1660" i="2" a="1"/>
  <c r="G1660" i="2" s="1"/>
  <c r="H1651" i="2" a="1"/>
  <c r="H1651" i="2" s="1"/>
  <c r="G1651" i="2" a="1"/>
  <c r="G1651" i="2" s="1"/>
  <c r="H1574" i="2" a="1"/>
  <c r="H1574" i="2" s="1"/>
  <c r="G1574" i="2" a="1"/>
  <c r="G1574" i="2" s="1"/>
  <c r="H1524" i="2" a="1"/>
  <c r="H1524" i="2" s="1"/>
  <c r="G1524" i="2" a="1"/>
  <c r="G1524" i="2" s="1"/>
  <c r="G1515" i="2" a="1"/>
  <c r="G1515" i="2" s="1"/>
  <c r="H1515" i="2" a="1"/>
  <c r="H1515" i="2" s="1"/>
  <c r="H1498" i="2" a="1"/>
  <c r="H1498" i="2" s="1"/>
  <c r="G1498" i="2" a="1"/>
  <c r="G1498" i="2" s="1"/>
  <c r="H1393" i="2" a="1"/>
  <c r="H1393" i="2" s="1"/>
  <c r="G1393" i="2" a="1"/>
  <c r="G1393" i="2" s="1"/>
  <c r="G1359" i="2" a="1"/>
  <c r="G1359" i="2" s="1"/>
  <c r="H1359" i="2" a="1"/>
  <c r="H1359" i="2" s="1"/>
  <c r="H1280" i="2" a="1"/>
  <c r="H1280" i="2" s="1"/>
  <c r="G1280" i="2" a="1"/>
  <c r="G1280" i="2" s="1"/>
  <c r="H1262" i="2" a="1"/>
  <c r="H1262" i="2" s="1"/>
  <c r="G1262" i="2" a="1"/>
  <c r="G1262" i="2" s="1"/>
  <c r="H1252" i="2" a="1"/>
  <c r="H1252" i="2" s="1"/>
  <c r="G1252" i="2" a="1"/>
  <c r="G1252" i="2" s="1"/>
  <c r="H1198" i="2" a="1"/>
  <c r="H1198" i="2" s="1"/>
  <c r="G1198" i="2" a="1"/>
  <c r="G1198" i="2" s="1"/>
  <c r="H1188" i="2" a="1"/>
  <c r="H1188" i="2" s="1"/>
  <c r="G1188" i="2" a="1"/>
  <c r="G1188" i="2" s="1"/>
  <c r="H1179" i="2" a="1"/>
  <c r="H1179" i="2" s="1"/>
  <c r="G1179" i="2" a="1"/>
  <c r="G1179" i="2" s="1"/>
  <c r="H1091" i="2" a="1"/>
  <c r="H1091" i="2" s="1"/>
  <c r="G1091" i="2" a="1"/>
  <c r="G1091" i="2" s="1"/>
  <c r="H1081" i="2" a="1"/>
  <c r="H1081" i="2" s="1"/>
  <c r="G1081" i="2" a="1"/>
  <c r="G1081" i="2" s="1"/>
  <c r="H1029" i="2" a="1"/>
  <c r="H1029" i="2" s="1"/>
  <c r="G1029" i="2" a="1"/>
  <c r="G1029" i="2" s="1"/>
  <c r="H966" i="2" a="1"/>
  <c r="H966" i="2" s="1"/>
  <c r="G966" i="2" a="1"/>
  <c r="G966" i="2" s="1"/>
  <c r="H957" i="2" a="1"/>
  <c r="H957" i="2" s="1"/>
  <c r="G957" i="2" a="1"/>
  <c r="G957" i="2" s="1"/>
  <c r="H931" i="2" a="1"/>
  <c r="H931" i="2" s="1"/>
  <c r="G931" i="2" a="1"/>
  <c r="G931" i="2" s="1"/>
  <c r="H906" i="2" a="1"/>
  <c r="H906" i="2" s="1"/>
  <c r="G906" i="2" a="1"/>
  <c r="G906" i="2" s="1"/>
  <c r="H846" i="2" a="1"/>
  <c r="H846" i="2" s="1"/>
  <c r="G846" i="2" a="1"/>
  <c r="G846" i="2" s="1"/>
  <c r="H838" i="2" a="1"/>
  <c r="H838" i="2" s="1"/>
  <c r="G838" i="2" a="1"/>
  <c r="G838" i="2" s="1"/>
  <c r="H830" i="2" a="1"/>
  <c r="H830" i="2" s="1"/>
  <c r="G830" i="2" a="1"/>
  <c r="G830" i="2" s="1"/>
  <c r="H726" i="2" a="1"/>
  <c r="H726" i="2" s="1"/>
  <c r="G726" i="2" a="1"/>
  <c r="G726" i="2" s="1"/>
  <c r="H681" i="2" a="1"/>
  <c r="H681" i="2" s="1"/>
  <c r="G681" i="2" a="1"/>
  <c r="G681" i="2" s="1"/>
  <c r="H673" i="2" a="1"/>
  <c r="H673" i="2" s="1"/>
  <c r="G673" i="2" a="1"/>
  <c r="G673" i="2" s="1"/>
  <c r="H646" i="2" a="1"/>
  <c r="H646" i="2" s="1"/>
  <c r="G646" i="2" a="1"/>
  <c r="G646" i="2" s="1"/>
  <c r="H637" i="2" a="1"/>
  <c r="H637" i="2" s="1"/>
  <c r="G637" i="2" a="1"/>
  <c r="G637" i="2" s="1"/>
  <c r="H629" i="2" a="1"/>
  <c r="H629" i="2" s="1"/>
  <c r="G629" i="2" a="1"/>
  <c r="G629" i="2" s="1"/>
  <c r="H621" i="2" a="1"/>
  <c r="H621" i="2" s="1"/>
  <c r="G621" i="2" a="1"/>
  <c r="G621" i="2" s="1"/>
  <c r="H612" i="2" a="1"/>
  <c r="H612" i="2" s="1"/>
  <c r="G612" i="2" a="1"/>
  <c r="G612" i="2" s="1"/>
  <c r="H603" i="2" a="1"/>
  <c r="H603" i="2" s="1"/>
  <c r="G603" i="2" a="1"/>
  <c r="G603" i="2" s="1"/>
  <c r="H586" i="2" a="1"/>
  <c r="H586" i="2" s="1"/>
  <c r="G586" i="2" a="1"/>
  <c r="G586" i="2" s="1"/>
  <c r="H511" i="2" a="1"/>
  <c r="H511" i="2" s="1"/>
  <c r="G511" i="2" a="1"/>
  <c r="G511" i="2" s="1"/>
  <c r="H487" i="2" a="1"/>
  <c r="H487" i="2" s="1"/>
  <c r="G487" i="2" a="1"/>
  <c r="G487" i="2" s="1"/>
  <c r="H393" i="2" a="1"/>
  <c r="H393" i="2" s="1"/>
  <c r="G393" i="2" a="1"/>
  <c r="G393" i="2" s="1"/>
  <c r="H385" i="2" a="1"/>
  <c r="H385" i="2" s="1"/>
  <c r="G385" i="2" a="1"/>
  <c r="G385" i="2" s="1"/>
  <c r="H366" i="2" a="1"/>
  <c r="H366" i="2" s="1"/>
  <c r="G366" i="2" a="1"/>
  <c r="G366" i="2" s="1"/>
  <c r="H348" i="2" a="1"/>
  <c r="H348" i="2" s="1"/>
  <c r="G348" i="2" a="1"/>
  <c r="G348" i="2" s="1"/>
  <c r="H339" i="2" a="1"/>
  <c r="H339" i="2" s="1"/>
  <c r="G339" i="2" a="1"/>
  <c r="G339" i="2" s="1"/>
  <c r="H320" i="2" a="1"/>
  <c r="H320" i="2" s="1"/>
  <c r="G320" i="2" a="1"/>
  <c r="G320" i="2" s="1"/>
  <c r="G311" i="2" a="1"/>
  <c r="G311" i="2" s="1"/>
  <c r="H311" i="2" a="1"/>
  <c r="H311" i="2" s="1"/>
  <c r="H246" i="2" a="1"/>
  <c r="H246" i="2" s="1"/>
  <c r="G246" i="2" a="1"/>
  <c r="G246" i="2" s="1"/>
  <c r="H238" i="2" a="1"/>
  <c r="H238" i="2" s="1"/>
  <c r="G238" i="2" a="1"/>
  <c r="G238" i="2" s="1"/>
  <c r="H210" i="2" a="1"/>
  <c r="H210" i="2" s="1"/>
  <c r="G210" i="2" a="1"/>
  <c r="G210" i="2" s="1"/>
  <c r="H147" i="2" a="1"/>
  <c r="H147" i="2" s="1"/>
  <c r="G147" i="2" a="1"/>
  <c r="G147" i="2" s="1"/>
  <c r="H69" i="2" a="1"/>
  <c r="H69" i="2" s="1"/>
  <c r="G69" i="2" a="1"/>
  <c r="G69" i="2" s="1"/>
  <c r="H51" i="2" a="1"/>
  <c r="H51" i="2" s="1"/>
  <c r="G51" i="2" a="1"/>
  <c r="G51" i="2" s="1"/>
  <c r="G2776" i="2" a="1"/>
  <c r="G2776" i="2" s="1"/>
  <c r="G2627" i="2" a="1"/>
  <c r="G2627" i="2" s="1"/>
  <c r="G2521" i="2" a="1"/>
  <c r="G2521" i="2" s="1"/>
  <c r="G2408" i="2" a="1"/>
  <c r="G2408" i="2" s="1"/>
  <c r="G2352" i="2" a="1"/>
  <c r="G2352" i="2" s="1"/>
  <c r="G2260" i="2" a="1"/>
  <c r="G2260" i="2" s="1"/>
  <c r="G2102" i="2" a="1"/>
  <c r="G2102" i="2" s="1"/>
  <c r="G1915" i="2" a="1"/>
  <c r="G1915" i="2" s="1"/>
  <c r="G1853" i="2" a="1"/>
  <c r="G1853" i="2" s="1"/>
  <c r="G1635" i="2" a="1"/>
  <c r="G1635" i="2" s="1"/>
  <c r="G647" i="2" a="1"/>
  <c r="G647" i="2" s="1"/>
  <c r="G274" i="2" a="1"/>
  <c r="G274" i="2" s="1"/>
  <c r="H2654" i="2" a="1"/>
  <c r="H2654" i="2" s="1"/>
  <c r="H2371" i="2" a="1"/>
  <c r="H2371" i="2" s="1"/>
  <c r="H2031" i="2" a="1"/>
  <c r="H2031" i="2" s="1"/>
  <c r="H1547" i="2" a="1"/>
  <c r="H1547" i="2" s="1"/>
  <c r="G1547" i="2" a="1"/>
  <c r="G1547" i="2" s="1"/>
  <c r="H1433" i="2" a="1"/>
  <c r="H1433" i="2" s="1"/>
  <c r="G1433" i="2" a="1"/>
  <c r="G1433" i="2" s="1"/>
  <c r="H1347" i="2" a="1"/>
  <c r="H1347" i="2" s="1"/>
  <c r="G1347" i="2" a="1"/>
  <c r="G1347" i="2" s="1"/>
  <c r="G1337" i="2" a="1"/>
  <c r="G1337" i="2" s="1"/>
  <c r="H1337" i="2" a="1"/>
  <c r="H1337" i="2" s="1"/>
  <c r="H1140" i="2" a="1"/>
  <c r="H1140" i="2" s="1"/>
  <c r="G1140" i="2" a="1"/>
  <c r="G1140" i="2" s="1"/>
  <c r="H721" i="2" a="1"/>
  <c r="H721" i="2" s="1"/>
  <c r="G721" i="2" a="1"/>
  <c r="G721" i="2" s="1"/>
  <c r="H544" i="2" a="1"/>
  <c r="H544" i="2" s="1"/>
  <c r="G544" i="2" a="1"/>
  <c r="G544" i="2" s="1"/>
  <c r="H534" i="2" a="1"/>
  <c r="H534" i="2" s="1"/>
  <c r="G534" i="2" a="1"/>
  <c r="G534" i="2" s="1"/>
  <c r="H443" i="2" a="1"/>
  <c r="H443" i="2" s="1"/>
  <c r="G443" i="2" a="1"/>
  <c r="G443" i="2" s="1"/>
  <c r="H272" i="2" a="1"/>
  <c r="H272" i="2" s="1"/>
  <c r="G272" i="2" a="1"/>
  <c r="G272" i="2" s="1"/>
  <c r="H171" i="2" a="1"/>
  <c r="H171" i="2" s="1"/>
  <c r="G171" i="2" a="1"/>
  <c r="G171" i="2" s="1"/>
  <c r="G144" i="2" a="1"/>
  <c r="G144" i="2" s="1"/>
  <c r="H144" i="2" a="1"/>
  <c r="H144" i="2" s="1"/>
  <c r="H117" i="2" a="1"/>
  <c r="H117" i="2" s="1"/>
  <c r="G117" i="2" a="1"/>
  <c r="G117" i="2" s="1"/>
  <c r="H76" i="2" a="1"/>
  <c r="H76" i="2" s="1"/>
  <c r="G76" i="2" a="1"/>
  <c r="G76" i="2" s="1"/>
  <c r="H2764" i="2" a="1"/>
  <c r="H2764" i="2" s="1"/>
  <c r="G2764" i="2" a="1"/>
  <c r="G2764" i="2" s="1"/>
  <c r="H2709" i="2" a="1"/>
  <c r="H2709" i="2" s="1"/>
  <c r="G2709" i="2" a="1"/>
  <c r="G2709" i="2" s="1"/>
  <c r="H2700" i="2" a="1"/>
  <c r="H2700" i="2" s="1"/>
  <c r="G2700" i="2" a="1"/>
  <c r="G2700" i="2" s="1"/>
  <c r="H2613" i="2" a="1"/>
  <c r="H2613" i="2" s="1"/>
  <c r="G2613" i="2" a="1"/>
  <c r="G2613" i="2" s="1"/>
  <c r="H2606" i="2" a="1"/>
  <c r="H2606" i="2" s="1"/>
  <c r="G2606" i="2" a="1"/>
  <c r="G2606" i="2" s="1"/>
  <c r="G2438" i="2" a="1"/>
  <c r="G2438" i="2" s="1"/>
  <c r="H2438" i="2" a="1"/>
  <c r="H2438" i="2" s="1"/>
  <c r="H2392" i="2" a="1"/>
  <c r="H2392" i="2" s="1"/>
  <c r="G2392" i="2" a="1"/>
  <c r="G2392" i="2" s="1"/>
  <c r="H2250" i="2" a="1"/>
  <c r="H2250" i="2" s="1"/>
  <c r="G2250" i="2" a="1"/>
  <c r="G2250" i="2" s="1"/>
  <c r="H2170" i="2" a="1"/>
  <c r="H2170" i="2" s="1"/>
  <c r="G2170" i="2" a="1"/>
  <c r="G2170" i="2" s="1"/>
  <c r="H2047" i="2" a="1"/>
  <c r="H2047" i="2" s="1"/>
  <c r="G2047" i="2" a="1"/>
  <c r="G2047" i="2" s="1"/>
  <c r="G1432" i="2" a="1"/>
  <c r="G1432" i="2" s="1"/>
  <c r="H1432" i="2" a="1"/>
  <c r="H1432" i="2" s="1"/>
  <c r="H1373" i="2" a="1"/>
  <c r="H1373" i="2" s="1"/>
  <c r="G1373" i="2" a="1"/>
  <c r="G1373" i="2" s="1"/>
  <c r="H1355" i="2" a="1"/>
  <c r="H1355" i="2" s="1"/>
  <c r="G1355" i="2" a="1"/>
  <c r="G1355" i="2" s="1"/>
  <c r="H1229" i="2" a="1"/>
  <c r="H1229" i="2" s="1"/>
  <c r="G1229" i="2" a="1"/>
  <c r="G1229" i="2" s="1"/>
  <c r="H1219" i="2" a="1"/>
  <c r="H1219" i="2" s="1"/>
  <c r="G1219" i="2" a="1"/>
  <c r="G1219" i="2" s="1"/>
  <c r="H1211" i="2" a="1"/>
  <c r="H1211" i="2" s="1"/>
  <c r="G1211" i="2" a="1"/>
  <c r="G1211" i="2" s="1"/>
  <c r="H1184" i="2" a="1"/>
  <c r="H1184" i="2" s="1"/>
  <c r="G1184" i="2" a="1"/>
  <c r="G1184" i="2" s="1"/>
  <c r="H1132" i="2" a="1"/>
  <c r="H1132" i="2" s="1"/>
  <c r="G1132" i="2" a="1"/>
  <c r="G1132" i="2" s="1"/>
  <c r="H1077" i="2" a="1"/>
  <c r="H1077" i="2" s="1"/>
  <c r="G1077" i="2" a="1"/>
  <c r="G1077" i="2" s="1"/>
  <c r="H1034" i="2" a="1"/>
  <c r="H1034" i="2" s="1"/>
  <c r="G1034" i="2" a="1"/>
  <c r="G1034" i="2" s="1"/>
  <c r="H953" i="2" a="1"/>
  <c r="H953" i="2" s="1"/>
  <c r="G953" i="2" a="1"/>
  <c r="G953" i="2" s="1"/>
  <c r="H902" i="2" a="1"/>
  <c r="H902" i="2" s="1"/>
  <c r="G902" i="2" a="1"/>
  <c r="G902" i="2" s="1"/>
  <c r="H792" i="2" a="1"/>
  <c r="H792" i="2" s="1"/>
  <c r="G792" i="2" a="1"/>
  <c r="G792" i="2" s="1"/>
  <c r="H730" i="2" a="1"/>
  <c r="H730" i="2" s="1"/>
  <c r="G730" i="2" a="1"/>
  <c r="G730" i="2" s="1"/>
  <c r="H581" i="2" a="1"/>
  <c r="H581" i="2" s="1"/>
  <c r="G581" i="2" a="1"/>
  <c r="G581" i="2" s="1"/>
  <c r="H571" i="2" a="1"/>
  <c r="H571" i="2" s="1"/>
  <c r="G571" i="2" a="1"/>
  <c r="G571" i="2" s="1"/>
  <c r="H552" i="2" a="1"/>
  <c r="H552" i="2" s="1"/>
  <c r="G552" i="2" a="1"/>
  <c r="G552" i="2" s="1"/>
  <c r="H526" i="2" a="1"/>
  <c r="H526" i="2" s="1"/>
  <c r="G526" i="2" a="1"/>
  <c r="G526" i="2" s="1"/>
  <c r="H507" i="2" a="1"/>
  <c r="H507" i="2" s="1"/>
  <c r="G507" i="2" a="1"/>
  <c r="G507" i="2" s="1"/>
  <c r="H482" i="2" a="1"/>
  <c r="H482" i="2" s="1"/>
  <c r="G482" i="2" a="1"/>
  <c r="G482" i="2" s="1"/>
  <c r="H442" i="2" a="1"/>
  <c r="H442" i="2" s="1"/>
  <c r="G442" i="2" a="1"/>
  <c r="G442" i="2" s="1"/>
  <c r="H426" i="2" a="1"/>
  <c r="H426" i="2" s="1"/>
  <c r="G426" i="2" a="1"/>
  <c r="G426" i="2" s="1"/>
  <c r="H418" i="2" a="1"/>
  <c r="H418" i="2" s="1"/>
  <c r="G418" i="2" a="1"/>
  <c r="G418" i="2" s="1"/>
  <c r="H316" i="2" a="1"/>
  <c r="H316" i="2" s="1"/>
  <c r="G316" i="2" a="1"/>
  <c r="G316" i="2" s="1"/>
  <c r="H280" i="2" a="1"/>
  <c r="H280" i="2" s="1"/>
  <c r="G280" i="2" a="1"/>
  <c r="G280" i="2" s="1"/>
  <c r="G251" i="2" a="1"/>
  <c r="G251" i="2" s="1"/>
  <c r="H251" i="2" a="1"/>
  <c r="H251" i="2" s="1"/>
  <c r="H179" i="2" a="1"/>
  <c r="H179" i="2" s="1"/>
  <c r="G179" i="2" a="1"/>
  <c r="G179" i="2" s="1"/>
  <c r="G108" i="2" a="1"/>
  <c r="G108" i="2" s="1"/>
  <c r="I108" i="2" s="1"/>
  <c r="F173" i="6" a="1"/>
  <c r="F173" i="6" s="1"/>
  <c r="E173" i="6" a="1"/>
  <c r="E173" i="6" s="1"/>
  <c r="F74" i="6" a="1"/>
  <c r="F74" i="6" s="1"/>
  <c r="E74" i="6" a="1"/>
  <c r="E74" i="6" s="1"/>
  <c r="F274" i="6" a="1"/>
  <c r="F274" i="6" s="1"/>
  <c r="G2708" i="2" a="1"/>
  <c r="G2708" i="2" s="1"/>
  <c r="H2708" i="2" a="1"/>
  <c r="H2708" i="2" s="1"/>
  <c r="H2517" i="2" a="1"/>
  <c r="H2517" i="2" s="1"/>
  <c r="G2517" i="2" a="1"/>
  <c r="G2517" i="2" s="1"/>
  <c r="H2477" i="2" a="1"/>
  <c r="H2477" i="2" s="1"/>
  <c r="G2477" i="2" a="1"/>
  <c r="G2477" i="2" s="1"/>
  <c r="G2469" i="2" a="1"/>
  <c r="G2469" i="2" s="1"/>
  <c r="H2469" i="2" a="1"/>
  <c r="H2469" i="2" s="1"/>
  <c r="H2461" i="2" a="1"/>
  <c r="H2461" i="2" s="1"/>
  <c r="G2461" i="2" a="1"/>
  <c r="G2461" i="2" s="1"/>
  <c r="H2391" i="2" a="1"/>
  <c r="H2391" i="2" s="1"/>
  <c r="G2391" i="2" a="1"/>
  <c r="G2391" i="2" s="1"/>
  <c r="H2264" i="2" a="1"/>
  <c r="H2264" i="2" s="1"/>
  <c r="G2264" i="2" a="1"/>
  <c r="G2264" i="2" s="1"/>
  <c r="H2257" i="2" a="1"/>
  <c r="H2257" i="2" s="1"/>
  <c r="G2257" i="2" a="1"/>
  <c r="G2257" i="2" s="1"/>
  <c r="H2249" i="2" a="1"/>
  <c r="H2249" i="2" s="1"/>
  <c r="G2249" i="2" a="1"/>
  <c r="G2249" i="2" s="1"/>
  <c r="H2215" i="2" a="1"/>
  <c r="H2215" i="2" s="1"/>
  <c r="G2215" i="2" a="1"/>
  <c r="G2215" i="2" s="1"/>
  <c r="H2040" i="2" a="1"/>
  <c r="H2040" i="2" s="1"/>
  <c r="G2040" i="2" a="1"/>
  <c r="G2040" i="2" s="1"/>
  <c r="H1944" i="2" a="1"/>
  <c r="H1944" i="2" s="1"/>
  <c r="G1944" i="2" a="1"/>
  <c r="G1944" i="2" s="1"/>
  <c r="H1818" i="2" a="1"/>
  <c r="H1818" i="2" s="1"/>
  <c r="G1818" i="2" a="1"/>
  <c r="G1818" i="2" s="1"/>
  <c r="H1609" i="2" a="1"/>
  <c r="H1609" i="2" s="1"/>
  <c r="G1609" i="2" a="1"/>
  <c r="G1609" i="2" s="1"/>
  <c r="H1601" i="2" a="1"/>
  <c r="H1601" i="2" s="1"/>
  <c r="G1601" i="2" a="1"/>
  <c r="G1601" i="2" s="1"/>
  <c r="H1570" i="2" a="1"/>
  <c r="H1570" i="2" s="1"/>
  <c r="G1570" i="2" a="1"/>
  <c r="G1570" i="2" s="1"/>
  <c r="H1193" i="2" a="1"/>
  <c r="H1193" i="2" s="1"/>
  <c r="G1193" i="2" a="1"/>
  <c r="G1193" i="2" s="1"/>
  <c r="H1156" i="2" a="1"/>
  <c r="H1156" i="2" s="1"/>
  <c r="G1156" i="2" a="1"/>
  <c r="G1156" i="2" s="1"/>
  <c r="H1086" i="2" a="1"/>
  <c r="H1086" i="2" s="1"/>
  <c r="G1086" i="2" a="1"/>
  <c r="G1086" i="2" s="1"/>
  <c r="H1051" i="2" a="1"/>
  <c r="H1051" i="2" s="1"/>
  <c r="G1051" i="2" a="1"/>
  <c r="G1051" i="2" s="1"/>
  <c r="H1015" i="2" a="1"/>
  <c r="H1015" i="2" s="1"/>
  <c r="G1015" i="2" a="1"/>
  <c r="G1015" i="2" s="1"/>
  <c r="H979" i="2" a="1"/>
  <c r="H979" i="2" s="1"/>
  <c r="G979" i="2" a="1"/>
  <c r="G979" i="2" s="1"/>
  <c r="H850" i="2" a="1"/>
  <c r="H850" i="2" s="1"/>
  <c r="G850" i="2" a="1"/>
  <c r="G850" i="2" s="1"/>
  <c r="H841" i="2" a="1"/>
  <c r="H841" i="2" s="1"/>
  <c r="G841" i="2" a="1"/>
  <c r="G841" i="2" s="1"/>
  <c r="H833" i="2" a="1"/>
  <c r="H833" i="2" s="1"/>
  <c r="G833" i="2" a="1"/>
  <c r="G833" i="2" s="1"/>
  <c r="G650" i="2" a="1"/>
  <c r="G650" i="2" s="1"/>
  <c r="H650" i="2" a="1"/>
  <c r="H650" i="2" s="1"/>
  <c r="H451" i="2" a="1"/>
  <c r="H451" i="2" s="1"/>
  <c r="G451" i="2" a="1"/>
  <c r="G451" i="2" s="1"/>
  <c r="I451" i="2" s="1"/>
  <c r="H433" i="2" a="1"/>
  <c r="H433" i="2" s="1"/>
  <c r="G433" i="2" a="1"/>
  <c r="G433" i="2" s="1"/>
  <c r="H425" i="2" a="1"/>
  <c r="H425" i="2" s="1"/>
  <c r="G425" i="2" a="1"/>
  <c r="G425" i="2" s="1"/>
  <c r="H124" i="2" a="1"/>
  <c r="H124" i="2" s="1"/>
  <c r="G124" i="2" a="1"/>
  <c r="G124" i="2" s="1"/>
  <c r="H2208" i="2" a="1"/>
  <c r="H2208" i="2" s="1"/>
  <c r="E381" i="6" a="1"/>
  <c r="E381" i="6" s="1"/>
  <c r="G381" i="6" s="1"/>
  <c r="E47" i="6" a="1"/>
  <c r="E47" i="6" s="1"/>
  <c r="F526" i="6" a="1"/>
  <c r="F526" i="6" s="1"/>
  <c r="F499" i="6" a="1"/>
  <c r="F499" i="6" s="1"/>
  <c r="G2453" i="2" a="1"/>
  <c r="G2453" i="2" s="1"/>
  <c r="H2453" i="2" a="1"/>
  <c r="H2453" i="2" s="1"/>
  <c r="H2445" i="2" a="1"/>
  <c r="H2445" i="2" s="1"/>
  <c r="G2445" i="2" a="1"/>
  <c r="G2445" i="2" s="1"/>
  <c r="H2437" i="2" a="1"/>
  <c r="H2437" i="2" s="1"/>
  <c r="G2437" i="2" a="1"/>
  <c r="G2437" i="2" s="1"/>
  <c r="H2414" i="2" a="1"/>
  <c r="H2414" i="2" s="1"/>
  <c r="G2414" i="2" a="1"/>
  <c r="G2414" i="2" s="1"/>
  <c r="H2315" i="2" a="1"/>
  <c r="H2315" i="2" s="1"/>
  <c r="G2315" i="2" a="1"/>
  <c r="G2315" i="2" s="1"/>
  <c r="H2298" i="2" a="1"/>
  <c r="H2298" i="2" s="1"/>
  <c r="G2298" i="2" a="1"/>
  <c r="G2298" i="2" s="1"/>
  <c r="G2080" i="2" a="1"/>
  <c r="G2080" i="2" s="1"/>
  <c r="H2080" i="2" a="1"/>
  <c r="H2080" i="2" s="1"/>
  <c r="H2071" i="2" a="1"/>
  <c r="H2071" i="2" s="1"/>
  <c r="G2071" i="2" a="1"/>
  <c r="G2071" i="2" s="1"/>
  <c r="H2054" i="2" a="1"/>
  <c r="H2054" i="2" s="1"/>
  <c r="G2054" i="2" a="1"/>
  <c r="G2054" i="2" s="1"/>
  <c r="H2039" i="2" a="1"/>
  <c r="H2039" i="2" s="1"/>
  <c r="G2039" i="2" a="1"/>
  <c r="G2039" i="2" s="1"/>
  <c r="G2024" i="2" a="1"/>
  <c r="G2024" i="2" s="1"/>
  <c r="H2024" i="2" a="1"/>
  <c r="H2024" i="2" s="1"/>
  <c r="H1999" i="2" a="1"/>
  <c r="H1999" i="2" s="1"/>
  <c r="G1999" i="2" a="1"/>
  <c r="G1999" i="2" s="1"/>
  <c r="H978" i="2" a="1"/>
  <c r="H978" i="2" s="1"/>
  <c r="G978" i="2" a="1"/>
  <c r="G978" i="2" s="1"/>
  <c r="H849" i="2" a="1"/>
  <c r="H849" i="2" s="1"/>
  <c r="G849" i="2" a="1"/>
  <c r="G849" i="2" s="1"/>
  <c r="H450" i="2" a="1"/>
  <c r="H450" i="2" s="1"/>
  <c r="G450" i="2" a="1"/>
  <c r="G450" i="2" s="1"/>
  <c r="H432" i="2" a="1"/>
  <c r="H432" i="2" s="1"/>
  <c r="G432" i="2" a="1"/>
  <c r="G432" i="2" s="1"/>
  <c r="H342" i="2" a="1"/>
  <c r="H342" i="2" s="1"/>
  <c r="G342" i="2" a="1"/>
  <c r="G342" i="2" s="1"/>
  <c r="H323" i="2" a="1"/>
  <c r="H323" i="2" s="1"/>
  <c r="G323" i="2" a="1"/>
  <c r="G323" i="2" s="1"/>
  <c r="H287" i="2" a="1"/>
  <c r="H287" i="2" s="1"/>
  <c r="G287" i="2" a="1"/>
  <c r="G287" i="2" s="1"/>
  <c r="H178" i="2" a="1"/>
  <c r="H178" i="2" s="1"/>
  <c r="G178" i="2" a="1"/>
  <c r="G178" i="2" s="1"/>
  <c r="H115" i="2" a="1"/>
  <c r="H115" i="2" s="1"/>
  <c r="G115" i="2" a="1"/>
  <c r="G115" i="2" s="1"/>
  <c r="E553" i="6" a="1"/>
  <c r="E553" i="6" s="1"/>
  <c r="H2716" i="2" a="1"/>
  <c r="H2716" i="2" s="1"/>
  <c r="G2716" i="2" a="1"/>
  <c r="G2716" i="2" s="1"/>
  <c r="H2579" i="2" a="1"/>
  <c r="H2579" i="2" s="1"/>
  <c r="G2579" i="2" a="1"/>
  <c r="G2579" i="2" s="1"/>
  <c r="H2452" i="2" a="1"/>
  <c r="H2452" i="2" s="1"/>
  <c r="G2452" i="2" a="1"/>
  <c r="G2452" i="2" s="1"/>
  <c r="H2429" i="2" a="1"/>
  <c r="H2429" i="2" s="1"/>
  <c r="G2429" i="2" a="1"/>
  <c r="G2429" i="2" s="1"/>
  <c r="H2373" i="2" a="1"/>
  <c r="H2373" i="2" s="1"/>
  <c r="G2373" i="2" a="1"/>
  <c r="G2373" i="2" s="1"/>
  <c r="H2365" i="2" a="1"/>
  <c r="H2365" i="2" s="1"/>
  <c r="G2365" i="2" a="1"/>
  <c r="G2365" i="2" s="1"/>
  <c r="H2153" i="2" a="1"/>
  <c r="H2153" i="2" s="1"/>
  <c r="G2153" i="2" a="1"/>
  <c r="G2153" i="2" s="1"/>
  <c r="H2061" i="2" a="1"/>
  <c r="H2061" i="2" s="1"/>
  <c r="G2061" i="2" a="1"/>
  <c r="G2061" i="2" s="1"/>
  <c r="H1429" i="2" a="1"/>
  <c r="H1429" i="2" s="1"/>
  <c r="G1429" i="2" a="1"/>
  <c r="G1429" i="2" s="1"/>
  <c r="H1308" i="2" a="1"/>
  <c r="H1308" i="2" s="1"/>
  <c r="G1308" i="2" a="1"/>
  <c r="G1308" i="2" s="1"/>
  <c r="H840" i="2" a="1"/>
  <c r="H840" i="2" s="1"/>
  <c r="G840" i="2" a="1"/>
  <c r="G840" i="2" s="1"/>
  <c r="H639" i="2" a="1"/>
  <c r="H639" i="2" s="1"/>
  <c r="G639" i="2" a="1"/>
  <c r="G639" i="2" s="1"/>
  <c r="F271" i="6" a="1"/>
  <c r="F271" i="6" s="1"/>
  <c r="E271" i="6" a="1"/>
  <c r="E271" i="6" s="1"/>
  <c r="E222" i="6" a="1"/>
  <c r="E222" i="6" s="1"/>
  <c r="F107" i="6" a="1"/>
  <c r="F107" i="6" s="1"/>
  <c r="G1951" i="2" a="1"/>
  <c r="G1951" i="2" s="1"/>
  <c r="H1951" i="2" a="1"/>
  <c r="H1951" i="2" s="1"/>
  <c r="H1873" i="2" a="1"/>
  <c r="H1873" i="2" s="1"/>
  <c r="G1873" i="2" a="1"/>
  <c r="G1873" i="2" s="1"/>
  <c r="H1847" i="2" a="1"/>
  <c r="H1847" i="2" s="1"/>
  <c r="G1847" i="2" a="1"/>
  <c r="G1847" i="2" s="1"/>
  <c r="H1282" i="2" a="1"/>
  <c r="H1282" i="2" s="1"/>
  <c r="G1282" i="2" a="1"/>
  <c r="G1282" i="2" s="1"/>
  <c r="H1180" i="2" a="1"/>
  <c r="H1180" i="2" s="1"/>
  <c r="G1180" i="2" a="1"/>
  <c r="G1180" i="2" s="1"/>
  <c r="H941" i="2" a="1"/>
  <c r="H941" i="2" s="1"/>
  <c r="G941" i="2" a="1"/>
  <c r="G941" i="2" s="1"/>
  <c r="H856" i="2" a="1"/>
  <c r="H856" i="2" s="1"/>
  <c r="G856" i="2" a="1"/>
  <c r="G856" i="2" s="1"/>
  <c r="H313" i="2" a="1"/>
  <c r="H313" i="2" s="1"/>
  <c r="G313" i="2" a="1"/>
  <c r="G313" i="2" s="1"/>
  <c r="G2780" i="2" a="1"/>
  <c r="G2780" i="2" s="1"/>
  <c r="G2628" i="2" a="1"/>
  <c r="G2628" i="2" s="1"/>
  <c r="G2533" i="2" a="1"/>
  <c r="G2533" i="2" s="1"/>
  <c r="F543" i="6" a="1"/>
  <c r="F543" i="6" s="1"/>
  <c r="E543" i="6" a="1"/>
  <c r="E543" i="6" s="1"/>
  <c r="E550" i="6" a="1"/>
  <c r="E550" i="6" s="1"/>
  <c r="E405" i="6" a="1"/>
  <c r="E405" i="6" s="1"/>
  <c r="E312" i="6" a="1"/>
  <c r="E312" i="6" s="1"/>
  <c r="G312" i="6" s="1"/>
  <c r="E284" i="6" a="1"/>
  <c r="E284" i="6" s="1"/>
  <c r="G284" i="6" s="1"/>
  <c r="E256" i="6" a="1"/>
  <c r="E256" i="6" s="1"/>
  <c r="E238" i="6" a="1"/>
  <c r="E238" i="6" s="1"/>
  <c r="G238" i="6" s="1"/>
  <c r="E210" i="6" a="1"/>
  <c r="E210" i="6" s="1"/>
  <c r="G210" i="6" s="1"/>
  <c r="E191" i="6" a="1"/>
  <c r="E191" i="6" s="1"/>
  <c r="G191" i="6" s="1"/>
  <c r="E163" i="6" a="1"/>
  <c r="E163" i="6" s="1"/>
  <c r="G163" i="6" s="1"/>
  <c r="E145" i="6" a="1"/>
  <c r="E145" i="6" s="1"/>
  <c r="G145" i="6" s="1"/>
  <c r="E127" i="6" a="1"/>
  <c r="E127" i="6" s="1"/>
  <c r="G127" i="6" s="1"/>
  <c r="E99" i="6" a="1"/>
  <c r="E99" i="6" s="1"/>
  <c r="G99" i="6" s="1"/>
  <c r="E80" i="6" a="1"/>
  <c r="E80" i="6" s="1"/>
  <c r="E43" i="6" a="1"/>
  <c r="E43" i="6" s="1"/>
  <c r="G43" i="6" s="1"/>
  <c r="E16" i="6" a="1"/>
  <c r="E16" i="6" s="1"/>
  <c r="G16" i="6" s="1"/>
  <c r="F557" i="6" a="1"/>
  <c r="F557" i="6" s="1"/>
  <c r="F495" i="6" a="1"/>
  <c r="F495" i="6" s="1"/>
  <c r="F476" i="6" a="1"/>
  <c r="F476" i="6" s="1"/>
  <c r="F372" i="6" a="1"/>
  <c r="F372" i="6" s="1"/>
  <c r="G372" i="6" s="1"/>
  <c r="F344" i="6" a="1"/>
  <c r="F344" i="6" s="1"/>
  <c r="F301" i="6" a="1"/>
  <c r="F301" i="6" s="1"/>
  <c r="G301" i="6" s="1"/>
  <c r="F224" i="6" a="1"/>
  <c r="F224" i="6" s="1"/>
  <c r="V47" i="14" s="1"/>
  <c r="F214" i="6" a="1"/>
  <c r="F214" i="6" s="1"/>
  <c r="G214" i="6" s="1"/>
  <c r="F166" i="6" a="1"/>
  <c r="F166" i="6" s="1"/>
  <c r="G166" i="6" s="1"/>
  <c r="F56" i="6" a="1"/>
  <c r="F56" i="6" s="1"/>
  <c r="G56" i="6" s="1"/>
  <c r="G2753" i="2" a="1"/>
  <c r="G2753" i="2" s="1"/>
  <c r="H2753" i="2" a="1"/>
  <c r="H2753" i="2" s="1"/>
  <c r="H2722" i="2" a="1"/>
  <c r="H2722" i="2" s="1"/>
  <c r="G2722" i="2" a="1"/>
  <c r="G2722" i="2" s="1"/>
  <c r="H2665" i="2" a="1"/>
  <c r="H2665" i="2" s="1"/>
  <c r="G2665" i="2" a="1"/>
  <c r="G2665" i="2" s="1"/>
  <c r="H2640" i="2" a="1"/>
  <c r="H2640" i="2" s="1"/>
  <c r="G2640" i="2" a="1"/>
  <c r="G2640" i="2" s="1"/>
  <c r="H2633" i="2" a="1"/>
  <c r="H2633" i="2" s="1"/>
  <c r="G2633" i="2" a="1"/>
  <c r="G2633" i="2" s="1"/>
  <c r="H2618" i="2" a="1"/>
  <c r="H2618" i="2" s="1"/>
  <c r="G2618" i="2" a="1"/>
  <c r="G2618" i="2" s="1"/>
  <c r="H2585" i="2" a="1"/>
  <c r="H2585" i="2" s="1"/>
  <c r="G2585" i="2" a="1"/>
  <c r="G2585" i="2" s="1"/>
  <c r="H2575" i="2" a="1"/>
  <c r="H2575" i="2" s="1"/>
  <c r="G2575" i="2" a="1"/>
  <c r="G2575" i="2" s="1"/>
  <c r="H2567" i="2" a="1"/>
  <c r="H2567" i="2" s="1"/>
  <c r="G2567" i="2" a="1"/>
  <c r="G2567" i="2" s="1"/>
  <c r="H2551" i="2" a="1"/>
  <c r="H2551" i="2" s="1"/>
  <c r="G2551" i="2" a="1"/>
  <c r="G2551" i="2" s="1"/>
  <c r="H2544" i="2" a="1"/>
  <c r="H2544" i="2" s="1"/>
  <c r="G2544" i="2" a="1"/>
  <c r="G2544" i="2" s="1"/>
  <c r="H2537" i="2" a="1"/>
  <c r="H2537" i="2" s="1"/>
  <c r="G2537" i="2" a="1"/>
  <c r="G2537" i="2" s="1"/>
  <c r="G2529" i="2" a="1"/>
  <c r="G2529" i="2" s="1"/>
  <c r="H2529" i="2" a="1"/>
  <c r="H2529" i="2" s="1"/>
  <c r="G2387" i="2" a="1"/>
  <c r="G2387" i="2" s="1"/>
  <c r="H2387" i="2" a="1"/>
  <c r="H2387" i="2" s="1"/>
  <c r="H2353" i="2" a="1"/>
  <c r="H2353" i="2" s="1"/>
  <c r="G2353" i="2" a="1"/>
  <c r="G2353" i="2" s="1"/>
  <c r="H2343" i="2" a="1"/>
  <c r="H2343" i="2" s="1"/>
  <c r="G2343" i="2" a="1"/>
  <c r="G2343" i="2" s="1"/>
  <c r="H2269" i="2" a="1"/>
  <c r="H2269" i="2" s="1"/>
  <c r="G2269" i="2" a="1"/>
  <c r="G2269" i="2" s="1"/>
  <c r="H2181" i="2" a="1"/>
  <c r="H2181" i="2" s="1"/>
  <c r="G2181" i="2" a="1"/>
  <c r="G2181" i="2" s="1"/>
  <c r="H2166" i="2" a="1"/>
  <c r="H2166" i="2" s="1"/>
  <c r="G2166" i="2" a="1"/>
  <c r="G2166" i="2" s="1"/>
  <c r="H2149" i="2" a="1"/>
  <c r="H2149" i="2" s="1"/>
  <c r="G2149" i="2" a="1"/>
  <c r="G2149" i="2" s="1"/>
  <c r="H2141" i="2" a="1"/>
  <c r="H2141" i="2" s="1"/>
  <c r="G2141" i="2" a="1"/>
  <c r="G2141" i="2" s="1"/>
  <c r="H2131" i="2" a="1"/>
  <c r="H2131" i="2" s="1"/>
  <c r="G2131" i="2" a="1"/>
  <c r="G2131" i="2" s="1"/>
  <c r="G2115" i="2" a="1"/>
  <c r="G2115" i="2" s="1"/>
  <c r="H2115" i="2" a="1"/>
  <c r="H2115" i="2" s="1"/>
  <c r="G2107" i="2" a="1"/>
  <c r="G2107" i="2" s="1"/>
  <c r="H2107" i="2" a="1"/>
  <c r="H2107" i="2" s="1"/>
  <c r="H2067" i="2" a="1"/>
  <c r="H2067" i="2" s="1"/>
  <c r="G2067" i="2" a="1"/>
  <c r="G2067" i="2" s="1"/>
  <c r="H2028" i="2" a="1"/>
  <c r="H2028" i="2" s="1"/>
  <c r="G2028" i="2" a="1"/>
  <c r="G2028" i="2" s="1"/>
  <c r="G2020" i="2" a="1"/>
  <c r="G2020" i="2" s="1"/>
  <c r="H2020" i="2" a="1"/>
  <c r="H2020" i="2" s="1"/>
  <c r="H2012" i="2" a="1"/>
  <c r="H2012" i="2" s="1"/>
  <c r="G2012" i="2" a="1"/>
  <c r="G2012" i="2" s="1"/>
  <c r="H2004" i="2" a="1"/>
  <c r="H2004" i="2" s="1"/>
  <c r="G2004" i="2" a="1"/>
  <c r="G2004" i="2" s="1"/>
  <c r="H1980" i="2" a="1"/>
  <c r="H1980" i="2" s="1"/>
  <c r="G1980" i="2" a="1"/>
  <c r="G1980" i="2" s="1"/>
  <c r="H1949" i="2" a="1"/>
  <c r="H1949" i="2" s="1"/>
  <c r="G1949" i="2" a="1"/>
  <c r="G1949" i="2" s="1"/>
  <c r="H1932" i="2" a="1"/>
  <c r="H1932" i="2" s="1"/>
  <c r="G1932" i="2" a="1"/>
  <c r="G1932" i="2" s="1"/>
  <c r="H1886" i="2" a="1"/>
  <c r="H1886" i="2" s="1"/>
  <c r="G1886" i="2" a="1"/>
  <c r="G1886" i="2" s="1"/>
  <c r="H1871" i="2" a="1"/>
  <c r="H1871" i="2" s="1"/>
  <c r="G1871" i="2" a="1"/>
  <c r="G1871" i="2" s="1"/>
  <c r="G1861" i="2" a="1"/>
  <c r="G1861" i="2" s="1"/>
  <c r="H1861" i="2" a="1"/>
  <c r="H1861" i="2" s="1"/>
  <c r="H1845" i="2" a="1"/>
  <c r="H1845" i="2" s="1"/>
  <c r="G1845" i="2" a="1"/>
  <c r="G1845" i="2" s="1"/>
  <c r="H1837" i="2" a="1"/>
  <c r="H1837" i="2" s="1"/>
  <c r="G1837" i="2" a="1"/>
  <c r="G1837" i="2" s="1"/>
  <c r="G1830" i="2" a="1"/>
  <c r="G1830" i="2" s="1"/>
  <c r="H1830" i="2" a="1"/>
  <c r="H1830" i="2" s="1"/>
  <c r="H1789" i="2" a="1"/>
  <c r="H1789" i="2" s="1"/>
  <c r="G1789" i="2" a="1"/>
  <c r="G1789" i="2" s="1"/>
  <c r="H1779" i="2" a="1"/>
  <c r="H1779" i="2" s="1"/>
  <c r="G1779" i="2" a="1"/>
  <c r="G1779" i="2" s="1"/>
  <c r="H1770" i="2" a="1"/>
  <c r="H1770" i="2" s="1"/>
  <c r="G1770" i="2" a="1"/>
  <c r="G1770" i="2" s="1"/>
  <c r="H1754" i="2" a="1"/>
  <c r="H1754" i="2" s="1"/>
  <c r="G1754" i="2" a="1"/>
  <c r="G1754" i="2" s="1"/>
  <c r="H1734" i="2" a="1"/>
  <c r="H1734" i="2" s="1"/>
  <c r="G1734" i="2" a="1"/>
  <c r="G1734" i="2" s="1"/>
  <c r="H1711" i="2" a="1"/>
  <c r="H1711" i="2" s="1"/>
  <c r="G1711" i="2" a="1"/>
  <c r="G1711" i="2" s="1"/>
  <c r="H1675" i="2" a="1"/>
  <c r="H1675" i="2" s="1"/>
  <c r="G1675" i="2" a="1"/>
  <c r="G1675" i="2" s="1"/>
  <c r="H1659" i="2" a="1"/>
  <c r="H1659" i="2" s="1"/>
  <c r="G1659" i="2" a="1"/>
  <c r="G1659" i="2" s="1"/>
  <c r="H1641" i="2" a="1"/>
  <c r="H1641" i="2" s="1"/>
  <c r="G1641" i="2" a="1"/>
  <c r="G1641" i="2" s="1"/>
  <c r="H1633" i="2" a="1"/>
  <c r="H1633" i="2" s="1"/>
  <c r="G1633" i="2" a="1"/>
  <c r="G1633" i="2" s="1"/>
  <c r="H1625" i="2" a="1"/>
  <c r="H1625" i="2" s="1"/>
  <c r="G1625" i="2" a="1"/>
  <c r="G1625" i="2" s="1"/>
  <c r="H1605" i="2" a="1"/>
  <c r="H1605" i="2" s="1"/>
  <c r="G1605" i="2" a="1"/>
  <c r="G1605" i="2" s="1"/>
  <c r="H1597" i="2" a="1"/>
  <c r="H1597" i="2" s="1"/>
  <c r="G1597" i="2" a="1"/>
  <c r="G1597" i="2" s="1"/>
  <c r="H1566" i="2" a="1"/>
  <c r="H1566" i="2" s="1"/>
  <c r="G1566" i="2" a="1"/>
  <c r="G1566" i="2" s="1"/>
  <c r="H1532" i="2" a="1"/>
  <c r="H1532" i="2" s="1"/>
  <c r="G1532" i="2" a="1"/>
  <c r="G1532" i="2" s="1"/>
  <c r="G1514" i="2" a="1"/>
  <c r="G1514" i="2" s="1"/>
  <c r="H1514" i="2" a="1"/>
  <c r="H1514" i="2" s="1"/>
  <c r="H1497" i="2" a="1"/>
  <c r="H1497" i="2" s="1"/>
  <c r="G1497" i="2" a="1"/>
  <c r="G1497" i="2" s="1"/>
  <c r="H1462" i="2" a="1"/>
  <c r="H1462" i="2" s="1"/>
  <c r="G1462" i="2" a="1"/>
  <c r="G1462" i="2" s="1"/>
  <c r="H1400" i="2" a="1"/>
  <c r="H1400" i="2" s="1"/>
  <c r="G1400" i="2" a="1"/>
  <c r="G1400" i="2" s="1"/>
  <c r="H1367" i="2" a="1"/>
  <c r="H1367" i="2" s="1"/>
  <c r="G1367" i="2" a="1"/>
  <c r="G1367" i="2" s="1"/>
  <c r="H1358" i="2" a="1"/>
  <c r="H1358" i="2" s="1"/>
  <c r="G1358" i="2" a="1"/>
  <c r="G1358" i="2" s="1"/>
  <c r="H1332" i="2" a="1"/>
  <c r="H1332" i="2" s="1"/>
  <c r="G1332" i="2" a="1"/>
  <c r="G1332" i="2" s="1"/>
  <c r="H1323" i="2" a="1"/>
  <c r="H1323" i="2" s="1"/>
  <c r="G1323" i="2" a="1"/>
  <c r="G1323" i="2" s="1"/>
  <c r="H1288" i="2" a="1"/>
  <c r="H1288" i="2" s="1"/>
  <c r="G1288" i="2" a="1"/>
  <c r="G1288" i="2" s="1"/>
  <c r="H1279" i="2" a="1"/>
  <c r="H1279" i="2" s="1"/>
  <c r="G1279" i="2" a="1"/>
  <c r="G1279" i="2" s="1"/>
  <c r="H1243" i="2" a="1"/>
  <c r="H1243" i="2" s="1"/>
  <c r="G1243" i="2" a="1"/>
  <c r="G1243" i="2" s="1"/>
  <c r="H1187" i="2" a="1"/>
  <c r="H1187" i="2" s="1"/>
  <c r="G1187" i="2" a="1"/>
  <c r="G1187" i="2" s="1"/>
  <c r="H1178" i="2" a="1"/>
  <c r="H1178" i="2" s="1"/>
  <c r="G1178" i="2" a="1"/>
  <c r="G1178" i="2" s="1"/>
  <c r="H1169" i="2" a="1"/>
  <c r="H1169" i="2" s="1"/>
  <c r="G1169" i="2" a="1"/>
  <c r="G1169" i="2" s="1"/>
  <c r="H1160" i="2" a="1"/>
  <c r="H1160" i="2" s="1"/>
  <c r="G1160" i="2" a="1"/>
  <c r="G1160" i="2" s="1"/>
  <c r="H1143" i="2" a="1"/>
  <c r="H1143" i="2" s="1"/>
  <c r="G1143" i="2" a="1"/>
  <c r="G1143" i="2" s="1"/>
  <c r="H1135" i="2" a="1"/>
  <c r="H1135" i="2" s="1"/>
  <c r="G1135" i="2" a="1"/>
  <c r="G1135" i="2" s="1"/>
  <c r="H1099" i="2" a="1"/>
  <c r="H1099" i="2" s="1"/>
  <c r="G1099" i="2" a="1"/>
  <c r="G1099" i="2" s="1"/>
  <c r="H1055" i="2" a="1"/>
  <c r="H1055" i="2" s="1"/>
  <c r="G1055" i="2" a="1"/>
  <c r="G1055" i="2" s="1"/>
  <c r="H1039" i="2" a="1"/>
  <c r="H1039" i="2" s="1"/>
  <c r="G1039" i="2" a="1"/>
  <c r="G1039" i="2" s="1"/>
  <c r="H1028" i="2" a="1"/>
  <c r="H1028" i="2" s="1"/>
  <c r="G1028" i="2" a="1"/>
  <c r="G1028" i="2" s="1"/>
  <c r="H1010" i="2" a="1"/>
  <c r="H1010" i="2" s="1"/>
  <c r="G1010" i="2" a="1"/>
  <c r="G1010" i="2" s="1"/>
  <c r="H983" i="2" a="1"/>
  <c r="H983" i="2" s="1"/>
  <c r="G983" i="2" a="1"/>
  <c r="G983" i="2" s="1"/>
  <c r="H965" i="2" a="1"/>
  <c r="H965" i="2" s="1"/>
  <c r="G965" i="2" a="1"/>
  <c r="G965" i="2" s="1"/>
  <c r="H956" i="2" a="1"/>
  <c r="H956" i="2" s="1"/>
  <c r="G956" i="2" a="1"/>
  <c r="G956" i="2" s="1"/>
  <c r="H948" i="2" a="1"/>
  <c r="H948" i="2" s="1"/>
  <c r="G948" i="2" a="1"/>
  <c r="G948" i="2" s="1"/>
  <c r="H939" i="2" a="1"/>
  <c r="H939" i="2" s="1"/>
  <c r="G939" i="2" a="1"/>
  <c r="G939" i="2" s="1"/>
  <c r="H914" i="2" a="1"/>
  <c r="H914" i="2" s="1"/>
  <c r="G914" i="2" a="1"/>
  <c r="G914" i="2" s="1"/>
  <c r="H905" i="2" a="1"/>
  <c r="H905" i="2" s="1"/>
  <c r="G905" i="2" a="1"/>
  <c r="G905" i="2" s="1"/>
  <c r="H872" i="2" a="1"/>
  <c r="H872" i="2" s="1"/>
  <c r="G872" i="2" a="1"/>
  <c r="G872" i="2" s="1"/>
  <c r="H804" i="2" a="1"/>
  <c r="H804" i="2" s="1"/>
  <c r="G804" i="2" a="1"/>
  <c r="G804" i="2" s="1"/>
  <c r="H744" i="2" a="1"/>
  <c r="H744" i="2" s="1"/>
  <c r="G744" i="2" a="1"/>
  <c r="G744" i="2" s="1"/>
  <c r="H734" i="2" a="1"/>
  <c r="H734" i="2" s="1"/>
  <c r="G734" i="2" a="1"/>
  <c r="G734" i="2" s="1"/>
  <c r="H725" i="2" a="1"/>
  <c r="H725" i="2" s="1"/>
  <c r="G725" i="2" a="1"/>
  <c r="G725" i="2" s="1"/>
  <c r="H698" i="2" a="1"/>
  <c r="H698" i="2" s="1"/>
  <c r="G698" i="2" a="1"/>
  <c r="G698" i="2" s="1"/>
  <c r="H689" i="2" a="1"/>
  <c r="H689" i="2" s="1"/>
  <c r="G689" i="2" a="1"/>
  <c r="G689" i="2" s="1"/>
  <c r="H654" i="2" a="1"/>
  <c r="H654" i="2" s="1"/>
  <c r="G654" i="2" a="1"/>
  <c r="G654" i="2" s="1"/>
  <c r="H645" i="2" a="1"/>
  <c r="H645" i="2" s="1"/>
  <c r="G645" i="2" a="1"/>
  <c r="G645" i="2" s="1"/>
  <c r="H628" i="2" a="1"/>
  <c r="H628" i="2" s="1"/>
  <c r="G628" i="2" a="1"/>
  <c r="G628" i="2" s="1"/>
  <c r="H611" i="2" a="1"/>
  <c r="H611" i="2" s="1"/>
  <c r="G611" i="2" a="1"/>
  <c r="G611" i="2" s="1"/>
  <c r="H602" i="2" a="1"/>
  <c r="H602" i="2" s="1"/>
  <c r="G602" i="2" a="1"/>
  <c r="G602" i="2" s="1"/>
  <c r="H520" i="2" a="1"/>
  <c r="H520" i="2" s="1"/>
  <c r="G520" i="2" a="1"/>
  <c r="G520" i="2" s="1"/>
  <c r="H502" i="2" a="1"/>
  <c r="H502" i="2" s="1"/>
  <c r="G502" i="2" a="1"/>
  <c r="G502" i="2" s="1"/>
  <c r="H494" i="2" a="1"/>
  <c r="H494" i="2" s="1"/>
  <c r="G494" i="2" a="1"/>
  <c r="G494" i="2" s="1"/>
  <c r="H486" i="2" a="1"/>
  <c r="H486" i="2" s="1"/>
  <c r="G486" i="2" a="1"/>
  <c r="G486" i="2" s="1"/>
  <c r="H477" i="2" a="1"/>
  <c r="H477" i="2" s="1"/>
  <c r="G477" i="2" a="1"/>
  <c r="G477" i="2" s="1"/>
  <c r="G456" i="2" a="1"/>
  <c r="G456" i="2" s="1"/>
  <c r="H456" i="2" a="1"/>
  <c r="H456" i="2" s="1"/>
  <c r="H438" i="2" a="1"/>
  <c r="H438" i="2" s="1"/>
  <c r="G438" i="2" a="1"/>
  <c r="G438" i="2" s="1"/>
  <c r="H401" i="2" a="1"/>
  <c r="H401" i="2" s="1"/>
  <c r="G401" i="2" a="1"/>
  <c r="G401" i="2" s="1"/>
  <c r="H384" i="2" a="1"/>
  <c r="H384" i="2" s="1"/>
  <c r="G384" i="2" a="1"/>
  <c r="G384" i="2" s="1"/>
  <c r="G365" i="2" a="1"/>
  <c r="G365" i="2" s="1"/>
  <c r="H365" i="2" a="1"/>
  <c r="H365" i="2" s="1"/>
  <c r="I365" i="2" s="1"/>
  <c r="H319" i="2" a="1"/>
  <c r="H319" i="2" s="1"/>
  <c r="G319" i="2" a="1"/>
  <c r="G319" i="2" s="1"/>
  <c r="H310" i="2" a="1"/>
  <c r="H310" i="2" s="1"/>
  <c r="G310" i="2" a="1"/>
  <c r="G310" i="2" s="1"/>
  <c r="H265" i="2" a="1"/>
  <c r="H265" i="2" s="1"/>
  <c r="G265" i="2" a="1"/>
  <c r="G265" i="2" s="1"/>
  <c r="H245" i="2" a="1"/>
  <c r="H245" i="2" s="1"/>
  <c r="G245" i="2" a="1"/>
  <c r="G245" i="2" s="1"/>
  <c r="H237" i="2" a="1"/>
  <c r="H237" i="2" s="1"/>
  <c r="G237" i="2" a="1"/>
  <c r="G237" i="2" s="1"/>
  <c r="H219" i="2" a="1"/>
  <c r="H219" i="2" s="1"/>
  <c r="G219" i="2" a="1"/>
  <c r="G219" i="2" s="1"/>
  <c r="H120" i="2" a="1"/>
  <c r="H120" i="2" s="1"/>
  <c r="G120" i="2" a="1"/>
  <c r="G120" i="2" s="1"/>
  <c r="H86" i="2" a="1"/>
  <c r="H86" i="2" s="1"/>
  <c r="G86" i="2" a="1"/>
  <c r="G86" i="2" s="1"/>
  <c r="H78" i="2" a="1"/>
  <c r="H78" i="2" s="1"/>
  <c r="G78" i="2" a="1"/>
  <c r="G78" i="2" s="1"/>
  <c r="H50" i="2" a="1"/>
  <c r="H50" i="2" s="1"/>
  <c r="G50" i="2" a="1"/>
  <c r="G50" i="2" s="1"/>
  <c r="H42" i="2" a="1"/>
  <c r="H42" i="2" s="1"/>
  <c r="G42" i="2" a="1"/>
  <c r="G42" i="2" s="1"/>
  <c r="H16" i="2" a="1"/>
  <c r="H16" i="2" s="1"/>
  <c r="G16" i="2" a="1"/>
  <c r="G16" i="2" s="1"/>
  <c r="H7" i="2" a="1"/>
  <c r="H7" i="2" s="1"/>
  <c r="G7" i="2" a="1"/>
  <c r="G7" i="2" s="1"/>
  <c r="G2664" i="2" a="1"/>
  <c r="G2664" i="2" s="1"/>
  <c r="G2620" i="2" a="1"/>
  <c r="G2620" i="2" s="1"/>
  <c r="G2570" i="2" a="1"/>
  <c r="G2570" i="2" s="1"/>
  <c r="G2036" i="2" a="1"/>
  <c r="G2036" i="2" s="1"/>
  <c r="G1914" i="2" a="1"/>
  <c r="G1914" i="2" s="1"/>
  <c r="G1771" i="2" a="1"/>
  <c r="G1771" i="2" s="1"/>
  <c r="G1634" i="2" a="1"/>
  <c r="G1634" i="2" s="1"/>
  <c r="G1559" i="2" a="1"/>
  <c r="G1559" i="2" s="1"/>
  <c r="G1482" i="2" a="1"/>
  <c r="G1482" i="2" s="1"/>
  <c r="G1404" i="2" a="1"/>
  <c r="G1404" i="2" s="1"/>
  <c r="G1022" i="2" a="1"/>
  <c r="G1022" i="2" s="1"/>
  <c r="G884" i="2" a="1"/>
  <c r="G884" i="2" s="1"/>
  <c r="G632" i="2" a="1"/>
  <c r="G632" i="2" s="1"/>
  <c r="I632" i="2" s="1"/>
  <c r="G491" i="2" a="1"/>
  <c r="G491" i="2" s="1"/>
  <c r="G264" i="2" a="1"/>
  <c r="G264" i="2" s="1"/>
  <c r="G8" i="2" a="1"/>
  <c r="G8" i="2" s="1"/>
  <c r="I8" i="2" s="1"/>
  <c r="H2650" i="2" a="1"/>
  <c r="H2650" i="2" s="1"/>
  <c r="H1554" i="2" a="1"/>
  <c r="H1554" i="2" s="1"/>
  <c r="G1554" i="2" a="1"/>
  <c r="G1554" i="2" s="1"/>
  <c r="H1451" i="2" a="1"/>
  <c r="H1451" i="2" s="1"/>
  <c r="G1451" i="2" a="1"/>
  <c r="G1451" i="2" s="1"/>
  <c r="H1374" i="2" a="1"/>
  <c r="H1374" i="2" s="1"/>
  <c r="G1374" i="2" a="1"/>
  <c r="G1374" i="2" s="1"/>
  <c r="H1364" i="2" a="1"/>
  <c r="H1364" i="2" s="1"/>
  <c r="G1364" i="2" a="1"/>
  <c r="G1364" i="2" s="1"/>
  <c r="H1356" i="2" a="1"/>
  <c r="H1356" i="2" s="1"/>
  <c r="G1356" i="2" a="1"/>
  <c r="G1356" i="2" s="1"/>
  <c r="H1267" i="2" a="1"/>
  <c r="H1267" i="2" s="1"/>
  <c r="G1267" i="2" a="1"/>
  <c r="G1267" i="2" s="1"/>
  <c r="H1123" i="2" a="1"/>
  <c r="H1123" i="2" s="1"/>
  <c r="G1123" i="2" a="1"/>
  <c r="G1123" i="2" s="1"/>
  <c r="H1115" i="2" a="1"/>
  <c r="H1115" i="2" s="1"/>
  <c r="G1115" i="2" a="1"/>
  <c r="G1115" i="2" s="1"/>
  <c r="H1096" i="2" a="1"/>
  <c r="H1096" i="2" s="1"/>
  <c r="G1096" i="2" a="1"/>
  <c r="G1096" i="2" s="1"/>
  <c r="H826" i="2" a="1"/>
  <c r="H826" i="2" s="1"/>
  <c r="G826" i="2" a="1"/>
  <c r="G826" i="2" s="1"/>
  <c r="H768" i="2" a="1"/>
  <c r="H768" i="2" s="1"/>
  <c r="G768" i="2" a="1"/>
  <c r="G768" i="2" s="1"/>
  <c r="H660" i="2" a="1"/>
  <c r="H660" i="2" s="1"/>
  <c r="G660" i="2" a="1"/>
  <c r="G660" i="2" s="1"/>
  <c r="H419" i="2" a="1"/>
  <c r="H419" i="2" s="1"/>
  <c r="G419" i="2" a="1"/>
  <c r="G419" i="2" s="1"/>
  <c r="H408" i="2" a="1"/>
  <c r="H408" i="2" s="1"/>
  <c r="G408" i="2" a="1"/>
  <c r="G408" i="2" s="1"/>
  <c r="F461" i="6" a="1"/>
  <c r="F461" i="6" s="1"/>
  <c r="E461" i="6" a="1"/>
  <c r="E461" i="6" s="1"/>
  <c r="G2670" i="2" a="1"/>
  <c r="G2670" i="2" s="1"/>
  <c r="H2670" i="2" a="1"/>
  <c r="H2670" i="2" s="1"/>
  <c r="H2581" i="2" a="1"/>
  <c r="H2581" i="2" s="1"/>
  <c r="G2581" i="2" a="1"/>
  <c r="G2581" i="2" s="1"/>
  <c r="G2534" i="2" a="1"/>
  <c r="G2534" i="2" s="1"/>
  <c r="H2534" i="2" a="1"/>
  <c r="H2534" i="2" s="1"/>
  <c r="H2518" i="2" a="1"/>
  <c r="H2518" i="2" s="1"/>
  <c r="G2518" i="2" a="1"/>
  <c r="G2518" i="2" s="1"/>
  <c r="H2349" i="2" a="1"/>
  <c r="H2349" i="2" s="1"/>
  <c r="G2349" i="2" a="1"/>
  <c r="G2349" i="2" s="1"/>
  <c r="H2331" i="2" a="1"/>
  <c r="H2331" i="2" s="1"/>
  <c r="G2331" i="2" a="1"/>
  <c r="G2331" i="2" s="1"/>
  <c r="H2323" i="2" a="1"/>
  <c r="H2323" i="2" s="1"/>
  <c r="G2323" i="2" a="1"/>
  <c r="G2323" i="2" s="1"/>
  <c r="H1811" i="2" a="1"/>
  <c r="H1811" i="2" s="1"/>
  <c r="G1811" i="2" a="1"/>
  <c r="G1811" i="2" s="1"/>
  <c r="H1707" i="2" a="1"/>
  <c r="H1707" i="2" s="1"/>
  <c r="G1707" i="2" a="1"/>
  <c r="G1707" i="2" s="1"/>
  <c r="H1646" i="2" a="1"/>
  <c r="H1646" i="2" s="1"/>
  <c r="G1646" i="2" a="1"/>
  <c r="G1646" i="2" s="1"/>
  <c r="H1458" i="2" a="1"/>
  <c r="H1458" i="2" s="1"/>
  <c r="G1458" i="2" a="1"/>
  <c r="G1458" i="2" s="1"/>
  <c r="H1450" i="2" a="1"/>
  <c r="H1450" i="2" s="1"/>
  <c r="G1450" i="2" a="1"/>
  <c r="G1450" i="2" s="1"/>
  <c r="H1381" i="2" a="1"/>
  <c r="H1381" i="2" s="1"/>
  <c r="G1381" i="2" a="1"/>
  <c r="G1381" i="2" s="1"/>
  <c r="H1275" i="2" a="1"/>
  <c r="H1275" i="2" s="1"/>
  <c r="G1275" i="2" a="1"/>
  <c r="G1275" i="2" s="1"/>
  <c r="G1266" i="2" a="1"/>
  <c r="G1266" i="2" s="1"/>
  <c r="H1266" i="2" a="1"/>
  <c r="H1266" i="2" s="1"/>
  <c r="H1148" i="2" a="1"/>
  <c r="H1148" i="2" s="1"/>
  <c r="G1148" i="2" a="1"/>
  <c r="G1148" i="2" s="1"/>
  <c r="G1139" i="2" a="1"/>
  <c r="G1139" i="2" s="1"/>
  <c r="H1139" i="2" a="1"/>
  <c r="H1139" i="2" s="1"/>
  <c r="H1006" i="2" a="1"/>
  <c r="H1006" i="2" s="1"/>
  <c r="G1006" i="2" a="1"/>
  <c r="G1006" i="2" s="1"/>
  <c r="H997" i="2" a="1"/>
  <c r="H997" i="2" s="1"/>
  <c r="G997" i="2" a="1"/>
  <c r="G997" i="2" s="1"/>
  <c r="H971" i="2" a="1"/>
  <c r="H971" i="2" s="1"/>
  <c r="G971" i="2" a="1"/>
  <c r="G971" i="2" s="1"/>
  <c r="H868" i="2" a="1"/>
  <c r="H868" i="2" s="1"/>
  <c r="G868" i="2" a="1"/>
  <c r="G868" i="2" s="1"/>
  <c r="H859" i="2" a="1"/>
  <c r="H859" i="2" s="1"/>
  <c r="G859" i="2" a="1"/>
  <c r="G859" i="2" s="1"/>
  <c r="G851" i="2" a="1"/>
  <c r="G851" i="2" s="1"/>
  <c r="H851" i="2" a="1"/>
  <c r="H851" i="2" s="1"/>
  <c r="H767" i="2" a="1"/>
  <c r="H767" i="2" s="1"/>
  <c r="G767" i="2" a="1"/>
  <c r="G767" i="2" s="1"/>
  <c r="G667" i="2" a="1"/>
  <c r="G667" i="2" s="1"/>
  <c r="H667" i="2" a="1"/>
  <c r="H667" i="2" s="1"/>
  <c r="H625" i="2" a="1"/>
  <c r="H625" i="2" s="1"/>
  <c r="G625" i="2" a="1"/>
  <c r="G625" i="2" s="1"/>
  <c r="H617" i="2" a="1"/>
  <c r="H617" i="2" s="1"/>
  <c r="G617" i="2" a="1"/>
  <c r="G617" i="2" s="1"/>
  <c r="H543" i="2" a="1"/>
  <c r="H543" i="2" s="1"/>
  <c r="G543" i="2" a="1"/>
  <c r="G543" i="2" s="1"/>
  <c r="H38" i="2" a="1"/>
  <c r="H38" i="2" s="1"/>
  <c r="G38" i="2" a="1"/>
  <c r="G38" i="2" s="1"/>
  <c r="G2225" i="2" a="1"/>
  <c r="G2225" i="2" s="1"/>
  <c r="F116" i="6" a="1"/>
  <c r="F116" i="6" s="1"/>
  <c r="E116" i="6" a="1"/>
  <c r="E116" i="6" s="1"/>
  <c r="G2717" i="2" a="1"/>
  <c r="G2717" i="2" s="1"/>
  <c r="H2717" i="2" a="1"/>
  <c r="H2717" i="2" s="1"/>
  <c r="H2677" i="2" a="1"/>
  <c r="H2677" i="2" s="1"/>
  <c r="G2677" i="2" a="1"/>
  <c r="G2677" i="2" s="1"/>
  <c r="G2454" i="2" a="1"/>
  <c r="G2454" i="2" s="1"/>
  <c r="H2454" i="2" a="1"/>
  <c r="H2454" i="2" s="1"/>
  <c r="H2358" i="2" a="1"/>
  <c r="H2358" i="2" s="1"/>
  <c r="G2358" i="2" a="1"/>
  <c r="G2358" i="2" s="1"/>
  <c r="H2339" i="2" a="1"/>
  <c r="H2339" i="2" s="1"/>
  <c r="G2339" i="2" a="1"/>
  <c r="G2339" i="2" s="1"/>
  <c r="H2063" i="2" a="1"/>
  <c r="H2063" i="2" s="1"/>
  <c r="G2063" i="2" a="1"/>
  <c r="G2063" i="2" s="1"/>
  <c r="H1866" i="2" a="1"/>
  <c r="H1866" i="2" s="1"/>
  <c r="G1866" i="2" a="1"/>
  <c r="G1866" i="2" s="1"/>
  <c r="H1794" i="2" a="1"/>
  <c r="H1794" i="2" s="1"/>
  <c r="G1794" i="2" a="1"/>
  <c r="G1794" i="2" s="1"/>
  <c r="H1697" i="2" a="1"/>
  <c r="H1697" i="2" s="1"/>
  <c r="G1697" i="2" a="1"/>
  <c r="G1697" i="2" s="1"/>
  <c r="H1620" i="2" a="1"/>
  <c r="H1620" i="2" s="1"/>
  <c r="G1620" i="2" a="1"/>
  <c r="G1620" i="2" s="1"/>
  <c r="H1431" i="2" a="1"/>
  <c r="H1431" i="2" s="1"/>
  <c r="G1431" i="2" a="1"/>
  <c r="G1431" i="2" s="1"/>
  <c r="H1292" i="2" a="1"/>
  <c r="H1292" i="2" s="1"/>
  <c r="G1292" i="2" a="1"/>
  <c r="G1292" i="2" s="1"/>
  <c r="H1005" i="2" a="1"/>
  <c r="H1005" i="2" s="1"/>
  <c r="G1005" i="2" a="1"/>
  <c r="G1005" i="2" s="1"/>
  <c r="H825" i="2" a="1"/>
  <c r="H825" i="2" s="1"/>
  <c r="G825" i="2" a="1"/>
  <c r="G825" i="2" s="1"/>
  <c r="G633" i="2" a="1"/>
  <c r="G633" i="2" s="1"/>
  <c r="H633" i="2" a="1"/>
  <c r="H633" i="2" s="1"/>
  <c r="H506" i="2" a="1"/>
  <c r="H506" i="2" s="1"/>
  <c r="G506" i="2" a="1"/>
  <c r="G506" i="2" s="1"/>
  <c r="H497" i="2" a="1"/>
  <c r="H497" i="2" s="1"/>
  <c r="G497" i="2" a="1"/>
  <c r="G497" i="2" s="1"/>
  <c r="I497" i="2" s="1"/>
  <c r="H261" i="2" a="1"/>
  <c r="H261" i="2" s="1"/>
  <c r="G261" i="2" a="1"/>
  <c r="G261" i="2" s="1"/>
  <c r="H152" i="2" a="1"/>
  <c r="H152" i="2" s="1"/>
  <c r="G152" i="2" a="1"/>
  <c r="G152" i="2" s="1"/>
  <c r="H91" i="2" a="1"/>
  <c r="H91" i="2" s="1"/>
  <c r="G91" i="2" a="1"/>
  <c r="G91" i="2" s="1"/>
  <c r="G809" i="2" a="1"/>
  <c r="G809" i="2" s="1"/>
  <c r="G196" i="2" a="1"/>
  <c r="G196" i="2" s="1"/>
  <c r="I196" i="2" s="1"/>
  <c r="F115" i="6" a="1"/>
  <c r="F115" i="6" s="1"/>
  <c r="E115" i="6" a="1"/>
  <c r="E115" i="6" s="1"/>
  <c r="F90" i="6" a="1"/>
  <c r="F90" i="6" s="1"/>
  <c r="E90" i="6" a="1"/>
  <c r="E90" i="6" s="1"/>
  <c r="E149" i="6" a="1"/>
  <c r="E149" i="6" s="1"/>
  <c r="E140" i="6" a="1"/>
  <c r="E140" i="6" s="1"/>
  <c r="H2771" i="2" a="1"/>
  <c r="H2771" i="2" s="1"/>
  <c r="G2771" i="2" a="1"/>
  <c r="G2771" i="2" s="1"/>
  <c r="G2707" i="2" a="1"/>
  <c r="G2707" i="2" s="1"/>
  <c r="H2707" i="2" a="1"/>
  <c r="H2707" i="2" s="1"/>
  <c r="H2699" i="2" a="1"/>
  <c r="H2699" i="2" s="1"/>
  <c r="G2699" i="2" a="1"/>
  <c r="G2699" i="2" s="1"/>
  <c r="G2589" i="2" a="1"/>
  <c r="G2589" i="2" s="1"/>
  <c r="H2589" i="2" a="1"/>
  <c r="H2589" i="2" s="1"/>
  <c r="H2532" i="2" a="1"/>
  <c r="H2532" i="2" s="1"/>
  <c r="G2532" i="2" a="1"/>
  <c r="G2532" i="2" s="1"/>
  <c r="G2330" i="2" a="1"/>
  <c r="G2330" i="2" s="1"/>
  <c r="H2330" i="2" a="1"/>
  <c r="H2330" i="2" s="1"/>
  <c r="H2322" i="2" a="1"/>
  <c r="H2322" i="2" s="1"/>
  <c r="G2322" i="2" a="1"/>
  <c r="G2322" i="2" s="1"/>
  <c r="H2135" i="2" a="1"/>
  <c r="H2135" i="2" s="1"/>
  <c r="G2135" i="2" a="1"/>
  <c r="G2135" i="2" s="1"/>
  <c r="H1841" i="2" a="1"/>
  <c r="H1841" i="2" s="1"/>
  <c r="G1841" i="2" a="1"/>
  <c r="G1841" i="2" s="1"/>
  <c r="E527" i="6" a="1"/>
  <c r="E527" i="6" s="1"/>
  <c r="G527" i="6" s="1"/>
  <c r="E500" i="6" a="1"/>
  <c r="E500" i="6" s="1"/>
  <c r="G500" i="6" s="1"/>
  <c r="E306" i="6" a="1"/>
  <c r="E306" i="6" s="1"/>
  <c r="G2762" i="2" a="1"/>
  <c r="G2762" i="2" s="1"/>
  <c r="H2762" i="2" a="1"/>
  <c r="H2762" i="2" s="1"/>
  <c r="H2755" i="2" a="1"/>
  <c r="H2755" i="2" s="1"/>
  <c r="G2755" i="2" a="1"/>
  <c r="G2755" i="2" s="1"/>
  <c r="H2524" i="2" a="1"/>
  <c r="H2524" i="2" s="1"/>
  <c r="G2524" i="2" a="1"/>
  <c r="G2524" i="2" s="1"/>
  <c r="G2476" i="2" a="1"/>
  <c r="G2476" i="2" s="1"/>
  <c r="H2476" i="2" a="1"/>
  <c r="H2476" i="2" s="1"/>
  <c r="H2382" i="2" a="1"/>
  <c r="H2382" i="2" s="1"/>
  <c r="G2382" i="2" a="1"/>
  <c r="G2382" i="2" s="1"/>
  <c r="G2297" i="2" a="1"/>
  <c r="G2297" i="2" s="1"/>
  <c r="H2297" i="2" a="1"/>
  <c r="H2297" i="2" s="1"/>
  <c r="H2125" i="2" a="1"/>
  <c r="H2125" i="2" s="1"/>
  <c r="G2125" i="2" a="1"/>
  <c r="G2125" i="2" s="1"/>
  <c r="H1912" i="2" a="1"/>
  <c r="H1912" i="2" s="1"/>
  <c r="G1912" i="2" a="1"/>
  <c r="G1912" i="2" s="1"/>
  <c r="H1874" i="2" a="1"/>
  <c r="H1874" i="2" s="1"/>
  <c r="G1874" i="2" a="1"/>
  <c r="G1874" i="2" s="1"/>
  <c r="H1817" i="2" a="1"/>
  <c r="H1817" i="2" s="1"/>
  <c r="G1817" i="2" a="1"/>
  <c r="G1817" i="2" s="1"/>
  <c r="H1569" i="2" a="1"/>
  <c r="H1569" i="2" s="1"/>
  <c r="G1569" i="2" a="1"/>
  <c r="G1569" i="2" s="1"/>
  <c r="H1552" i="2" a="1"/>
  <c r="H1552" i="2" s="1"/>
  <c r="G1552" i="2" a="1"/>
  <c r="G1552" i="2" s="1"/>
  <c r="H1255" i="2" a="1"/>
  <c r="H1255" i="2" s="1"/>
  <c r="G1255" i="2" a="1"/>
  <c r="G1255" i="2" s="1"/>
  <c r="H1236" i="2" a="1"/>
  <c r="H1236" i="2" s="1"/>
  <c r="G1236" i="2" a="1"/>
  <c r="G1236" i="2" s="1"/>
  <c r="H1201" i="2" a="1"/>
  <c r="H1201" i="2" s="1"/>
  <c r="G1201" i="2" a="1"/>
  <c r="G1201" i="2" s="1"/>
  <c r="H1155" i="2" a="1"/>
  <c r="H1155" i="2" s="1"/>
  <c r="G1155" i="2" a="1"/>
  <c r="G1155" i="2" s="1"/>
  <c r="H925" i="2" a="1"/>
  <c r="H925" i="2" s="1"/>
  <c r="G925" i="2" a="1"/>
  <c r="G925" i="2" s="1"/>
  <c r="H848" i="2" a="1"/>
  <c r="H848" i="2" s="1"/>
  <c r="G848" i="2" a="1"/>
  <c r="G848" i="2" s="1"/>
  <c r="H665" i="2" a="1"/>
  <c r="H665" i="2" s="1"/>
  <c r="G665" i="2" a="1"/>
  <c r="G665" i="2" s="1"/>
  <c r="H341" i="2" a="1"/>
  <c r="H341" i="2" s="1"/>
  <c r="G341" i="2" a="1"/>
  <c r="G341" i="2" s="1"/>
  <c r="H213" i="2" a="1"/>
  <c r="H213" i="2" s="1"/>
  <c r="G213" i="2" a="1"/>
  <c r="G213" i="2" s="1"/>
  <c r="H203" i="2" a="1"/>
  <c r="H203" i="2" s="1"/>
  <c r="G203" i="2" a="1"/>
  <c r="G203" i="2" s="1"/>
  <c r="H195" i="2" a="1"/>
  <c r="H195" i="2" s="1"/>
  <c r="G195" i="2" a="1"/>
  <c r="G195" i="2" s="1"/>
  <c r="E427" i="6" a="1"/>
  <c r="E427" i="6" s="1"/>
  <c r="F427" i="6" a="1"/>
  <c r="F427" i="6" s="1"/>
  <c r="E122" i="6" a="1"/>
  <c r="E122" i="6" s="1"/>
  <c r="F122" i="6" a="1"/>
  <c r="F122" i="6" s="1"/>
  <c r="F97" i="6" a="1"/>
  <c r="F97" i="6" s="1"/>
  <c r="E97" i="6" a="1"/>
  <c r="E97" i="6" s="1"/>
  <c r="E231" i="6" a="1"/>
  <c r="E231" i="6" s="1"/>
  <c r="F559" i="6" a="1"/>
  <c r="F559" i="6" s="1"/>
  <c r="F156" i="6" a="1"/>
  <c r="F156" i="6" s="1"/>
  <c r="G156" i="6" s="1"/>
  <c r="F46" i="6" a="1"/>
  <c r="F46" i="6" s="1"/>
  <c r="G46" i="6" s="1"/>
  <c r="H2467" i="2" a="1"/>
  <c r="H2467" i="2" s="1"/>
  <c r="G2467" i="2" a="1"/>
  <c r="G2467" i="2" s="1"/>
  <c r="H2405" i="2" a="1"/>
  <c r="H2405" i="2" s="1"/>
  <c r="G2405" i="2" a="1"/>
  <c r="G2405" i="2" s="1"/>
  <c r="H2296" i="2" a="1"/>
  <c r="H2296" i="2" s="1"/>
  <c r="G2296" i="2" a="1"/>
  <c r="G2296" i="2" s="1"/>
  <c r="H2143" i="2" a="1"/>
  <c r="H2143" i="2" s="1"/>
  <c r="G2143" i="2" a="1"/>
  <c r="G2143" i="2" s="1"/>
  <c r="H2124" i="2" a="1"/>
  <c r="H2124" i="2" s="1"/>
  <c r="G2124" i="2" a="1"/>
  <c r="G2124" i="2" s="1"/>
  <c r="H1974" i="2" a="1"/>
  <c r="H1974" i="2" s="1"/>
  <c r="G1974" i="2" a="1"/>
  <c r="G1974" i="2" s="1"/>
  <c r="H1772" i="2" a="1"/>
  <c r="H1772" i="2" s="1"/>
  <c r="G1772" i="2" a="1"/>
  <c r="G1772" i="2" s="1"/>
  <c r="G1764" i="2" a="1"/>
  <c r="G1764" i="2" s="1"/>
  <c r="H1764" i="2" a="1"/>
  <c r="H1764" i="2" s="1"/>
  <c r="H1756" i="2" a="1"/>
  <c r="H1756" i="2" s="1"/>
  <c r="G1756" i="2" a="1"/>
  <c r="G1756" i="2" s="1"/>
  <c r="G1627" i="2" a="1"/>
  <c r="G1627" i="2" s="1"/>
  <c r="H1627" i="2" a="1"/>
  <c r="H1627" i="2" s="1"/>
  <c r="H1472" i="2" a="1"/>
  <c r="H1472" i="2" s="1"/>
  <c r="G1472" i="2" a="1"/>
  <c r="G1472" i="2" s="1"/>
  <c r="H1299" i="2" a="1"/>
  <c r="H1299" i="2" s="1"/>
  <c r="G1299" i="2" a="1"/>
  <c r="G1299" i="2" s="1"/>
  <c r="H1049" i="2" a="1"/>
  <c r="H1049" i="2" s="1"/>
  <c r="G1049" i="2" a="1"/>
  <c r="G1049" i="2" s="1"/>
  <c r="H933" i="2" a="1"/>
  <c r="H933" i="2" s="1"/>
  <c r="G933" i="2" a="1"/>
  <c r="G933" i="2" s="1"/>
  <c r="H924" i="2" a="1"/>
  <c r="H924" i="2" s="1"/>
  <c r="G924" i="2" a="1"/>
  <c r="G924" i="2" s="1"/>
  <c r="H875" i="2" a="1"/>
  <c r="H875" i="2" s="1"/>
  <c r="G875" i="2" a="1"/>
  <c r="G875" i="2" s="1"/>
  <c r="H865" i="2" a="1"/>
  <c r="H865" i="2" s="1"/>
  <c r="G865" i="2" a="1"/>
  <c r="G865" i="2" s="1"/>
  <c r="H717" i="2" a="1"/>
  <c r="H717" i="2" s="1"/>
  <c r="G717" i="2" a="1"/>
  <c r="G717" i="2" s="1"/>
  <c r="H623" i="2" a="1"/>
  <c r="H623" i="2" s="1"/>
  <c r="G623" i="2" a="1"/>
  <c r="G623" i="2" s="1"/>
  <c r="H513" i="2" a="1"/>
  <c r="H513" i="2" s="1"/>
  <c r="G513" i="2" a="1"/>
  <c r="G513" i="2" s="1"/>
  <c r="H469" i="2" a="1"/>
  <c r="H469" i="2" s="1"/>
  <c r="G469" i="2" a="1"/>
  <c r="G469" i="2" s="1"/>
  <c r="H415" i="2" a="1"/>
  <c r="H415" i="2" s="1"/>
  <c r="G415" i="2" a="1"/>
  <c r="G415" i="2" s="1"/>
  <c r="G395" i="2" a="1"/>
  <c r="G395" i="2" s="1"/>
  <c r="H395" i="2" a="1"/>
  <c r="H395" i="2" s="1"/>
  <c r="H377" i="2" a="1"/>
  <c r="H377" i="2" s="1"/>
  <c r="G377" i="2" a="1"/>
  <c r="G377" i="2" s="1"/>
  <c r="H349" i="2" a="1"/>
  <c r="H349" i="2" s="1"/>
  <c r="G349" i="2" a="1"/>
  <c r="G349" i="2" s="1"/>
  <c r="G302" i="2" a="1"/>
  <c r="G302" i="2" s="1"/>
  <c r="H302" i="2" a="1"/>
  <c r="H302" i="2" s="1"/>
  <c r="H286" i="2" a="1"/>
  <c r="H286" i="2" s="1"/>
  <c r="G286" i="2" a="1"/>
  <c r="G286" i="2" s="1"/>
  <c r="H258" i="2" a="1"/>
  <c r="H258" i="2" s="1"/>
  <c r="G258" i="2" a="1"/>
  <c r="G258" i="2" s="1"/>
  <c r="H228" i="2" a="1"/>
  <c r="H228" i="2" s="1"/>
  <c r="G228" i="2" a="1"/>
  <c r="G228" i="2" s="1"/>
  <c r="H122" i="2" a="1"/>
  <c r="H122" i="2" s="1"/>
  <c r="G122" i="2" a="1"/>
  <c r="G122" i="2" s="1"/>
  <c r="H61" i="2" a="1"/>
  <c r="H61" i="2" s="1"/>
  <c r="G61" i="2" a="1"/>
  <c r="G61" i="2" s="1"/>
  <c r="G1801" i="2" a="1"/>
  <c r="G1801" i="2" s="1"/>
  <c r="E408" i="6" a="1"/>
  <c r="E408" i="6" s="1"/>
  <c r="F408" i="6" a="1"/>
  <c r="F408" i="6" s="1"/>
  <c r="G408" i="6" s="1"/>
  <c r="F285" i="6" a="1"/>
  <c r="F285" i="6" s="1"/>
  <c r="E285" i="6" a="1"/>
  <c r="E285" i="6" s="1"/>
  <c r="E505" i="6" a="1"/>
  <c r="E505" i="6" s="1"/>
  <c r="E413" i="6" a="1"/>
  <c r="E413" i="6" s="1"/>
  <c r="G413" i="6" s="1"/>
  <c r="E404" i="6" a="1"/>
  <c r="E404" i="6" s="1"/>
  <c r="G404" i="6" s="1"/>
  <c r="E349" i="6" a="1"/>
  <c r="E349" i="6" s="1"/>
  <c r="E321" i="6" a="1"/>
  <c r="E321" i="6" s="1"/>
  <c r="G321" i="6" s="1"/>
  <c r="E293" i="6" a="1"/>
  <c r="E293" i="6" s="1"/>
  <c r="G293" i="6" s="1"/>
  <c r="E237" i="6" a="1"/>
  <c r="E237" i="6" s="1"/>
  <c r="E190" i="6" a="1"/>
  <c r="E190" i="6" s="1"/>
  <c r="G190" i="6" s="1"/>
  <c r="E181" i="6" a="1"/>
  <c r="E181" i="6" s="1"/>
  <c r="G181" i="6" s="1"/>
  <c r="E162" i="6" a="1"/>
  <c r="E162" i="6" s="1"/>
  <c r="G162" i="6" s="1"/>
  <c r="E154" i="6" a="1"/>
  <c r="E154" i="6" s="1"/>
  <c r="E79" i="6" a="1"/>
  <c r="E79" i="6" s="1"/>
  <c r="G79" i="6" s="1"/>
  <c r="F556" i="6" a="1"/>
  <c r="F556" i="6" s="1"/>
  <c r="F428" i="6" a="1"/>
  <c r="F428" i="6" s="1"/>
  <c r="G428" i="6" s="1"/>
  <c r="F400" i="6" a="1"/>
  <c r="F400" i="6" s="1"/>
  <c r="F289" i="6" a="1"/>
  <c r="F289" i="6" s="1"/>
  <c r="F246" i="6" a="1"/>
  <c r="F246" i="6" s="1"/>
  <c r="G246" i="6" s="1"/>
  <c r="G2775" i="2" a="1"/>
  <c r="G2775" i="2" s="1"/>
  <c r="H2775" i="2" a="1"/>
  <c r="H2775" i="2" s="1"/>
  <c r="H2736" i="2" a="1"/>
  <c r="H2736" i="2" s="1"/>
  <c r="G2736" i="2" a="1"/>
  <c r="G2736" i="2" s="1"/>
  <c r="H2688" i="2" a="1"/>
  <c r="H2688" i="2" s="1"/>
  <c r="G2688" i="2" a="1"/>
  <c r="G2688" i="2" s="1"/>
  <c r="H2672" i="2" a="1"/>
  <c r="H2672" i="2" s="1"/>
  <c r="G2672" i="2" a="1"/>
  <c r="G2672" i="2" s="1"/>
  <c r="H2657" i="2" a="1"/>
  <c r="H2657" i="2" s="1"/>
  <c r="G2657" i="2" a="1"/>
  <c r="G2657" i="2" s="1"/>
  <c r="G2624" i="2" a="1"/>
  <c r="G2624" i="2" s="1"/>
  <c r="H2624" i="2" a="1"/>
  <c r="H2624" i="2" s="1"/>
  <c r="H2617" i="2" a="1"/>
  <c r="H2617" i="2" s="1"/>
  <c r="G2617" i="2" a="1"/>
  <c r="G2617" i="2" s="1"/>
  <c r="G2528" i="2" a="1"/>
  <c r="G2528" i="2" s="1"/>
  <c r="H2528" i="2" a="1"/>
  <c r="H2528" i="2" s="1"/>
  <c r="H2473" i="2" a="1"/>
  <c r="H2473" i="2" s="1"/>
  <c r="G2473" i="2" a="1"/>
  <c r="G2473" i="2" s="1"/>
  <c r="H2433" i="2" a="1"/>
  <c r="H2433" i="2" s="1"/>
  <c r="G2433" i="2" a="1"/>
  <c r="G2433" i="2" s="1"/>
  <c r="H2426" i="2" a="1"/>
  <c r="H2426" i="2" s="1"/>
  <c r="G2426" i="2" a="1"/>
  <c r="G2426" i="2" s="1"/>
  <c r="H2418" i="2" a="1"/>
  <c r="H2418" i="2" s="1"/>
  <c r="G2418" i="2" a="1"/>
  <c r="G2418" i="2" s="1"/>
  <c r="H2411" i="2" a="1"/>
  <c r="H2411" i="2" s="1"/>
  <c r="G2411" i="2" a="1"/>
  <c r="G2411" i="2" s="1"/>
  <c r="G2402" i="2" a="1"/>
  <c r="G2402" i="2" s="1"/>
  <c r="H2402" i="2" a="1"/>
  <c r="H2402" i="2" s="1"/>
  <c r="H2395" i="2" a="1"/>
  <c r="H2395" i="2" s="1"/>
  <c r="G2395" i="2" a="1"/>
  <c r="G2395" i="2" s="1"/>
  <c r="H2378" i="2" a="1"/>
  <c r="H2378" i="2" s="1"/>
  <c r="G2378" i="2" a="1"/>
  <c r="G2378" i="2" s="1"/>
  <c r="H2303" i="2" a="1"/>
  <c r="H2303" i="2" s="1"/>
  <c r="G2303" i="2" a="1"/>
  <c r="G2303" i="2" s="1"/>
  <c r="H2275" i="2" a="1"/>
  <c r="H2275" i="2" s="1"/>
  <c r="G2275" i="2" a="1"/>
  <c r="G2275" i="2" s="1"/>
  <c r="H2268" i="2" a="1"/>
  <c r="H2268" i="2" s="1"/>
  <c r="G2268" i="2" a="1"/>
  <c r="G2268" i="2" s="1"/>
  <c r="H2219" i="2" a="1"/>
  <c r="H2219" i="2" s="1"/>
  <c r="G2219" i="2" a="1"/>
  <c r="G2219" i="2" s="1"/>
  <c r="G2188" i="2" a="1"/>
  <c r="G2188" i="2" s="1"/>
  <c r="H2188" i="2" a="1"/>
  <c r="H2188" i="2" s="1"/>
  <c r="H2172" i="2" a="1"/>
  <c r="H2172" i="2" s="1"/>
  <c r="G2172" i="2" a="1"/>
  <c r="G2172" i="2" s="1"/>
  <c r="H2130" i="2" a="1"/>
  <c r="H2130" i="2" s="1"/>
  <c r="G2130" i="2" a="1"/>
  <c r="G2130" i="2" s="1"/>
  <c r="H2122" i="2" a="1"/>
  <c r="H2122" i="2" s="1"/>
  <c r="G2122" i="2" a="1"/>
  <c r="G2122" i="2" s="1"/>
  <c r="H2051" i="2" a="1"/>
  <c r="H2051" i="2" s="1"/>
  <c r="G2051" i="2" a="1"/>
  <c r="G2051" i="2" s="1"/>
  <c r="H2035" i="2" a="1"/>
  <c r="H2035" i="2" s="1"/>
  <c r="G2035" i="2" a="1"/>
  <c r="G2035" i="2" s="1"/>
  <c r="H1964" i="2" a="1"/>
  <c r="H1964" i="2" s="1"/>
  <c r="G1964" i="2" a="1"/>
  <c r="G1964" i="2" s="1"/>
  <c r="H1956" i="2" a="1"/>
  <c r="H1956" i="2" s="1"/>
  <c r="G1956" i="2" a="1"/>
  <c r="G1956" i="2" s="1"/>
  <c r="H1902" i="2" a="1"/>
  <c r="H1902" i="2" s="1"/>
  <c r="G1902" i="2" a="1"/>
  <c r="G1902" i="2" s="1"/>
  <c r="H1893" i="2" a="1"/>
  <c r="H1893" i="2" s="1"/>
  <c r="G1893" i="2" a="1"/>
  <c r="G1893" i="2" s="1"/>
  <c r="H1870" i="2" a="1"/>
  <c r="H1870" i="2" s="1"/>
  <c r="G1870" i="2" a="1"/>
  <c r="G1870" i="2" s="1"/>
  <c r="H1860" i="2" a="1"/>
  <c r="H1860" i="2" s="1"/>
  <c r="G1860" i="2" a="1"/>
  <c r="G1860" i="2" s="1"/>
  <c r="H1852" i="2" a="1"/>
  <c r="H1852" i="2" s="1"/>
  <c r="G1852" i="2" a="1"/>
  <c r="G1852" i="2" s="1"/>
  <c r="H1814" i="2" a="1"/>
  <c r="H1814" i="2" s="1"/>
  <c r="G1814" i="2" a="1"/>
  <c r="G1814" i="2" s="1"/>
  <c r="H1788" i="2" a="1"/>
  <c r="H1788" i="2" s="1"/>
  <c r="G1788" i="2" a="1"/>
  <c r="G1788" i="2" s="1"/>
  <c r="H1778" i="2" a="1"/>
  <c r="H1778" i="2" s="1"/>
  <c r="G1778" i="2" a="1"/>
  <c r="G1778" i="2" s="1"/>
  <c r="H1769" i="2" a="1"/>
  <c r="H1769" i="2" s="1"/>
  <c r="G1769" i="2" a="1"/>
  <c r="G1769" i="2" s="1"/>
  <c r="G1762" i="2" a="1"/>
  <c r="G1762" i="2" s="1"/>
  <c r="H1762" i="2" a="1"/>
  <c r="H1762" i="2" s="1"/>
  <c r="H1743" i="2" a="1"/>
  <c r="H1743" i="2" s="1"/>
  <c r="G1743" i="2" a="1"/>
  <c r="G1743" i="2" s="1"/>
  <c r="H1691" i="2" a="1"/>
  <c r="H1691" i="2" s="1"/>
  <c r="G1691" i="2" a="1"/>
  <c r="G1691" i="2" s="1"/>
  <c r="H1658" i="2" a="1"/>
  <c r="H1658" i="2" s="1"/>
  <c r="G1658" i="2" a="1"/>
  <c r="G1658" i="2" s="1"/>
  <c r="H1640" i="2" a="1"/>
  <c r="H1640" i="2" s="1"/>
  <c r="G1640" i="2" a="1"/>
  <c r="G1640" i="2" s="1"/>
  <c r="H1613" i="2" a="1"/>
  <c r="H1613" i="2" s="1"/>
  <c r="G1613" i="2" a="1"/>
  <c r="G1613" i="2" s="1"/>
  <c r="H1541" i="2" a="1"/>
  <c r="H1541" i="2" s="1"/>
  <c r="G1541" i="2" a="1"/>
  <c r="G1541" i="2" s="1"/>
  <c r="H1523" i="2" a="1"/>
  <c r="H1523" i="2" s="1"/>
  <c r="G1523" i="2" a="1"/>
  <c r="G1523" i="2" s="1"/>
  <c r="H1496" i="2" a="1"/>
  <c r="H1496" i="2" s="1"/>
  <c r="G1496" i="2" a="1"/>
  <c r="G1496" i="2" s="1"/>
  <c r="H1488" i="2" a="1"/>
  <c r="H1488" i="2" s="1"/>
  <c r="G1488" i="2" a="1"/>
  <c r="G1488" i="2" s="1"/>
  <c r="H1480" i="2" a="1"/>
  <c r="H1480" i="2" s="1"/>
  <c r="G1480" i="2" a="1"/>
  <c r="G1480" i="2" s="1"/>
  <c r="G1461" i="2" a="1"/>
  <c r="G1461" i="2" s="1"/>
  <c r="H1461" i="2" a="1"/>
  <c r="H1461" i="2" s="1"/>
  <c r="H1453" i="2" a="1"/>
  <c r="H1453" i="2" s="1"/>
  <c r="G1453" i="2" a="1"/>
  <c r="G1453" i="2" s="1"/>
  <c r="H1426" i="2" a="1"/>
  <c r="H1426" i="2" s="1"/>
  <c r="G1426" i="2" a="1"/>
  <c r="G1426" i="2" s="1"/>
  <c r="H1409" i="2" a="1"/>
  <c r="H1409" i="2" s="1"/>
  <c r="G1409" i="2" a="1"/>
  <c r="G1409" i="2" s="1"/>
  <c r="H1376" i="2" a="1"/>
  <c r="H1376" i="2" s="1"/>
  <c r="G1376" i="2" a="1"/>
  <c r="G1376" i="2" s="1"/>
  <c r="H1349" i="2" a="1"/>
  <c r="H1349" i="2" s="1"/>
  <c r="G1349" i="2" a="1"/>
  <c r="G1349" i="2" s="1"/>
  <c r="H1331" i="2" a="1"/>
  <c r="H1331" i="2" s="1"/>
  <c r="G1331" i="2" a="1"/>
  <c r="G1331" i="2" s="1"/>
  <c r="H1322" i="2" a="1"/>
  <c r="H1322" i="2" s="1"/>
  <c r="G1322" i="2" a="1"/>
  <c r="G1322" i="2" s="1"/>
  <c r="H1287" i="2" a="1"/>
  <c r="H1287" i="2" s="1"/>
  <c r="G1287" i="2" a="1"/>
  <c r="G1287" i="2" s="1"/>
  <c r="H1250" i="2" a="1"/>
  <c r="H1250" i="2" s="1"/>
  <c r="G1250" i="2" a="1"/>
  <c r="G1250" i="2" s="1"/>
  <c r="H1232" i="2" a="1"/>
  <c r="H1232" i="2" s="1"/>
  <c r="G1232" i="2" a="1"/>
  <c r="G1232" i="2" s="1"/>
  <c r="H1222" i="2" a="1"/>
  <c r="H1222" i="2" s="1"/>
  <c r="G1222" i="2" a="1"/>
  <c r="G1222" i="2" s="1"/>
  <c r="H1213" i="2" a="1"/>
  <c r="H1213" i="2" s="1"/>
  <c r="G1213" i="2" a="1"/>
  <c r="G1213" i="2" s="1"/>
  <c r="H1206" i="2" a="1"/>
  <c r="H1206" i="2" s="1"/>
  <c r="G1206" i="2" a="1"/>
  <c r="G1206" i="2" s="1"/>
  <c r="H1177" i="2" a="1"/>
  <c r="H1177" i="2" s="1"/>
  <c r="G1177" i="2" a="1"/>
  <c r="G1177" i="2" s="1"/>
  <c r="G1142" i="2" a="1"/>
  <c r="G1142" i="2" s="1"/>
  <c r="H1142" i="2" a="1"/>
  <c r="H1142" i="2" s="1"/>
  <c r="H1126" i="2" a="1"/>
  <c r="H1126" i="2" s="1"/>
  <c r="G1126" i="2" a="1"/>
  <c r="G1126" i="2" s="1"/>
  <c r="H1089" i="2" a="1"/>
  <c r="H1089" i="2" s="1"/>
  <c r="G1089" i="2" a="1"/>
  <c r="G1089" i="2" s="1"/>
  <c r="H1071" i="2" a="1"/>
  <c r="H1071" i="2" s="1"/>
  <c r="G1071" i="2" a="1"/>
  <c r="G1071" i="2" s="1"/>
  <c r="H1063" i="2" a="1"/>
  <c r="H1063" i="2" s="1"/>
  <c r="G1063" i="2" a="1"/>
  <c r="G1063" i="2" s="1"/>
  <c r="H1047" i="2" a="1"/>
  <c r="H1047" i="2" s="1"/>
  <c r="G1047" i="2" a="1"/>
  <c r="G1047" i="2" s="1"/>
  <c r="H1038" i="2" a="1"/>
  <c r="H1038" i="2" s="1"/>
  <c r="G1038" i="2" a="1"/>
  <c r="G1038" i="2" s="1"/>
  <c r="H991" i="2" a="1"/>
  <c r="H991" i="2" s="1"/>
  <c r="G991" i="2" a="1"/>
  <c r="G991" i="2" s="1"/>
  <c r="H974" i="2" a="1"/>
  <c r="H974" i="2" s="1"/>
  <c r="G974" i="2" a="1"/>
  <c r="G974" i="2" s="1"/>
  <c r="G964" i="2" a="1"/>
  <c r="G964" i="2" s="1"/>
  <c r="H964" i="2" a="1"/>
  <c r="H964" i="2" s="1"/>
  <c r="H896" i="2" a="1"/>
  <c r="H896" i="2" s="1"/>
  <c r="G896" i="2" a="1"/>
  <c r="G896" i="2" s="1"/>
  <c r="H881" i="2" a="1"/>
  <c r="H881" i="2" s="1"/>
  <c r="G881" i="2" a="1"/>
  <c r="G881" i="2" s="1"/>
  <c r="H871" i="2" a="1"/>
  <c r="H871" i="2" s="1"/>
  <c r="G871" i="2" a="1"/>
  <c r="G871" i="2" s="1"/>
  <c r="H743" i="2" a="1"/>
  <c r="H743" i="2" s="1"/>
  <c r="G743" i="2" a="1"/>
  <c r="G743" i="2" s="1"/>
  <c r="H733" i="2" a="1"/>
  <c r="H733" i="2" s="1"/>
  <c r="G733" i="2" a="1"/>
  <c r="G733" i="2" s="1"/>
  <c r="H724" i="2" a="1"/>
  <c r="H724" i="2" s="1"/>
  <c r="G724" i="2" a="1"/>
  <c r="G724" i="2" s="1"/>
  <c r="H714" i="2" a="1"/>
  <c r="H714" i="2" s="1"/>
  <c r="G714" i="2" a="1"/>
  <c r="G714" i="2" s="1"/>
  <c r="H705" i="2" a="1"/>
  <c r="H705" i="2" s="1"/>
  <c r="G705" i="2" a="1"/>
  <c r="G705" i="2" s="1"/>
  <c r="H697" i="2" a="1"/>
  <c r="H697" i="2" s="1"/>
  <c r="G697" i="2" a="1"/>
  <c r="G697" i="2" s="1"/>
  <c r="H585" i="2" a="1"/>
  <c r="H585" i="2" s="1"/>
  <c r="G585" i="2" a="1"/>
  <c r="G585" i="2" s="1"/>
  <c r="H565" i="2" a="1"/>
  <c r="H565" i="2" s="1"/>
  <c r="G565" i="2" a="1"/>
  <c r="G565" i="2" s="1"/>
  <c r="H556" i="2" a="1"/>
  <c r="H556" i="2" s="1"/>
  <c r="G556" i="2" a="1"/>
  <c r="G556" i="2" s="1"/>
  <c r="H537" i="2" a="1"/>
  <c r="H537" i="2" s="1"/>
  <c r="G537" i="2" a="1"/>
  <c r="G537" i="2" s="1"/>
  <c r="H528" i="2" a="1"/>
  <c r="H528" i="2" s="1"/>
  <c r="G528" i="2" a="1"/>
  <c r="G528" i="2" s="1"/>
  <c r="H519" i="2" a="1"/>
  <c r="H519" i="2" s="1"/>
  <c r="G519" i="2" a="1"/>
  <c r="G519" i="2" s="1"/>
  <c r="H510" i="2" a="1"/>
  <c r="H510" i="2" s="1"/>
  <c r="G510" i="2" a="1"/>
  <c r="G510" i="2" s="1"/>
  <c r="H501" i="2" a="1"/>
  <c r="H501" i="2" s="1"/>
  <c r="G501" i="2" a="1"/>
  <c r="G501" i="2" s="1"/>
  <c r="H493" i="2" a="1"/>
  <c r="H493" i="2" s="1"/>
  <c r="G493" i="2" a="1"/>
  <c r="G493" i="2" s="1"/>
  <c r="H485" i="2" a="1"/>
  <c r="H485" i="2" s="1"/>
  <c r="G485" i="2" a="1"/>
  <c r="G485" i="2" s="1"/>
  <c r="H476" i="2" a="1"/>
  <c r="H476" i="2" s="1"/>
  <c r="G476" i="2" a="1"/>
  <c r="G476" i="2" s="1"/>
  <c r="H446" i="2" a="1"/>
  <c r="H446" i="2" s="1"/>
  <c r="G446" i="2" a="1"/>
  <c r="G446" i="2" s="1"/>
  <c r="H411" i="2" a="1"/>
  <c r="H411" i="2" s="1"/>
  <c r="G411" i="2" a="1"/>
  <c r="G411" i="2" s="1"/>
  <c r="H400" i="2" a="1"/>
  <c r="H400" i="2" s="1"/>
  <c r="G400" i="2" a="1"/>
  <c r="G400" i="2" s="1"/>
  <c r="H392" i="2" a="1"/>
  <c r="H392" i="2" s="1"/>
  <c r="G392" i="2" a="1"/>
  <c r="G392" i="2" s="1"/>
  <c r="H236" i="2" a="1"/>
  <c r="H236" i="2" s="1"/>
  <c r="G236" i="2" a="1"/>
  <c r="G236" i="2" s="1"/>
  <c r="H209" i="2" a="1"/>
  <c r="H209" i="2" s="1"/>
  <c r="G209" i="2" a="1"/>
  <c r="G209" i="2" s="1"/>
  <c r="H22" i="2" a="1"/>
  <c r="H22" i="2" s="1"/>
  <c r="G22" i="2" a="1"/>
  <c r="G22" i="2" s="1"/>
  <c r="H15" i="2" a="1"/>
  <c r="H15" i="2" s="1"/>
  <c r="G15" i="2" a="1"/>
  <c r="G15" i="2" s="1"/>
  <c r="G2766" i="2" a="1"/>
  <c r="G2766" i="2" s="1"/>
  <c r="G2509" i="2" a="1"/>
  <c r="G2509" i="2" s="1"/>
  <c r="G2407" i="2" a="1"/>
  <c r="G2407" i="2" s="1"/>
  <c r="G1965" i="2" a="1"/>
  <c r="G1965" i="2" s="1"/>
  <c r="G1688" i="2" a="1"/>
  <c r="G1688" i="2" s="1"/>
  <c r="G1624" i="2" a="1"/>
  <c r="G1624" i="2" s="1"/>
  <c r="G1205" i="2" a="1"/>
  <c r="G1205" i="2" s="1"/>
  <c r="G877" i="2" a="1"/>
  <c r="G877" i="2" s="1"/>
  <c r="G624" i="2" a="1"/>
  <c r="G624" i="2" s="1"/>
  <c r="G490" i="2" a="1"/>
  <c r="G490" i="2" s="1"/>
  <c r="I490" i="2" s="1"/>
  <c r="G359" i="2" a="1"/>
  <c r="G359" i="2" s="1"/>
  <c r="I359" i="2" s="1"/>
  <c r="G248" i="2" a="1"/>
  <c r="G248" i="2" s="1"/>
  <c r="H1407" i="2" a="1"/>
  <c r="H1407" i="2" s="1"/>
  <c r="G1407" i="2" a="1"/>
  <c r="G1407" i="2" s="1"/>
  <c r="H1194" i="2" a="1"/>
  <c r="H1194" i="2" s="1"/>
  <c r="G1194" i="2" a="1"/>
  <c r="G1194" i="2" s="1"/>
  <c r="H562" i="2" a="1"/>
  <c r="H562" i="2" s="1"/>
  <c r="G562" i="2" a="1"/>
  <c r="G562" i="2" s="1"/>
  <c r="H474" i="2" a="1"/>
  <c r="H474" i="2" s="1"/>
  <c r="G474" i="2" a="1"/>
  <c r="G474" i="2" s="1"/>
  <c r="H135" i="2" a="1"/>
  <c r="H135" i="2" s="1"/>
  <c r="G135" i="2" a="1"/>
  <c r="G135" i="2" s="1"/>
  <c r="F108" i="6" a="1"/>
  <c r="F108" i="6" s="1"/>
  <c r="E108" i="6" a="1"/>
  <c r="E108" i="6" s="1"/>
  <c r="H2416" i="2" a="1"/>
  <c r="H2416" i="2" s="1"/>
  <c r="G2416" i="2" a="1"/>
  <c r="G2416" i="2" s="1"/>
  <c r="G2096" i="2" a="1"/>
  <c r="G2096" i="2" s="1"/>
  <c r="H2096" i="2" a="1"/>
  <c r="H2096" i="2" s="1"/>
  <c r="H2089" i="2" a="1"/>
  <c r="H2089" i="2" s="1"/>
  <c r="G2089" i="2" a="1"/>
  <c r="G2089" i="2" s="1"/>
  <c r="H2009" i="2" a="1"/>
  <c r="H2009" i="2" s="1"/>
  <c r="G2009" i="2" a="1"/>
  <c r="G2009" i="2" s="1"/>
  <c r="H2000" i="2" a="1"/>
  <c r="H2000" i="2" s="1"/>
  <c r="G2000" i="2" a="1"/>
  <c r="G2000" i="2" s="1"/>
  <c r="H1883" i="2" a="1"/>
  <c r="H1883" i="2" s="1"/>
  <c r="G1883" i="2" a="1"/>
  <c r="G1883" i="2" s="1"/>
  <c r="H1826" i="2" a="1"/>
  <c r="H1826" i="2" s="1"/>
  <c r="G1826" i="2" a="1"/>
  <c r="G1826" i="2" s="1"/>
  <c r="G1795" i="2" a="1"/>
  <c r="G1795" i="2" s="1"/>
  <c r="H1795" i="2" a="1"/>
  <c r="H1795" i="2" s="1"/>
  <c r="H1655" i="2" a="1"/>
  <c r="H1655" i="2" s="1"/>
  <c r="G1655" i="2" a="1"/>
  <c r="G1655" i="2" s="1"/>
  <c r="H1561" i="2" a="1"/>
  <c r="H1561" i="2" s="1"/>
  <c r="G1561" i="2" a="1"/>
  <c r="G1561" i="2" s="1"/>
  <c r="H1415" i="2" a="1"/>
  <c r="H1415" i="2" s="1"/>
  <c r="G1415" i="2" a="1"/>
  <c r="G1415" i="2" s="1"/>
  <c r="G1406" i="2" a="1"/>
  <c r="G1406" i="2" s="1"/>
  <c r="H1406" i="2" a="1"/>
  <c r="H1406" i="2" s="1"/>
  <c r="F38" i="6" a="1"/>
  <c r="F38" i="6" s="1"/>
  <c r="E38" i="6" a="1"/>
  <c r="E38" i="6" s="1"/>
  <c r="E437" i="6" a="1"/>
  <c r="E437" i="6" s="1"/>
  <c r="G437" i="6" s="1"/>
  <c r="E57" i="6" a="1"/>
  <c r="E57" i="6" s="1"/>
  <c r="G57" i="6" s="1"/>
  <c r="G2726" i="2" a="1"/>
  <c r="G2726" i="2" s="1"/>
  <c r="H2726" i="2" a="1"/>
  <c r="H2726" i="2" s="1"/>
  <c r="H2316" i="2" a="1"/>
  <c r="H2316" i="2" s="1"/>
  <c r="G2316" i="2" a="1"/>
  <c r="G2316" i="2" s="1"/>
  <c r="H1992" i="2" a="1"/>
  <c r="H1992" i="2" s="1"/>
  <c r="G1992" i="2" a="1"/>
  <c r="G1992" i="2" s="1"/>
  <c r="H1810" i="2" a="1"/>
  <c r="H1810" i="2" s="1"/>
  <c r="G1810" i="2" a="1"/>
  <c r="G1810" i="2" s="1"/>
  <c r="H1706" i="2" a="1"/>
  <c r="H1706" i="2" s="1"/>
  <c r="G1706" i="2" a="1"/>
  <c r="G1706" i="2" s="1"/>
  <c r="H1553" i="2" a="1"/>
  <c r="H1553" i="2" s="1"/>
  <c r="G1553" i="2" a="1"/>
  <c r="G1553" i="2" s="1"/>
  <c r="H1546" i="2" a="1"/>
  <c r="H1546" i="2" s="1"/>
  <c r="G1546" i="2" a="1"/>
  <c r="G1546" i="2" s="1"/>
  <c r="H1354" i="2" a="1"/>
  <c r="H1354" i="2" s="1"/>
  <c r="G1354" i="2" a="1"/>
  <c r="G1354" i="2" s="1"/>
  <c r="H1257" i="2" a="1"/>
  <c r="H1257" i="2" s="1"/>
  <c r="G1257" i="2" a="1"/>
  <c r="G1257" i="2" s="1"/>
  <c r="H1238" i="2" a="1"/>
  <c r="H1238" i="2" s="1"/>
  <c r="G1238" i="2" a="1"/>
  <c r="G1238" i="2" s="1"/>
  <c r="H1114" i="2" a="1"/>
  <c r="H1114" i="2" s="1"/>
  <c r="G1114" i="2" a="1"/>
  <c r="G1114" i="2" s="1"/>
  <c r="H758" i="2" a="1"/>
  <c r="H758" i="2" s="1"/>
  <c r="G758" i="2" a="1"/>
  <c r="G758" i="2" s="1"/>
  <c r="H694" i="2" a="1"/>
  <c r="H694" i="2" s="1"/>
  <c r="G694" i="2" a="1"/>
  <c r="G694" i="2" s="1"/>
  <c r="H606" i="2" a="1"/>
  <c r="H606" i="2" s="1"/>
  <c r="G606" i="2" a="1"/>
  <c r="G606" i="2" s="1"/>
  <c r="H580" i="2" a="1"/>
  <c r="H580" i="2" s="1"/>
  <c r="G580" i="2" a="1"/>
  <c r="G580" i="2" s="1"/>
  <c r="H516" i="2" a="1"/>
  <c r="H516" i="2" s="1"/>
  <c r="G516" i="2" a="1"/>
  <c r="G516" i="2" s="1"/>
  <c r="H407" i="2" a="1"/>
  <c r="H407" i="2" s="1"/>
  <c r="G407" i="2" a="1"/>
  <c r="G407" i="2" s="1"/>
  <c r="H296" i="2" a="1"/>
  <c r="H296" i="2" s="1"/>
  <c r="G296" i="2" a="1"/>
  <c r="G296" i="2" s="1"/>
  <c r="H205" i="2" a="1"/>
  <c r="H205" i="2" s="1"/>
  <c r="G205" i="2" a="1"/>
  <c r="G205" i="2" s="1"/>
  <c r="H133" i="2" a="1"/>
  <c r="H133" i="2" s="1"/>
  <c r="G133" i="2" a="1"/>
  <c r="G133" i="2" s="1"/>
  <c r="E491" i="6" a="1"/>
  <c r="E491" i="6" s="1"/>
  <c r="E29" i="6" a="1"/>
  <c r="E29" i="6" s="1"/>
  <c r="G29" i="6" s="1"/>
  <c r="H2725" i="2" a="1"/>
  <c r="H2725" i="2" s="1"/>
  <c r="G2725" i="2" a="1"/>
  <c r="G2725" i="2" s="1"/>
  <c r="H2676" i="2" a="1"/>
  <c r="H2676" i="2" s="1"/>
  <c r="G2676" i="2" a="1"/>
  <c r="G2676" i="2" s="1"/>
  <c r="G2669" i="2" a="1"/>
  <c r="G2669" i="2" s="1"/>
  <c r="H2669" i="2" a="1"/>
  <c r="H2669" i="2" s="1"/>
  <c r="H2653" i="2" a="1"/>
  <c r="H2653" i="2" s="1"/>
  <c r="G2653" i="2" a="1"/>
  <c r="G2653" i="2" s="1"/>
  <c r="H2366" i="2" a="1"/>
  <c r="H2366" i="2" s="1"/>
  <c r="G2366" i="2" a="1"/>
  <c r="G2366" i="2" s="1"/>
  <c r="H2357" i="2" a="1"/>
  <c r="H2357" i="2" s="1"/>
  <c r="G2357" i="2" a="1"/>
  <c r="G2357" i="2" s="1"/>
  <c r="G2347" i="2" a="1"/>
  <c r="G2347" i="2" s="1"/>
  <c r="H2347" i="2" a="1"/>
  <c r="H2347" i="2" s="1"/>
  <c r="H2240" i="2" a="1"/>
  <c r="H2240" i="2" s="1"/>
  <c r="G2240" i="2" a="1"/>
  <c r="G2240" i="2" s="1"/>
  <c r="H1960" i="2" a="1"/>
  <c r="H1960" i="2" s="1"/>
  <c r="G1960" i="2" a="1"/>
  <c r="G1960" i="2" s="1"/>
  <c r="H1952" i="2" a="1"/>
  <c r="H1952" i="2" s="1"/>
  <c r="G1952" i="2" a="1"/>
  <c r="G1952" i="2" s="1"/>
  <c r="H1943" i="2" a="1"/>
  <c r="H1943" i="2" s="1"/>
  <c r="G1943" i="2" a="1"/>
  <c r="G1943" i="2" s="1"/>
  <c r="H1897" i="2" a="1"/>
  <c r="H1897" i="2" s="1"/>
  <c r="G1897" i="2" a="1"/>
  <c r="G1897" i="2" s="1"/>
  <c r="H1890" i="2" a="1"/>
  <c r="H1890" i="2" s="1"/>
  <c r="G1890" i="2" a="1"/>
  <c r="G1890" i="2" s="1"/>
  <c r="H1793" i="2" a="1"/>
  <c r="H1793" i="2" s="1"/>
  <c r="G1793" i="2" a="1"/>
  <c r="G1793" i="2" s="1"/>
  <c r="H1783" i="2" a="1"/>
  <c r="H1783" i="2" s="1"/>
  <c r="G1783" i="2" a="1"/>
  <c r="G1783" i="2" s="1"/>
  <c r="H1748" i="2" a="1"/>
  <c r="H1748" i="2" s="1"/>
  <c r="G1748" i="2" a="1"/>
  <c r="G1748" i="2" s="1"/>
  <c r="H1738" i="2" a="1"/>
  <c r="H1738" i="2" s="1"/>
  <c r="G1738" i="2" a="1"/>
  <c r="G1738" i="2" s="1"/>
  <c r="H1722" i="2" a="1"/>
  <c r="H1722" i="2" s="1"/>
  <c r="G1722" i="2" a="1"/>
  <c r="G1722" i="2" s="1"/>
  <c r="H1671" i="2" a="1"/>
  <c r="H1671" i="2" s="1"/>
  <c r="G1671" i="2" a="1"/>
  <c r="G1671" i="2" s="1"/>
  <c r="H1663" i="2" a="1"/>
  <c r="H1663" i="2" s="1"/>
  <c r="G1663" i="2" a="1"/>
  <c r="G1663" i="2" s="1"/>
  <c r="H1645" i="2" a="1"/>
  <c r="H1645" i="2" s="1"/>
  <c r="G1645" i="2" a="1"/>
  <c r="G1645" i="2" s="1"/>
  <c r="H1518" i="2" a="1"/>
  <c r="H1518" i="2" s="1"/>
  <c r="G1518" i="2" a="1"/>
  <c r="G1518" i="2" s="1"/>
  <c r="H1440" i="2" a="1"/>
  <c r="H1440" i="2" s="1"/>
  <c r="G1440" i="2" a="1"/>
  <c r="G1440" i="2" s="1"/>
  <c r="H1256" i="2" a="1"/>
  <c r="H1256" i="2" s="1"/>
  <c r="G1256" i="2" a="1"/>
  <c r="G1256" i="2" s="1"/>
  <c r="H1172" i="2" a="1"/>
  <c r="H1172" i="2" s="1"/>
  <c r="G1172" i="2" a="1"/>
  <c r="G1172" i="2" s="1"/>
  <c r="H1113" i="2" a="1"/>
  <c r="H1113" i="2" s="1"/>
  <c r="G1113" i="2" a="1"/>
  <c r="G1113" i="2" s="1"/>
  <c r="H1033" i="2" a="1"/>
  <c r="H1033" i="2" s="1"/>
  <c r="G1033" i="2" a="1"/>
  <c r="G1033" i="2" s="1"/>
  <c r="H1014" i="2" a="1"/>
  <c r="H1014" i="2" s="1"/>
  <c r="G1014" i="2" a="1"/>
  <c r="G1014" i="2" s="1"/>
  <c r="H876" i="2" a="1"/>
  <c r="H876" i="2" s="1"/>
  <c r="G876" i="2" a="1"/>
  <c r="G876" i="2" s="1"/>
  <c r="H749" i="2" a="1"/>
  <c r="H749" i="2" s="1"/>
  <c r="G749" i="2" a="1"/>
  <c r="G749" i="2" s="1"/>
  <c r="H640" i="2" a="1"/>
  <c r="H640" i="2" s="1"/>
  <c r="G640" i="2" a="1"/>
  <c r="G640" i="2" s="1"/>
  <c r="H550" i="2" a="1"/>
  <c r="H550" i="2" s="1"/>
  <c r="G550" i="2" a="1"/>
  <c r="G550" i="2" s="1"/>
  <c r="H541" i="2" a="1"/>
  <c r="H541" i="2" s="1"/>
  <c r="G541" i="2" a="1"/>
  <c r="G541" i="2" s="1"/>
  <c r="H333" i="2" a="1"/>
  <c r="H333" i="2" s="1"/>
  <c r="G333" i="2" a="1"/>
  <c r="G333" i="2" s="1"/>
  <c r="H260" i="2" a="1"/>
  <c r="H260" i="2" s="1"/>
  <c r="G260" i="2" a="1"/>
  <c r="G260" i="2" s="1"/>
  <c r="H250" i="2" a="1"/>
  <c r="H250" i="2" s="1"/>
  <c r="G250" i="2" a="1"/>
  <c r="G250" i="2" s="1"/>
  <c r="H160" i="2" a="1"/>
  <c r="H160" i="2" s="1"/>
  <c r="G160" i="2" a="1"/>
  <c r="G160" i="2" s="1"/>
  <c r="H90" i="2" a="1"/>
  <c r="H90" i="2" s="1"/>
  <c r="G90" i="2" a="1"/>
  <c r="G90" i="2" s="1"/>
  <c r="E371" i="6" a="1"/>
  <c r="E371" i="6" s="1"/>
  <c r="E75" i="6" a="1"/>
  <c r="E75" i="6" s="1"/>
  <c r="H2248" i="2" a="1"/>
  <c r="H2248" i="2" s="1"/>
  <c r="G2248" i="2" a="1"/>
  <c r="G2248" i="2" s="1"/>
  <c r="H2231" i="2" a="1"/>
  <c r="H2231" i="2" s="1"/>
  <c r="G2231" i="2" a="1"/>
  <c r="G2231" i="2" s="1"/>
  <c r="H2144" i="2" a="1"/>
  <c r="H2144" i="2" s="1"/>
  <c r="G2144" i="2" a="1"/>
  <c r="G2144" i="2" s="1"/>
  <c r="H2094" i="2" a="1"/>
  <c r="H2094" i="2" s="1"/>
  <c r="G2094" i="2" a="1"/>
  <c r="G2094" i="2" s="1"/>
  <c r="H1686" i="2" a="1"/>
  <c r="H1686" i="2" s="1"/>
  <c r="G1686" i="2" a="1"/>
  <c r="G1686" i="2" s="1"/>
  <c r="H1545" i="2" a="1"/>
  <c r="H1545" i="2" s="1"/>
  <c r="G1545" i="2" a="1"/>
  <c r="G1545" i="2" s="1"/>
  <c r="H1526" i="2" a="1"/>
  <c r="H1526" i="2" s="1"/>
  <c r="G1526" i="2" a="1"/>
  <c r="G1526" i="2" s="1"/>
  <c r="H1448" i="2" a="1"/>
  <c r="H1448" i="2" s="1"/>
  <c r="G1448" i="2" a="1"/>
  <c r="G1448" i="2" s="1"/>
  <c r="H1191" i="2" a="1"/>
  <c r="H1191" i="2" s="1"/>
  <c r="G1191" i="2" a="1"/>
  <c r="G1191" i="2" s="1"/>
  <c r="H995" i="2" a="1"/>
  <c r="H995" i="2" s="1"/>
  <c r="G995" i="2" a="1"/>
  <c r="G995" i="2" s="1"/>
  <c r="G892" i="2" a="1"/>
  <c r="G892" i="2" s="1"/>
  <c r="H892" i="2" a="1"/>
  <c r="H892" i="2" s="1"/>
  <c r="H781" i="2" a="1"/>
  <c r="H781" i="2" s="1"/>
  <c r="G781" i="2" a="1"/>
  <c r="G781" i="2" s="1"/>
  <c r="H657" i="2" a="1"/>
  <c r="H657" i="2" s="1"/>
  <c r="G657" i="2" a="1"/>
  <c r="G657" i="2" s="1"/>
  <c r="H559" i="2" a="1"/>
  <c r="H559" i="2" s="1"/>
  <c r="G559" i="2" a="1"/>
  <c r="G559" i="2" s="1"/>
  <c r="H524" i="2" a="1"/>
  <c r="H524" i="2" s="1"/>
  <c r="G524" i="2" a="1"/>
  <c r="G524" i="2" s="1"/>
  <c r="H424" i="2" a="1"/>
  <c r="H424" i="2" s="1"/>
  <c r="G424" i="2" a="1"/>
  <c r="G424" i="2" s="1"/>
  <c r="H229" i="2" a="1"/>
  <c r="H229" i="2" s="1"/>
  <c r="G229" i="2" a="1"/>
  <c r="G229" i="2" s="1"/>
  <c r="G2374" i="2" a="1"/>
  <c r="G2374" i="2" s="1"/>
  <c r="F497" i="6" a="1"/>
  <c r="F497" i="6" s="1"/>
  <c r="E497" i="6" a="1"/>
  <c r="E497" i="6" s="1"/>
  <c r="U103" i="14" s="1"/>
  <c r="F362" i="6" a="1"/>
  <c r="F362" i="6" s="1"/>
  <c r="E362" i="6" a="1"/>
  <c r="E362" i="6" s="1"/>
  <c r="F146" i="6" a="1"/>
  <c r="F146" i="6" s="1"/>
  <c r="E146" i="6" a="1"/>
  <c r="E146" i="6" s="1"/>
  <c r="E389" i="6" a="1"/>
  <c r="E389" i="6" s="1"/>
  <c r="G389" i="6" s="1"/>
  <c r="E73" i="6" a="1"/>
  <c r="E73" i="6" s="1"/>
  <c r="G73" i="6" s="1"/>
  <c r="F403" i="6" a="1"/>
  <c r="F403" i="6" s="1"/>
  <c r="G403" i="6" s="1"/>
  <c r="G2739" i="2" a="1"/>
  <c r="G2739" i="2" s="1"/>
  <c r="H2739" i="2" a="1"/>
  <c r="H2739" i="2" s="1"/>
  <c r="H2651" i="2" a="1"/>
  <c r="H2651" i="2" s="1"/>
  <c r="G2651" i="2" a="1"/>
  <c r="G2651" i="2" s="1"/>
  <c r="G2569" i="2" a="1"/>
  <c r="G2569" i="2" s="1"/>
  <c r="H2569" i="2" a="1"/>
  <c r="H2569" i="2" s="1"/>
  <c r="H2523" i="2" a="1"/>
  <c r="H2523" i="2" s="1"/>
  <c r="G2523" i="2" a="1"/>
  <c r="G2523" i="2" s="1"/>
  <c r="H2356" i="2" a="1"/>
  <c r="H2356" i="2" s="1"/>
  <c r="G2356" i="2" a="1"/>
  <c r="G2356" i="2" s="1"/>
  <c r="G2247" i="2" a="1"/>
  <c r="G2247" i="2" s="1"/>
  <c r="H2247" i="2" a="1"/>
  <c r="H2247" i="2" s="1"/>
  <c r="G2087" i="2" a="1"/>
  <c r="G2087" i="2" s="1"/>
  <c r="H2087" i="2" a="1"/>
  <c r="H2087" i="2" s="1"/>
  <c r="H2078" i="2" a="1"/>
  <c r="H2078" i="2" s="1"/>
  <c r="G2078" i="2" a="1"/>
  <c r="G2078" i="2" s="1"/>
  <c r="H2070" i="2" a="1"/>
  <c r="H2070" i="2" s="1"/>
  <c r="G2070" i="2" a="1"/>
  <c r="G2070" i="2" s="1"/>
  <c r="H1934" i="2" a="1"/>
  <c r="H1934" i="2" s="1"/>
  <c r="G1934" i="2" a="1"/>
  <c r="G1934" i="2" s="1"/>
  <c r="H1721" i="2" a="1"/>
  <c r="H1721" i="2" s="1"/>
  <c r="G1721" i="2" a="1"/>
  <c r="G1721" i="2" s="1"/>
  <c r="H1568" i="2" a="1"/>
  <c r="H1568" i="2" s="1"/>
  <c r="G1568" i="2" a="1"/>
  <c r="G1568" i="2" s="1"/>
  <c r="H1447" i="2" a="1"/>
  <c r="H1447" i="2" s="1"/>
  <c r="G1447" i="2" a="1"/>
  <c r="G1447" i="2" s="1"/>
  <c r="G1190" i="2" a="1"/>
  <c r="G1190" i="2" s="1"/>
  <c r="H1190" i="2" a="1"/>
  <c r="H1190" i="2" s="1"/>
  <c r="H1171" i="2" a="1"/>
  <c r="H1171" i="2" s="1"/>
  <c r="G1171" i="2" a="1"/>
  <c r="G1171" i="2" s="1"/>
  <c r="H1128" i="2" a="1"/>
  <c r="H1128" i="2" s="1"/>
  <c r="G1128" i="2" a="1"/>
  <c r="G1128" i="2" s="1"/>
  <c r="H1031" i="2" a="1"/>
  <c r="H1031" i="2" s="1"/>
  <c r="G1031" i="2" a="1"/>
  <c r="G1031" i="2" s="1"/>
  <c r="H977" i="2" a="1"/>
  <c r="H977" i="2" s="1"/>
  <c r="G977" i="2" a="1"/>
  <c r="G977" i="2" s="1"/>
  <c r="H664" i="2" a="1"/>
  <c r="H664" i="2" s="1"/>
  <c r="G664" i="2" a="1"/>
  <c r="G664" i="2" s="1"/>
  <c r="H630" i="2" a="1"/>
  <c r="H630" i="2" s="1"/>
  <c r="G630" i="2" a="1"/>
  <c r="G630" i="2" s="1"/>
  <c r="H423" i="2" a="1"/>
  <c r="H423" i="2" s="1"/>
  <c r="G423" i="2" a="1"/>
  <c r="G423" i="2" s="1"/>
  <c r="H130" i="2" a="1"/>
  <c r="H130" i="2" s="1"/>
  <c r="G130" i="2" a="1"/>
  <c r="G130" i="2" s="1"/>
  <c r="G406" i="2" a="1"/>
  <c r="G406" i="2" s="1"/>
  <c r="I406" i="2" s="1"/>
  <c r="F176" i="6" a="1"/>
  <c r="F176" i="6" s="1"/>
  <c r="E176" i="6" a="1"/>
  <c r="E176" i="6" s="1"/>
  <c r="E7" i="6" a="1"/>
  <c r="E7" i="6" s="1"/>
  <c r="G7" i="6" s="1"/>
  <c r="E540" i="6" a="1"/>
  <c r="E540" i="6" s="1"/>
  <c r="G540" i="6" s="1"/>
  <c r="E514" i="6" a="1"/>
  <c r="E514" i="6" s="1"/>
  <c r="E422" i="6" a="1"/>
  <c r="E422" i="6" s="1"/>
  <c r="E348" i="6" a="1"/>
  <c r="E348" i="6" s="1"/>
  <c r="G348" i="6" s="1"/>
  <c r="E245" i="6" a="1"/>
  <c r="E245" i="6" s="1"/>
  <c r="E42" i="6" a="1"/>
  <c r="E42" i="6" s="1"/>
  <c r="G42" i="6" s="1"/>
  <c r="F503" i="6" a="1"/>
  <c r="F503" i="6" s="1"/>
  <c r="G503" i="6" s="1"/>
  <c r="F212" i="6" a="1"/>
  <c r="F212" i="6" s="1"/>
  <c r="F102" i="6" a="1"/>
  <c r="F102" i="6" s="1"/>
  <c r="F53" i="6" a="1"/>
  <c r="F53" i="6" s="1"/>
  <c r="G53" i="6" s="1"/>
  <c r="H2759" i="2" a="1"/>
  <c r="H2759" i="2" s="1"/>
  <c r="G2759" i="2" a="1"/>
  <c r="G2759" i="2" s="1"/>
  <c r="H2687" i="2" a="1"/>
  <c r="H2687" i="2" s="1"/>
  <c r="G2687" i="2" a="1"/>
  <c r="G2687" i="2" s="1"/>
  <c r="G2680" i="2" a="1"/>
  <c r="G2680" i="2" s="1"/>
  <c r="H2680" i="2" a="1"/>
  <c r="H2680" i="2" s="1"/>
  <c r="H2647" i="2" a="1"/>
  <c r="H2647" i="2" s="1"/>
  <c r="G2647" i="2" a="1"/>
  <c r="G2647" i="2" s="1"/>
  <c r="H2632" i="2" a="1"/>
  <c r="H2632" i="2" s="1"/>
  <c r="G2632" i="2" a="1"/>
  <c r="G2632" i="2" s="1"/>
  <c r="H2593" i="2" a="1"/>
  <c r="H2593" i="2" s="1"/>
  <c r="G2593" i="2" a="1"/>
  <c r="G2593" i="2" s="1"/>
  <c r="G2584" i="2" a="1"/>
  <c r="G2584" i="2" s="1"/>
  <c r="H2584" i="2" a="1"/>
  <c r="H2584" i="2" s="1"/>
  <c r="H2566" i="2" a="1"/>
  <c r="H2566" i="2" s="1"/>
  <c r="G2566" i="2" a="1"/>
  <c r="G2566" i="2" s="1"/>
  <c r="H2543" i="2" a="1"/>
  <c r="H2543" i="2" s="1"/>
  <c r="G2543" i="2" a="1"/>
  <c r="G2543" i="2" s="1"/>
  <c r="H2472" i="2" a="1"/>
  <c r="H2472" i="2" s="1"/>
  <c r="G2472" i="2" a="1"/>
  <c r="G2472" i="2" s="1"/>
  <c r="H2464" i="2" a="1"/>
  <c r="H2464" i="2" s="1"/>
  <c r="G2464" i="2" a="1"/>
  <c r="G2464" i="2" s="1"/>
  <c r="G2441" i="2" a="1"/>
  <c r="G2441" i="2" s="1"/>
  <c r="H2441" i="2" a="1"/>
  <c r="H2441" i="2" s="1"/>
  <c r="H2401" i="2" a="1"/>
  <c r="H2401" i="2" s="1"/>
  <c r="G2401" i="2" a="1"/>
  <c r="G2401" i="2" s="1"/>
  <c r="H2386" i="2" a="1"/>
  <c r="H2386" i="2" s="1"/>
  <c r="G2386" i="2" a="1"/>
  <c r="G2386" i="2" s="1"/>
  <c r="H2377" i="2" a="1"/>
  <c r="H2377" i="2" s="1"/>
  <c r="G2377" i="2" a="1"/>
  <c r="G2377" i="2" s="1"/>
  <c r="H2362" i="2" a="1"/>
  <c r="H2362" i="2" s="1"/>
  <c r="G2362" i="2" a="1"/>
  <c r="G2362" i="2" s="1"/>
  <c r="H2342" i="2" a="1"/>
  <c r="H2342" i="2" s="1"/>
  <c r="G2342" i="2" a="1"/>
  <c r="G2342" i="2" s="1"/>
  <c r="H2325" i="2" a="1"/>
  <c r="H2325" i="2" s="1"/>
  <c r="G2325" i="2" a="1"/>
  <c r="G2325" i="2" s="1"/>
  <c r="H2309" i="2" a="1"/>
  <c r="H2309" i="2" s="1"/>
  <c r="G2309" i="2" a="1"/>
  <c r="G2309" i="2" s="1"/>
  <c r="H2292" i="2" a="1"/>
  <c r="H2292" i="2" s="1"/>
  <c r="G2292" i="2" a="1"/>
  <c r="G2292" i="2" s="1"/>
  <c r="H2244" i="2" a="1"/>
  <c r="H2244" i="2" s="1"/>
  <c r="G2244" i="2" a="1"/>
  <c r="G2244" i="2" s="1"/>
  <c r="H2235" i="2" a="1"/>
  <c r="H2235" i="2" s="1"/>
  <c r="G2235" i="2" a="1"/>
  <c r="G2235" i="2" s="1"/>
  <c r="H2203" i="2" a="1"/>
  <c r="H2203" i="2" s="1"/>
  <c r="G2203" i="2" a="1"/>
  <c r="G2203" i="2" s="1"/>
  <c r="H2180" i="2" a="1"/>
  <c r="H2180" i="2" s="1"/>
  <c r="G2180" i="2" a="1"/>
  <c r="G2180" i="2" s="1"/>
  <c r="H2165" i="2" a="1"/>
  <c r="H2165" i="2" s="1"/>
  <c r="G2165" i="2" a="1"/>
  <c r="G2165" i="2" s="1"/>
  <c r="H2065" i="2" a="1"/>
  <c r="H2065" i="2" s="1"/>
  <c r="G2065" i="2" a="1"/>
  <c r="G2065" i="2" s="1"/>
  <c r="G2050" i="2" a="1"/>
  <c r="G2050" i="2" s="1"/>
  <c r="H2050" i="2" a="1"/>
  <c r="H2050" i="2" s="1"/>
  <c r="H2011" i="2" a="1"/>
  <c r="H2011" i="2" s="1"/>
  <c r="G2011" i="2" a="1"/>
  <c r="G2011" i="2" s="1"/>
  <c r="H2003" i="2" a="1"/>
  <c r="H2003" i="2" s="1"/>
  <c r="G2003" i="2" a="1"/>
  <c r="G2003" i="2" s="1"/>
  <c r="H1947" i="2" a="1"/>
  <c r="H1947" i="2" s="1"/>
  <c r="G1947" i="2" a="1"/>
  <c r="G1947" i="2" s="1"/>
  <c r="H1901" i="2" a="1"/>
  <c r="H1901" i="2" s="1"/>
  <c r="G1901" i="2" a="1"/>
  <c r="G1901" i="2" s="1"/>
  <c r="H1859" i="2" a="1"/>
  <c r="H1859" i="2" s="1"/>
  <c r="G1859" i="2" a="1"/>
  <c r="G1859" i="2" s="1"/>
  <c r="H1813" i="2" a="1"/>
  <c r="H1813" i="2" s="1"/>
  <c r="G1813" i="2" a="1"/>
  <c r="G1813" i="2" s="1"/>
  <c r="H1804" i="2" a="1"/>
  <c r="H1804" i="2" s="1"/>
  <c r="G1804" i="2" a="1"/>
  <c r="G1804" i="2" s="1"/>
  <c r="H1742" i="2" a="1"/>
  <c r="H1742" i="2" s="1"/>
  <c r="G1742" i="2" a="1"/>
  <c r="G1742" i="2" s="1"/>
  <c r="H1709" i="2" a="1"/>
  <c r="H1709" i="2" s="1"/>
  <c r="G1709" i="2" a="1"/>
  <c r="G1709" i="2" s="1"/>
  <c r="H1700" i="2" a="1"/>
  <c r="H1700" i="2" s="1"/>
  <c r="G1700" i="2" a="1"/>
  <c r="G1700" i="2" s="1"/>
  <c r="G1690" i="2" a="1"/>
  <c r="G1690" i="2" s="1"/>
  <c r="H1690" i="2" a="1"/>
  <c r="H1690" i="2" s="1"/>
  <c r="H1674" i="2" a="1"/>
  <c r="H1674" i="2" s="1"/>
  <c r="G1674" i="2" a="1"/>
  <c r="G1674" i="2" s="1"/>
  <c r="H1667" i="2" a="1"/>
  <c r="H1667" i="2" s="1"/>
  <c r="G1667" i="2" a="1"/>
  <c r="G1667" i="2" s="1"/>
  <c r="H1657" i="2" a="1"/>
  <c r="H1657" i="2" s="1"/>
  <c r="G1657" i="2" a="1"/>
  <c r="G1657" i="2" s="1"/>
  <c r="G1632" i="2" a="1"/>
  <c r="G1632" i="2" s="1"/>
  <c r="H1632" i="2" a="1"/>
  <c r="H1632" i="2" s="1"/>
  <c r="H1596" i="2" a="1"/>
  <c r="H1596" i="2" s="1"/>
  <c r="G1596" i="2" a="1"/>
  <c r="G1596" i="2" s="1"/>
  <c r="H1564" i="2" a="1"/>
  <c r="H1564" i="2" s="1"/>
  <c r="G1564" i="2" a="1"/>
  <c r="G1564" i="2" s="1"/>
  <c r="H1531" i="2" a="1"/>
  <c r="H1531" i="2" s="1"/>
  <c r="G1531" i="2" a="1"/>
  <c r="G1531" i="2" s="1"/>
  <c r="H1522" i="2" a="1"/>
  <c r="H1522" i="2" s="1"/>
  <c r="G1522" i="2" a="1"/>
  <c r="G1522" i="2" s="1"/>
  <c r="G1469" i="2" a="1"/>
  <c r="G1469" i="2" s="1"/>
  <c r="H1469" i="2" a="1"/>
  <c r="H1469" i="2" s="1"/>
  <c r="H1460" i="2" a="1"/>
  <c r="H1460" i="2" s="1"/>
  <c r="G1460" i="2" a="1"/>
  <c r="G1460" i="2" s="1"/>
  <c r="H1425" i="2" a="1"/>
  <c r="H1425" i="2" s="1"/>
  <c r="G1425" i="2" a="1"/>
  <c r="G1425" i="2" s="1"/>
  <c r="H1366" i="2" a="1"/>
  <c r="H1366" i="2" s="1"/>
  <c r="G1366" i="2" a="1"/>
  <c r="G1366" i="2" s="1"/>
  <c r="H1357" i="2" a="1"/>
  <c r="H1357" i="2" s="1"/>
  <c r="G1357" i="2" a="1"/>
  <c r="G1357" i="2" s="1"/>
  <c r="H1313" i="2" a="1"/>
  <c r="H1313" i="2" s="1"/>
  <c r="G1313" i="2" a="1"/>
  <c r="G1313" i="2" s="1"/>
  <c r="H1296" i="2" a="1"/>
  <c r="H1296" i="2" s="1"/>
  <c r="G1296" i="2" a="1"/>
  <c r="G1296" i="2" s="1"/>
  <c r="H1278" i="2" a="1"/>
  <c r="H1278" i="2" s="1"/>
  <c r="G1278" i="2" a="1"/>
  <c r="G1278" i="2" s="1"/>
  <c r="H1241" i="2" a="1"/>
  <c r="H1241" i="2" s="1"/>
  <c r="G1241" i="2" a="1"/>
  <c r="G1241" i="2" s="1"/>
  <c r="H1231" i="2" a="1"/>
  <c r="H1231" i="2" s="1"/>
  <c r="G1231" i="2" a="1"/>
  <c r="G1231" i="2" s="1"/>
  <c r="H1221" i="2" a="1"/>
  <c r="H1221" i="2" s="1"/>
  <c r="G1221" i="2" a="1"/>
  <c r="G1221" i="2" s="1"/>
  <c r="H1107" i="2" a="1"/>
  <c r="H1107" i="2" s="1"/>
  <c r="G1107" i="2" a="1"/>
  <c r="G1107" i="2" s="1"/>
  <c r="H1088" i="2" a="1"/>
  <c r="H1088" i="2" s="1"/>
  <c r="G1088" i="2" a="1"/>
  <c r="G1088" i="2" s="1"/>
  <c r="H1070" i="2" a="1"/>
  <c r="H1070" i="2" s="1"/>
  <c r="G1070" i="2" a="1"/>
  <c r="G1070" i="2" s="1"/>
  <c r="H1062" i="2" a="1"/>
  <c r="H1062" i="2" s="1"/>
  <c r="G1062" i="2" a="1"/>
  <c r="G1062" i="2" s="1"/>
  <c r="H1027" i="2" a="1"/>
  <c r="H1027" i="2" s="1"/>
  <c r="G1027" i="2" a="1"/>
  <c r="G1027" i="2" s="1"/>
  <c r="H1008" i="2" a="1"/>
  <c r="H1008" i="2" s="1"/>
  <c r="G1008" i="2" a="1"/>
  <c r="G1008" i="2" s="1"/>
  <c r="H999" i="2" a="1"/>
  <c r="H999" i="2" s="1"/>
  <c r="G999" i="2" a="1"/>
  <c r="G999" i="2" s="1"/>
  <c r="H990" i="2" a="1"/>
  <c r="H990" i="2" s="1"/>
  <c r="G990" i="2" a="1"/>
  <c r="G990" i="2" s="1"/>
  <c r="H955" i="2" a="1"/>
  <c r="H955" i="2" s="1"/>
  <c r="G955" i="2" a="1"/>
  <c r="G955" i="2" s="1"/>
  <c r="H921" i="2" a="1"/>
  <c r="H921" i="2" s="1"/>
  <c r="G921" i="2" a="1"/>
  <c r="G921" i="2" s="1"/>
  <c r="H888" i="2" a="1"/>
  <c r="H888" i="2" s="1"/>
  <c r="G888" i="2" a="1"/>
  <c r="G888" i="2" s="1"/>
  <c r="H880" i="2" a="1"/>
  <c r="H880" i="2" s="1"/>
  <c r="G880" i="2" a="1"/>
  <c r="G880" i="2" s="1"/>
  <c r="H785" i="2" a="1"/>
  <c r="H785" i="2" s="1"/>
  <c r="G785" i="2" a="1"/>
  <c r="G785" i="2" s="1"/>
  <c r="H752" i="2" a="1"/>
  <c r="H752" i="2" s="1"/>
  <c r="G752" i="2" a="1"/>
  <c r="G752" i="2" s="1"/>
  <c r="H688" i="2" a="1"/>
  <c r="H688" i="2" s="1"/>
  <c r="G688" i="2" a="1"/>
  <c r="G688" i="2" s="1"/>
  <c r="H679" i="2" a="1"/>
  <c r="H679" i="2" s="1"/>
  <c r="G679" i="2" a="1"/>
  <c r="G679" i="2" s="1"/>
  <c r="H670" i="2" a="1"/>
  <c r="H670" i="2" s="1"/>
  <c r="G670" i="2" a="1"/>
  <c r="G670" i="2" s="1"/>
  <c r="H564" i="2" a="1"/>
  <c r="H564" i="2" s="1"/>
  <c r="G564" i="2" a="1"/>
  <c r="G564" i="2" s="1"/>
  <c r="H555" i="2" a="1"/>
  <c r="H555" i="2" s="1"/>
  <c r="G555" i="2" a="1"/>
  <c r="G555" i="2" s="1"/>
  <c r="H484" i="2" a="1"/>
  <c r="H484" i="2" s="1"/>
  <c r="G484" i="2" a="1"/>
  <c r="G484" i="2" s="1"/>
  <c r="G455" i="2" a="1"/>
  <c r="G455" i="2" s="1"/>
  <c r="H455" i="2" a="1"/>
  <c r="H455" i="2" s="1"/>
  <c r="H445" i="2" a="1"/>
  <c r="H445" i="2" s="1"/>
  <c r="G445" i="2" a="1"/>
  <c r="G445" i="2" s="1"/>
  <c r="H410" i="2" a="1"/>
  <c r="H410" i="2" s="1"/>
  <c r="G410" i="2" a="1"/>
  <c r="G410" i="2" s="1"/>
  <c r="H391" i="2" a="1"/>
  <c r="H391" i="2" s="1"/>
  <c r="G391" i="2" a="1"/>
  <c r="G391" i="2" s="1"/>
  <c r="H355" i="2" a="1"/>
  <c r="H355" i="2" s="1"/>
  <c r="G355" i="2" a="1"/>
  <c r="G355" i="2" s="1"/>
  <c r="H327" i="2" a="1"/>
  <c r="H327" i="2" s="1"/>
  <c r="G327" i="2" a="1"/>
  <c r="G327" i="2" s="1"/>
  <c r="H282" i="2" a="1"/>
  <c r="H282" i="2" s="1"/>
  <c r="G282" i="2" a="1"/>
  <c r="G282" i="2" s="1"/>
  <c r="H273" i="2" a="1"/>
  <c r="H273" i="2" s="1"/>
  <c r="G273" i="2" a="1"/>
  <c r="G273" i="2" s="1"/>
  <c r="H235" i="2" a="1"/>
  <c r="H235" i="2" s="1"/>
  <c r="G235" i="2" a="1"/>
  <c r="G235" i="2" s="1"/>
  <c r="H66" i="2" a="1"/>
  <c r="H66" i="2" s="1"/>
  <c r="G66" i="2" a="1"/>
  <c r="G66" i="2" s="1"/>
  <c r="H58" i="2" a="1"/>
  <c r="H58" i="2" s="1"/>
  <c r="G58" i="2" a="1"/>
  <c r="G58" i="2" s="1"/>
  <c r="G40" i="2" a="1"/>
  <c r="G40" i="2" s="1"/>
  <c r="H40" i="2" a="1"/>
  <c r="H40" i="2" s="1"/>
  <c r="H6" i="2" a="1"/>
  <c r="H6" i="2" s="1"/>
  <c r="G6" i="2" a="1"/>
  <c r="G6" i="2" s="1"/>
  <c r="G2752" i="2" a="1"/>
  <c r="G2752" i="2" s="1"/>
  <c r="G2557" i="2" a="1"/>
  <c r="G2557" i="2" s="1"/>
  <c r="G2506" i="2" a="1"/>
  <c r="G2506" i="2" s="1"/>
  <c r="G2448" i="2" a="1"/>
  <c r="G2448" i="2" s="1"/>
  <c r="G2399" i="2" a="1"/>
  <c r="G2399" i="2" s="1"/>
  <c r="G2140" i="2" a="1"/>
  <c r="G2140" i="2" s="1"/>
  <c r="G2081" i="2" a="1"/>
  <c r="G2081" i="2" s="1"/>
  <c r="G2032" i="2" a="1"/>
  <c r="G2032" i="2" s="1"/>
  <c r="G1388" i="2" a="1"/>
  <c r="G1388" i="2" s="1"/>
  <c r="G1108" i="2" a="1"/>
  <c r="G1108" i="2" s="1"/>
  <c r="G858" i="2" a="1"/>
  <c r="G858" i="2" s="1"/>
  <c r="G723" i="2" a="1"/>
  <c r="G723" i="2" s="1"/>
  <c r="I723" i="2" s="1"/>
  <c r="G247" i="2" a="1"/>
  <c r="G247" i="2" s="1"/>
  <c r="I247" i="2" s="1"/>
  <c r="H2649" i="2" a="1"/>
  <c r="H2649" i="2" s="1"/>
  <c r="H2507" i="2" a="1"/>
  <c r="H2507" i="2" s="1"/>
  <c r="E278" i="6" a="1"/>
  <c r="E278" i="6" s="1"/>
  <c r="G278" i="6" s="1"/>
  <c r="F247" i="6" a="1"/>
  <c r="F247" i="6" s="1"/>
  <c r="H2751" i="2" a="1"/>
  <c r="H2751" i="2" s="1"/>
  <c r="G2751" i="2" a="1"/>
  <c r="G2751" i="2" s="1"/>
  <c r="H2691" i="2" a="1"/>
  <c r="H2691" i="2" s="1"/>
  <c r="G2691" i="2" a="1"/>
  <c r="G2691" i="2" s="1"/>
  <c r="H2662" i="2" a="1"/>
  <c r="H2662" i="2" s="1"/>
  <c r="G2662" i="2" a="1"/>
  <c r="G2662" i="2" s="1"/>
  <c r="H2530" i="2" a="1"/>
  <c r="H2530" i="2" s="1"/>
  <c r="G2530" i="2" a="1"/>
  <c r="G2530" i="2" s="1"/>
  <c r="H2522" i="2" a="1"/>
  <c r="H2522" i="2" s="1"/>
  <c r="G2522" i="2" a="1"/>
  <c r="G2522" i="2" s="1"/>
  <c r="H2515" i="2" a="1"/>
  <c r="H2515" i="2" s="1"/>
  <c r="G2515" i="2" a="1"/>
  <c r="G2515" i="2" s="1"/>
  <c r="H2490" i="2" a="1"/>
  <c r="H2490" i="2" s="1"/>
  <c r="G2490" i="2" a="1"/>
  <c r="G2490" i="2" s="1"/>
  <c r="H2475" i="2" a="1"/>
  <c r="H2475" i="2" s="1"/>
  <c r="G2475" i="2" a="1"/>
  <c r="G2475" i="2" s="1"/>
  <c r="H2446" i="2" a="1"/>
  <c r="H2446" i="2" s="1"/>
  <c r="G2446" i="2" a="1"/>
  <c r="G2446" i="2" s="1"/>
  <c r="H2430" i="2" a="1"/>
  <c r="H2430" i="2" s="1"/>
  <c r="G2430" i="2" a="1"/>
  <c r="G2430" i="2" s="1"/>
  <c r="H2415" i="2" a="1"/>
  <c r="H2415" i="2" s="1"/>
  <c r="G2415" i="2" a="1"/>
  <c r="G2415" i="2" s="1"/>
  <c r="H2400" i="2" a="1"/>
  <c r="H2400" i="2" s="1"/>
  <c r="G2400" i="2" a="1"/>
  <c r="G2400" i="2" s="1"/>
  <c r="H2393" i="2" a="1"/>
  <c r="H2393" i="2" s="1"/>
  <c r="G2393" i="2" a="1"/>
  <c r="G2393" i="2" s="1"/>
  <c r="H2363" i="2" a="1"/>
  <c r="H2363" i="2" s="1"/>
  <c r="G2363" i="2" a="1"/>
  <c r="G2363" i="2" s="1"/>
  <c r="H2354" i="2" a="1"/>
  <c r="H2354" i="2" s="1"/>
  <c r="G2354" i="2" a="1"/>
  <c r="G2354" i="2" s="1"/>
  <c r="G2284" i="2" a="1"/>
  <c r="G2284" i="2" s="1"/>
  <c r="H2284" i="2" a="1"/>
  <c r="H2284" i="2" s="1"/>
  <c r="H2246" i="2" a="1"/>
  <c r="H2246" i="2" s="1"/>
  <c r="G2246" i="2" a="1"/>
  <c r="G2246" i="2" s="1"/>
  <c r="H2186" i="2" a="1"/>
  <c r="H2186" i="2" s="1"/>
  <c r="G2186" i="2" a="1"/>
  <c r="G2186" i="2" s="1"/>
  <c r="H2025" i="2" a="1"/>
  <c r="H2025" i="2" s="1"/>
  <c r="G2025" i="2" a="1"/>
  <c r="G2025" i="2" s="1"/>
  <c r="H1972" i="2" a="1"/>
  <c r="H1972" i="2" s="1"/>
  <c r="G1972" i="2" a="1"/>
  <c r="G1972" i="2" s="1"/>
  <c r="H1957" i="2" a="1"/>
  <c r="H1957" i="2" s="1"/>
  <c r="G1957" i="2" a="1"/>
  <c r="G1957" i="2" s="1"/>
  <c r="H1906" i="2" a="1"/>
  <c r="H1906" i="2" s="1"/>
  <c r="G1906" i="2" a="1"/>
  <c r="G1906" i="2" s="1"/>
  <c r="H1891" i="2" a="1"/>
  <c r="H1891" i="2" s="1"/>
  <c r="G1891" i="2" a="1"/>
  <c r="G1891" i="2" s="1"/>
  <c r="H1869" i="2" a="1"/>
  <c r="H1869" i="2" s="1"/>
  <c r="G1869" i="2" a="1"/>
  <c r="G1869" i="2" s="1"/>
  <c r="H1824" i="2" a="1"/>
  <c r="H1824" i="2" s="1"/>
  <c r="G1824" i="2" a="1"/>
  <c r="G1824" i="2" s="1"/>
  <c r="H1777" i="2" a="1"/>
  <c r="H1777" i="2" s="1"/>
  <c r="G1777" i="2" a="1"/>
  <c r="G1777" i="2" s="1"/>
  <c r="H1753" i="2" a="1"/>
  <c r="H1753" i="2" s="1"/>
  <c r="G1753" i="2" a="1"/>
  <c r="G1753" i="2" s="1"/>
  <c r="H1744" i="2" a="1"/>
  <c r="H1744" i="2" s="1"/>
  <c r="G1744" i="2" a="1"/>
  <c r="G1744" i="2" s="1"/>
  <c r="G1705" i="2" a="1"/>
  <c r="G1705" i="2" s="1"/>
  <c r="H1705" i="2" a="1"/>
  <c r="H1705" i="2" s="1"/>
  <c r="H1696" i="2" a="1"/>
  <c r="H1696" i="2" s="1"/>
  <c r="G1696" i="2" a="1"/>
  <c r="G1696" i="2" s="1"/>
  <c r="H1647" i="2" a="1"/>
  <c r="H1647" i="2" s="1"/>
  <c r="G1647" i="2" a="1"/>
  <c r="G1647" i="2" s="1"/>
  <c r="H1639" i="2" a="1"/>
  <c r="H1639" i="2" s="1"/>
  <c r="G1639" i="2" a="1"/>
  <c r="G1639" i="2" s="1"/>
  <c r="H1631" i="2" a="1"/>
  <c r="H1631" i="2" s="1"/>
  <c r="G1631" i="2" a="1"/>
  <c r="G1631" i="2" s="1"/>
  <c r="H1614" i="2" a="1"/>
  <c r="H1614" i="2" s="1"/>
  <c r="G1614" i="2" a="1"/>
  <c r="G1614" i="2" s="1"/>
  <c r="H1576" i="2" a="1"/>
  <c r="H1576" i="2" s="1"/>
  <c r="G1576" i="2" a="1"/>
  <c r="G1576" i="2" s="1"/>
  <c r="H1414" i="2" a="1"/>
  <c r="H1414" i="2" s="1"/>
  <c r="G1414" i="2" a="1"/>
  <c r="G1414" i="2" s="1"/>
  <c r="H1397" i="2" a="1"/>
  <c r="H1397" i="2" s="1"/>
  <c r="G1397" i="2" a="1"/>
  <c r="G1397" i="2" s="1"/>
  <c r="H1339" i="2" a="1"/>
  <c r="H1339" i="2" s="1"/>
  <c r="G1339" i="2" a="1"/>
  <c r="G1339" i="2" s="1"/>
  <c r="H1289" i="2" a="1"/>
  <c r="H1289" i="2" s="1"/>
  <c r="G1289" i="2" a="1"/>
  <c r="G1289" i="2" s="1"/>
  <c r="H1264" i="2" a="1"/>
  <c r="H1264" i="2" s="1"/>
  <c r="G1264" i="2" a="1"/>
  <c r="G1264" i="2" s="1"/>
  <c r="H1254" i="2" a="1"/>
  <c r="H1254" i="2" s="1"/>
  <c r="G1254" i="2" a="1"/>
  <c r="G1254" i="2" s="1"/>
  <c r="H1170" i="2" a="1"/>
  <c r="H1170" i="2" s="1"/>
  <c r="G1170" i="2" a="1"/>
  <c r="G1170" i="2" s="1"/>
  <c r="H1161" i="2" a="1"/>
  <c r="H1161" i="2" s="1"/>
  <c r="G1161" i="2" a="1"/>
  <c r="G1161" i="2" s="1"/>
  <c r="H1105" i="2" a="1"/>
  <c r="H1105" i="2" s="1"/>
  <c r="G1105" i="2" a="1"/>
  <c r="G1105" i="2" s="1"/>
  <c r="G1079" i="2" a="1"/>
  <c r="G1079" i="2" s="1"/>
  <c r="H1079" i="2" a="1"/>
  <c r="H1079" i="2" s="1"/>
  <c r="H1048" i="2" a="1"/>
  <c r="H1048" i="2" s="1"/>
  <c r="G1048" i="2" a="1"/>
  <c r="G1048" i="2" s="1"/>
  <c r="H1040" i="2" a="1"/>
  <c r="H1040" i="2" s="1"/>
  <c r="G1040" i="2" a="1"/>
  <c r="G1040" i="2" s="1"/>
  <c r="H1030" i="2" a="1"/>
  <c r="H1030" i="2" s="1"/>
  <c r="G1030" i="2" a="1"/>
  <c r="G1030" i="2" s="1"/>
  <c r="H988" i="2" a="1"/>
  <c r="H988" i="2" s="1"/>
  <c r="G988" i="2" a="1"/>
  <c r="G988" i="2" s="1"/>
  <c r="G972" i="2" a="1"/>
  <c r="G972" i="2" s="1"/>
  <c r="H972" i="2" a="1"/>
  <c r="H972" i="2" s="1"/>
  <c r="H963" i="2" a="1"/>
  <c r="H963" i="2" s="1"/>
  <c r="G963" i="2" a="1"/>
  <c r="G963" i="2" s="1"/>
  <c r="H938" i="2" a="1"/>
  <c r="H938" i="2" s="1"/>
  <c r="G938" i="2" a="1"/>
  <c r="G938" i="2" s="1"/>
  <c r="H922" i="2" a="1"/>
  <c r="H922" i="2" s="1"/>
  <c r="G922" i="2" a="1"/>
  <c r="G922" i="2" s="1"/>
  <c r="H913" i="2" a="1"/>
  <c r="H913" i="2" s="1"/>
  <c r="G913" i="2" a="1"/>
  <c r="G913" i="2" s="1"/>
  <c r="H897" i="2" a="1"/>
  <c r="H897" i="2" s="1"/>
  <c r="G897" i="2" a="1"/>
  <c r="G897" i="2" s="1"/>
  <c r="H889" i="2" a="1"/>
  <c r="H889" i="2" s="1"/>
  <c r="G889" i="2" a="1"/>
  <c r="G889" i="2" s="1"/>
  <c r="H882" i="2" a="1"/>
  <c r="H882" i="2" s="1"/>
  <c r="G882" i="2" a="1"/>
  <c r="G882" i="2" s="1"/>
  <c r="H873" i="2" a="1"/>
  <c r="H873" i="2" s="1"/>
  <c r="G873" i="2" a="1"/>
  <c r="G873" i="2" s="1"/>
  <c r="H864" i="2" a="1"/>
  <c r="H864" i="2" s="1"/>
  <c r="G864" i="2" a="1"/>
  <c r="G864" i="2" s="1"/>
  <c r="H855" i="2" a="1"/>
  <c r="H855" i="2" s="1"/>
  <c r="G855" i="2" a="1"/>
  <c r="G855" i="2" s="1"/>
  <c r="H823" i="2" a="1"/>
  <c r="H823" i="2" s="1"/>
  <c r="G823" i="2" a="1"/>
  <c r="G823" i="2" s="1"/>
  <c r="H782" i="2" a="1"/>
  <c r="H782" i="2" s="1"/>
  <c r="G782" i="2" a="1"/>
  <c r="G782" i="2" s="1"/>
  <c r="H757" i="2" a="1"/>
  <c r="H757" i="2" s="1"/>
  <c r="G757" i="2" a="1"/>
  <c r="G757" i="2" s="1"/>
  <c r="H722" i="2" a="1"/>
  <c r="H722" i="2" s="1"/>
  <c r="G722" i="2" a="1"/>
  <c r="G722" i="2" s="1"/>
  <c r="H713" i="2" a="1"/>
  <c r="H713" i="2" s="1"/>
  <c r="G713" i="2" a="1"/>
  <c r="G713" i="2" s="1"/>
  <c r="H680" i="2" a="1"/>
  <c r="H680" i="2" s="1"/>
  <c r="G680" i="2" a="1"/>
  <c r="G680" i="2" s="1"/>
  <c r="H671" i="2" a="1"/>
  <c r="H671" i="2" s="1"/>
  <c r="G671" i="2" a="1"/>
  <c r="G671" i="2" s="1"/>
  <c r="H655" i="2" a="1"/>
  <c r="H655" i="2" s="1"/>
  <c r="G655" i="2" a="1"/>
  <c r="G655" i="2" s="1"/>
  <c r="H638" i="2" a="1"/>
  <c r="H638" i="2" s="1"/>
  <c r="G638" i="2" a="1"/>
  <c r="G638" i="2" s="1"/>
  <c r="H622" i="2" a="1"/>
  <c r="H622" i="2" s="1"/>
  <c r="G622" i="2" a="1"/>
  <c r="G622" i="2" s="1"/>
  <c r="H604" i="2" a="1"/>
  <c r="H604" i="2" s="1"/>
  <c r="G604" i="2" a="1"/>
  <c r="G604" i="2" s="1"/>
  <c r="H595" i="2" a="1"/>
  <c r="H595" i="2" s="1"/>
  <c r="G595" i="2" a="1"/>
  <c r="G595" i="2" s="1"/>
  <c r="H551" i="2" a="1"/>
  <c r="H551" i="2" s="1"/>
  <c r="G551" i="2" a="1"/>
  <c r="G551" i="2" s="1"/>
  <c r="H542" i="2" a="1"/>
  <c r="H542" i="2" s="1"/>
  <c r="G542" i="2" a="1"/>
  <c r="G542" i="2" s="1"/>
  <c r="H466" i="2" a="1"/>
  <c r="H466" i="2" s="1"/>
  <c r="G466" i="2" a="1"/>
  <c r="G466" i="2" s="1"/>
  <c r="H417" i="2" a="1"/>
  <c r="H417" i="2" s="1"/>
  <c r="G417" i="2" a="1"/>
  <c r="G417" i="2" s="1"/>
  <c r="H373" i="2" a="1"/>
  <c r="H373" i="2" s="1"/>
  <c r="G373" i="2" a="1"/>
  <c r="G373" i="2" s="1"/>
  <c r="H347" i="2" a="1"/>
  <c r="H347" i="2" s="1"/>
  <c r="G347" i="2" a="1"/>
  <c r="G347" i="2" s="1"/>
  <c r="H330" i="2" a="1"/>
  <c r="H330" i="2" s="1"/>
  <c r="G330" i="2" a="1"/>
  <c r="G330" i="2" s="1"/>
  <c r="H321" i="2" a="1"/>
  <c r="H321" i="2" s="1"/>
  <c r="G321" i="2" a="1"/>
  <c r="G321" i="2" s="1"/>
  <c r="H303" i="2" a="1"/>
  <c r="H303" i="2" s="1"/>
  <c r="G303" i="2" a="1"/>
  <c r="G303" i="2" s="1"/>
  <c r="H271" i="2" a="1"/>
  <c r="H271" i="2" s="1"/>
  <c r="G271" i="2" a="1"/>
  <c r="G271" i="2" s="1"/>
  <c r="H244" i="2" a="1"/>
  <c r="H244" i="2" s="1"/>
  <c r="G244" i="2" a="1"/>
  <c r="G244" i="2" s="1"/>
  <c r="H193" i="2" a="1"/>
  <c r="H193" i="2" s="1"/>
  <c r="G193" i="2" a="1"/>
  <c r="G193" i="2" s="1"/>
  <c r="H141" i="2" a="1"/>
  <c r="H141" i="2" s="1"/>
  <c r="G141" i="2" a="1"/>
  <c r="G141" i="2" s="1"/>
  <c r="H99" i="2" a="1"/>
  <c r="H99" i="2" s="1"/>
  <c r="G99" i="2" a="1"/>
  <c r="G99" i="2" s="1"/>
  <c r="H92" i="2" a="1"/>
  <c r="H92" i="2" s="1"/>
  <c r="G92" i="2" a="1"/>
  <c r="G92" i="2" s="1"/>
  <c r="H75" i="2" a="1"/>
  <c r="H75" i="2" s="1"/>
  <c r="G75" i="2" a="1"/>
  <c r="G75" i="2" s="1"/>
  <c r="H57" i="2" a="1"/>
  <c r="H57" i="2" s="1"/>
  <c r="G57" i="2" a="1"/>
  <c r="G57" i="2" s="1"/>
  <c r="H39" i="2" a="1"/>
  <c r="H39" i="2" s="1"/>
  <c r="G39" i="2" a="1"/>
  <c r="G39" i="2" s="1"/>
  <c r="H31" i="2" a="1"/>
  <c r="H31" i="2" s="1"/>
  <c r="G31" i="2" a="1"/>
  <c r="G31" i="2" s="1"/>
  <c r="G2652" i="2" a="1"/>
  <c r="G2652" i="2" s="1"/>
  <c r="G2558" i="2" a="1"/>
  <c r="G2558" i="2" s="1"/>
  <c r="G2406" i="2" a="1"/>
  <c r="G2406" i="2" s="1"/>
  <c r="G2335" i="2" a="1"/>
  <c r="G2335" i="2" s="1"/>
  <c r="G2075" i="2" a="1"/>
  <c r="G2075" i="2" s="1"/>
  <c r="G1925" i="2" a="1"/>
  <c r="G1925" i="2" s="1"/>
  <c r="G1710" i="2" a="1"/>
  <c r="G1710" i="2" s="1"/>
  <c r="G1150" i="2" a="1"/>
  <c r="G1150" i="2" s="1"/>
  <c r="G1101" i="2" a="1"/>
  <c r="G1101" i="2" s="1"/>
  <c r="G489" i="2" a="1"/>
  <c r="G489" i="2" s="1"/>
  <c r="G165" i="2" a="1"/>
  <c r="G165" i="2" s="1"/>
  <c r="G97" i="2" a="1"/>
  <c r="G97" i="2" s="1"/>
  <c r="H976" i="2" a="1"/>
  <c r="H976" i="2" s="1"/>
  <c r="H2770" i="2" a="1"/>
  <c r="H2770" i="2" s="1"/>
  <c r="G2770" i="2" a="1"/>
  <c r="G2770" i="2" s="1"/>
  <c r="G2763" i="2" a="1"/>
  <c r="G2763" i="2" s="1"/>
  <c r="H2763" i="2" a="1"/>
  <c r="H2763" i="2" s="1"/>
  <c r="H2756" i="2" a="1"/>
  <c r="H2756" i="2" s="1"/>
  <c r="G2756" i="2" a="1"/>
  <c r="G2756" i="2" s="1"/>
  <c r="H2735" i="2" a="1"/>
  <c r="H2735" i="2" s="1"/>
  <c r="G2735" i="2" a="1"/>
  <c r="G2735" i="2" s="1"/>
  <c r="H2720" i="2" a="1"/>
  <c r="H2720" i="2" s="1"/>
  <c r="G2720" i="2" a="1"/>
  <c r="G2720" i="2" s="1"/>
  <c r="G2703" i="2" a="1"/>
  <c r="G2703" i="2" s="1"/>
  <c r="H2703" i="2" a="1"/>
  <c r="H2703" i="2" s="1"/>
  <c r="H2668" i="2" a="1"/>
  <c r="H2668" i="2" s="1"/>
  <c r="G2668" i="2" a="1"/>
  <c r="G2668" i="2" s="1"/>
  <c r="H2623" i="2" a="1"/>
  <c r="H2623" i="2" s="1"/>
  <c r="G2623" i="2" a="1"/>
  <c r="G2623" i="2" s="1"/>
  <c r="G2616" i="2" a="1"/>
  <c r="G2616" i="2" s="1"/>
  <c r="H2616" i="2" a="1"/>
  <c r="H2616" i="2" s="1"/>
  <c r="H2549" i="2" a="1"/>
  <c r="H2549" i="2" s="1"/>
  <c r="G2549" i="2" a="1"/>
  <c r="G2549" i="2" s="1"/>
  <c r="H2527" i="2" a="1"/>
  <c r="H2527" i="2" s="1"/>
  <c r="G2527" i="2" a="1"/>
  <c r="G2527" i="2" s="1"/>
  <c r="H2513" i="2" a="1"/>
  <c r="H2513" i="2" s="1"/>
  <c r="G2513" i="2" a="1"/>
  <c r="G2513" i="2" s="1"/>
  <c r="H2504" i="2" a="1"/>
  <c r="H2504" i="2" s="1"/>
  <c r="G2504" i="2" a="1"/>
  <c r="G2504" i="2" s="1"/>
  <c r="H2496" i="2" a="1"/>
  <c r="H2496" i="2" s="1"/>
  <c r="G2496" i="2" a="1"/>
  <c r="G2496" i="2" s="1"/>
  <c r="H2466" i="2" a="1"/>
  <c r="H2466" i="2" s="1"/>
  <c r="G2466" i="2" a="1"/>
  <c r="G2466" i="2" s="1"/>
  <c r="H2459" i="2" a="1"/>
  <c r="H2459" i="2" s="1"/>
  <c r="G2459" i="2" a="1"/>
  <c r="G2459" i="2" s="1"/>
  <c r="H2451" i="2" a="1"/>
  <c r="H2451" i="2" s="1"/>
  <c r="G2451" i="2" a="1"/>
  <c r="G2451" i="2" s="1"/>
  <c r="H2444" i="2" a="1"/>
  <c r="H2444" i="2" s="1"/>
  <c r="G2444" i="2" a="1"/>
  <c r="G2444" i="2" s="1"/>
  <c r="H2436" i="2" a="1"/>
  <c r="H2436" i="2" s="1"/>
  <c r="G2436" i="2" a="1"/>
  <c r="G2436" i="2" s="1"/>
  <c r="H2421" i="2" a="1"/>
  <c r="H2421" i="2" s="1"/>
  <c r="G2421" i="2" a="1"/>
  <c r="G2421" i="2" s="1"/>
  <c r="H2413" i="2" a="1"/>
  <c r="H2413" i="2" s="1"/>
  <c r="G2413" i="2" a="1"/>
  <c r="G2413" i="2" s="1"/>
  <c r="G2369" i="2" a="1"/>
  <c r="G2369" i="2" s="1"/>
  <c r="H2369" i="2" a="1"/>
  <c r="H2369" i="2" s="1"/>
  <c r="H2361" i="2" a="1"/>
  <c r="H2361" i="2" s="1"/>
  <c r="G2361" i="2" a="1"/>
  <c r="G2361" i="2" s="1"/>
  <c r="H2321" i="2" a="1"/>
  <c r="H2321" i="2" s="1"/>
  <c r="G2321" i="2" a="1"/>
  <c r="G2321" i="2" s="1"/>
  <c r="G2282" i="2" a="1"/>
  <c r="G2282" i="2" s="1"/>
  <c r="H2282" i="2" a="1"/>
  <c r="H2282" i="2" s="1"/>
  <c r="H2274" i="2" a="1"/>
  <c r="H2274" i="2" s="1"/>
  <c r="G2274" i="2" a="1"/>
  <c r="G2274" i="2" s="1"/>
  <c r="H2259" i="2" a="1"/>
  <c r="H2259" i="2" s="1"/>
  <c r="G2259" i="2" a="1"/>
  <c r="G2259" i="2" s="1"/>
  <c r="H2230" i="2" a="1"/>
  <c r="H2230" i="2" s="1"/>
  <c r="G2230" i="2" a="1"/>
  <c r="G2230" i="2" s="1"/>
  <c r="H2214" i="2" a="1"/>
  <c r="H2214" i="2" s="1"/>
  <c r="G2214" i="2" a="1"/>
  <c r="G2214" i="2" s="1"/>
  <c r="H2192" i="2" a="1"/>
  <c r="H2192" i="2" s="1"/>
  <c r="G2192" i="2" a="1"/>
  <c r="G2192" i="2" s="1"/>
  <c r="H2177" i="2" a="1"/>
  <c r="H2177" i="2" s="1"/>
  <c r="G2177" i="2" a="1"/>
  <c r="G2177" i="2" s="1"/>
  <c r="G2169" i="2" a="1"/>
  <c r="G2169" i="2" s="1"/>
  <c r="H2169" i="2" a="1"/>
  <c r="H2169" i="2" s="1"/>
  <c r="H2162" i="2" a="1"/>
  <c r="H2162" i="2" s="1"/>
  <c r="G2162" i="2" a="1"/>
  <c r="G2162" i="2" s="1"/>
  <c r="H2147" i="2" a="1"/>
  <c r="H2147" i="2" s="1"/>
  <c r="G2147" i="2" a="1"/>
  <c r="G2147" i="2" s="1"/>
  <c r="H2138" i="2" a="1"/>
  <c r="H2138" i="2" s="1"/>
  <c r="G2138" i="2" a="1"/>
  <c r="G2138" i="2" s="1"/>
  <c r="H2129" i="2" a="1"/>
  <c r="H2129" i="2" s="1"/>
  <c r="G2129" i="2" a="1"/>
  <c r="G2129" i="2" s="1"/>
  <c r="H2121" i="2" a="1"/>
  <c r="H2121" i="2" s="1"/>
  <c r="G2121" i="2" a="1"/>
  <c r="G2121" i="2" s="1"/>
  <c r="H2114" i="2" a="1"/>
  <c r="H2114" i="2" s="1"/>
  <c r="G2114" i="2" a="1"/>
  <c r="G2114" i="2" s="1"/>
  <c r="H2100" i="2" a="1"/>
  <c r="H2100" i="2" s="1"/>
  <c r="G2100" i="2" a="1"/>
  <c r="G2100" i="2" s="1"/>
  <c r="H2085" i="2" a="1"/>
  <c r="H2085" i="2" s="1"/>
  <c r="G2085" i="2" a="1"/>
  <c r="G2085" i="2" s="1"/>
  <c r="H2068" i="2" a="1"/>
  <c r="H2068" i="2" s="1"/>
  <c r="G2068" i="2" a="1"/>
  <c r="G2068" i="2" s="1"/>
  <c r="H2045" i="2" a="1"/>
  <c r="H2045" i="2" s="1"/>
  <c r="G2045" i="2" a="1"/>
  <c r="G2045" i="2" s="1"/>
  <c r="H2030" i="2" a="1"/>
  <c r="H2030" i="2" s="1"/>
  <c r="G2030" i="2" a="1"/>
  <c r="G2030" i="2" s="1"/>
  <c r="H2008" i="2" a="1"/>
  <c r="H2008" i="2" s="1"/>
  <c r="G2008" i="2" a="1"/>
  <c r="G2008" i="2" s="1"/>
  <c r="G1985" i="2" a="1"/>
  <c r="G1985" i="2" s="1"/>
  <c r="H1985" i="2" a="1"/>
  <c r="H1985" i="2" s="1"/>
  <c r="G1978" i="2" a="1"/>
  <c r="G1978" i="2" s="1"/>
  <c r="H1978" i="2" a="1"/>
  <c r="H1978" i="2" s="1"/>
  <c r="H1963" i="2" a="1"/>
  <c r="H1963" i="2" s="1"/>
  <c r="G1963" i="2" a="1"/>
  <c r="G1963" i="2" s="1"/>
  <c r="G1940" i="2" a="1"/>
  <c r="G1940" i="2" s="1"/>
  <c r="H1940" i="2" a="1"/>
  <c r="H1940" i="2" s="1"/>
  <c r="H1919" i="2" a="1"/>
  <c r="H1919" i="2" s="1"/>
  <c r="G1919" i="2" a="1"/>
  <c r="G1919" i="2" s="1"/>
  <c r="H1911" i="2" a="1"/>
  <c r="H1911" i="2" s="1"/>
  <c r="G1911" i="2" a="1"/>
  <c r="G1911" i="2" s="1"/>
  <c r="H1904" i="2" a="1"/>
  <c r="H1904" i="2" s="1"/>
  <c r="G1904" i="2" a="1"/>
  <c r="G1904" i="2" s="1"/>
  <c r="H1844" i="2" a="1"/>
  <c r="H1844" i="2" s="1"/>
  <c r="G1844" i="2" a="1"/>
  <c r="G1844" i="2" s="1"/>
  <c r="H1836" i="2" a="1"/>
  <c r="H1836" i="2" s="1"/>
  <c r="G1836" i="2" a="1"/>
  <c r="G1836" i="2" s="1"/>
  <c r="H1751" i="2" a="1"/>
  <c r="H1751" i="2" s="1"/>
  <c r="G1751" i="2" a="1"/>
  <c r="G1751" i="2" s="1"/>
  <c r="H1719" i="2" a="1"/>
  <c r="H1719" i="2" s="1"/>
  <c r="G1719" i="2" a="1"/>
  <c r="G1719" i="2" s="1"/>
  <c r="H1694" i="2" a="1"/>
  <c r="H1694" i="2" s="1"/>
  <c r="G1694" i="2" a="1"/>
  <c r="G1694" i="2" s="1"/>
  <c r="G1685" i="2" a="1"/>
  <c r="G1685" i="2" s="1"/>
  <c r="H1685" i="2" a="1"/>
  <c r="H1685" i="2" s="1"/>
  <c r="H1670" i="2" a="1"/>
  <c r="H1670" i="2" s="1"/>
  <c r="G1670" i="2" a="1"/>
  <c r="G1670" i="2" s="1"/>
  <c r="H1621" i="2" a="1"/>
  <c r="H1621" i="2" s="1"/>
  <c r="G1621" i="2" a="1"/>
  <c r="G1621" i="2" s="1"/>
  <c r="H1589" i="2" a="1"/>
  <c r="H1589" i="2" s="1"/>
  <c r="G1589" i="2" a="1"/>
  <c r="G1589" i="2" s="1"/>
  <c r="H1582" i="2" a="1"/>
  <c r="H1582" i="2" s="1"/>
  <c r="G1582" i="2" a="1"/>
  <c r="G1582" i="2" s="1"/>
  <c r="H1501" i="2" a="1"/>
  <c r="H1501" i="2" s="1"/>
  <c r="G1501" i="2" a="1"/>
  <c r="G1501" i="2" s="1"/>
  <c r="H1493" i="2" a="1"/>
  <c r="H1493" i="2" s="1"/>
  <c r="G1493" i="2" a="1"/>
  <c r="G1493" i="2" s="1"/>
  <c r="H1476" i="2" a="1"/>
  <c r="H1476" i="2" s="1"/>
  <c r="G1476" i="2" a="1"/>
  <c r="G1476" i="2" s="1"/>
  <c r="H1437" i="2" a="1"/>
  <c r="H1437" i="2" s="1"/>
  <c r="G1437" i="2" a="1"/>
  <c r="G1437" i="2" s="1"/>
  <c r="H1428" i="2" a="1"/>
  <c r="H1428" i="2" s="1"/>
  <c r="G1428" i="2" a="1"/>
  <c r="G1428" i="2" s="1"/>
  <c r="H1395" i="2" a="1"/>
  <c r="H1395" i="2" s="1"/>
  <c r="G1395" i="2" a="1"/>
  <c r="G1395" i="2" s="1"/>
  <c r="H1387" i="2" a="1"/>
  <c r="H1387" i="2" s="1"/>
  <c r="G1387" i="2" a="1"/>
  <c r="G1387" i="2" s="1"/>
  <c r="H1372" i="2" a="1"/>
  <c r="H1372" i="2" s="1"/>
  <c r="G1372" i="2" a="1"/>
  <c r="G1372" i="2" s="1"/>
  <c r="H1363" i="2" a="1"/>
  <c r="H1363" i="2" s="1"/>
  <c r="G1363" i="2" a="1"/>
  <c r="G1363" i="2" s="1"/>
  <c r="H1346" i="2" a="1"/>
  <c r="H1346" i="2" s="1"/>
  <c r="G1346" i="2" a="1"/>
  <c r="G1346" i="2" s="1"/>
  <c r="H1329" i="2" a="1"/>
  <c r="H1329" i="2" s="1"/>
  <c r="G1329" i="2" a="1"/>
  <c r="G1329" i="2" s="1"/>
  <c r="H1303" i="2" a="1"/>
  <c r="H1303" i="2" s="1"/>
  <c r="G1303" i="2" a="1"/>
  <c r="G1303" i="2" s="1"/>
  <c r="H1218" i="2" a="1"/>
  <c r="H1218" i="2" s="1"/>
  <c r="G1218" i="2" a="1"/>
  <c r="G1218" i="2" s="1"/>
  <c r="H1202" i="2" a="1"/>
  <c r="H1202" i="2" s="1"/>
  <c r="G1202" i="2" a="1"/>
  <c r="G1202" i="2" s="1"/>
  <c r="H1176" i="2" a="1"/>
  <c r="H1176" i="2" s="1"/>
  <c r="G1176" i="2" a="1"/>
  <c r="G1176" i="2" s="1"/>
  <c r="H1151" i="2" a="1"/>
  <c r="H1151" i="2" s="1"/>
  <c r="G1151" i="2" a="1"/>
  <c r="G1151" i="2" s="1"/>
  <c r="H1120" i="2" a="1"/>
  <c r="H1120" i="2" s="1"/>
  <c r="G1120" i="2" a="1"/>
  <c r="G1120" i="2" s="1"/>
  <c r="H1112" i="2" a="1"/>
  <c r="H1112" i="2" s="1"/>
  <c r="G1112" i="2" a="1"/>
  <c r="G1112" i="2" s="1"/>
  <c r="G1102" i="2" a="1"/>
  <c r="G1102" i="2" s="1"/>
  <c r="H1102" i="2" a="1"/>
  <c r="H1102" i="2" s="1"/>
  <c r="G1085" i="2" a="1"/>
  <c r="G1085" i="2" s="1"/>
  <c r="H1085" i="2" a="1"/>
  <c r="H1085" i="2" s="1"/>
  <c r="H1054" i="2" a="1"/>
  <c r="H1054" i="2" s="1"/>
  <c r="G1054" i="2" a="1"/>
  <c r="G1054" i="2" s="1"/>
  <c r="H1046" i="2" a="1"/>
  <c r="H1046" i="2" s="1"/>
  <c r="G1046" i="2" a="1"/>
  <c r="G1046" i="2" s="1"/>
  <c r="H1037" i="2" a="1"/>
  <c r="H1037" i="2" s="1"/>
  <c r="G1037" i="2" a="1"/>
  <c r="G1037" i="2" s="1"/>
  <c r="H994" i="2" a="1"/>
  <c r="H994" i="2" s="1"/>
  <c r="G994" i="2" a="1"/>
  <c r="G994" i="2" s="1"/>
  <c r="H961" i="2" a="1"/>
  <c r="H961" i="2" s="1"/>
  <c r="G961" i="2" a="1"/>
  <c r="G961" i="2" s="1"/>
  <c r="H928" i="2" a="1"/>
  <c r="H928" i="2" s="1"/>
  <c r="G928" i="2" a="1"/>
  <c r="G928" i="2" s="1"/>
  <c r="H911" i="2" a="1"/>
  <c r="H911" i="2" s="1"/>
  <c r="G911" i="2" a="1"/>
  <c r="G911" i="2" s="1"/>
  <c r="H895" i="2" a="1"/>
  <c r="H895" i="2" s="1"/>
  <c r="G895" i="2" a="1"/>
  <c r="G895" i="2" s="1"/>
  <c r="H887" i="2" a="1"/>
  <c r="H887" i="2" s="1"/>
  <c r="G887" i="2" a="1"/>
  <c r="G887" i="2" s="1"/>
  <c r="H870" i="2" a="1"/>
  <c r="H870" i="2" s="1"/>
  <c r="G870" i="2" a="1"/>
  <c r="G870" i="2" s="1"/>
  <c r="H862" i="2" a="1"/>
  <c r="H862" i="2" s="1"/>
  <c r="G862" i="2" a="1"/>
  <c r="G862" i="2" s="1"/>
  <c r="H853" i="2" a="1"/>
  <c r="H853" i="2" s="1"/>
  <c r="G853" i="2" a="1"/>
  <c r="G853" i="2" s="1"/>
  <c r="H845" i="2" a="1"/>
  <c r="H845" i="2" s="1"/>
  <c r="G845" i="2" a="1"/>
  <c r="G845" i="2" s="1"/>
  <c r="H780" i="2" a="1"/>
  <c r="H780" i="2" s="1"/>
  <c r="G780" i="2" a="1"/>
  <c r="G780" i="2" s="1"/>
  <c r="H764" i="2" a="1"/>
  <c r="H764" i="2" s="1"/>
  <c r="G764" i="2" a="1"/>
  <c r="G764" i="2" s="1"/>
  <c r="H738" i="2" a="1"/>
  <c r="H738" i="2" s="1"/>
  <c r="G738" i="2" a="1"/>
  <c r="G738" i="2" s="1"/>
  <c r="H729" i="2" a="1"/>
  <c r="H729" i="2" s="1"/>
  <c r="G729" i="2" a="1"/>
  <c r="G729" i="2" s="1"/>
  <c r="H711" i="2" a="1"/>
  <c r="H711" i="2" s="1"/>
  <c r="G711" i="2" a="1"/>
  <c r="G711" i="2" s="1"/>
  <c r="H668" i="2" a="1"/>
  <c r="H668" i="2" s="1"/>
  <c r="G668" i="2" a="1"/>
  <c r="G668" i="2" s="1"/>
  <c r="H653" i="2" a="1"/>
  <c r="H653" i="2" s="1"/>
  <c r="G653" i="2" a="1"/>
  <c r="G653" i="2" s="1"/>
  <c r="H644" i="2" a="1"/>
  <c r="H644" i="2" s="1"/>
  <c r="G644" i="2" a="1"/>
  <c r="G644" i="2" s="1"/>
  <c r="H636" i="2" a="1"/>
  <c r="H636" i="2" s="1"/>
  <c r="G636" i="2" a="1"/>
  <c r="G636" i="2" s="1"/>
  <c r="H601" i="2" a="1"/>
  <c r="H601" i="2" s="1"/>
  <c r="G601" i="2" a="1"/>
  <c r="G601" i="2" s="1"/>
  <c r="H593" i="2" a="1"/>
  <c r="H593" i="2" s="1"/>
  <c r="G593" i="2" a="1"/>
  <c r="G593" i="2" s="1"/>
  <c r="H577" i="2" a="1"/>
  <c r="H577" i="2" s="1"/>
  <c r="G577" i="2" a="1"/>
  <c r="G577" i="2" s="1"/>
  <c r="H568" i="2" a="1"/>
  <c r="H568" i="2" s="1"/>
  <c r="G568" i="2" a="1"/>
  <c r="G568" i="2" s="1"/>
  <c r="H558" i="2" a="1"/>
  <c r="H558" i="2" s="1"/>
  <c r="G558" i="2" a="1"/>
  <c r="G558" i="2" s="1"/>
  <c r="H549" i="2" a="1"/>
  <c r="H549" i="2" s="1"/>
  <c r="G549" i="2" a="1"/>
  <c r="G549" i="2" s="1"/>
  <c r="H540" i="2" a="1"/>
  <c r="H540" i="2" s="1"/>
  <c r="G540" i="2" a="1"/>
  <c r="G540" i="2" s="1"/>
  <c r="H523" i="2" a="1"/>
  <c r="H523" i="2" s="1"/>
  <c r="G523" i="2" a="1"/>
  <c r="G523" i="2" s="1"/>
  <c r="H514" i="2" a="1"/>
  <c r="H514" i="2" s="1"/>
  <c r="G514" i="2" a="1"/>
  <c r="G514" i="2" s="1"/>
  <c r="H463" i="2" a="1"/>
  <c r="H463" i="2" s="1"/>
  <c r="G463" i="2" a="1"/>
  <c r="G463" i="2" s="1"/>
  <c r="H430" i="2" a="1"/>
  <c r="H430" i="2" s="1"/>
  <c r="G430" i="2" a="1"/>
  <c r="G430" i="2" s="1"/>
  <c r="H414" i="2" a="1"/>
  <c r="H414" i="2" s="1"/>
  <c r="G414" i="2" a="1"/>
  <c r="G414" i="2" s="1"/>
  <c r="H405" i="2" a="1"/>
  <c r="H405" i="2" s="1"/>
  <c r="G405" i="2" a="1"/>
  <c r="G405" i="2" s="1"/>
  <c r="H389" i="2" a="1"/>
  <c r="H389" i="2" s="1"/>
  <c r="G389" i="2" a="1"/>
  <c r="G389" i="2" s="1"/>
  <c r="H380" i="2" a="1"/>
  <c r="H380" i="2" s="1"/>
  <c r="G380" i="2" a="1"/>
  <c r="G380" i="2" s="1"/>
  <c r="H363" i="2" a="1"/>
  <c r="H363" i="2" s="1"/>
  <c r="G363" i="2" a="1"/>
  <c r="G363" i="2" s="1"/>
  <c r="H300" i="2" a="1"/>
  <c r="H300" i="2" s="1"/>
  <c r="G300" i="2" a="1"/>
  <c r="G300" i="2" s="1"/>
  <c r="H285" i="2" a="1"/>
  <c r="H285" i="2" s="1"/>
  <c r="G285" i="2" a="1"/>
  <c r="G285" i="2" s="1"/>
  <c r="H233" i="2" a="1"/>
  <c r="H233" i="2" s="1"/>
  <c r="G233" i="2" a="1"/>
  <c r="G233" i="2" s="1"/>
  <c r="H216" i="2" a="1"/>
  <c r="H216" i="2" s="1"/>
  <c r="G216" i="2" a="1"/>
  <c r="G216" i="2" s="1"/>
  <c r="H156" i="2" a="1"/>
  <c r="H156" i="2" s="1"/>
  <c r="G156" i="2" a="1"/>
  <c r="G156" i="2" s="1"/>
  <c r="H138" i="2" a="1"/>
  <c r="H138" i="2" s="1"/>
  <c r="G138" i="2" a="1"/>
  <c r="G138" i="2" s="1"/>
  <c r="H113" i="2" a="1"/>
  <c r="H113" i="2" s="1"/>
  <c r="G113" i="2" a="1"/>
  <c r="G113" i="2" s="1"/>
  <c r="H105" i="2" a="1"/>
  <c r="H105" i="2" s="1"/>
  <c r="G105" i="2" a="1"/>
  <c r="G105" i="2" s="1"/>
  <c r="H54" i="2" a="1"/>
  <c r="H54" i="2" s="1"/>
  <c r="G54" i="2" a="1"/>
  <c r="G54" i="2" s="1"/>
  <c r="H29" i="2" a="1"/>
  <c r="H29" i="2" s="1"/>
  <c r="G29" i="2" a="1"/>
  <c r="G29" i="2" s="1"/>
  <c r="H12" i="2" a="1"/>
  <c r="H12" i="2" s="1"/>
  <c r="G12" i="2" a="1"/>
  <c r="G12" i="2" s="1"/>
  <c r="G2733" i="2" a="1"/>
  <c r="G2733" i="2" s="1"/>
  <c r="G2614" i="2" a="1"/>
  <c r="G2614" i="2" s="1"/>
  <c r="G2299" i="2" a="1"/>
  <c r="G2299" i="2" s="1"/>
  <c r="G2237" i="2" a="1"/>
  <c r="G2237" i="2" s="1"/>
  <c r="G1831" i="2" a="1"/>
  <c r="G1831" i="2" s="1"/>
  <c r="G1436" i="2" a="1"/>
  <c r="G1436" i="2" s="1"/>
  <c r="G1380" i="2" a="1"/>
  <c r="G1380" i="2" s="1"/>
  <c r="G1319" i="2" a="1"/>
  <c r="G1319" i="2" s="1"/>
  <c r="G702" i="2" a="1"/>
  <c r="G702" i="2" s="1"/>
  <c r="G479" i="2" a="1"/>
  <c r="G479" i="2" s="1"/>
  <c r="G404" i="2" a="1"/>
  <c r="G404" i="2" s="1"/>
  <c r="G162" i="2" a="1"/>
  <c r="G162" i="2" s="1"/>
  <c r="H2542" i="2" a="1"/>
  <c r="H2542" i="2" s="1"/>
  <c r="H2778" i="2" a="1"/>
  <c r="H2778" i="2" s="1"/>
  <c r="G2778" i="2" a="1"/>
  <c r="G2778" i="2" s="1"/>
  <c r="G2645" i="2" a="1"/>
  <c r="G2645" i="2" s="1"/>
  <c r="H2645" i="2" a="1"/>
  <c r="H2645" i="2" s="1"/>
  <c r="H2630" i="2" a="1"/>
  <c r="H2630" i="2" s="1"/>
  <c r="G2630" i="2" a="1"/>
  <c r="G2630" i="2" s="1"/>
  <c r="G2564" i="2" a="1"/>
  <c r="G2564" i="2" s="1"/>
  <c r="H2564" i="2" a="1"/>
  <c r="H2564" i="2" s="1"/>
  <c r="G2541" i="2" a="1"/>
  <c r="G2541" i="2" s="1"/>
  <c r="H2541" i="2" a="1"/>
  <c r="H2541" i="2" s="1"/>
  <c r="G2480" i="2" a="1"/>
  <c r="G2480" i="2" s="1"/>
  <c r="H2480" i="2" a="1"/>
  <c r="H2480" i="2" s="1"/>
  <c r="H2398" i="2" a="1"/>
  <c r="H2398" i="2" s="1"/>
  <c r="G2398" i="2" a="1"/>
  <c r="G2398" i="2" s="1"/>
  <c r="H2376" i="2" a="1"/>
  <c r="H2376" i="2" s="1"/>
  <c r="G2376" i="2" a="1"/>
  <c r="G2376" i="2" s="1"/>
  <c r="H2360" i="2" a="1"/>
  <c r="H2360" i="2" s="1"/>
  <c r="G2360" i="2" a="1"/>
  <c r="G2360" i="2" s="1"/>
  <c r="H2328" i="2" a="1"/>
  <c r="H2328" i="2" s="1"/>
  <c r="G2328" i="2" a="1"/>
  <c r="G2328" i="2" s="1"/>
  <c r="H2313" i="2" a="1"/>
  <c r="H2313" i="2" s="1"/>
  <c r="G2313" i="2" a="1"/>
  <c r="G2313" i="2" s="1"/>
  <c r="H2290" i="2" a="1"/>
  <c r="H2290" i="2" s="1"/>
  <c r="G2290" i="2" a="1"/>
  <c r="G2290" i="2" s="1"/>
  <c r="G2281" i="2" a="1"/>
  <c r="G2281" i="2" s="1"/>
  <c r="H2281" i="2" a="1"/>
  <c r="H2281" i="2" s="1"/>
  <c r="H2267" i="2" a="1"/>
  <c r="H2267" i="2" s="1"/>
  <c r="G2267" i="2" a="1"/>
  <c r="G2267" i="2" s="1"/>
  <c r="H2198" i="2" a="1"/>
  <c r="H2198" i="2" s="1"/>
  <c r="G2198" i="2" a="1"/>
  <c r="G2198" i="2" s="1"/>
  <c r="H2176" i="2" a="1"/>
  <c r="H2176" i="2" s="1"/>
  <c r="G2176" i="2" a="1"/>
  <c r="G2176" i="2" s="1"/>
  <c r="H2154" i="2" a="1"/>
  <c r="H2154" i="2" s="1"/>
  <c r="G2154" i="2" a="1"/>
  <c r="G2154" i="2" s="1"/>
  <c r="H2137" i="2" a="1"/>
  <c r="H2137" i="2" s="1"/>
  <c r="G2137" i="2" a="1"/>
  <c r="G2137" i="2" s="1"/>
  <c r="H2128" i="2" a="1"/>
  <c r="H2128" i="2" s="1"/>
  <c r="G2128" i="2" a="1"/>
  <c r="G2128" i="2" s="1"/>
  <c r="G2106" i="2" a="1"/>
  <c r="G2106" i="2" s="1"/>
  <c r="H2106" i="2" a="1"/>
  <c r="H2106" i="2" s="1"/>
  <c r="H2091" i="2" a="1"/>
  <c r="H2091" i="2" s="1"/>
  <c r="G2091" i="2" a="1"/>
  <c r="G2091" i="2" s="1"/>
  <c r="H2076" i="2" a="1"/>
  <c r="H2076" i="2" s="1"/>
  <c r="G2076" i="2" a="1"/>
  <c r="G2076" i="2" s="1"/>
  <c r="H2023" i="2" a="1"/>
  <c r="H2023" i="2" s="1"/>
  <c r="G2023" i="2" a="1"/>
  <c r="G2023" i="2" s="1"/>
  <c r="H2007" i="2" a="1"/>
  <c r="H2007" i="2" s="1"/>
  <c r="G2007" i="2" a="1"/>
  <c r="G2007" i="2" s="1"/>
  <c r="G1977" i="2" a="1"/>
  <c r="G1977" i="2" s="1"/>
  <c r="H1977" i="2" a="1"/>
  <c r="H1977" i="2" s="1"/>
  <c r="H1969" i="2" a="1"/>
  <c r="H1969" i="2" s="1"/>
  <c r="G1969" i="2" a="1"/>
  <c r="G1969" i="2" s="1"/>
  <c r="H1889" i="2" a="1"/>
  <c r="H1889" i="2" s="1"/>
  <c r="G1889" i="2" a="1"/>
  <c r="G1889" i="2" s="1"/>
  <c r="H1881" i="2" a="1"/>
  <c r="H1881" i="2" s="1"/>
  <c r="G1881" i="2" a="1"/>
  <c r="G1881" i="2" s="1"/>
  <c r="H1858" i="2" a="1"/>
  <c r="H1858" i="2" s="1"/>
  <c r="G1858" i="2" a="1"/>
  <c r="G1858" i="2" s="1"/>
  <c r="H1792" i="2" a="1"/>
  <c r="H1792" i="2" s="1"/>
  <c r="G1792" i="2" a="1"/>
  <c r="G1792" i="2" s="1"/>
  <c r="H1718" i="2" a="1"/>
  <c r="H1718" i="2" s="1"/>
  <c r="G1718" i="2" a="1"/>
  <c r="G1718" i="2" s="1"/>
  <c r="H1693" i="2" a="1"/>
  <c r="H1693" i="2" s="1"/>
  <c r="G1693" i="2" a="1"/>
  <c r="G1693" i="2" s="1"/>
  <c r="H1677" i="2" a="1"/>
  <c r="H1677" i="2" s="1"/>
  <c r="G1677" i="2" a="1"/>
  <c r="G1677" i="2" s="1"/>
  <c r="H1629" i="2" a="1"/>
  <c r="H1629" i="2" s="1"/>
  <c r="G1629" i="2" a="1"/>
  <c r="G1629" i="2" s="1"/>
  <c r="H1603" i="2" a="1"/>
  <c r="H1603" i="2" s="1"/>
  <c r="G1603" i="2" a="1"/>
  <c r="G1603" i="2" s="1"/>
  <c r="H1581" i="2" a="1"/>
  <c r="H1581" i="2" s="1"/>
  <c r="G1581" i="2" a="1"/>
  <c r="G1581" i="2" s="1"/>
  <c r="G1573" i="2" a="1"/>
  <c r="G1573" i="2" s="1"/>
  <c r="H1573" i="2" a="1"/>
  <c r="H1573" i="2" s="1"/>
  <c r="G1558" i="2" a="1"/>
  <c r="G1558" i="2" s="1"/>
  <c r="H1558" i="2" a="1"/>
  <c r="H1558" i="2" s="1"/>
  <c r="H1510" i="2" a="1"/>
  <c r="H1510" i="2" s="1"/>
  <c r="G1510" i="2" a="1"/>
  <c r="G1510" i="2" s="1"/>
  <c r="H1445" i="2" a="1"/>
  <c r="H1445" i="2" s="1"/>
  <c r="G1445" i="2" a="1"/>
  <c r="G1445" i="2" s="1"/>
  <c r="H1394" i="2" a="1"/>
  <c r="H1394" i="2" s="1"/>
  <c r="G1394" i="2" a="1"/>
  <c r="G1394" i="2" s="1"/>
  <c r="H1371" i="2" a="1"/>
  <c r="H1371" i="2" s="1"/>
  <c r="G1371" i="2" a="1"/>
  <c r="G1371" i="2" s="1"/>
  <c r="H1345" i="2" a="1"/>
  <c r="H1345" i="2" s="1"/>
  <c r="G1345" i="2" a="1"/>
  <c r="G1345" i="2" s="1"/>
  <c r="H1336" i="2" a="1"/>
  <c r="H1336" i="2" s="1"/>
  <c r="G1336" i="2" a="1"/>
  <c r="G1336" i="2" s="1"/>
  <c r="H1328" i="2" a="1"/>
  <c r="H1328" i="2" s="1"/>
  <c r="G1328" i="2" a="1"/>
  <c r="G1328" i="2" s="1"/>
  <c r="H1310" i="2" a="1"/>
  <c r="H1310" i="2" s="1"/>
  <c r="G1310" i="2" a="1"/>
  <c r="G1310" i="2" s="1"/>
  <c r="H1270" i="2" a="1"/>
  <c r="H1270" i="2" s="1"/>
  <c r="G1270" i="2" a="1"/>
  <c r="G1270" i="2" s="1"/>
  <c r="H1235" i="2" a="1"/>
  <c r="H1235" i="2" s="1"/>
  <c r="G1235" i="2" a="1"/>
  <c r="G1235" i="2" s="1"/>
  <c r="H1217" i="2" a="1"/>
  <c r="H1217" i="2" s="1"/>
  <c r="G1217" i="2" a="1"/>
  <c r="G1217" i="2" s="1"/>
  <c r="H1209" i="2" a="1"/>
  <c r="H1209" i="2" s="1"/>
  <c r="G1209" i="2" a="1"/>
  <c r="G1209" i="2" s="1"/>
  <c r="H1127" i="2" a="1"/>
  <c r="H1127" i="2" s="1"/>
  <c r="G1127" i="2" a="1"/>
  <c r="G1127" i="2" s="1"/>
  <c r="H1068" i="2" a="1"/>
  <c r="H1068" i="2" s="1"/>
  <c r="G1068" i="2" a="1"/>
  <c r="G1068" i="2" s="1"/>
  <c r="H1002" i="2" a="1"/>
  <c r="H1002" i="2" s="1"/>
  <c r="G1002" i="2" a="1"/>
  <c r="G1002" i="2" s="1"/>
  <c r="H993" i="2" a="1"/>
  <c r="H993" i="2" s="1"/>
  <c r="G993" i="2" a="1"/>
  <c r="G993" i="2" s="1"/>
  <c r="H952" i="2" a="1"/>
  <c r="H952" i="2" s="1"/>
  <c r="G952" i="2" a="1"/>
  <c r="G952" i="2" s="1"/>
  <c r="H936" i="2" a="1"/>
  <c r="H936" i="2" s="1"/>
  <c r="G936" i="2" a="1"/>
  <c r="G936" i="2" s="1"/>
  <c r="H927" i="2" a="1"/>
  <c r="H927" i="2" s="1"/>
  <c r="G927" i="2" a="1"/>
  <c r="G927" i="2" s="1"/>
  <c r="H894" i="2" a="1"/>
  <c r="H894" i="2" s="1"/>
  <c r="G894" i="2" a="1"/>
  <c r="G894" i="2" s="1"/>
  <c r="H861" i="2" a="1"/>
  <c r="H861" i="2" s="1"/>
  <c r="G861" i="2" a="1"/>
  <c r="G861" i="2" s="1"/>
  <c r="H812" i="2" a="1"/>
  <c r="H812" i="2" s="1"/>
  <c r="G812" i="2" a="1"/>
  <c r="G812" i="2" s="1"/>
  <c r="H796" i="2" a="1"/>
  <c r="H796" i="2" s="1"/>
  <c r="G796" i="2" a="1"/>
  <c r="G796" i="2" s="1"/>
  <c r="H788" i="2" a="1"/>
  <c r="H788" i="2" s="1"/>
  <c r="G788" i="2" a="1"/>
  <c r="G788" i="2" s="1"/>
  <c r="H772" i="2" a="1"/>
  <c r="H772" i="2" s="1"/>
  <c r="G772" i="2" a="1"/>
  <c r="G772" i="2" s="1"/>
  <c r="H763" i="2" a="1"/>
  <c r="H763" i="2" s="1"/>
  <c r="G763" i="2" a="1"/>
  <c r="G763" i="2" s="1"/>
  <c r="H755" i="2" a="1"/>
  <c r="H755" i="2" s="1"/>
  <c r="G755" i="2" a="1"/>
  <c r="G755" i="2" s="1"/>
  <c r="H677" i="2" a="1"/>
  <c r="H677" i="2" s="1"/>
  <c r="G677" i="2" a="1"/>
  <c r="G677" i="2" s="1"/>
  <c r="H643" i="2" a="1"/>
  <c r="H643" i="2" s="1"/>
  <c r="G643" i="2" a="1"/>
  <c r="G643" i="2" s="1"/>
  <c r="H635" i="2" a="1"/>
  <c r="H635" i="2" s="1"/>
  <c r="G635" i="2" a="1"/>
  <c r="G635" i="2" s="1"/>
  <c r="H619" i="2" a="1"/>
  <c r="H619" i="2" s="1"/>
  <c r="G619" i="2" a="1"/>
  <c r="G619" i="2" s="1"/>
  <c r="H610" i="2" a="1"/>
  <c r="H610" i="2" s="1"/>
  <c r="G610" i="2" a="1"/>
  <c r="G610" i="2" s="1"/>
  <c r="H576" i="2" a="1"/>
  <c r="H576" i="2" s="1"/>
  <c r="G576" i="2" a="1"/>
  <c r="G576" i="2" s="1"/>
  <c r="H567" i="2" a="1"/>
  <c r="H567" i="2" s="1"/>
  <c r="G567" i="2" a="1"/>
  <c r="G567" i="2" s="1"/>
  <c r="H548" i="2" a="1"/>
  <c r="H548" i="2" s="1"/>
  <c r="G548" i="2" a="1"/>
  <c r="G548" i="2" s="1"/>
  <c r="H539" i="2" a="1"/>
  <c r="H539" i="2" s="1"/>
  <c r="G539" i="2" a="1"/>
  <c r="G539" i="2" s="1"/>
  <c r="G531" i="2" a="1"/>
  <c r="G531" i="2" s="1"/>
  <c r="H531" i="2" a="1"/>
  <c r="H531" i="2" s="1"/>
  <c r="H504" i="2" a="1"/>
  <c r="H504" i="2" s="1"/>
  <c r="G504" i="2" a="1"/>
  <c r="G504" i="2" s="1"/>
  <c r="H496" i="2" a="1"/>
  <c r="H496" i="2" s="1"/>
  <c r="G496" i="2" a="1"/>
  <c r="G496" i="2" s="1"/>
  <c r="H462" i="2" a="1"/>
  <c r="H462" i="2" s="1"/>
  <c r="G462" i="2" a="1"/>
  <c r="G462" i="2" s="1"/>
  <c r="H422" i="2" a="1"/>
  <c r="H422" i="2" s="1"/>
  <c r="G422" i="2" a="1"/>
  <c r="G422" i="2" s="1"/>
  <c r="H413" i="2" a="1"/>
  <c r="H413" i="2" s="1"/>
  <c r="G413" i="2" a="1"/>
  <c r="G413" i="2" s="1"/>
  <c r="H388" i="2" a="1"/>
  <c r="H388" i="2" s="1"/>
  <c r="G388" i="2" a="1"/>
  <c r="G388" i="2" s="1"/>
  <c r="H362" i="2" a="1"/>
  <c r="H362" i="2" s="1"/>
  <c r="G362" i="2" a="1"/>
  <c r="G362" i="2" s="1"/>
  <c r="H336" i="2" a="1"/>
  <c r="H336" i="2" s="1"/>
  <c r="G336" i="2" a="1"/>
  <c r="G336" i="2" s="1"/>
  <c r="H318" i="2" a="1"/>
  <c r="H318" i="2" s="1"/>
  <c r="G318" i="2" a="1"/>
  <c r="G318" i="2" s="1"/>
  <c r="H292" i="2" a="1"/>
  <c r="H292" i="2" s="1"/>
  <c r="G292" i="2" a="1"/>
  <c r="G292" i="2" s="1"/>
  <c r="H268" i="2" a="1"/>
  <c r="H268" i="2" s="1"/>
  <c r="G268" i="2" a="1"/>
  <c r="G268" i="2" s="1"/>
  <c r="H241" i="2" a="1"/>
  <c r="H241" i="2" s="1"/>
  <c r="G241" i="2" a="1"/>
  <c r="G241" i="2" s="1"/>
  <c r="H232" i="2" a="1"/>
  <c r="H232" i="2" s="1"/>
  <c r="G232" i="2" a="1"/>
  <c r="G232" i="2" s="1"/>
  <c r="H207" i="2" a="1"/>
  <c r="H207" i="2" s="1"/>
  <c r="G207" i="2" a="1"/>
  <c r="G207" i="2" s="1"/>
  <c r="H173" i="2" a="1"/>
  <c r="H173" i="2" s="1"/>
  <c r="G173" i="2" a="1"/>
  <c r="G173" i="2" s="1"/>
  <c r="H155" i="2" a="1"/>
  <c r="H155" i="2" s="1"/>
  <c r="G155" i="2" a="1"/>
  <c r="G155" i="2" s="1"/>
  <c r="H146" i="2" a="1"/>
  <c r="H146" i="2" s="1"/>
  <c r="G146" i="2" a="1"/>
  <c r="G146" i="2" s="1"/>
  <c r="H112" i="2" a="1"/>
  <c r="H112" i="2" s="1"/>
  <c r="G112" i="2" a="1"/>
  <c r="G112" i="2" s="1"/>
  <c r="H71" i="2" a="1"/>
  <c r="H71" i="2" s="1"/>
  <c r="G71" i="2" a="1"/>
  <c r="G71" i="2" s="1"/>
  <c r="H62" i="2" a="1"/>
  <c r="H62" i="2" s="1"/>
  <c r="G62" i="2" a="1"/>
  <c r="G62" i="2" s="1"/>
  <c r="H53" i="2" a="1"/>
  <c r="H53" i="2" s="1"/>
  <c r="G53" i="2" a="1"/>
  <c r="G53" i="2" s="1"/>
  <c r="H45" i="2" a="1"/>
  <c r="H45" i="2" s="1"/>
  <c r="G45" i="2" a="1"/>
  <c r="G45" i="2" s="1"/>
  <c r="H28" i="2" a="1"/>
  <c r="H28" i="2" s="1"/>
  <c r="G28" i="2" a="1"/>
  <c r="G28" i="2" s="1"/>
  <c r="G2765" i="2" a="1"/>
  <c r="G2765" i="2" s="1"/>
  <c r="G2674" i="2" a="1"/>
  <c r="G2674" i="2" s="1"/>
  <c r="G2555" i="2" a="1"/>
  <c r="G2555" i="2" s="1"/>
  <c r="G2458" i="2" a="1"/>
  <c r="G2458" i="2" s="1"/>
  <c r="G2060" i="2" a="1"/>
  <c r="G2060" i="2" s="1"/>
  <c r="G1983" i="2" a="1"/>
  <c r="G1983" i="2" s="1"/>
  <c r="G1903" i="2" a="1"/>
  <c r="G1903" i="2" s="1"/>
  <c r="G1829" i="2" a="1"/>
  <c r="G1829" i="2" s="1"/>
  <c r="G1703" i="2" a="1"/>
  <c r="G1703" i="2" s="1"/>
  <c r="G1535" i="2" a="1"/>
  <c r="G1535" i="2" s="1"/>
  <c r="G1479" i="2" a="1"/>
  <c r="G1479" i="2" s="1"/>
  <c r="G926" i="2" a="1"/>
  <c r="G926" i="2" s="1"/>
  <c r="G387" i="2" a="1"/>
  <c r="G387" i="2" s="1"/>
  <c r="G309" i="2" a="1"/>
  <c r="G309" i="2" s="1"/>
  <c r="I309" i="2" s="1"/>
  <c r="H2601" i="2" a="1"/>
  <c r="H2601" i="2" s="1"/>
  <c r="H2719" i="2" a="1"/>
  <c r="H2719" i="2" s="1"/>
  <c r="G2719" i="2" a="1"/>
  <c r="G2719" i="2" s="1"/>
  <c r="H2681" i="2" a="1"/>
  <c r="H2681" i="2" s="1"/>
  <c r="G2681" i="2" a="1"/>
  <c r="G2681" i="2" s="1"/>
  <c r="H2659" i="2" a="1"/>
  <c r="H2659" i="2" s="1"/>
  <c r="G2659" i="2" a="1"/>
  <c r="G2659" i="2" s="1"/>
  <c r="H2629" i="2" a="1"/>
  <c r="H2629" i="2" s="1"/>
  <c r="G2629" i="2" a="1"/>
  <c r="G2629" i="2" s="1"/>
  <c r="G2622" i="2" a="1"/>
  <c r="G2622" i="2" s="1"/>
  <c r="H2622" i="2" a="1"/>
  <c r="H2622" i="2" s="1"/>
  <c r="H2608" i="2" a="1"/>
  <c r="H2608" i="2" s="1"/>
  <c r="G2608" i="2" a="1"/>
  <c r="G2608" i="2" s="1"/>
  <c r="H2563" i="2" a="1"/>
  <c r="H2563" i="2" s="1"/>
  <c r="G2563" i="2" a="1"/>
  <c r="G2563" i="2" s="1"/>
  <c r="H2540" i="2" a="1"/>
  <c r="H2540" i="2" s="1"/>
  <c r="G2540" i="2" a="1"/>
  <c r="G2540" i="2" s="1"/>
  <c r="G2526" i="2" a="1"/>
  <c r="G2526" i="2" s="1"/>
  <c r="H2526" i="2" a="1"/>
  <c r="H2526" i="2" s="1"/>
  <c r="H2503" i="2" a="1"/>
  <c r="H2503" i="2" s="1"/>
  <c r="G2503" i="2" a="1"/>
  <c r="G2503" i="2" s="1"/>
  <c r="H2495" i="2" a="1"/>
  <c r="H2495" i="2" s="1"/>
  <c r="G2495" i="2" a="1"/>
  <c r="G2495" i="2" s="1"/>
  <c r="H2487" i="2" a="1"/>
  <c r="H2487" i="2" s="1"/>
  <c r="G2487" i="2" a="1"/>
  <c r="G2487" i="2" s="1"/>
  <c r="G2479" i="2" a="1"/>
  <c r="G2479" i="2" s="1"/>
  <c r="H2479" i="2" a="1"/>
  <c r="H2479" i="2" s="1"/>
  <c r="H2465" i="2" a="1"/>
  <c r="H2465" i="2" s="1"/>
  <c r="G2465" i="2" a="1"/>
  <c r="G2465" i="2" s="1"/>
  <c r="H2450" i="2" a="1"/>
  <c r="H2450" i="2" s="1"/>
  <c r="G2450" i="2" a="1"/>
  <c r="G2450" i="2" s="1"/>
  <c r="H2435" i="2" a="1"/>
  <c r="H2435" i="2" s="1"/>
  <c r="G2435" i="2" a="1"/>
  <c r="G2435" i="2" s="1"/>
  <c r="H2420" i="2" a="1"/>
  <c r="H2420" i="2" s="1"/>
  <c r="G2420" i="2" a="1"/>
  <c r="G2420" i="2" s="1"/>
  <c r="H2412" i="2" a="1"/>
  <c r="H2412" i="2" s="1"/>
  <c r="G2412" i="2" a="1"/>
  <c r="G2412" i="2" s="1"/>
  <c r="H2397" i="2" a="1"/>
  <c r="H2397" i="2" s="1"/>
  <c r="G2397" i="2" a="1"/>
  <c r="G2397" i="2" s="1"/>
  <c r="H2350" i="2" a="1"/>
  <c r="H2350" i="2" s="1"/>
  <c r="G2350" i="2" a="1"/>
  <c r="G2350" i="2" s="1"/>
  <c r="H2327" i="2" a="1"/>
  <c r="H2327" i="2" s="1"/>
  <c r="G2327" i="2" a="1"/>
  <c r="G2327" i="2" s="1"/>
  <c r="H2312" i="2" a="1"/>
  <c r="H2312" i="2" s="1"/>
  <c r="G2312" i="2" a="1"/>
  <c r="G2312" i="2" s="1"/>
  <c r="H2305" i="2" a="1"/>
  <c r="H2305" i="2" s="1"/>
  <c r="G2305" i="2" a="1"/>
  <c r="G2305" i="2" s="1"/>
  <c r="H2289" i="2" a="1"/>
  <c r="H2289" i="2" s="1"/>
  <c r="G2289" i="2" a="1"/>
  <c r="G2289" i="2" s="1"/>
  <c r="H2273" i="2" a="1"/>
  <c r="H2273" i="2" s="1"/>
  <c r="G2273" i="2" a="1"/>
  <c r="G2273" i="2" s="1"/>
  <c r="H2266" i="2" a="1"/>
  <c r="H2266" i="2" s="1"/>
  <c r="G2266" i="2" a="1"/>
  <c r="G2266" i="2" s="1"/>
  <c r="H2251" i="2" a="1"/>
  <c r="H2251" i="2" s="1"/>
  <c r="G2251" i="2" a="1"/>
  <c r="G2251" i="2" s="1"/>
  <c r="H2236" i="2" a="1"/>
  <c r="H2236" i="2" s="1"/>
  <c r="G2236" i="2" a="1"/>
  <c r="G2236" i="2" s="1"/>
  <c r="H2213" i="2" a="1"/>
  <c r="H2213" i="2" s="1"/>
  <c r="G2213" i="2" a="1"/>
  <c r="G2213" i="2" s="1"/>
  <c r="H2206" i="2" a="1"/>
  <c r="H2206" i="2" s="1"/>
  <c r="G2206" i="2" a="1"/>
  <c r="G2206" i="2" s="1"/>
  <c r="H2191" i="2" a="1"/>
  <c r="H2191" i="2" s="1"/>
  <c r="G2191" i="2" a="1"/>
  <c r="G2191" i="2" s="1"/>
  <c r="H2175" i="2" a="1"/>
  <c r="H2175" i="2" s="1"/>
  <c r="G2175" i="2" a="1"/>
  <c r="G2175" i="2" s="1"/>
  <c r="H2168" i="2" a="1"/>
  <c r="H2168" i="2" s="1"/>
  <c r="G2168" i="2" a="1"/>
  <c r="G2168" i="2" s="1"/>
  <c r="G2161" i="2" a="1"/>
  <c r="G2161" i="2" s="1"/>
  <c r="H2161" i="2" a="1"/>
  <c r="H2161" i="2" s="1"/>
  <c r="H2146" i="2" a="1"/>
  <c r="H2146" i="2" s="1"/>
  <c r="G2146" i="2" a="1"/>
  <c r="G2146" i="2" s="1"/>
  <c r="H2136" i="2" a="1"/>
  <c r="H2136" i="2" s="1"/>
  <c r="G2136" i="2" a="1"/>
  <c r="G2136" i="2" s="1"/>
  <c r="H2127" i="2" a="1"/>
  <c r="H2127" i="2" s="1"/>
  <c r="G2127" i="2" a="1"/>
  <c r="G2127" i="2" s="1"/>
  <c r="H2120" i="2" a="1"/>
  <c r="H2120" i="2" s="1"/>
  <c r="G2120" i="2" a="1"/>
  <c r="G2120" i="2" s="1"/>
  <c r="H2113" i="2" a="1"/>
  <c r="H2113" i="2" s="1"/>
  <c r="G2113" i="2" a="1"/>
  <c r="G2113" i="2" s="1"/>
  <c r="H2099" i="2" a="1"/>
  <c r="H2099" i="2" s="1"/>
  <c r="G2099" i="2" a="1"/>
  <c r="G2099" i="2" s="1"/>
  <c r="H2084" i="2" a="1"/>
  <c r="H2084" i="2" s="1"/>
  <c r="G2084" i="2" a="1"/>
  <c r="G2084" i="2" s="1"/>
  <c r="G2022" i="2" a="1"/>
  <c r="G2022" i="2" s="1"/>
  <c r="H2022" i="2" a="1"/>
  <c r="H2022" i="2" s="1"/>
  <c r="H1984" i="2" a="1"/>
  <c r="H1984" i="2" s="1"/>
  <c r="G1984" i="2" a="1"/>
  <c r="G1984" i="2" s="1"/>
  <c r="H1962" i="2" a="1"/>
  <c r="H1962" i="2" s="1"/>
  <c r="G1962" i="2" a="1"/>
  <c r="G1962" i="2" s="1"/>
  <c r="H1939" i="2" a="1"/>
  <c r="H1939" i="2" s="1"/>
  <c r="G1939" i="2" a="1"/>
  <c r="G1939" i="2" s="1"/>
  <c r="H1918" i="2" a="1"/>
  <c r="H1918" i="2" s="1"/>
  <c r="G1918" i="2" a="1"/>
  <c r="G1918" i="2" s="1"/>
  <c r="H1910" i="2" a="1"/>
  <c r="H1910" i="2" s="1"/>
  <c r="G1910" i="2" a="1"/>
  <c r="G1910" i="2" s="1"/>
  <c r="H1880" i="2" a="1"/>
  <c r="H1880" i="2" s="1"/>
  <c r="G1880" i="2" a="1"/>
  <c r="G1880" i="2" s="1"/>
  <c r="H1857" i="2" a="1"/>
  <c r="H1857" i="2" s="1"/>
  <c r="G1857" i="2" a="1"/>
  <c r="G1857" i="2" s="1"/>
  <c r="H1850" i="2" a="1"/>
  <c r="H1850" i="2" s="1"/>
  <c r="G1850" i="2" a="1"/>
  <c r="G1850" i="2" s="1"/>
  <c r="H1843" i="2" a="1"/>
  <c r="H1843" i="2" s="1"/>
  <c r="G1843" i="2" a="1"/>
  <c r="G1843" i="2" s="1"/>
  <c r="H1820" i="2" a="1"/>
  <c r="H1820" i="2" s="1"/>
  <c r="G1820" i="2" a="1"/>
  <c r="G1820" i="2" s="1"/>
  <c r="H1799" i="2" a="1"/>
  <c r="H1799" i="2" s="1"/>
  <c r="G1799" i="2" a="1"/>
  <c r="G1799" i="2" s="1"/>
  <c r="H1732" i="2" a="1"/>
  <c r="H1732" i="2" s="1"/>
  <c r="G1732" i="2" a="1"/>
  <c r="G1732" i="2" s="1"/>
  <c r="G1725" i="2" a="1"/>
  <c r="G1725" i="2" s="1"/>
  <c r="H1725" i="2" a="1"/>
  <c r="H1725" i="2" s="1"/>
  <c r="H1717" i="2" a="1"/>
  <c r="H1717" i="2" s="1"/>
  <c r="G1717" i="2" a="1"/>
  <c r="G1717" i="2" s="1"/>
  <c r="H1692" i="2" a="1"/>
  <c r="H1692" i="2" s="1"/>
  <c r="G1692" i="2" a="1"/>
  <c r="G1692" i="2" s="1"/>
  <c r="H1676" i="2" a="1"/>
  <c r="H1676" i="2" s="1"/>
  <c r="G1676" i="2" a="1"/>
  <c r="G1676" i="2" s="1"/>
  <c r="H1669" i="2" a="1"/>
  <c r="H1669" i="2" s="1"/>
  <c r="G1669" i="2" a="1"/>
  <c r="G1669" i="2" s="1"/>
  <c r="H1652" i="2" a="1"/>
  <c r="H1652" i="2" s="1"/>
  <c r="G1652" i="2" a="1"/>
  <c r="G1652" i="2" s="1"/>
  <c r="H1644" i="2" a="1"/>
  <c r="H1644" i="2" s="1"/>
  <c r="G1644" i="2" a="1"/>
  <c r="G1644" i="2" s="1"/>
  <c r="H1628" i="2" a="1"/>
  <c r="H1628" i="2" s="1"/>
  <c r="G1628" i="2" a="1"/>
  <c r="G1628" i="2" s="1"/>
  <c r="G1611" i="2" a="1"/>
  <c r="G1611" i="2" s="1"/>
  <c r="H1611" i="2" a="1"/>
  <c r="H1611" i="2" s="1"/>
  <c r="H1580" i="2" a="1"/>
  <c r="H1580" i="2" s="1"/>
  <c r="G1580" i="2" a="1"/>
  <c r="G1580" i="2" s="1"/>
  <c r="H1572" i="2" a="1"/>
  <c r="H1572" i="2" s="1"/>
  <c r="G1572" i="2" a="1"/>
  <c r="G1572" i="2" s="1"/>
  <c r="H1542" i="2" a="1"/>
  <c r="H1542" i="2" s="1"/>
  <c r="G1542" i="2" a="1"/>
  <c r="G1542" i="2" s="1"/>
  <c r="H1525" i="2" a="1"/>
  <c r="H1525" i="2" s="1"/>
  <c r="G1525" i="2" a="1"/>
  <c r="G1525" i="2" s="1"/>
  <c r="H1517" i="2" a="1"/>
  <c r="H1517" i="2" s="1"/>
  <c r="G1517" i="2" a="1"/>
  <c r="G1517" i="2" s="1"/>
  <c r="H1509" i="2" a="1"/>
  <c r="H1509" i="2" s="1"/>
  <c r="G1509" i="2" a="1"/>
  <c r="G1509" i="2" s="1"/>
  <c r="H1459" i="2" a="1"/>
  <c r="H1459" i="2" s="1"/>
  <c r="G1459" i="2" a="1"/>
  <c r="G1459" i="2" s="1"/>
  <c r="H1452" i="2" a="1"/>
  <c r="H1452" i="2" s="1"/>
  <c r="G1452" i="2" a="1"/>
  <c r="G1452" i="2" s="1"/>
  <c r="H1435" i="2" a="1"/>
  <c r="H1435" i="2" s="1"/>
  <c r="G1435" i="2" a="1"/>
  <c r="G1435" i="2" s="1"/>
  <c r="H1386" i="2" a="1"/>
  <c r="H1386" i="2" s="1"/>
  <c r="G1386" i="2" a="1"/>
  <c r="G1386" i="2" s="1"/>
  <c r="H1379" i="2" a="1"/>
  <c r="H1379" i="2" s="1"/>
  <c r="G1379" i="2" a="1"/>
  <c r="G1379" i="2" s="1"/>
  <c r="H1370" i="2" a="1"/>
  <c r="H1370" i="2" s="1"/>
  <c r="G1370" i="2" a="1"/>
  <c r="G1370" i="2" s="1"/>
  <c r="H1361" i="2" a="1"/>
  <c r="H1361" i="2" s="1"/>
  <c r="G1361" i="2" a="1"/>
  <c r="G1361" i="2" s="1"/>
  <c r="H1353" i="2" a="1"/>
  <c r="H1353" i="2" s="1"/>
  <c r="G1353" i="2" a="1"/>
  <c r="G1353" i="2" s="1"/>
  <c r="H1327" i="2" a="1"/>
  <c r="H1327" i="2" s="1"/>
  <c r="G1327" i="2" a="1"/>
  <c r="G1327" i="2" s="1"/>
  <c r="H1309" i="2" a="1"/>
  <c r="H1309" i="2" s="1"/>
  <c r="G1309" i="2" a="1"/>
  <c r="G1309" i="2" s="1"/>
  <c r="H1294" i="2" a="1"/>
  <c r="H1294" i="2" s="1"/>
  <c r="G1294" i="2" a="1"/>
  <c r="G1294" i="2" s="1"/>
  <c r="H1259" i="2" a="1"/>
  <c r="H1259" i="2" s="1"/>
  <c r="G1259" i="2" a="1"/>
  <c r="G1259" i="2" s="1"/>
  <c r="H1234" i="2" a="1"/>
  <c r="H1234" i="2" s="1"/>
  <c r="G1234" i="2" a="1"/>
  <c r="G1234" i="2" s="1"/>
  <c r="H1216" i="2" a="1"/>
  <c r="H1216" i="2" s="1"/>
  <c r="G1216" i="2" a="1"/>
  <c r="G1216" i="2" s="1"/>
  <c r="H1208" i="2" a="1"/>
  <c r="H1208" i="2" s="1"/>
  <c r="G1208" i="2" a="1"/>
  <c r="G1208" i="2" s="1"/>
  <c r="H1158" i="2" a="1"/>
  <c r="H1158" i="2" s="1"/>
  <c r="G1158" i="2" a="1"/>
  <c r="G1158" i="2" s="1"/>
  <c r="H1141" i="2" a="1"/>
  <c r="H1141" i="2" s="1"/>
  <c r="G1141" i="2" a="1"/>
  <c r="G1141" i="2" s="1"/>
  <c r="H1134" i="2" a="1"/>
  <c r="H1134" i="2" s="1"/>
  <c r="G1134" i="2" a="1"/>
  <c r="G1134" i="2" s="1"/>
  <c r="H1119" i="2" a="1"/>
  <c r="H1119" i="2" s="1"/>
  <c r="G1119" i="2" a="1"/>
  <c r="G1119" i="2" s="1"/>
  <c r="H1092" i="2" a="1"/>
  <c r="H1092" i="2" s="1"/>
  <c r="G1092" i="2" a="1"/>
  <c r="G1092" i="2" s="1"/>
  <c r="H1075" i="2" a="1"/>
  <c r="H1075" i="2" s="1"/>
  <c r="G1075" i="2" a="1"/>
  <c r="G1075" i="2" s="1"/>
  <c r="H1067" i="2" a="1"/>
  <c r="H1067" i="2" s="1"/>
  <c r="G1067" i="2" a="1"/>
  <c r="G1067" i="2" s="1"/>
  <c r="H1018" i="2" a="1"/>
  <c r="H1018" i="2" s="1"/>
  <c r="G1018" i="2" a="1"/>
  <c r="G1018" i="2" s="1"/>
  <c r="H1001" i="2" a="1"/>
  <c r="H1001" i="2" s="1"/>
  <c r="G1001" i="2" a="1"/>
  <c r="G1001" i="2" s="1"/>
  <c r="H992" i="2" a="1"/>
  <c r="H992" i="2" s="1"/>
  <c r="G992" i="2" a="1"/>
  <c r="G992" i="2" s="1"/>
  <c r="H984" i="2" a="1"/>
  <c r="H984" i="2" s="1"/>
  <c r="G984" i="2" a="1"/>
  <c r="G984" i="2" s="1"/>
  <c r="H969" i="2" a="1"/>
  <c r="H969" i="2" s="1"/>
  <c r="G969" i="2" a="1"/>
  <c r="G969" i="2" s="1"/>
  <c r="H959" i="2" a="1"/>
  <c r="H959" i="2" s="1"/>
  <c r="G959" i="2" a="1"/>
  <c r="G959" i="2" s="1"/>
  <c r="H943" i="2" a="1"/>
  <c r="H943" i="2" s="1"/>
  <c r="G943" i="2" a="1"/>
  <c r="G943" i="2" s="1"/>
  <c r="H935" i="2" a="1"/>
  <c r="H935" i="2" s="1"/>
  <c r="G935" i="2" a="1"/>
  <c r="G935" i="2" s="1"/>
  <c r="G918" i="2" a="1"/>
  <c r="G918" i="2" s="1"/>
  <c r="H918" i="2" a="1"/>
  <c r="H918" i="2" s="1"/>
  <c r="H910" i="2" a="1"/>
  <c r="H910" i="2" s="1"/>
  <c r="G910" i="2" a="1"/>
  <c r="G910" i="2" s="1"/>
  <c r="H878" i="2" a="1"/>
  <c r="H878" i="2" s="1"/>
  <c r="G878" i="2" a="1"/>
  <c r="G878" i="2" s="1"/>
  <c r="H869" i="2" a="1"/>
  <c r="H869" i="2" s="1"/>
  <c r="G869" i="2" a="1"/>
  <c r="G869" i="2" s="1"/>
  <c r="H860" i="2" a="1"/>
  <c r="H860" i="2" s="1"/>
  <c r="G860" i="2" a="1"/>
  <c r="G860" i="2" s="1"/>
  <c r="H852" i="2" a="1"/>
  <c r="H852" i="2" s="1"/>
  <c r="G852" i="2" a="1"/>
  <c r="G852" i="2" s="1"/>
  <c r="H811" i="2" a="1"/>
  <c r="H811" i="2" s="1"/>
  <c r="G811" i="2" a="1"/>
  <c r="G811" i="2" s="1"/>
  <c r="G787" i="2" a="1"/>
  <c r="G787" i="2" s="1"/>
  <c r="H787" i="2" a="1"/>
  <c r="H787" i="2" s="1"/>
  <c r="H779" i="2" a="1"/>
  <c r="H779" i="2" s="1"/>
  <c r="G779" i="2" a="1"/>
  <c r="G779" i="2" s="1"/>
  <c r="H771" i="2" a="1"/>
  <c r="H771" i="2" s="1"/>
  <c r="G771" i="2" a="1"/>
  <c r="G771" i="2" s="1"/>
  <c r="H745" i="2" a="1"/>
  <c r="H745" i="2" s="1"/>
  <c r="G745" i="2" a="1"/>
  <c r="G745" i="2" s="1"/>
  <c r="H728" i="2" a="1"/>
  <c r="H728" i="2" s="1"/>
  <c r="G728" i="2" a="1"/>
  <c r="G728" i="2" s="1"/>
  <c r="H709" i="2" a="1"/>
  <c r="H709" i="2" s="1"/>
  <c r="G709" i="2" a="1"/>
  <c r="G709" i="2" s="1"/>
  <c r="H701" i="2" a="1"/>
  <c r="H701" i="2" s="1"/>
  <c r="G701" i="2" a="1"/>
  <c r="G701" i="2" s="1"/>
  <c r="H652" i="2" a="1"/>
  <c r="H652" i="2" s="1"/>
  <c r="G652" i="2" a="1"/>
  <c r="G652" i="2" s="1"/>
  <c r="H642" i="2" a="1"/>
  <c r="H642" i="2" s="1"/>
  <c r="G642" i="2" a="1"/>
  <c r="G642" i="2" s="1"/>
  <c r="H618" i="2" a="1"/>
  <c r="H618" i="2" s="1"/>
  <c r="G618" i="2" a="1"/>
  <c r="G618" i="2" s="1"/>
  <c r="H609" i="2" a="1"/>
  <c r="H609" i="2" s="1"/>
  <c r="G609" i="2" a="1"/>
  <c r="G609" i="2" s="1"/>
  <c r="H600" i="2" a="1"/>
  <c r="H600" i="2" s="1"/>
  <c r="G600" i="2" a="1"/>
  <c r="G600" i="2" s="1"/>
  <c r="H592" i="2" a="1"/>
  <c r="H592" i="2" s="1"/>
  <c r="G592" i="2" a="1"/>
  <c r="G592" i="2" s="1"/>
  <c r="H575" i="2" a="1"/>
  <c r="H575" i="2" s="1"/>
  <c r="G575" i="2" a="1"/>
  <c r="G575" i="2" s="1"/>
  <c r="H566" i="2" a="1"/>
  <c r="H566" i="2" s="1"/>
  <c r="G566" i="2" a="1"/>
  <c r="G566" i="2" s="1"/>
  <c r="H557" i="2" a="1"/>
  <c r="H557" i="2" s="1"/>
  <c r="G557" i="2" a="1"/>
  <c r="G557" i="2" s="1"/>
  <c r="H547" i="2" a="1"/>
  <c r="H547" i="2" s="1"/>
  <c r="G547" i="2" a="1"/>
  <c r="G547" i="2" s="1"/>
  <c r="H521" i="2" a="1"/>
  <c r="H521" i="2" s="1"/>
  <c r="G521" i="2" a="1"/>
  <c r="G521" i="2" s="1"/>
  <c r="H452" i="2" a="1"/>
  <c r="H452" i="2" s="1"/>
  <c r="G452" i="2" a="1"/>
  <c r="G452" i="2" s="1"/>
  <c r="H437" i="2" a="1"/>
  <c r="H437" i="2" s="1"/>
  <c r="G437" i="2" a="1"/>
  <c r="G437" i="2" s="1"/>
  <c r="H429" i="2" a="1"/>
  <c r="H429" i="2" s="1"/>
  <c r="G429" i="2" a="1"/>
  <c r="G429" i="2" s="1"/>
  <c r="H421" i="2" a="1"/>
  <c r="H421" i="2" s="1"/>
  <c r="G421" i="2" a="1"/>
  <c r="G421" i="2" s="1"/>
  <c r="H412" i="2" a="1"/>
  <c r="H412" i="2" s="1"/>
  <c r="G412" i="2" a="1"/>
  <c r="G412" i="2" s="1"/>
  <c r="H403" i="2" a="1"/>
  <c r="H403" i="2" s="1"/>
  <c r="G403" i="2" a="1"/>
  <c r="G403" i="2" s="1"/>
  <c r="H370" i="2" a="1"/>
  <c r="H370" i="2" s="1"/>
  <c r="G370" i="2" a="1"/>
  <c r="G370" i="2" s="1"/>
  <c r="G361" i="2" a="1"/>
  <c r="G361" i="2" s="1"/>
  <c r="H361" i="2" a="1"/>
  <c r="H361" i="2" s="1"/>
  <c r="H352" i="2" a="1"/>
  <c r="H352" i="2" s="1"/>
  <c r="G352" i="2" a="1"/>
  <c r="G352" i="2" s="1"/>
  <c r="H343" i="2" a="1"/>
  <c r="H343" i="2" s="1"/>
  <c r="G343" i="2" a="1"/>
  <c r="G343" i="2" s="1"/>
  <c r="H335" i="2" a="1"/>
  <c r="H335" i="2" s="1"/>
  <c r="G335" i="2" a="1"/>
  <c r="G335" i="2" s="1"/>
  <c r="H317" i="2" a="1"/>
  <c r="H317" i="2" s="1"/>
  <c r="G317" i="2" a="1"/>
  <c r="G317" i="2" s="1"/>
  <c r="H276" i="2" a="1"/>
  <c r="H276" i="2" s="1"/>
  <c r="G276" i="2" a="1"/>
  <c r="G276" i="2" s="1"/>
  <c r="H267" i="2" a="1"/>
  <c r="H267" i="2" s="1"/>
  <c r="G267" i="2" a="1"/>
  <c r="G267" i="2" s="1"/>
  <c r="H240" i="2" a="1"/>
  <c r="H240" i="2" s="1"/>
  <c r="G240" i="2" a="1"/>
  <c r="G240" i="2" s="1"/>
  <c r="H189" i="2" a="1"/>
  <c r="H189" i="2" s="1"/>
  <c r="G189" i="2" a="1"/>
  <c r="G189" i="2" s="1"/>
  <c r="H127" i="2" a="1"/>
  <c r="H127" i="2" s="1"/>
  <c r="G127" i="2" a="1"/>
  <c r="G127" i="2" s="1"/>
  <c r="H70" i="2" a="1"/>
  <c r="H70" i="2" s="1"/>
  <c r="G70" i="2" a="1"/>
  <c r="G70" i="2" s="1"/>
  <c r="H27" i="2" a="1"/>
  <c r="H27" i="2" s="1"/>
  <c r="G27" i="2" a="1"/>
  <c r="G27" i="2" s="1"/>
  <c r="G2673" i="2" a="1"/>
  <c r="G2673" i="2" s="1"/>
  <c r="G2609" i="2" a="1"/>
  <c r="G2609" i="2" s="1"/>
  <c r="G2457" i="2" a="1"/>
  <c r="G2457" i="2" s="1"/>
  <c r="G2389" i="2" a="1"/>
  <c r="G2389" i="2" s="1"/>
  <c r="G2359" i="2" a="1"/>
  <c r="G2359" i="2" s="1"/>
  <c r="G2199" i="2" a="1"/>
  <c r="G2199" i="2" s="1"/>
  <c r="G2092" i="2" a="1"/>
  <c r="G2092" i="2" s="1"/>
  <c r="G1821" i="2" a="1"/>
  <c r="G1821" i="2" s="1"/>
  <c r="G1702" i="2" a="1"/>
  <c r="G1702" i="2" s="1"/>
  <c r="G1251" i="2" a="1"/>
  <c r="G1251" i="2" s="1"/>
  <c r="G919" i="2" a="1"/>
  <c r="G919" i="2" s="1"/>
  <c r="G533" i="2" a="1"/>
  <c r="G533" i="2" s="1"/>
  <c r="I533" i="2" s="1"/>
  <c r="H2600" i="2" a="1"/>
  <c r="H2600" i="2" s="1"/>
  <c r="H2512" i="2" a="1"/>
  <c r="H2512" i="2" s="1"/>
  <c r="H2423" i="2" a="1"/>
  <c r="H2423" i="2" s="1"/>
  <c r="H2293" i="2" a="1"/>
  <c r="H2293" i="2" s="1"/>
  <c r="H2053" i="2" a="1"/>
  <c r="H2053" i="2" s="1"/>
  <c r="H676" i="2" a="1"/>
  <c r="H676" i="2" s="1"/>
  <c r="I676" i="2" s="1"/>
  <c r="H2718" i="2" a="1"/>
  <c r="H2718" i="2" s="1"/>
  <c r="G2718" i="2" a="1"/>
  <c r="G2718" i="2" s="1"/>
  <c r="H2643" i="2" a="1"/>
  <c r="H2643" i="2" s="1"/>
  <c r="G2643" i="2" a="1"/>
  <c r="G2643" i="2" s="1"/>
  <c r="H2636" i="2" a="1"/>
  <c r="H2636" i="2" s="1"/>
  <c r="G2636" i="2" a="1"/>
  <c r="G2636" i="2" s="1"/>
  <c r="H2562" i="2" a="1"/>
  <c r="H2562" i="2" s="1"/>
  <c r="G2562" i="2" a="1"/>
  <c r="G2562" i="2" s="1"/>
  <c r="H2554" i="2" a="1"/>
  <c r="H2554" i="2" s="1"/>
  <c r="G2554" i="2" a="1"/>
  <c r="G2554" i="2" s="1"/>
  <c r="H2449" i="2" a="1"/>
  <c r="H2449" i="2" s="1"/>
  <c r="G2449" i="2" a="1"/>
  <c r="G2449" i="2" s="1"/>
  <c r="H2404" i="2" a="1"/>
  <c r="H2404" i="2" s="1"/>
  <c r="G2404" i="2" a="1"/>
  <c r="G2404" i="2" s="1"/>
  <c r="H2367" i="2" a="1"/>
  <c r="H2367" i="2" s="1"/>
  <c r="G2367" i="2" a="1"/>
  <c r="G2367" i="2" s="1"/>
  <c r="H2341" i="2" a="1"/>
  <c r="H2341" i="2" s="1"/>
  <c r="G2341" i="2" a="1"/>
  <c r="G2341" i="2" s="1"/>
  <c r="H2288" i="2" a="1"/>
  <c r="H2288" i="2" s="1"/>
  <c r="G2288" i="2" a="1"/>
  <c r="G2288" i="2" s="1"/>
  <c r="G2265" i="2" a="1"/>
  <c r="G2265" i="2" s="1"/>
  <c r="H2265" i="2" a="1"/>
  <c r="H2265" i="2" s="1"/>
  <c r="H2228" i="2" a="1"/>
  <c r="H2228" i="2" s="1"/>
  <c r="G2228" i="2" a="1"/>
  <c r="G2228" i="2" s="1"/>
  <c r="H2205" i="2" a="1"/>
  <c r="H2205" i="2" s="1"/>
  <c r="G2205" i="2" a="1"/>
  <c r="G2205" i="2" s="1"/>
  <c r="H2190" i="2" a="1"/>
  <c r="H2190" i="2" s="1"/>
  <c r="G2190" i="2" a="1"/>
  <c r="G2190" i="2" s="1"/>
  <c r="H2098" i="2" a="1"/>
  <c r="H2098" i="2" s="1"/>
  <c r="G2098" i="2" a="1"/>
  <c r="G2098" i="2" s="1"/>
  <c r="H2083" i="2" a="1"/>
  <c r="H2083" i="2" s="1"/>
  <c r="G2083" i="2" a="1"/>
  <c r="G2083" i="2" s="1"/>
  <c r="H2066" i="2" a="1"/>
  <c r="H2066" i="2" s="1"/>
  <c r="G2066" i="2" a="1"/>
  <c r="G2066" i="2" s="1"/>
  <c r="H2058" i="2" a="1"/>
  <c r="H2058" i="2" s="1"/>
  <c r="G2058" i="2" a="1"/>
  <c r="G2058" i="2" s="1"/>
  <c r="H2043" i="2" a="1"/>
  <c r="H2043" i="2" s="1"/>
  <c r="G2043" i="2" a="1"/>
  <c r="G2043" i="2" s="1"/>
  <c r="H2014" i="2" a="1"/>
  <c r="H2014" i="2" s="1"/>
  <c r="G2014" i="2" a="1"/>
  <c r="G2014" i="2" s="1"/>
  <c r="H1998" i="2" a="1"/>
  <c r="H1998" i="2" s="1"/>
  <c r="G1998" i="2" a="1"/>
  <c r="G1998" i="2" s="1"/>
  <c r="H1931" i="2" a="1"/>
  <c r="H1931" i="2" s="1"/>
  <c r="G1931" i="2" a="1"/>
  <c r="G1931" i="2" s="1"/>
  <c r="G1917" i="2" a="1"/>
  <c r="G1917" i="2" s="1"/>
  <c r="H1917" i="2" a="1"/>
  <c r="H1917" i="2" s="1"/>
  <c r="H1909" i="2" a="1"/>
  <c r="H1909" i="2" s="1"/>
  <c r="G1909" i="2" a="1"/>
  <c r="G1909" i="2" s="1"/>
  <c r="H1865" i="2" a="1"/>
  <c r="H1865" i="2" s="1"/>
  <c r="G1865" i="2" a="1"/>
  <c r="G1865" i="2" s="1"/>
  <c r="H1856" i="2" a="1"/>
  <c r="H1856" i="2" s="1"/>
  <c r="G1856" i="2" a="1"/>
  <c r="G1856" i="2" s="1"/>
  <c r="H1849" i="2" a="1"/>
  <c r="H1849" i="2" s="1"/>
  <c r="G1849" i="2" a="1"/>
  <c r="G1849" i="2" s="1"/>
  <c r="G1805" i="2" a="1"/>
  <c r="G1805" i="2" s="1"/>
  <c r="H1805" i="2" a="1"/>
  <c r="H1805" i="2" s="1"/>
  <c r="H1782" i="2" a="1"/>
  <c r="H1782" i="2" s="1"/>
  <c r="G1782" i="2" a="1"/>
  <c r="G1782" i="2" s="1"/>
  <c r="H1773" i="2" a="1"/>
  <c r="H1773" i="2" s="1"/>
  <c r="G1773" i="2" a="1"/>
  <c r="G1773" i="2" s="1"/>
  <c r="G1765" i="2" a="1"/>
  <c r="G1765" i="2" s="1"/>
  <c r="H1765" i="2" a="1"/>
  <c r="H1765" i="2" s="1"/>
  <c r="H1749" i="2" a="1"/>
  <c r="H1749" i="2" s="1"/>
  <c r="G1749" i="2" a="1"/>
  <c r="G1749" i="2" s="1"/>
  <c r="H1740" i="2" a="1"/>
  <c r="H1740" i="2" s="1"/>
  <c r="G1740" i="2" a="1"/>
  <c r="G1740" i="2" s="1"/>
  <c r="H1724" i="2" a="1"/>
  <c r="H1724" i="2" s="1"/>
  <c r="G1724" i="2" a="1"/>
  <c r="G1724" i="2" s="1"/>
  <c r="H1701" i="2" a="1"/>
  <c r="H1701" i="2" s="1"/>
  <c r="G1701" i="2" a="1"/>
  <c r="G1701" i="2" s="1"/>
  <c r="H1683" i="2" a="1"/>
  <c r="H1683" i="2" s="1"/>
  <c r="G1683" i="2" a="1"/>
  <c r="G1683" i="2" s="1"/>
  <c r="H1661" i="2" a="1"/>
  <c r="H1661" i="2" s="1"/>
  <c r="G1661" i="2" a="1"/>
  <c r="G1661" i="2" s="1"/>
  <c r="H1643" i="2" a="1"/>
  <c r="H1643" i="2" s="1"/>
  <c r="G1643" i="2" a="1"/>
  <c r="G1643" i="2" s="1"/>
  <c r="H1610" i="2" a="1"/>
  <c r="H1610" i="2" s="1"/>
  <c r="G1610" i="2" a="1"/>
  <c r="G1610" i="2" s="1"/>
  <c r="H1587" i="2" a="1"/>
  <c r="H1587" i="2" s="1"/>
  <c r="G1587" i="2" a="1"/>
  <c r="G1587" i="2" s="1"/>
  <c r="H1579" i="2" a="1"/>
  <c r="H1579" i="2" s="1"/>
  <c r="G1579" i="2" a="1"/>
  <c r="G1579" i="2" s="1"/>
  <c r="H1565" i="2" a="1"/>
  <c r="H1565" i="2" s="1"/>
  <c r="G1565" i="2" a="1"/>
  <c r="G1565" i="2" s="1"/>
  <c r="H1556" i="2" a="1"/>
  <c r="H1556" i="2" s="1"/>
  <c r="G1556" i="2" a="1"/>
  <c r="G1556" i="2" s="1"/>
  <c r="H1549" i="2" a="1"/>
  <c r="H1549" i="2" s="1"/>
  <c r="G1549" i="2" a="1"/>
  <c r="G1549" i="2" s="1"/>
  <c r="H1533" i="2" a="1"/>
  <c r="H1533" i="2" s="1"/>
  <c r="G1533" i="2" a="1"/>
  <c r="G1533" i="2" s="1"/>
  <c r="H1483" i="2" a="1"/>
  <c r="H1483" i="2" s="1"/>
  <c r="G1483" i="2" a="1"/>
  <c r="G1483" i="2" s="1"/>
  <c r="H1418" i="2" a="1"/>
  <c r="H1418" i="2" s="1"/>
  <c r="G1418" i="2" a="1"/>
  <c r="G1418" i="2" s="1"/>
  <c r="H1378" i="2" a="1"/>
  <c r="H1378" i="2" s="1"/>
  <c r="G1378" i="2" a="1"/>
  <c r="G1378" i="2" s="1"/>
  <c r="H1369" i="2" a="1"/>
  <c r="H1369" i="2" s="1"/>
  <c r="G1369" i="2" a="1"/>
  <c r="G1369" i="2" s="1"/>
  <c r="H1335" i="2" a="1"/>
  <c r="H1335" i="2" s="1"/>
  <c r="G1335" i="2" a="1"/>
  <c r="G1335" i="2" s="1"/>
  <c r="H1326" i="2" a="1"/>
  <c r="H1326" i="2" s="1"/>
  <c r="G1326" i="2" a="1"/>
  <c r="G1326" i="2" s="1"/>
  <c r="H1317" i="2" a="1"/>
  <c r="H1317" i="2" s="1"/>
  <c r="G1317" i="2" a="1"/>
  <c r="G1317" i="2" s="1"/>
  <c r="G1301" i="2" a="1"/>
  <c r="G1301" i="2" s="1"/>
  <c r="H1301" i="2" a="1"/>
  <c r="H1301" i="2" s="1"/>
  <c r="H1293" i="2" a="1"/>
  <c r="H1293" i="2" s="1"/>
  <c r="G1293" i="2" a="1"/>
  <c r="G1293" i="2" s="1"/>
  <c r="H1277" i="2" a="1"/>
  <c r="H1277" i="2" s="1"/>
  <c r="G1277" i="2" a="1"/>
  <c r="G1277" i="2" s="1"/>
  <c r="H1249" i="2" a="1"/>
  <c r="H1249" i="2" s="1"/>
  <c r="G1249" i="2" a="1"/>
  <c r="G1249" i="2" s="1"/>
  <c r="H1242" i="2" a="1"/>
  <c r="H1242" i="2" s="1"/>
  <c r="G1242" i="2" a="1"/>
  <c r="G1242" i="2" s="1"/>
  <c r="H1233" i="2" a="1"/>
  <c r="H1233" i="2" s="1"/>
  <c r="G1233" i="2" a="1"/>
  <c r="G1233" i="2" s="1"/>
  <c r="H1224" i="2" a="1"/>
  <c r="H1224" i="2" s="1"/>
  <c r="G1224" i="2" a="1"/>
  <c r="G1224" i="2" s="1"/>
  <c r="H1215" i="2" a="1"/>
  <c r="H1215" i="2" s="1"/>
  <c r="G1215" i="2" a="1"/>
  <c r="G1215" i="2" s="1"/>
  <c r="H1192" i="2" a="1"/>
  <c r="H1192" i="2" s="1"/>
  <c r="G1192" i="2" a="1"/>
  <c r="G1192" i="2" s="1"/>
  <c r="H1165" i="2" a="1"/>
  <c r="H1165" i="2" s="1"/>
  <c r="G1165" i="2" a="1"/>
  <c r="G1165" i="2" s="1"/>
  <c r="H1157" i="2" a="1"/>
  <c r="H1157" i="2" s="1"/>
  <c r="G1157" i="2" a="1"/>
  <c r="G1157" i="2" s="1"/>
  <c r="H1118" i="2" a="1"/>
  <c r="H1118" i="2" s="1"/>
  <c r="G1118" i="2" a="1"/>
  <c r="G1118" i="2" s="1"/>
  <c r="H1083" i="2" a="1"/>
  <c r="H1083" i="2" s="1"/>
  <c r="G1083" i="2" a="1"/>
  <c r="G1083" i="2" s="1"/>
  <c r="H1074" i="2" a="1"/>
  <c r="H1074" i="2" s="1"/>
  <c r="G1074" i="2" a="1"/>
  <c r="G1074" i="2" s="1"/>
  <c r="G1060" i="2" a="1"/>
  <c r="G1060" i="2" s="1"/>
  <c r="H1060" i="2" a="1"/>
  <c r="H1060" i="2" s="1"/>
  <c r="H1044" i="2" a="1"/>
  <c r="H1044" i="2" s="1"/>
  <c r="G1044" i="2" a="1"/>
  <c r="G1044" i="2" s="1"/>
  <c r="H1035" i="2" a="1"/>
  <c r="H1035" i="2" s="1"/>
  <c r="G1035" i="2" a="1"/>
  <c r="G1035" i="2" s="1"/>
  <c r="H1009" i="2" a="1"/>
  <c r="H1009" i="2" s="1"/>
  <c r="G1009" i="2" a="1"/>
  <c r="G1009" i="2" s="1"/>
  <c r="H1000" i="2" a="1"/>
  <c r="H1000" i="2" s="1"/>
  <c r="G1000" i="2" a="1"/>
  <c r="G1000" i="2" s="1"/>
  <c r="H968" i="2" a="1"/>
  <c r="H968" i="2" s="1"/>
  <c r="G968" i="2" a="1"/>
  <c r="G968" i="2" s="1"/>
  <c r="H950" i="2" a="1"/>
  <c r="H950" i="2" s="1"/>
  <c r="G950" i="2" a="1"/>
  <c r="G950" i="2" s="1"/>
  <c r="H917" i="2" a="1"/>
  <c r="H917" i="2" s="1"/>
  <c r="G917" i="2" a="1"/>
  <c r="G917" i="2" s="1"/>
  <c r="H827" i="2" a="1"/>
  <c r="H827" i="2" s="1"/>
  <c r="G827" i="2" a="1"/>
  <c r="G827" i="2" s="1"/>
  <c r="H819" i="2" a="1"/>
  <c r="H819" i="2" s="1"/>
  <c r="G819" i="2" a="1"/>
  <c r="G819" i="2" s="1"/>
  <c r="H803" i="2" a="1"/>
  <c r="H803" i="2" s="1"/>
  <c r="G803" i="2" a="1"/>
  <c r="G803" i="2" s="1"/>
  <c r="H786" i="2" a="1"/>
  <c r="H786" i="2" s="1"/>
  <c r="G786" i="2" a="1"/>
  <c r="G786" i="2" s="1"/>
  <c r="H778" i="2" a="1"/>
  <c r="H778" i="2" s="1"/>
  <c r="G778" i="2" a="1"/>
  <c r="G778" i="2" s="1"/>
  <c r="G753" i="2" a="1"/>
  <c r="G753" i="2" s="1"/>
  <c r="H753" i="2" a="1"/>
  <c r="H753" i="2" s="1"/>
  <c r="H727" i="2" a="1"/>
  <c r="H727" i="2" s="1"/>
  <c r="G727" i="2" a="1"/>
  <c r="G727" i="2" s="1"/>
  <c r="H693" i="2" a="1"/>
  <c r="H693" i="2" s="1"/>
  <c r="G693" i="2" a="1"/>
  <c r="G693" i="2" s="1"/>
  <c r="H684" i="2" a="1"/>
  <c r="H684" i="2" s="1"/>
  <c r="G684" i="2" a="1"/>
  <c r="G684" i="2" s="1"/>
  <c r="H666" i="2" a="1"/>
  <c r="H666" i="2" s="1"/>
  <c r="G666" i="2" a="1"/>
  <c r="G666" i="2" s="1"/>
  <c r="H659" i="2" a="1"/>
  <c r="H659" i="2" s="1"/>
  <c r="G659" i="2" a="1"/>
  <c r="G659" i="2" s="1"/>
  <c r="H651" i="2" a="1"/>
  <c r="H651" i="2" s="1"/>
  <c r="G651" i="2" a="1"/>
  <c r="G651" i="2" s="1"/>
  <c r="H608" i="2" a="1"/>
  <c r="H608" i="2" s="1"/>
  <c r="G608" i="2" a="1"/>
  <c r="G608" i="2" s="1"/>
  <c r="H599" i="2" a="1"/>
  <c r="H599" i="2" s="1"/>
  <c r="G599" i="2" a="1"/>
  <c r="G599" i="2" s="1"/>
  <c r="H574" i="2" a="1"/>
  <c r="H574" i="2" s="1"/>
  <c r="G574" i="2" a="1"/>
  <c r="G574" i="2" s="1"/>
  <c r="H546" i="2" a="1"/>
  <c r="H546" i="2" s="1"/>
  <c r="G546" i="2" a="1"/>
  <c r="G546" i="2" s="1"/>
  <c r="H512" i="2" a="1"/>
  <c r="H512" i="2" s="1"/>
  <c r="G512" i="2" a="1"/>
  <c r="G512" i="2" s="1"/>
  <c r="H503" i="2" a="1"/>
  <c r="H503" i="2" s="1"/>
  <c r="G503" i="2" a="1"/>
  <c r="G503" i="2" s="1"/>
  <c r="H495" i="2" a="1"/>
  <c r="H495" i="2" s="1"/>
  <c r="G495" i="2" a="1"/>
  <c r="G495" i="2" s="1"/>
  <c r="H402" i="2" a="1"/>
  <c r="H402" i="2" s="1"/>
  <c r="G402" i="2" a="1"/>
  <c r="G402" i="2" s="1"/>
  <c r="H378" i="2" a="1"/>
  <c r="H378" i="2" s="1"/>
  <c r="G378" i="2" a="1"/>
  <c r="G378" i="2" s="1"/>
  <c r="H369" i="2" a="1"/>
  <c r="H369" i="2" s="1"/>
  <c r="G369" i="2" a="1"/>
  <c r="G369" i="2" s="1"/>
  <c r="H325" i="2" a="1"/>
  <c r="H325" i="2" s="1"/>
  <c r="G325" i="2" a="1"/>
  <c r="G325" i="2" s="1"/>
  <c r="H308" i="2" a="1"/>
  <c r="H308" i="2" s="1"/>
  <c r="G308" i="2" a="1"/>
  <c r="G308" i="2" s="1"/>
  <c r="H266" i="2" a="1"/>
  <c r="H266" i="2" s="1"/>
  <c r="G266" i="2" a="1"/>
  <c r="G266" i="2" s="1"/>
  <c r="G249" i="2" a="1"/>
  <c r="G249" i="2" s="1"/>
  <c r="H249" i="2" a="1"/>
  <c r="H249" i="2" s="1"/>
  <c r="H197" i="2" a="1"/>
  <c r="H197" i="2" s="1"/>
  <c r="G197" i="2" a="1"/>
  <c r="G197" i="2" s="1"/>
  <c r="H172" i="2" a="1"/>
  <c r="H172" i="2" s="1"/>
  <c r="G172" i="2" a="1"/>
  <c r="G172" i="2" s="1"/>
  <c r="H154" i="2" a="1"/>
  <c r="H154" i="2" s="1"/>
  <c r="G154" i="2" a="1"/>
  <c r="G154" i="2" s="1"/>
  <c r="H119" i="2" a="1"/>
  <c r="H119" i="2" s="1"/>
  <c r="G119" i="2" a="1"/>
  <c r="G119" i="2" s="1"/>
  <c r="H79" i="2" a="1"/>
  <c r="H79" i="2" s="1"/>
  <c r="G79" i="2" a="1"/>
  <c r="G79" i="2" s="1"/>
  <c r="H52" i="2" a="1"/>
  <c r="H52" i="2" s="1"/>
  <c r="G52" i="2" a="1"/>
  <c r="G52" i="2" s="1"/>
  <c r="H10" i="2" a="1"/>
  <c r="H10" i="2" s="1"/>
  <c r="G10" i="2" a="1"/>
  <c r="G10" i="2" s="1"/>
  <c r="G2728" i="2" a="1"/>
  <c r="G2728" i="2" s="1"/>
  <c r="G2017" i="2" a="1"/>
  <c r="G2017" i="2" s="1"/>
  <c r="G1654" i="2" a="1"/>
  <c r="G1654" i="2" s="1"/>
  <c r="G1362" i="2" a="1"/>
  <c r="G1362" i="2" s="1"/>
  <c r="G613" i="2" a="1"/>
  <c r="G613" i="2" s="1"/>
  <c r="H2511" i="2" a="1"/>
  <c r="H2511" i="2" s="1"/>
  <c r="G2511" i="2" a="1"/>
  <c r="G2511" i="2" s="1"/>
  <c r="G2470" i="2" a="1"/>
  <c r="G2470" i="2" s="1"/>
  <c r="H2470" i="2" a="1"/>
  <c r="H2470" i="2" s="1"/>
  <c r="H2348" i="2" a="1"/>
  <c r="H2348" i="2" s="1"/>
  <c r="G2348" i="2" a="1"/>
  <c r="G2348" i="2" s="1"/>
  <c r="G2086" i="2" a="1"/>
  <c r="G2086" i="2" s="1"/>
  <c r="H2086" i="2" a="1"/>
  <c r="H2086" i="2" s="1"/>
  <c r="H2079" i="2" a="1"/>
  <c r="H2079" i="2" s="1"/>
  <c r="G2079" i="2" a="1"/>
  <c r="G2079" i="2" s="1"/>
  <c r="H2038" i="2" a="1"/>
  <c r="H2038" i="2" s="1"/>
  <c r="G2038" i="2" a="1"/>
  <c r="G2038" i="2" s="1"/>
  <c r="H1924" i="2" a="1"/>
  <c r="H1924" i="2" s="1"/>
  <c r="G1924" i="2" a="1"/>
  <c r="G1924" i="2" s="1"/>
  <c r="H1798" i="2" a="1"/>
  <c r="H1798" i="2" s="1"/>
  <c r="G1798" i="2" a="1"/>
  <c r="G1798" i="2" s="1"/>
  <c r="G1784" i="2" a="1"/>
  <c r="G1784" i="2" s="1"/>
  <c r="H1784" i="2" a="1"/>
  <c r="H1784" i="2" s="1"/>
  <c r="H1726" i="2" a="1"/>
  <c r="H1726" i="2" s="1"/>
  <c r="G1726" i="2" a="1"/>
  <c r="G1726" i="2" s="1"/>
  <c r="H1653" i="2" a="1"/>
  <c r="H1653" i="2" s="1"/>
  <c r="G1653" i="2" a="1"/>
  <c r="G1653" i="2" s="1"/>
  <c r="H1595" i="2" a="1"/>
  <c r="H1595" i="2" s="1"/>
  <c r="G1595" i="2" a="1"/>
  <c r="G1595" i="2" s="1"/>
  <c r="H1508" i="2" a="1"/>
  <c r="H1508" i="2" s="1"/>
  <c r="G1508" i="2" a="1"/>
  <c r="G1508" i="2" s="1"/>
  <c r="H1473" i="2" a="1"/>
  <c r="H1473" i="2" s="1"/>
  <c r="G1473" i="2" a="1"/>
  <c r="G1473" i="2" s="1"/>
  <c r="G1444" i="2" a="1"/>
  <c r="G1444" i="2" s="1"/>
  <c r="H1444" i="2" a="1"/>
  <c r="H1444" i="2" s="1"/>
  <c r="H1314" i="2" a="1"/>
  <c r="H1314" i="2" s="1"/>
  <c r="G1314" i="2" a="1"/>
  <c r="G1314" i="2" s="1"/>
  <c r="H1307" i="2" a="1"/>
  <c r="H1307" i="2" s="1"/>
  <c r="G1307" i="2" a="1"/>
  <c r="G1307" i="2" s="1"/>
  <c r="H1185" i="2" a="1"/>
  <c r="H1185" i="2" s="1"/>
  <c r="G1185" i="2" a="1"/>
  <c r="G1185" i="2" s="1"/>
  <c r="H1098" i="2" a="1"/>
  <c r="H1098" i="2" s="1"/>
  <c r="G1098" i="2" a="1"/>
  <c r="G1098" i="2" s="1"/>
  <c r="H1090" i="2" a="1"/>
  <c r="H1090" i="2" s="1"/>
  <c r="G1090" i="2" a="1"/>
  <c r="G1090" i="2" s="1"/>
  <c r="G1026" i="2" a="1"/>
  <c r="G1026" i="2" s="1"/>
  <c r="H1026" i="2" a="1"/>
  <c r="H1026" i="2" s="1"/>
  <c r="H1019" i="2" a="1"/>
  <c r="H1019" i="2" s="1"/>
  <c r="G1019" i="2" a="1"/>
  <c r="G1019" i="2" s="1"/>
  <c r="H1011" i="2" a="1"/>
  <c r="H1011" i="2" s="1"/>
  <c r="G1011" i="2" a="1"/>
  <c r="G1011" i="2" s="1"/>
  <c r="H954" i="2" a="1"/>
  <c r="H954" i="2" s="1"/>
  <c r="G954" i="2" a="1"/>
  <c r="G954" i="2" s="1"/>
  <c r="H947" i="2" a="1"/>
  <c r="H947" i="2" s="1"/>
  <c r="G947" i="2" a="1"/>
  <c r="G947" i="2" s="1"/>
  <c r="H867" i="2" a="1"/>
  <c r="H867" i="2" s="1"/>
  <c r="G867" i="2" a="1"/>
  <c r="G867" i="2" s="1"/>
  <c r="H816" i="2" a="1"/>
  <c r="H816" i="2" s="1"/>
  <c r="G816" i="2" a="1"/>
  <c r="G816" i="2" s="1"/>
  <c r="G735" i="2" a="1"/>
  <c r="G735" i="2" s="1"/>
  <c r="H735" i="2" a="1"/>
  <c r="H735" i="2" s="1"/>
  <c r="G710" i="2" a="1"/>
  <c r="G710" i="2" s="1"/>
  <c r="H710" i="2" a="1"/>
  <c r="H710" i="2" s="1"/>
  <c r="H578" i="2" a="1"/>
  <c r="H578" i="2" s="1"/>
  <c r="G578" i="2" a="1"/>
  <c r="G578" i="2" s="1"/>
  <c r="H570" i="2" a="1"/>
  <c r="H570" i="2" s="1"/>
  <c r="G570" i="2" a="1"/>
  <c r="G570" i="2" s="1"/>
  <c r="H473" i="2" a="1"/>
  <c r="H473" i="2" s="1"/>
  <c r="G473" i="2" a="1"/>
  <c r="G473" i="2" s="1"/>
  <c r="H457" i="2" a="1"/>
  <c r="H457" i="2" s="1"/>
  <c r="G457" i="2" a="1"/>
  <c r="G457" i="2" s="1"/>
  <c r="H356" i="2" a="1"/>
  <c r="H356" i="2" s="1"/>
  <c r="G356" i="2" a="1"/>
  <c r="G356" i="2" s="1"/>
  <c r="H340" i="2" a="1"/>
  <c r="H340" i="2" s="1"/>
  <c r="G340" i="2" a="1"/>
  <c r="G340" i="2" s="1"/>
  <c r="H332" i="2" a="1"/>
  <c r="H332" i="2" s="1"/>
  <c r="G332" i="2" a="1"/>
  <c r="G332" i="2" s="1"/>
  <c r="G294" i="2" a="1"/>
  <c r="G294" i="2" s="1"/>
  <c r="H294" i="2" a="1"/>
  <c r="H294" i="2" s="1"/>
  <c r="H257" i="2" a="1"/>
  <c r="H257" i="2" s="1"/>
  <c r="G257" i="2" a="1"/>
  <c r="G257" i="2" s="1"/>
  <c r="H242" i="2" a="1"/>
  <c r="H242" i="2" s="1"/>
  <c r="G242" i="2" a="1"/>
  <c r="G242" i="2" s="1"/>
  <c r="H226" i="2" a="1"/>
  <c r="H226" i="2" s="1"/>
  <c r="G226" i="2" a="1"/>
  <c r="G226" i="2" s="1"/>
  <c r="H218" i="2" a="1"/>
  <c r="H218" i="2" s="1"/>
  <c r="G218" i="2" a="1"/>
  <c r="G218" i="2" s="1"/>
  <c r="H169" i="2" a="1"/>
  <c r="H169" i="2" s="1"/>
  <c r="G169" i="2" a="1"/>
  <c r="G169" i="2" s="1"/>
  <c r="H161" i="2" a="1"/>
  <c r="H161" i="2" s="1"/>
  <c r="G161" i="2" a="1"/>
  <c r="G161" i="2" s="1"/>
  <c r="H114" i="2" a="1"/>
  <c r="H114" i="2" s="1"/>
  <c r="G114" i="2" a="1"/>
  <c r="G114" i="2" s="1"/>
  <c r="H83" i="2" a="1"/>
  <c r="H83" i="2" s="1"/>
  <c r="G83" i="2" a="1"/>
  <c r="G83" i="2" s="1"/>
  <c r="H59" i="2" a="1"/>
  <c r="H59" i="2" s="1"/>
  <c r="G59" i="2" a="1"/>
  <c r="G59" i="2" s="1"/>
  <c r="H30" i="2" a="1"/>
  <c r="H30" i="2" s="1"/>
  <c r="G30" i="2" a="1"/>
  <c r="G30" i="2" s="1"/>
  <c r="H14" i="2" a="1"/>
  <c r="H14" i="2" s="1"/>
  <c r="G14" i="2" a="1"/>
  <c r="G14" i="2" s="1"/>
  <c r="G2326" i="2" a="1"/>
  <c r="G2326" i="2" s="1"/>
  <c r="G2254" i="2" a="1"/>
  <c r="G2254" i="2" s="1"/>
  <c r="G2116" i="2" a="1"/>
  <c r="G2116" i="2" s="1"/>
  <c r="G1802" i="2" a="1"/>
  <c r="G1802" i="2" s="1"/>
  <c r="G1527" i="2" a="1"/>
  <c r="G1527" i="2" s="1"/>
  <c r="G1305" i="2" a="1"/>
  <c r="G1305" i="2" s="1"/>
  <c r="G1204" i="2" a="1"/>
  <c r="G1204" i="2" s="1"/>
  <c r="G1145" i="2" a="1"/>
  <c r="G1145" i="2" s="1"/>
  <c r="G662" i="2" a="1"/>
  <c r="G662" i="2" s="1"/>
  <c r="I662" i="2" s="1"/>
  <c r="H1392" i="2" a="1"/>
  <c r="H1392" i="2" s="1"/>
  <c r="H2746" i="2" a="1"/>
  <c r="H2746" i="2" s="1"/>
  <c r="G2746" i="2" a="1"/>
  <c r="G2746" i="2" s="1"/>
  <c r="G2638" i="2" a="1"/>
  <c r="G2638" i="2" s="1"/>
  <c r="H2638" i="2" a="1"/>
  <c r="H2638" i="2" s="1"/>
  <c r="H2578" i="2" a="1"/>
  <c r="H2578" i="2" s="1"/>
  <c r="G2578" i="2" a="1"/>
  <c r="G2578" i="2" s="1"/>
  <c r="H2536" i="2" a="1"/>
  <c r="H2536" i="2" s="1"/>
  <c r="G2536" i="2" a="1"/>
  <c r="G2536" i="2" s="1"/>
  <c r="H2428" i="2" a="1"/>
  <c r="H2428" i="2" s="1"/>
  <c r="G2428" i="2" a="1"/>
  <c r="G2428" i="2" s="1"/>
  <c r="H2368" i="2" a="1"/>
  <c r="H2368" i="2" s="1"/>
  <c r="G2368" i="2" a="1"/>
  <c r="G2368" i="2" s="1"/>
  <c r="H2320" i="2" a="1"/>
  <c r="H2320" i="2" s="1"/>
  <c r="G2320" i="2" a="1"/>
  <c r="G2320" i="2" s="1"/>
  <c r="H2152" i="2" a="1"/>
  <c r="H2152" i="2" s="1"/>
  <c r="G2152" i="2" a="1"/>
  <c r="G2152" i="2" s="1"/>
  <c r="H2104" i="2" a="1"/>
  <c r="H2104" i="2" s="1"/>
  <c r="G2104" i="2" a="1"/>
  <c r="G2104" i="2" s="1"/>
  <c r="H1996" i="2" a="1"/>
  <c r="H1996" i="2" s="1"/>
  <c r="G1996" i="2" a="1"/>
  <c r="G1996" i="2" s="1"/>
  <c r="H1936" i="2" a="1"/>
  <c r="H1936" i="2" s="1"/>
  <c r="G1936" i="2" a="1"/>
  <c r="G1936" i="2" s="1"/>
  <c r="H1922" i="2" a="1"/>
  <c r="H1922" i="2" s="1"/>
  <c r="G1922" i="2" a="1"/>
  <c r="G1922" i="2" s="1"/>
  <c r="H1876" i="2" a="1"/>
  <c r="H1876" i="2" s="1"/>
  <c r="G1876" i="2" a="1"/>
  <c r="G1876" i="2" s="1"/>
  <c r="H1816" i="2" a="1"/>
  <c r="H1816" i="2" s="1"/>
  <c r="G1816" i="2" a="1"/>
  <c r="G1816" i="2" s="1"/>
  <c r="H1731" i="2" a="1"/>
  <c r="H1731" i="2" s="1"/>
  <c r="G1731" i="2" a="1"/>
  <c r="G1731" i="2" s="1"/>
  <c r="G1680" i="2" a="1"/>
  <c r="G1680" i="2" s="1"/>
  <c r="H1680" i="2" a="1"/>
  <c r="H1680" i="2" s="1"/>
  <c r="H1593" i="2" a="1"/>
  <c r="H1593" i="2" s="1"/>
  <c r="G1593" i="2" a="1"/>
  <c r="G1593" i="2" s="1"/>
  <c r="H1529" i="2" a="1"/>
  <c r="H1529" i="2" s="1"/>
  <c r="G1529" i="2" a="1"/>
  <c r="G1529" i="2" s="1"/>
  <c r="H1521" i="2" a="1"/>
  <c r="H1521" i="2" s="1"/>
  <c r="G1521" i="2" a="1"/>
  <c r="G1521" i="2" s="1"/>
  <c r="H1471" i="2" a="1"/>
  <c r="H1471" i="2" s="1"/>
  <c r="G1471" i="2" a="1"/>
  <c r="G1471" i="2" s="1"/>
  <c r="H1464" i="2" a="1"/>
  <c r="H1464" i="2" s="1"/>
  <c r="G1464" i="2" a="1"/>
  <c r="G1464" i="2" s="1"/>
  <c r="H1399" i="2" a="1"/>
  <c r="H1399" i="2" s="1"/>
  <c r="G1399" i="2" a="1"/>
  <c r="G1399" i="2" s="1"/>
  <c r="H1183" i="2" a="1"/>
  <c r="H1183" i="2" s="1"/>
  <c r="G1183" i="2" a="1"/>
  <c r="G1183" i="2" s="1"/>
  <c r="H1175" i="2" a="1"/>
  <c r="H1175" i="2" s="1"/>
  <c r="G1175" i="2" a="1"/>
  <c r="G1175" i="2" s="1"/>
  <c r="H1017" i="2" a="1"/>
  <c r="H1017" i="2" s="1"/>
  <c r="G1017" i="2" a="1"/>
  <c r="G1017" i="2" s="1"/>
  <c r="H981" i="2" a="1"/>
  <c r="H981" i="2" s="1"/>
  <c r="G981" i="2" a="1"/>
  <c r="G981" i="2" s="1"/>
  <c r="H945" i="2" a="1"/>
  <c r="H945" i="2" s="1"/>
  <c r="G945" i="2" a="1"/>
  <c r="G945" i="2" s="1"/>
  <c r="H909" i="2" a="1"/>
  <c r="H909" i="2" s="1"/>
  <c r="G909" i="2" a="1"/>
  <c r="G909" i="2" s="1"/>
  <c r="G807" i="2" a="1"/>
  <c r="G807" i="2" s="1"/>
  <c r="H807" i="2" a="1"/>
  <c r="H807" i="2" s="1"/>
  <c r="H748" i="2" a="1"/>
  <c r="H748" i="2" s="1"/>
  <c r="G748" i="2" a="1"/>
  <c r="G748" i="2" s="1"/>
  <c r="H740" i="2" a="1"/>
  <c r="H740" i="2" s="1"/>
  <c r="G740" i="2" a="1"/>
  <c r="G740" i="2" s="1"/>
  <c r="H732" i="2" a="1"/>
  <c r="H732" i="2" s="1"/>
  <c r="G732" i="2" a="1"/>
  <c r="G732" i="2" s="1"/>
  <c r="H716" i="2" a="1"/>
  <c r="H716" i="2" s="1"/>
  <c r="G716" i="2" a="1"/>
  <c r="G716" i="2" s="1"/>
  <c r="H708" i="2" a="1"/>
  <c r="H708" i="2" s="1"/>
  <c r="G708" i="2" a="1"/>
  <c r="G708" i="2" s="1"/>
  <c r="H649" i="2" a="1"/>
  <c r="H649" i="2" s="1"/>
  <c r="G649" i="2" a="1"/>
  <c r="G649" i="2" s="1"/>
  <c r="H509" i="2" a="1"/>
  <c r="H509" i="2" s="1"/>
  <c r="G509" i="2" a="1"/>
  <c r="G509" i="2" s="1"/>
  <c r="H471" i="2" a="1"/>
  <c r="H471" i="2" s="1"/>
  <c r="G471" i="2" a="1"/>
  <c r="G471" i="2" s="1"/>
  <c r="H428" i="2" a="1"/>
  <c r="H428" i="2" s="1"/>
  <c r="G428" i="2" a="1"/>
  <c r="G428" i="2" s="1"/>
  <c r="H398" i="2" a="1"/>
  <c r="H398" i="2" s="1"/>
  <c r="G398" i="2" a="1"/>
  <c r="G398" i="2" s="1"/>
  <c r="H346" i="2" a="1"/>
  <c r="H346" i="2" s="1"/>
  <c r="G346" i="2" a="1"/>
  <c r="G346" i="2" s="1"/>
  <c r="H255" i="2" a="1"/>
  <c r="H255" i="2" s="1"/>
  <c r="G255" i="2" a="1"/>
  <c r="G255" i="2" s="1"/>
  <c r="H224" i="2" a="1"/>
  <c r="H224" i="2" s="1"/>
  <c r="G224" i="2" a="1"/>
  <c r="G224" i="2" s="1"/>
  <c r="H208" i="2" a="1"/>
  <c r="H208" i="2" s="1"/>
  <c r="G208" i="2" a="1"/>
  <c r="G208" i="2" s="1"/>
  <c r="H201" i="2" a="1"/>
  <c r="H201" i="2" s="1"/>
  <c r="G201" i="2" a="1"/>
  <c r="G201" i="2" s="1"/>
  <c r="H184" i="2" a="1"/>
  <c r="H184" i="2" s="1"/>
  <c r="G184" i="2" a="1"/>
  <c r="G184" i="2" s="1"/>
  <c r="H159" i="2" a="1"/>
  <c r="H159" i="2" s="1"/>
  <c r="G159" i="2" a="1"/>
  <c r="G159" i="2" s="1"/>
  <c r="H143" i="2" a="1"/>
  <c r="H143" i="2" s="1"/>
  <c r="G143" i="2" a="1"/>
  <c r="G143" i="2" s="1"/>
  <c r="G89" i="2" a="1"/>
  <c r="G89" i="2" s="1"/>
  <c r="H89" i="2" a="1"/>
  <c r="H89" i="2" s="1"/>
  <c r="H81" i="2" a="1"/>
  <c r="H81" i="2" s="1"/>
  <c r="G81" i="2" a="1"/>
  <c r="G81" i="2" s="1"/>
  <c r="H65" i="2" a="1"/>
  <c r="H65" i="2" s="1"/>
  <c r="G65" i="2" a="1"/>
  <c r="G65" i="2" s="1"/>
  <c r="H49" i="2" a="1"/>
  <c r="H49" i="2" s="1"/>
  <c r="G49" i="2" a="1"/>
  <c r="G49" i="2" s="1"/>
  <c r="H20" i="2" a="1"/>
  <c r="H20" i="2" s="1"/>
  <c r="G20" i="2" a="1"/>
  <c r="G20" i="2" s="1"/>
  <c r="G2758" i="2" a="1"/>
  <c r="G2758" i="2" s="1"/>
  <c r="G2272" i="2" a="1"/>
  <c r="G2272" i="2" s="1"/>
  <c r="G1623" i="2" a="1"/>
  <c r="G1623" i="2" s="1"/>
  <c r="G1550" i="2" a="1"/>
  <c r="G1550" i="2" s="1"/>
  <c r="G1167" i="2" a="1"/>
  <c r="G1167" i="2" s="1"/>
  <c r="G1087" i="2" a="1"/>
  <c r="G1087" i="2" s="1"/>
  <c r="G692" i="2" a="1"/>
  <c r="G692" i="2" s="1"/>
  <c r="G508" i="2" a="1"/>
  <c r="G508" i="2" s="1"/>
  <c r="G338" i="2" a="1"/>
  <c r="G338" i="2" s="1"/>
  <c r="H2271" i="2" a="1"/>
  <c r="H2271" i="2" s="1"/>
  <c r="G2271" i="2" a="1"/>
  <c r="G2271" i="2" s="1"/>
  <c r="H2258" i="2" a="1"/>
  <c r="H2258" i="2" s="1"/>
  <c r="G2258" i="2" a="1"/>
  <c r="G2258" i="2" s="1"/>
  <c r="H2232" i="2" a="1"/>
  <c r="H2232" i="2" s="1"/>
  <c r="G2232" i="2" a="1"/>
  <c r="G2232" i="2" s="1"/>
  <c r="H2204" i="2" a="1"/>
  <c r="H2204" i="2" s="1"/>
  <c r="G2204" i="2" a="1"/>
  <c r="G2204" i="2" s="1"/>
  <c r="H2197" i="2" a="1"/>
  <c r="H2197" i="2" s="1"/>
  <c r="G2197" i="2" a="1"/>
  <c r="G2197" i="2" s="1"/>
  <c r="H2171" i="2" a="1"/>
  <c r="H2171" i="2" s="1"/>
  <c r="G2171" i="2" a="1"/>
  <c r="G2171" i="2" s="1"/>
  <c r="G2151" i="2" a="1"/>
  <c r="G2151" i="2" s="1"/>
  <c r="H2151" i="2" a="1"/>
  <c r="H2151" i="2" s="1"/>
  <c r="H2123" i="2" a="1"/>
  <c r="H2123" i="2" s="1"/>
  <c r="G2123" i="2" a="1"/>
  <c r="G2123" i="2" s="1"/>
  <c r="G2110" i="2" a="1"/>
  <c r="G2110" i="2" s="1"/>
  <c r="H2110" i="2" a="1"/>
  <c r="H2110" i="2" s="1"/>
  <c r="H2055" i="2" a="1"/>
  <c r="H2055" i="2" s="1"/>
  <c r="G2055" i="2" a="1"/>
  <c r="G2055" i="2" s="1"/>
  <c r="H2042" i="2" a="1"/>
  <c r="H2042" i="2" s="1"/>
  <c r="G2042" i="2" a="1"/>
  <c r="G2042" i="2" s="1"/>
  <c r="G1995" i="2" a="1"/>
  <c r="G1995" i="2" s="1"/>
  <c r="H1995" i="2" a="1"/>
  <c r="H1995" i="2" s="1"/>
  <c r="H1988" i="2" a="1"/>
  <c r="H1988" i="2" s="1"/>
  <c r="G1988" i="2" a="1"/>
  <c r="G1988" i="2" s="1"/>
  <c r="H1981" i="2" a="1"/>
  <c r="H1981" i="2" s="1"/>
  <c r="G1981" i="2" a="1"/>
  <c r="G1981" i="2" s="1"/>
  <c r="H1968" i="2" a="1"/>
  <c r="H1968" i="2" s="1"/>
  <c r="G1968" i="2" a="1"/>
  <c r="G1968" i="2" s="1"/>
  <c r="G1942" i="2" a="1"/>
  <c r="G1942" i="2" s="1"/>
  <c r="H1942" i="2" a="1"/>
  <c r="H1942" i="2" s="1"/>
  <c r="H1935" i="2" a="1"/>
  <c r="H1935" i="2" s="1"/>
  <c r="G1935" i="2" a="1"/>
  <c r="G1935" i="2" s="1"/>
  <c r="H1921" i="2" a="1"/>
  <c r="H1921" i="2" s="1"/>
  <c r="G1921" i="2" a="1"/>
  <c r="G1921" i="2" s="1"/>
  <c r="H1908" i="2" a="1"/>
  <c r="H1908" i="2" s="1"/>
  <c r="G1908" i="2" a="1"/>
  <c r="G1908" i="2" s="1"/>
  <c r="G1895" i="2" a="1"/>
  <c r="G1895" i="2" s="1"/>
  <c r="H1895" i="2" a="1"/>
  <c r="H1895" i="2" s="1"/>
  <c r="H1882" i="2" a="1"/>
  <c r="H1882" i="2" s="1"/>
  <c r="G1882" i="2" a="1"/>
  <c r="G1882" i="2" s="1"/>
  <c r="H1875" i="2" a="1"/>
  <c r="H1875" i="2" s="1"/>
  <c r="G1875" i="2" a="1"/>
  <c r="G1875" i="2" s="1"/>
  <c r="H1848" i="2" a="1"/>
  <c r="H1848" i="2" s="1"/>
  <c r="G1848" i="2" a="1"/>
  <c r="G1848" i="2" s="1"/>
  <c r="H1835" i="2" a="1"/>
  <c r="H1835" i="2" s="1"/>
  <c r="G1835" i="2" a="1"/>
  <c r="G1835" i="2" s="1"/>
  <c r="H1822" i="2" a="1"/>
  <c r="H1822" i="2" s="1"/>
  <c r="G1822" i="2" a="1"/>
  <c r="G1822" i="2" s="1"/>
  <c r="H1815" i="2" a="1"/>
  <c r="H1815" i="2" s="1"/>
  <c r="G1815" i="2" a="1"/>
  <c r="G1815" i="2" s="1"/>
  <c r="H1774" i="2" a="1"/>
  <c r="H1774" i="2" s="1"/>
  <c r="G1774" i="2" a="1"/>
  <c r="G1774" i="2" s="1"/>
  <c r="H1766" i="2" a="1"/>
  <c r="H1766" i="2" s="1"/>
  <c r="G1766" i="2" a="1"/>
  <c r="G1766" i="2" s="1"/>
  <c r="H1752" i="2" a="1"/>
  <c r="H1752" i="2" s="1"/>
  <c r="G1752" i="2" a="1"/>
  <c r="G1752" i="2" s="1"/>
  <c r="G1730" i="2" a="1"/>
  <c r="G1730" i="2" s="1"/>
  <c r="H1730" i="2" a="1"/>
  <c r="H1730" i="2" s="1"/>
  <c r="H1716" i="2" a="1"/>
  <c r="H1716" i="2" s="1"/>
  <c r="G1716" i="2" a="1"/>
  <c r="G1716" i="2" s="1"/>
  <c r="H1695" i="2" a="1"/>
  <c r="H1695" i="2" s="1"/>
  <c r="G1695" i="2" a="1"/>
  <c r="G1695" i="2" s="1"/>
  <c r="H1679" i="2" a="1"/>
  <c r="H1679" i="2" s="1"/>
  <c r="G1679" i="2" a="1"/>
  <c r="G1679" i="2" s="1"/>
  <c r="H1672" i="2" a="1"/>
  <c r="H1672" i="2" s="1"/>
  <c r="G1672" i="2" a="1"/>
  <c r="G1672" i="2" s="1"/>
  <c r="H1665" i="2" a="1"/>
  <c r="H1665" i="2" s="1"/>
  <c r="G1665" i="2" a="1"/>
  <c r="G1665" i="2" s="1"/>
  <c r="H1630" i="2" a="1"/>
  <c r="H1630" i="2" s="1"/>
  <c r="G1630" i="2" a="1"/>
  <c r="G1630" i="2" s="1"/>
  <c r="H1608" i="2" a="1"/>
  <c r="H1608" i="2" s="1"/>
  <c r="G1608" i="2" a="1"/>
  <c r="G1608" i="2" s="1"/>
  <c r="H1600" i="2" a="1"/>
  <c r="H1600" i="2" s="1"/>
  <c r="G1600" i="2" a="1"/>
  <c r="G1600" i="2" s="1"/>
  <c r="H1585" i="2" a="1"/>
  <c r="H1585" i="2" s="1"/>
  <c r="G1585" i="2" a="1"/>
  <c r="G1585" i="2" s="1"/>
  <c r="H1578" i="2" a="1"/>
  <c r="H1578" i="2" s="1"/>
  <c r="G1578" i="2" a="1"/>
  <c r="G1578" i="2" s="1"/>
  <c r="H1543" i="2" a="1"/>
  <c r="H1543" i="2" s="1"/>
  <c r="G1543" i="2" a="1"/>
  <c r="G1543" i="2" s="1"/>
  <c r="H1528" i="2" a="1"/>
  <c r="H1528" i="2" s="1"/>
  <c r="G1528" i="2" a="1"/>
  <c r="G1528" i="2" s="1"/>
  <c r="H1520" i="2" a="1"/>
  <c r="H1520" i="2" s="1"/>
  <c r="G1520" i="2" a="1"/>
  <c r="G1520" i="2" s="1"/>
  <c r="H1513" i="2" a="1"/>
  <c r="H1513" i="2" s="1"/>
  <c r="G1513" i="2" a="1"/>
  <c r="G1513" i="2" s="1"/>
  <c r="H1492" i="2" a="1"/>
  <c r="H1492" i="2" s="1"/>
  <c r="G1492" i="2" a="1"/>
  <c r="G1492" i="2" s="1"/>
  <c r="H1485" i="2" a="1"/>
  <c r="H1485" i="2" s="1"/>
  <c r="G1485" i="2" a="1"/>
  <c r="G1485" i="2" s="1"/>
  <c r="H1470" i="2" a="1"/>
  <c r="H1470" i="2" s="1"/>
  <c r="G1470" i="2" a="1"/>
  <c r="G1470" i="2" s="1"/>
  <c r="H1463" i="2" a="1"/>
  <c r="H1463" i="2" s="1"/>
  <c r="G1463" i="2" a="1"/>
  <c r="G1463" i="2" s="1"/>
  <c r="H1449" i="2" a="1"/>
  <c r="H1449" i="2" s="1"/>
  <c r="G1449" i="2" a="1"/>
  <c r="G1449" i="2" s="1"/>
  <c r="H1441" i="2" a="1"/>
  <c r="H1441" i="2" s="1"/>
  <c r="G1441" i="2" a="1"/>
  <c r="G1441" i="2" s="1"/>
  <c r="H1434" i="2" a="1"/>
  <c r="H1434" i="2" s="1"/>
  <c r="G1434" i="2" a="1"/>
  <c r="G1434" i="2" s="1"/>
  <c r="H1427" i="2" a="1"/>
  <c r="H1427" i="2" s="1"/>
  <c r="G1427" i="2" a="1"/>
  <c r="G1427" i="2" s="1"/>
  <c r="H1420" i="2" a="1"/>
  <c r="H1420" i="2" s="1"/>
  <c r="G1420" i="2" a="1"/>
  <c r="G1420" i="2" s="1"/>
  <c r="H1413" i="2" a="1"/>
  <c r="H1413" i="2" s="1"/>
  <c r="G1413" i="2" a="1"/>
  <c r="G1413" i="2" s="1"/>
  <c r="H1398" i="2" a="1"/>
  <c r="H1398" i="2" s="1"/>
  <c r="G1398" i="2" a="1"/>
  <c r="G1398" i="2" s="1"/>
  <c r="G1391" i="2" a="1"/>
  <c r="G1391" i="2" s="1"/>
  <c r="H1391" i="2" a="1"/>
  <c r="H1391" i="2" s="1"/>
  <c r="H1384" i="2" a="1"/>
  <c r="H1384" i="2" s="1"/>
  <c r="G1384" i="2" a="1"/>
  <c r="G1384" i="2" s="1"/>
  <c r="H1377" i="2" a="1"/>
  <c r="H1377" i="2" s="1"/>
  <c r="G1377" i="2" a="1"/>
  <c r="G1377" i="2" s="1"/>
  <c r="H1341" i="2" a="1"/>
  <c r="H1341" i="2" s="1"/>
  <c r="G1341" i="2" a="1"/>
  <c r="G1341" i="2" s="1"/>
  <c r="H1333" i="2" a="1"/>
  <c r="H1333" i="2" s="1"/>
  <c r="G1333" i="2" a="1"/>
  <c r="G1333" i="2" s="1"/>
  <c r="H1290" i="2" a="1"/>
  <c r="H1290" i="2" s="1"/>
  <c r="G1290" i="2" a="1"/>
  <c r="G1290" i="2" s="1"/>
  <c r="H1246" i="2" a="1"/>
  <c r="H1246" i="2" s="1"/>
  <c r="G1246" i="2" a="1"/>
  <c r="G1246" i="2" s="1"/>
  <c r="H1239" i="2" a="1"/>
  <c r="H1239" i="2" s="1"/>
  <c r="G1239" i="2" a="1"/>
  <c r="G1239" i="2" s="1"/>
  <c r="H1197" i="2" a="1"/>
  <c r="H1197" i="2" s="1"/>
  <c r="G1197" i="2" a="1"/>
  <c r="G1197" i="2" s="1"/>
  <c r="H1174" i="2" a="1"/>
  <c r="H1174" i="2" s="1"/>
  <c r="G1174" i="2" a="1"/>
  <c r="G1174" i="2" s="1"/>
  <c r="H1166" i="2" a="1"/>
  <c r="H1166" i="2" s="1"/>
  <c r="G1166" i="2" a="1"/>
  <c r="G1166" i="2" s="1"/>
  <c r="H1159" i="2" a="1"/>
  <c r="H1159" i="2" s="1"/>
  <c r="G1159" i="2" a="1"/>
  <c r="G1159" i="2" s="1"/>
  <c r="H1152" i="2" a="1"/>
  <c r="H1152" i="2" s="1"/>
  <c r="G1152" i="2" a="1"/>
  <c r="G1152" i="2" s="1"/>
  <c r="H1138" i="2" a="1"/>
  <c r="H1138" i="2" s="1"/>
  <c r="G1138" i="2" a="1"/>
  <c r="G1138" i="2" s="1"/>
  <c r="G1117" i="2" a="1"/>
  <c r="G1117" i="2" s="1"/>
  <c r="H1117" i="2" a="1"/>
  <c r="H1117" i="2" s="1"/>
  <c r="H1095" i="2" a="1"/>
  <c r="H1095" i="2" s="1"/>
  <c r="G1095" i="2" a="1"/>
  <c r="G1095" i="2" s="1"/>
  <c r="H1080" i="2" a="1"/>
  <c r="H1080" i="2" s="1"/>
  <c r="G1080" i="2" a="1"/>
  <c r="G1080" i="2" s="1"/>
  <c r="H1073" i="2" a="1"/>
  <c r="H1073" i="2" s="1"/>
  <c r="G1073" i="2" a="1"/>
  <c r="G1073" i="2" s="1"/>
  <c r="H1045" i="2" a="1"/>
  <c r="H1045" i="2" s="1"/>
  <c r="G1045" i="2" a="1"/>
  <c r="G1045" i="2" s="1"/>
  <c r="H1016" i="2" a="1"/>
  <c r="H1016" i="2" s="1"/>
  <c r="G1016" i="2" a="1"/>
  <c r="G1016" i="2" s="1"/>
  <c r="H980" i="2" a="1"/>
  <c r="H980" i="2" s="1"/>
  <c r="G980" i="2" a="1"/>
  <c r="G980" i="2" s="1"/>
  <c r="H944" i="2" a="1"/>
  <c r="H944" i="2" s="1"/>
  <c r="G944" i="2" a="1"/>
  <c r="G944" i="2" s="1"/>
  <c r="H937" i="2" a="1"/>
  <c r="H937" i="2" s="1"/>
  <c r="G937" i="2" a="1"/>
  <c r="G937" i="2" s="1"/>
  <c r="H923" i="2" a="1"/>
  <c r="H923" i="2" s="1"/>
  <c r="G923" i="2" a="1"/>
  <c r="G923" i="2" s="1"/>
  <c r="H916" i="2" a="1"/>
  <c r="H916" i="2" s="1"/>
  <c r="G916" i="2" a="1"/>
  <c r="G916" i="2" s="1"/>
  <c r="H908" i="2" a="1"/>
  <c r="H908" i="2" s="1"/>
  <c r="G908" i="2" a="1"/>
  <c r="G908" i="2" s="1"/>
  <c r="H900" i="2" a="1"/>
  <c r="H900" i="2" s="1"/>
  <c r="G900" i="2" a="1"/>
  <c r="G900" i="2" s="1"/>
  <c r="H893" i="2" a="1"/>
  <c r="H893" i="2" s="1"/>
  <c r="G893" i="2" a="1"/>
  <c r="G893" i="2" s="1"/>
  <c r="H886" i="2" a="1"/>
  <c r="H886" i="2" s="1"/>
  <c r="G886" i="2" a="1"/>
  <c r="G886" i="2" s="1"/>
  <c r="G879" i="2" a="1"/>
  <c r="G879" i="2" s="1"/>
  <c r="H879" i="2" a="1"/>
  <c r="H879" i="2" s="1"/>
  <c r="H844" i="2" a="1"/>
  <c r="H844" i="2" s="1"/>
  <c r="G844" i="2" a="1"/>
  <c r="G844" i="2" s="1"/>
  <c r="H837" i="2" a="1"/>
  <c r="H837" i="2" s="1"/>
  <c r="G837" i="2" a="1"/>
  <c r="G837" i="2" s="1"/>
  <c r="H829" i="2" a="1"/>
  <c r="H829" i="2" s="1"/>
  <c r="G829" i="2" a="1"/>
  <c r="G829" i="2" s="1"/>
  <c r="H821" i="2" a="1"/>
  <c r="H821" i="2" s="1"/>
  <c r="G821" i="2" a="1"/>
  <c r="G821" i="2" s="1"/>
  <c r="H806" i="2" a="1"/>
  <c r="H806" i="2" s="1"/>
  <c r="G806" i="2" a="1"/>
  <c r="G806" i="2" s="1"/>
  <c r="H784" i="2" a="1"/>
  <c r="H784" i="2" s="1"/>
  <c r="G784" i="2" a="1"/>
  <c r="G784" i="2" s="1"/>
  <c r="H777" i="2" a="1"/>
  <c r="H777" i="2" s="1"/>
  <c r="G777" i="2" a="1"/>
  <c r="G777" i="2" s="1"/>
  <c r="H770" i="2" a="1"/>
  <c r="H770" i="2" s="1"/>
  <c r="G770" i="2" a="1"/>
  <c r="G770" i="2" s="1"/>
  <c r="H762" i="2" a="1"/>
  <c r="H762" i="2" s="1"/>
  <c r="G762" i="2" a="1"/>
  <c r="G762" i="2" s="1"/>
  <c r="H731" i="2" a="1"/>
  <c r="H731" i="2" s="1"/>
  <c r="G731" i="2" a="1"/>
  <c r="G731" i="2" s="1"/>
  <c r="H715" i="2" a="1"/>
  <c r="H715" i="2" s="1"/>
  <c r="G715" i="2" a="1"/>
  <c r="G715" i="2" s="1"/>
  <c r="G707" i="2" a="1"/>
  <c r="G707" i="2" s="1"/>
  <c r="H707" i="2" a="1"/>
  <c r="H707" i="2" s="1"/>
  <c r="H700" i="2" a="1"/>
  <c r="H700" i="2" s="1"/>
  <c r="G700" i="2" a="1"/>
  <c r="G700" i="2" s="1"/>
  <c r="H686" i="2" a="1"/>
  <c r="H686" i="2" s="1"/>
  <c r="G686" i="2" a="1"/>
  <c r="G686" i="2" s="1"/>
  <c r="H678" i="2" a="1"/>
  <c r="H678" i="2" s="1"/>
  <c r="G678" i="2" a="1"/>
  <c r="G678" i="2" s="1"/>
  <c r="H656" i="2" a="1"/>
  <c r="H656" i="2" s="1"/>
  <c r="G656" i="2" a="1"/>
  <c r="G656" i="2" s="1"/>
  <c r="H648" i="2" a="1"/>
  <c r="H648" i="2" s="1"/>
  <c r="G648" i="2" a="1"/>
  <c r="G648" i="2" s="1"/>
  <c r="H634" i="2" a="1"/>
  <c r="H634" i="2" s="1"/>
  <c r="G634" i="2" a="1"/>
  <c r="G634" i="2" s="1"/>
  <c r="H627" i="2" a="1"/>
  <c r="H627" i="2" s="1"/>
  <c r="G627" i="2" a="1"/>
  <c r="G627" i="2" s="1"/>
  <c r="H620" i="2" a="1"/>
  <c r="H620" i="2" s="1"/>
  <c r="G620" i="2" a="1"/>
  <c r="G620" i="2" s="1"/>
  <c r="H605" i="2" a="1"/>
  <c r="H605" i="2" s="1"/>
  <c r="G605" i="2" a="1"/>
  <c r="G605" i="2" s="1"/>
  <c r="H598" i="2" a="1"/>
  <c r="H598" i="2" s="1"/>
  <c r="G598" i="2" a="1"/>
  <c r="G598" i="2" s="1"/>
  <c r="H560" i="2" a="1"/>
  <c r="H560" i="2" s="1"/>
  <c r="G560" i="2" a="1"/>
  <c r="G560" i="2" s="1"/>
  <c r="H545" i="2" a="1"/>
  <c r="H545" i="2" s="1"/>
  <c r="G545" i="2" a="1"/>
  <c r="G545" i="2" s="1"/>
  <c r="H500" i="2" a="1"/>
  <c r="H500" i="2" s="1"/>
  <c r="G500" i="2" a="1"/>
  <c r="G500" i="2" s="1"/>
  <c r="H492" i="2" a="1"/>
  <c r="H492" i="2" s="1"/>
  <c r="G492" i="2" a="1"/>
  <c r="G492" i="2" s="1"/>
  <c r="H478" i="2" a="1"/>
  <c r="H478" i="2" s="1"/>
  <c r="G478" i="2" a="1"/>
  <c r="G478" i="2" s="1"/>
  <c r="H470" i="2" a="1"/>
  <c r="H470" i="2" s="1"/>
  <c r="G470" i="2" a="1"/>
  <c r="G470" i="2" s="1"/>
  <c r="H448" i="2" a="1"/>
  <c r="H448" i="2" s="1"/>
  <c r="G448" i="2" a="1"/>
  <c r="G448" i="2" s="1"/>
  <c r="H441" i="2" a="1"/>
  <c r="H441" i="2" s="1"/>
  <c r="G441" i="2" a="1"/>
  <c r="G441" i="2" s="1"/>
  <c r="H427" i="2" a="1"/>
  <c r="H427" i="2" s="1"/>
  <c r="G427" i="2" a="1"/>
  <c r="G427" i="2" s="1"/>
  <c r="H420" i="2" a="1"/>
  <c r="H420" i="2" s="1"/>
  <c r="G420" i="2" a="1"/>
  <c r="G420" i="2" s="1"/>
  <c r="H397" i="2" a="1"/>
  <c r="H397" i="2" s="1"/>
  <c r="G397" i="2" a="1"/>
  <c r="G397" i="2" s="1"/>
  <c r="H390" i="2" a="1"/>
  <c r="H390" i="2" s="1"/>
  <c r="G390" i="2" a="1"/>
  <c r="G390" i="2" s="1"/>
  <c r="H383" i="2" a="1"/>
  <c r="H383" i="2" s="1"/>
  <c r="G383" i="2" a="1"/>
  <c r="G383" i="2" s="1"/>
  <c r="H368" i="2" a="1"/>
  <c r="H368" i="2" s="1"/>
  <c r="G368" i="2" a="1"/>
  <c r="G368" i="2" s="1"/>
  <c r="H345" i="2" a="1"/>
  <c r="H345" i="2" s="1"/>
  <c r="G345" i="2" a="1"/>
  <c r="G345" i="2" s="1"/>
  <c r="H337" i="2" a="1"/>
  <c r="H337" i="2" s="1"/>
  <c r="G337" i="2" a="1"/>
  <c r="G337" i="2" s="1"/>
  <c r="H314" i="2" a="1"/>
  <c r="H314" i="2" s="1"/>
  <c r="G314" i="2" a="1"/>
  <c r="G314" i="2" s="1"/>
  <c r="H299" i="2" a="1"/>
  <c r="H299" i="2" s="1"/>
  <c r="G299" i="2" a="1"/>
  <c r="G299" i="2" s="1"/>
  <c r="H277" i="2" a="1"/>
  <c r="H277" i="2" s="1"/>
  <c r="G277" i="2" a="1"/>
  <c r="G277" i="2" s="1"/>
  <c r="H270" i="2" a="1"/>
  <c r="H270" i="2" s="1"/>
  <c r="G270" i="2" a="1"/>
  <c r="G270" i="2" s="1"/>
  <c r="H262" i="2" a="1"/>
  <c r="H262" i="2" s="1"/>
  <c r="G262" i="2" a="1"/>
  <c r="G262" i="2" s="1"/>
  <c r="H254" i="2" a="1"/>
  <c r="H254" i="2" s="1"/>
  <c r="G254" i="2" a="1"/>
  <c r="G254" i="2" s="1"/>
  <c r="H239" i="2" a="1"/>
  <c r="H239" i="2" s="1"/>
  <c r="G239" i="2" a="1"/>
  <c r="G239" i="2" s="1"/>
  <c r="H192" i="2" a="1"/>
  <c r="H192" i="2" s="1"/>
  <c r="G192" i="2" a="1"/>
  <c r="G192" i="2" s="1"/>
  <c r="H175" i="2" a="1"/>
  <c r="H175" i="2" s="1"/>
  <c r="G175" i="2" a="1"/>
  <c r="G175" i="2" s="1"/>
  <c r="H158" i="2" a="1"/>
  <c r="H158" i="2" s="1"/>
  <c r="G158" i="2" a="1"/>
  <c r="G158" i="2" s="1"/>
  <c r="H126" i="2" a="1"/>
  <c r="H126" i="2" s="1"/>
  <c r="G126" i="2" a="1"/>
  <c r="G126" i="2" s="1"/>
  <c r="H111" i="2" a="1"/>
  <c r="H111" i="2" s="1"/>
  <c r="G111" i="2" a="1"/>
  <c r="G111" i="2" s="1"/>
  <c r="H104" i="2" a="1"/>
  <c r="H104" i="2" s="1"/>
  <c r="G104" i="2" a="1"/>
  <c r="G104" i="2" s="1"/>
  <c r="G96" i="2" a="1"/>
  <c r="G96" i="2" s="1"/>
  <c r="H96" i="2" a="1"/>
  <c r="H96" i="2" s="1"/>
  <c r="H64" i="2" a="1"/>
  <c r="H64" i="2" s="1"/>
  <c r="G64" i="2" a="1"/>
  <c r="G64" i="2" s="1"/>
  <c r="H48" i="2" a="1"/>
  <c r="H48" i="2" s="1"/>
  <c r="G48" i="2" a="1"/>
  <c r="G48" i="2" s="1"/>
  <c r="H19" i="2" a="1"/>
  <c r="H19" i="2" s="1"/>
  <c r="G19" i="2" a="1"/>
  <c r="G19" i="2" s="1"/>
  <c r="G2302" i="2" a="1"/>
  <c r="G2302" i="2" s="1"/>
  <c r="G2211" i="2" a="1"/>
  <c r="G2211" i="2" s="1"/>
  <c r="G1955" i="2" a="1"/>
  <c r="G1955" i="2" s="1"/>
  <c r="G1592" i="2" a="1"/>
  <c r="G1592" i="2" s="1"/>
  <c r="G1297" i="2" a="1"/>
  <c r="G1297" i="2" s="1"/>
  <c r="G1125" i="2" a="1"/>
  <c r="G1125" i="2" s="1"/>
  <c r="G1052" i="2" a="1"/>
  <c r="G1052" i="2" s="1"/>
  <c r="G739" i="2" a="1"/>
  <c r="G739" i="2" s="1"/>
  <c r="G597" i="2" a="1"/>
  <c r="G597" i="2" s="1"/>
  <c r="I597" i="2" s="1"/>
  <c r="G142" i="2" a="1"/>
  <c r="G142" i="2" s="1"/>
  <c r="I142" i="2" s="1"/>
  <c r="H2132" i="2" a="1"/>
  <c r="H2132" i="2" s="1"/>
  <c r="H2704" i="2" a="1"/>
  <c r="H2704" i="2" s="1"/>
  <c r="G2704" i="2" a="1"/>
  <c r="G2704" i="2" s="1"/>
  <c r="H2644" i="2" a="1"/>
  <c r="H2644" i="2" s="1"/>
  <c r="G2644" i="2" a="1"/>
  <c r="G2644" i="2" s="1"/>
  <c r="G2494" i="2" a="1"/>
  <c r="G2494" i="2" s="1"/>
  <c r="H2494" i="2" a="1"/>
  <c r="H2494" i="2" s="1"/>
  <c r="G2380" i="2" a="1"/>
  <c r="G2380" i="2" s="1"/>
  <c r="H2380" i="2" a="1"/>
  <c r="H2380" i="2" s="1"/>
  <c r="H2218" i="2" a="1"/>
  <c r="H2218" i="2" s="1"/>
  <c r="G2218" i="2" a="1"/>
  <c r="G2218" i="2" s="1"/>
  <c r="H1948" i="2" a="1"/>
  <c r="H1948" i="2" s="1"/>
  <c r="G1948" i="2" a="1"/>
  <c r="G1948" i="2" s="1"/>
  <c r="H1888" i="2" a="1"/>
  <c r="H1888" i="2" s="1"/>
  <c r="G1888" i="2" a="1"/>
  <c r="G1888" i="2" s="1"/>
  <c r="H1828" i="2" a="1"/>
  <c r="H1828" i="2" s="1"/>
  <c r="G1828" i="2" a="1"/>
  <c r="G1828" i="2" s="1"/>
  <c r="H1615" i="2" a="1"/>
  <c r="H1615" i="2" s="1"/>
  <c r="G1615" i="2" a="1"/>
  <c r="G1615" i="2" s="1"/>
  <c r="G1607" i="2" a="1"/>
  <c r="G1607" i="2" s="1"/>
  <c r="H1607" i="2" a="1"/>
  <c r="H1607" i="2" s="1"/>
  <c r="H1599" i="2" a="1"/>
  <c r="H1599" i="2" s="1"/>
  <c r="G1599" i="2" a="1"/>
  <c r="G1599" i="2" s="1"/>
  <c r="H1557" i="2" a="1"/>
  <c r="H1557" i="2" s="1"/>
  <c r="G1557" i="2" a="1"/>
  <c r="G1557" i="2" s="1"/>
  <c r="H1484" i="2" a="1"/>
  <c r="H1484" i="2" s="1"/>
  <c r="G1484" i="2" a="1"/>
  <c r="G1484" i="2" s="1"/>
  <c r="H1412" i="2" a="1"/>
  <c r="H1412" i="2" s="1"/>
  <c r="G1412" i="2" a="1"/>
  <c r="G1412" i="2" s="1"/>
  <c r="H1405" i="2" a="1"/>
  <c r="H1405" i="2" s="1"/>
  <c r="G1405" i="2" a="1"/>
  <c r="G1405" i="2" s="1"/>
  <c r="H1348" i="2" a="1"/>
  <c r="H1348" i="2" s="1"/>
  <c r="G1348" i="2" a="1"/>
  <c r="G1348" i="2" s="1"/>
  <c r="H1318" i="2" a="1"/>
  <c r="H1318" i="2" s="1"/>
  <c r="G1318" i="2" a="1"/>
  <c r="G1318" i="2" s="1"/>
  <c r="H1311" i="2" a="1"/>
  <c r="H1311" i="2" s="1"/>
  <c r="G1311" i="2" a="1"/>
  <c r="G1311" i="2" s="1"/>
  <c r="G1269" i="2" a="1"/>
  <c r="G1269" i="2" s="1"/>
  <c r="H1269" i="2" a="1"/>
  <c r="H1269" i="2" s="1"/>
  <c r="H1261" i="2" a="1"/>
  <c r="H1261" i="2" s="1"/>
  <c r="G1261" i="2" a="1"/>
  <c r="G1261" i="2" s="1"/>
  <c r="H1253" i="2" a="1"/>
  <c r="H1253" i="2" s="1"/>
  <c r="G1253" i="2" a="1"/>
  <c r="G1253" i="2" s="1"/>
  <c r="H1210" i="2" a="1"/>
  <c r="H1210" i="2" s="1"/>
  <c r="G1210" i="2" a="1"/>
  <c r="G1210" i="2" s="1"/>
  <c r="H1196" i="2" a="1"/>
  <c r="H1196" i="2" s="1"/>
  <c r="G1196" i="2" a="1"/>
  <c r="G1196" i="2" s="1"/>
  <c r="H1131" i="2" a="1"/>
  <c r="H1131" i="2" s="1"/>
  <c r="G1131" i="2" a="1"/>
  <c r="G1131" i="2" s="1"/>
  <c r="H1059" i="2" a="1"/>
  <c r="H1059" i="2" s="1"/>
  <c r="G1059" i="2" a="1"/>
  <c r="G1059" i="2" s="1"/>
  <c r="H987" i="2" a="1"/>
  <c r="H987" i="2" s="1"/>
  <c r="G987" i="2" a="1"/>
  <c r="G987" i="2" s="1"/>
  <c r="H958" i="2" a="1"/>
  <c r="H958" i="2" s="1"/>
  <c r="G958" i="2" a="1"/>
  <c r="G958" i="2" s="1"/>
  <c r="G951" i="2" a="1"/>
  <c r="G951" i="2" s="1"/>
  <c r="H951" i="2" a="1"/>
  <c r="H951" i="2" s="1"/>
  <c r="H836" i="2" a="1"/>
  <c r="H836" i="2" s="1"/>
  <c r="G836" i="2" a="1"/>
  <c r="G836" i="2" s="1"/>
  <c r="G828" i="2" a="1"/>
  <c r="G828" i="2" s="1"/>
  <c r="H828" i="2" a="1"/>
  <c r="H828" i="2" s="1"/>
  <c r="H820" i="2" a="1"/>
  <c r="H820" i="2" s="1"/>
  <c r="G820" i="2" a="1"/>
  <c r="G820" i="2" s="1"/>
  <c r="H813" i="2" a="1"/>
  <c r="H813" i="2" s="1"/>
  <c r="G813" i="2" a="1"/>
  <c r="G813" i="2" s="1"/>
  <c r="H805" i="2" a="1"/>
  <c r="H805" i="2" s="1"/>
  <c r="G805" i="2" a="1"/>
  <c r="G805" i="2" s="1"/>
  <c r="H798" i="2" a="1"/>
  <c r="H798" i="2" s="1"/>
  <c r="G798" i="2" a="1"/>
  <c r="G798" i="2" s="1"/>
  <c r="H791" i="2" a="1"/>
  <c r="H791" i="2" s="1"/>
  <c r="G791" i="2" a="1"/>
  <c r="G791" i="2" s="1"/>
  <c r="H761" i="2" a="1"/>
  <c r="H761" i="2" s="1"/>
  <c r="G761" i="2" a="1"/>
  <c r="G761" i="2" s="1"/>
  <c r="H754" i="2" a="1"/>
  <c r="H754" i="2" s="1"/>
  <c r="G754" i="2" a="1"/>
  <c r="G754" i="2" s="1"/>
  <c r="H746" i="2" a="1"/>
  <c r="H746" i="2" s="1"/>
  <c r="G746" i="2" a="1"/>
  <c r="G746" i="2" s="1"/>
  <c r="H685" i="2" a="1"/>
  <c r="H685" i="2" s="1"/>
  <c r="G685" i="2" a="1"/>
  <c r="G685" i="2" s="1"/>
  <c r="H590" i="2" a="1"/>
  <c r="H590" i="2" s="1"/>
  <c r="G590" i="2" a="1"/>
  <c r="G590" i="2" s="1"/>
  <c r="H530" i="2" a="1"/>
  <c r="H530" i="2" s="1"/>
  <c r="G530" i="2" a="1"/>
  <c r="G530" i="2" s="1"/>
  <c r="H522" i="2" a="1"/>
  <c r="H522" i="2" s="1"/>
  <c r="G522" i="2" a="1"/>
  <c r="G522" i="2" s="1"/>
  <c r="H515" i="2" a="1"/>
  <c r="H515" i="2" s="1"/>
  <c r="G515" i="2" a="1"/>
  <c r="G515" i="2" s="1"/>
  <c r="H499" i="2" a="1"/>
  <c r="H499" i="2" s="1"/>
  <c r="G499" i="2" a="1"/>
  <c r="G499" i="2" s="1"/>
  <c r="H375" i="2" a="1"/>
  <c r="H375" i="2" s="1"/>
  <c r="G375" i="2" a="1"/>
  <c r="G375" i="2" s="1"/>
  <c r="H367" i="2" a="1"/>
  <c r="H367" i="2" s="1"/>
  <c r="G367" i="2" a="1"/>
  <c r="G367" i="2" s="1"/>
  <c r="H329" i="2" a="1"/>
  <c r="H329" i="2" s="1"/>
  <c r="G329" i="2" a="1"/>
  <c r="G329" i="2" s="1"/>
  <c r="H291" i="2" a="1"/>
  <c r="H291" i="2" s="1"/>
  <c r="G291" i="2" a="1"/>
  <c r="G291" i="2" s="1"/>
  <c r="H284" i="2" a="1"/>
  <c r="H284" i="2" s="1"/>
  <c r="G284" i="2" a="1"/>
  <c r="G284" i="2" s="1"/>
  <c r="H269" i="2" a="1"/>
  <c r="H269" i="2" s="1"/>
  <c r="G269" i="2" a="1"/>
  <c r="G269" i="2" s="1"/>
  <c r="H253" i="2" a="1"/>
  <c r="H253" i="2" s="1"/>
  <c r="G253" i="2" a="1"/>
  <c r="G253" i="2" s="1"/>
  <c r="H231" i="2" a="1"/>
  <c r="H231" i="2" s="1"/>
  <c r="G231" i="2" a="1"/>
  <c r="G231" i="2" s="1"/>
  <c r="H215" i="2" a="1"/>
  <c r="H215" i="2" s="1"/>
  <c r="G215" i="2" a="1"/>
  <c r="G215" i="2" s="1"/>
  <c r="H200" i="2" a="1"/>
  <c r="H200" i="2" s="1"/>
  <c r="G200" i="2" a="1"/>
  <c r="G200" i="2" s="1"/>
  <c r="G191" i="2" a="1"/>
  <c r="G191" i="2" s="1"/>
  <c r="H191" i="2" a="1"/>
  <c r="H191" i="2" s="1"/>
  <c r="H174" i="2" a="1"/>
  <c r="H174" i="2" s="1"/>
  <c r="G174" i="2" a="1"/>
  <c r="G174" i="2" s="1"/>
  <c r="H166" i="2" a="1"/>
  <c r="H166" i="2" s="1"/>
  <c r="G166" i="2" a="1"/>
  <c r="G166" i="2" s="1"/>
  <c r="H157" i="2" a="1"/>
  <c r="H157" i="2" s="1"/>
  <c r="G157" i="2" a="1"/>
  <c r="G157" i="2" s="1"/>
  <c r="H149" i="2" a="1"/>
  <c r="H149" i="2" s="1"/>
  <c r="G149" i="2" a="1"/>
  <c r="G149" i="2" s="1"/>
  <c r="H134" i="2" a="1"/>
  <c r="H134" i="2" s="1"/>
  <c r="G134" i="2" a="1"/>
  <c r="G134" i="2" s="1"/>
  <c r="H125" i="2" a="1"/>
  <c r="H125" i="2" s="1"/>
  <c r="G125" i="2" a="1"/>
  <c r="G125" i="2" s="1"/>
  <c r="H118" i="2" a="1"/>
  <c r="H118" i="2" s="1"/>
  <c r="G118" i="2" a="1"/>
  <c r="G118" i="2" s="1"/>
  <c r="H103" i="2" a="1"/>
  <c r="H103" i="2" s="1"/>
  <c r="G103" i="2" a="1"/>
  <c r="G103" i="2" s="1"/>
  <c r="H72" i="2" a="1"/>
  <c r="H72" i="2" s="1"/>
  <c r="G72" i="2" a="1"/>
  <c r="G72" i="2" s="1"/>
  <c r="H56" i="2" a="1"/>
  <c r="H56" i="2" s="1"/>
  <c r="G56" i="2" a="1"/>
  <c r="G56" i="2" s="1"/>
  <c r="H41" i="2" a="1"/>
  <c r="H41" i="2" s="1"/>
  <c r="G41" i="2" a="1"/>
  <c r="G41" i="2" s="1"/>
  <c r="H26" i="2" a="1"/>
  <c r="H26" i="2" s="1"/>
  <c r="G26" i="2" a="1"/>
  <c r="G26" i="2" s="1"/>
  <c r="H11" i="2" a="1"/>
  <c r="H11" i="2" s="1"/>
  <c r="G11" i="2" a="1"/>
  <c r="G11" i="2" s="1"/>
  <c r="G2488" i="2" a="1"/>
  <c r="G2488" i="2" s="1"/>
  <c r="G2434" i="2" a="1"/>
  <c r="G2434" i="2" s="1"/>
  <c r="G2090" i="2" a="1"/>
  <c r="G2090" i="2" s="1"/>
  <c r="G2002" i="2" a="1"/>
  <c r="G2002" i="2" s="1"/>
  <c r="G1791" i="2" a="1"/>
  <c r="G1791" i="2" s="1"/>
  <c r="G1571" i="2" a="1"/>
  <c r="G1571" i="2" s="1"/>
  <c r="G1401" i="2" a="1"/>
  <c r="G1401" i="2" s="1"/>
  <c r="G1365" i="2" a="1"/>
  <c r="G1365" i="2" s="1"/>
  <c r="G1124" i="2" a="1"/>
  <c r="G1124" i="2" s="1"/>
  <c r="G376" i="2" a="1"/>
  <c r="G376" i="2" s="1"/>
  <c r="I376" i="2" s="1"/>
  <c r="G328" i="2" a="1"/>
  <c r="G328" i="2" s="1"/>
  <c r="I328" i="2" s="1"/>
  <c r="G190" i="2" a="1"/>
  <c r="G190" i="2" s="1"/>
  <c r="I190" i="2" s="1"/>
  <c r="G137" i="2" a="1"/>
  <c r="G137" i="2" s="1"/>
  <c r="I137" i="2" s="1"/>
  <c r="H1491" i="2" a="1"/>
  <c r="H1491" i="2" s="1"/>
  <c r="G1491" i="2" a="1"/>
  <c r="G1491" i="2" s="1"/>
  <c r="H1455" i="2" a="1"/>
  <c r="H1455" i="2" s="1"/>
  <c r="G1455" i="2" a="1"/>
  <c r="G1455" i="2" s="1"/>
  <c r="H1419" i="2" a="1"/>
  <c r="H1419" i="2" s="1"/>
  <c r="G1419" i="2" a="1"/>
  <c r="G1419" i="2" s="1"/>
  <c r="H1383" i="2" a="1"/>
  <c r="H1383" i="2" s="1"/>
  <c r="G1383" i="2" a="1"/>
  <c r="G1383" i="2" s="1"/>
  <c r="H1268" i="2" a="1"/>
  <c r="H1268" i="2" s="1"/>
  <c r="G1268" i="2" a="1"/>
  <c r="G1268" i="2" s="1"/>
  <c r="H1260" i="2" a="1"/>
  <c r="H1260" i="2" s="1"/>
  <c r="G1260" i="2" a="1"/>
  <c r="G1260" i="2" s="1"/>
  <c r="H1245" i="2" a="1"/>
  <c r="H1245" i="2" s="1"/>
  <c r="G1245" i="2" a="1"/>
  <c r="G1245" i="2" s="1"/>
  <c r="H1203" i="2" a="1"/>
  <c r="H1203" i="2" s="1"/>
  <c r="G1203" i="2" a="1"/>
  <c r="G1203" i="2" s="1"/>
  <c r="H1173" i="2" a="1"/>
  <c r="H1173" i="2" s="1"/>
  <c r="G1173" i="2" a="1"/>
  <c r="G1173" i="2" s="1"/>
  <c r="H1144" i="2" a="1"/>
  <c r="H1144" i="2" s="1"/>
  <c r="G1144" i="2" a="1"/>
  <c r="G1144" i="2" s="1"/>
  <c r="H1137" i="2" a="1"/>
  <c r="H1137" i="2" s="1"/>
  <c r="G1137" i="2" a="1"/>
  <c r="G1137" i="2" s="1"/>
  <c r="H1130" i="2" a="1"/>
  <c r="H1130" i="2" s="1"/>
  <c r="G1130" i="2" a="1"/>
  <c r="G1130" i="2" s="1"/>
  <c r="H1072" i="2" a="1"/>
  <c r="H1072" i="2" s="1"/>
  <c r="G1072" i="2" a="1"/>
  <c r="G1072" i="2" s="1"/>
  <c r="H1065" i="2" a="1"/>
  <c r="H1065" i="2" s="1"/>
  <c r="G1065" i="2" a="1"/>
  <c r="G1065" i="2" s="1"/>
  <c r="H1058" i="2" a="1"/>
  <c r="H1058" i="2" s="1"/>
  <c r="G1058" i="2" a="1"/>
  <c r="G1058" i="2" s="1"/>
  <c r="H986" i="2" a="1"/>
  <c r="H986" i="2" s="1"/>
  <c r="G986" i="2" a="1"/>
  <c r="G986" i="2" s="1"/>
  <c r="H885" i="2" a="1"/>
  <c r="H885" i="2" s="1"/>
  <c r="G885" i="2" a="1"/>
  <c r="G885" i="2" s="1"/>
  <c r="H843" i="2" a="1"/>
  <c r="H843" i="2" s="1"/>
  <c r="G843" i="2" a="1"/>
  <c r="G843" i="2" s="1"/>
  <c r="H835" i="2" a="1"/>
  <c r="H835" i="2" s="1"/>
  <c r="G835" i="2" a="1"/>
  <c r="G835" i="2" s="1"/>
  <c r="H783" i="2" a="1"/>
  <c r="H783" i="2" s="1"/>
  <c r="G783" i="2" a="1"/>
  <c r="G783" i="2" s="1"/>
  <c r="H776" i="2" a="1"/>
  <c r="H776" i="2" s="1"/>
  <c r="G776" i="2" a="1"/>
  <c r="G776" i="2" s="1"/>
  <c r="H706" i="2" a="1"/>
  <c r="H706" i="2" s="1"/>
  <c r="G706" i="2" a="1"/>
  <c r="G706" i="2" s="1"/>
  <c r="H699" i="2" a="1"/>
  <c r="H699" i="2" s="1"/>
  <c r="G699" i="2" a="1"/>
  <c r="G699" i="2" s="1"/>
  <c r="H626" i="2" a="1"/>
  <c r="H626" i="2" s="1"/>
  <c r="G626" i="2" a="1"/>
  <c r="G626" i="2" s="1"/>
  <c r="H589" i="2" a="1"/>
  <c r="H589" i="2" s="1"/>
  <c r="G589" i="2" a="1"/>
  <c r="G589" i="2" s="1"/>
  <c r="H529" i="2" a="1"/>
  <c r="H529" i="2" s="1"/>
  <c r="G529" i="2" a="1"/>
  <c r="G529" i="2" s="1"/>
  <c r="H498" i="2" a="1"/>
  <c r="H498" i="2" s="1"/>
  <c r="G498" i="2" a="1"/>
  <c r="G498" i="2" s="1"/>
  <c r="H447" i="2" a="1"/>
  <c r="H447" i="2" s="1"/>
  <c r="G447" i="2" a="1"/>
  <c r="G447" i="2" s="1"/>
  <c r="H440" i="2" a="1"/>
  <c r="H440" i="2" s="1"/>
  <c r="G440" i="2" a="1"/>
  <c r="G440" i="2" s="1"/>
  <c r="H396" i="2" a="1"/>
  <c r="H396" i="2" s="1"/>
  <c r="G396" i="2" a="1"/>
  <c r="G396" i="2" s="1"/>
  <c r="H374" i="2" a="1"/>
  <c r="H374" i="2" s="1"/>
  <c r="G374" i="2" a="1"/>
  <c r="G374" i="2" s="1"/>
  <c r="H344" i="2" a="1"/>
  <c r="H344" i="2" s="1"/>
  <c r="G344" i="2" a="1"/>
  <c r="G344" i="2" s="1"/>
  <c r="H290" i="2" a="1"/>
  <c r="H290" i="2" s="1"/>
  <c r="G290" i="2" a="1"/>
  <c r="G290" i="2" s="1"/>
  <c r="H283" i="2" a="1"/>
  <c r="H283" i="2" s="1"/>
  <c r="G283" i="2" a="1"/>
  <c r="G283" i="2" s="1"/>
  <c r="H230" i="2" a="1"/>
  <c r="H230" i="2" s="1"/>
  <c r="G230" i="2" a="1"/>
  <c r="G230" i="2" s="1"/>
  <c r="H222" i="2" a="1"/>
  <c r="H222" i="2" s="1"/>
  <c r="G222" i="2" a="1"/>
  <c r="G222" i="2" s="1"/>
  <c r="H199" i="2" a="1"/>
  <c r="H199" i="2" s="1"/>
  <c r="G199" i="2" a="1"/>
  <c r="G199" i="2" s="1"/>
  <c r="H182" i="2" a="1"/>
  <c r="H182" i="2" s="1"/>
  <c r="G182" i="2" a="1"/>
  <c r="G182" i="2" s="1"/>
  <c r="H87" i="2" a="1"/>
  <c r="H87" i="2" s="1"/>
  <c r="G87" i="2" a="1"/>
  <c r="G87" i="2" s="1"/>
  <c r="H18" i="2" a="1"/>
  <c r="H18" i="2" s="1"/>
  <c r="G18" i="2" a="1"/>
  <c r="G18" i="2" s="1"/>
  <c r="H3" i="2" a="1"/>
  <c r="H3" i="2" s="1"/>
  <c r="G3" i="2" a="1"/>
  <c r="G3" i="2" s="1"/>
  <c r="G2319" i="2" a="1"/>
  <c r="G2319" i="2" s="1"/>
  <c r="G1737" i="2" a="1"/>
  <c r="G1737" i="2" s="1"/>
  <c r="G903" i="2" a="1"/>
  <c r="G903" i="2" s="1"/>
  <c r="G769" i="2" a="1"/>
  <c r="G769" i="2" s="1"/>
  <c r="G641" i="2" a="1"/>
  <c r="G641" i="2" s="1"/>
  <c r="G538" i="2" a="1"/>
  <c r="G538" i="2" s="1"/>
  <c r="I538" i="2" s="1"/>
  <c r="G278" i="2" a="1"/>
  <c r="G278" i="2" s="1"/>
  <c r="I278" i="2" s="1"/>
  <c r="G183" i="2" a="1"/>
  <c r="G183" i="2" s="1"/>
  <c r="G73" i="2" a="1"/>
  <c r="G73" i="2" s="1"/>
  <c r="I73" i="2" s="1"/>
  <c r="H185" i="2" a="1"/>
  <c r="H185" i="2" s="1"/>
  <c r="G185" i="2" a="1"/>
  <c r="G185" i="2" s="1"/>
  <c r="H139" i="2" a="1"/>
  <c r="H139" i="2" s="1"/>
  <c r="G139" i="2" a="1"/>
  <c r="G139" i="2" s="1"/>
  <c r="H67" i="2" a="1"/>
  <c r="H67" i="2" s="1"/>
  <c r="G67" i="2" a="1"/>
  <c r="G67" i="2" s="1"/>
  <c r="H4" i="2" a="1"/>
  <c r="H4" i="2" s="1"/>
  <c r="G4" i="2" a="1"/>
  <c r="G4" i="2" s="1"/>
  <c r="H168" i="2" a="1"/>
  <c r="H168" i="2" s="1"/>
  <c r="G168" i="2" a="1"/>
  <c r="G168" i="2" s="1"/>
  <c r="H153" i="2" a="1"/>
  <c r="H153" i="2" s="1"/>
  <c r="G153" i="2" a="1"/>
  <c r="G153" i="2" s="1"/>
  <c r="H123" i="2" a="1"/>
  <c r="H123" i="2" s="1"/>
  <c r="G123" i="2" a="1"/>
  <c r="G123" i="2" s="1"/>
  <c r="H102" i="2" a="1"/>
  <c r="H102" i="2" s="1"/>
  <c r="G102" i="2" a="1"/>
  <c r="G102" i="2" s="1"/>
  <c r="H95" i="2" a="1"/>
  <c r="H95" i="2" s="1"/>
  <c r="G95" i="2" a="1"/>
  <c r="G95" i="2" s="1"/>
  <c r="H88" i="2" a="1"/>
  <c r="H88" i="2" s="1"/>
  <c r="G88" i="2" a="1"/>
  <c r="G88" i="2" s="1"/>
  <c r="H37" i="2" a="1"/>
  <c r="H37" i="2" s="1"/>
  <c r="G37" i="2" a="1"/>
  <c r="G37" i="2" s="1"/>
  <c r="H23" i="2" a="1"/>
  <c r="H23" i="2" s="1"/>
  <c r="G23" i="2" a="1"/>
  <c r="G23" i="2" s="1"/>
  <c r="G176" i="2" a="1"/>
  <c r="G176" i="2" s="1"/>
  <c r="I176" i="2" s="1"/>
  <c r="G206" i="2" a="1"/>
  <c r="G206" i="2" s="1"/>
  <c r="H206" i="2" a="1"/>
  <c r="H206" i="2" s="1"/>
  <c r="H198" i="2" a="1"/>
  <c r="H198" i="2" s="1"/>
  <c r="G198" i="2" a="1"/>
  <c r="G198" i="2" s="1"/>
  <c r="H116" i="2" a="1"/>
  <c r="H116" i="2" s="1"/>
  <c r="G116" i="2" a="1"/>
  <c r="G116" i="2" s="1"/>
  <c r="H80" i="2" a="1"/>
  <c r="H80" i="2" s="1"/>
  <c r="G80" i="2" a="1"/>
  <c r="G80" i="2" s="1"/>
  <c r="H44" i="2" a="1"/>
  <c r="H44" i="2" s="1"/>
  <c r="G44" i="2" a="1"/>
  <c r="G44" i="2" s="1"/>
  <c r="G2" i="2" a="1"/>
  <c r="G2" i="2" s="1"/>
  <c r="V50" i="14"/>
  <c r="I177" i="2"/>
  <c r="I438" i="2"/>
  <c r="G269" i="6"/>
  <c r="G123" i="6"/>
  <c r="G392" i="6"/>
  <c r="G186" i="6"/>
  <c r="G322" i="6"/>
  <c r="U105" i="14" l="1"/>
  <c r="U94" i="14"/>
  <c r="U72" i="14"/>
  <c r="U61" i="14"/>
  <c r="Z61" i="14"/>
  <c r="U58" i="14"/>
  <c r="U108" i="14"/>
  <c r="I41" i="2"/>
  <c r="I232" i="2"/>
  <c r="I504" i="2"/>
  <c r="I722" i="2"/>
  <c r="I698" i="2"/>
  <c r="U37" i="14"/>
  <c r="U9" i="14"/>
  <c r="U106" i="14"/>
  <c r="X70" i="14"/>
  <c r="X15" i="14"/>
  <c r="X112" i="14"/>
  <c r="X101" i="14"/>
  <c r="Z101" i="14" s="1"/>
  <c r="X71" i="14"/>
  <c r="Y2" i="14"/>
  <c r="X106" i="14"/>
  <c r="U102" i="14"/>
  <c r="U60" i="14"/>
  <c r="U7" i="14"/>
  <c r="U56" i="14"/>
  <c r="Z56" i="14" s="1"/>
  <c r="U26" i="14"/>
  <c r="U75" i="14"/>
  <c r="U82" i="14"/>
  <c r="U65" i="14"/>
  <c r="U45" i="14"/>
  <c r="X105" i="14"/>
  <c r="Z105" i="14" s="1"/>
  <c r="U92" i="14"/>
  <c r="Z92" i="14" s="1"/>
  <c r="X96" i="14"/>
  <c r="X107" i="14"/>
  <c r="U95" i="14"/>
  <c r="U40" i="14"/>
  <c r="U52" i="14"/>
  <c r="Z52" i="14" s="1"/>
  <c r="U36" i="14"/>
  <c r="G342" i="6"/>
  <c r="U68" i="14"/>
  <c r="Z68" i="14" s="1"/>
  <c r="U107" i="14"/>
  <c r="Z107" i="14" s="1"/>
  <c r="U8" i="14"/>
  <c r="G62" i="6"/>
  <c r="G148" i="6"/>
  <c r="X14" i="14"/>
  <c r="X51" i="14"/>
  <c r="Z51" i="14" s="1"/>
  <c r="X109" i="14"/>
  <c r="X92" i="14"/>
  <c r="X77" i="14"/>
  <c r="U38" i="14"/>
  <c r="X40" i="14"/>
  <c r="X33" i="14"/>
  <c r="X75" i="14"/>
  <c r="U41" i="14"/>
  <c r="X89" i="14"/>
  <c r="X10" i="14"/>
  <c r="X64" i="14"/>
  <c r="X74" i="14"/>
  <c r="X98" i="14"/>
  <c r="X68" i="14"/>
  <c r="X66" i="14"/>
  <c r="G75" i="6"/>
  <c r="U17" i="14"/>
  <c r="X72" i="14"/>
  <c r="Z72" i="14" s="1"/>
  <c r="X26" i="14"/>
  <c r="X79" i="14"/>
  <c r="U50" i="14"/>
  <c r="Z50" i="14" s="1"/>
  <c r="U84" i="14"/>
  <c r="Z84" i="14" s="1"/>
  <c r="G47" i="6"/>
  <c r="U11" i="14"/>
  <c r="X29" i="14"/>
  <c r="X49" i="14"/>
  <c r="X78" i="14"/>
  <c r="U2" i="14"/>
  <c r="G315" i="6"/>
  <c r="U66" i="14"/>
  <c r="G370" i="6"/>
  <c r="U77" i="14"/>
  <c r="U110" i="14"/>
  <c r="U81" i="14"/>
  <c r="Z81" i="14" s="1"/>
  <c r="U89" i="14"/>
  <c r="U96" i="14"/>
  <c r="G339" i="6"/>
  <c r="U80" i="14"/>
  <c r="G50" i="6"/>
  <c r="U12" i="14"/>
  <c r="G149" i="6"/>
  <c r="U32" i="14"/>
  <c r="Z32" i="14" s="1"/>
  <c r="U19" i="14"/>
  <c r="X59" i="14"/>
  <c r="U79" i="14"/>
  <c r="Z79" i="14" s="1"/>
  <c r="U70" i="14"/>
  <c r="U111" i="14"/>
  <c r="X4" i="14"/>
  <c r="Z4" i="14" s="1"/>
  <c r="X18" i="14"/>
  <c r="U57" i="14"/>
  <c r="U90" i="14"/>
  <c r="U10" i="14"/>
  <c r="X95" i="14"/>
  <c r="X81" i="14"/>
  <c r="X65" i="14"/>
  <c r="X93" i="14"/>
  <c r="X104" i="14"/>
  <c r="X7" i="14"/>
  <c r="G65" i="6"/>
  <c r="U15" i="14"/>
  <c r="U88" i="14"/>
  <c r="X84" i="14"/>
  <c r="U21" i="14"/>
  <c r="Z21" i="14" s="1"/>
  <c r="U29" i="14"/>
  <c r="U100" i="14"/>
  <c r="U93" i="14"/>
  <c r="U109" i="14"/>
  <c r="Z109" i="14" s="1"/>
  <c r="X11" i="14"/>
  <c r="X97" i="14"/>
  <c r="X42" i="14"/>
  <c r="X53" i="14"/>
  <c r="G154" i="6"/>
  <c r="U33" i="14"/>
  <c r="X61" i="14"/>
  <c r="X63" i="14"/>
  <c r="U54" i="14"/>
  <c r="U97" i="14"/>
  <c r="X25" i="14"/>
  <c r="X17" i="14"/>
  <c r="X24" i="14"/>
  <c r="X34" i="14"/>
  <c r="X48" i="14"/>
  <c r="U87" i="14"/>
  <c r="U73" i="14"/>
  <c r="X22" i="14"/>
  <c r="X114" i="14"/>
  <c r="Z114" i="14" s="1"/>
  <c r="X94" i="14"/>
  <c r="Z94" i="14" s="1"/>
  <c r="X46" i="14"/>
  <c r="V2" i="14"/>
  <c r="X41" i="14"/>
  <c r="X38" i="14"/>
  <c r="X50" i="14"/>
  <c r="G164" i="6"/>
  <c r="U35" i="14"/>
  <c r="Z35" i="14" s="1"/>
  <c r="U13" i="14"/>
  <c r="X13" i="14"/>
  <c r="I458" i="2"/>
  <c r="X21" i="14"/>
  <c r="X108" i="14"/>
  <c r="U112" i="14"/>
  <c r="U53" i="14"/>
  <c r="X67" i="14"/>
  <c r="U46" i="14"/>
  <c r="U98" i="14"/>
  <c r="Z98" i="14" s="1"/>
  <c r="U44" i="14"/>
  <c r="Z44" i="14" s="1"/>
  <c r="U69" i="14"/>
  <c r="Z69" i="14" s="1"/>
  <c r="U34" i="14"/>
  <c r="X69" i="14"/>
  <c r="G409" i="6"/>
  <c r="U85" i="14"/>
  <c r="Z85" i="14" s="1"/>
  <c r="X102" i="14"/>
  <c r="G261" i="6"/>
  <c r="U55" i="14"/>
  <c r="X20" i="14"/>
  <c r="X47" i="14"/>
  <c r="U64" i="14"/>
  <c r="G72" i="6"/>
  <c r="U16" i="14"/>
  <c r="U99" i="14"/>
  <c r="U116" i="14"/>
  <c r="G281" i="6"/>
  <c r="U59" i="14"/>
  <c r="G105" i="6"/>
  <c r="U23" i="14"/>
  <c r="X115" i="14"/>
  <c r="Z115" i="14" s="1"/>
  <c r="U86" i="14"/>
  <c r="Z86" i="14" s="1"/>
  <c r="G80" i="6"/>
  <c r="U18" i="14"/>
  <c r="Z18" i="14" s="1"/>
  <c r="X113" i="14"/>
  <c r="Z113" i="14" s="1"/>
  <c r="X36" i="14"/>
  <c r="X28" i="14"/>
  <c r="X52" i="14"/>
  <c r="X23" i="14"/>
  <c r="X80" i="14"/>
  <c r="X19" i="14"/>
  <c r="X31" i="14"/>
  <c r="X62" i="14"/>
  <c r="Z62" i="14" s="1"/>
  <c r="X82" i="14"/>
  <c r="X30" i="14"/>
  <c r="U39" i="14"/>
  <c r="X37" i="14"/>
  <c r="X55" i="14"/>
  <c r="U48" i="14"/>
  <c r="G341" i="6"/>
  <c r="U71" i="14"/>
  <c r="U42" i="14"/>
  <c r="X90" i="14"/>
  <c r="G355" i="6"/>
  <c r="U74" i="14"/>
  <c r="Z74" i="14" s="1"/>
  <c r="X58" i="14"/>
  <c r="X100" i="14"/>
  <c r="X88" i="14"/>
  <c r="U20" i="14"/>
  <c r="X103" i="14"/>
  <c r="Z103" i="14" s="1"/>
  <c r="X87" i="14"/>
  <c r="X116" i="14"/>
  <c r="X56" i="14"/>
  <c r="U25" i="14"/>
  <c r="X76" i="14"/>
  <c r="X110" i="14"/>
  <c r="G375" i="6"/>
  <c r="U78" i="14"/>
  <c r="Z78" i="14" s="1"/>
  <c r="X3" i="14"/>
  <c r="X6" i="14"/>
  <c r="Z6" i="14" s="1"/>
  <c r="X9" i="14"/>
  <c r="X2" i="14"/>
  <c r="X99" i="14"/>
  <c r="X111" i="14"/>
  <c r="U49" i="14"/>
  <c r="X60" i="14"/>
  <c r="U43" i="14"/>
  <c r="X12" i="14"/>
  <c r="U24" i="14"/>
  <c r="U63" i="14"/>
  <c r="U104" i="14"/>
  <c r="U76" i="14"/>
  <c r="U91" i="14"/>
  <c r="U67" i="14"/>
  <c r="Z67" i="14" s="1"/>
  <c r="G140" i="6"/>
  <c r="U30" i="14"/>
  <c r="X27" i="14"/>
  <c r="X32" i="14"/>
  <c r="X54" i="14"/>
  <c r="X16" i="14"/>
  <c r="X86" i="14"/>
  <c r="X45" i="14"/>
  <c r="X35" i="14"/>
  <c r="X44" i="14"/>
  <c r="X91" i="14"/>
  <c r="X43" i="14"/>
  <c r="X57" i="14"/>
  <c r="X85" i="14"/>
  <c r="X39" i="14"/>
  <c r="X8" i="14"/>
  <c r="X73" i="14"/>
  <c r="G221" i="6"/>
  <c r="U47" i="14"/>
  <c r="U3" i="14"/>
  <c r="U28" i="14"/>
  <c r="I100" i="2"/>
  <c r="X5" i="14"/>
  <c r="Z5" i="14" s="1"/>
  <c r="U31" i="14"/>
  <c r="X83" i="14"/>
  <c r="Z83" i="14" s="1"/>
  <c r="U14" i="14"/>
  <c r="G125" i="6"/>
  <c r="U27" i="14"/>
  <c r="Z27" i="14" s="1"/>
  <c r="U22" i="14"/>
  <c r="Z22" i="14" s="1"/>
  <c r="I361" i="2"/>
  <c r="V71" i="14"/>
  <c r="I640" i="2"/>
  <c r="I115" i="2"/>
  <c r="G74" i="6"/>
  <c r="I612" i="2"/>
  <c r="G104" i="6"/>
  <c r="I364" i="2"/>
  <c r="G509" i="6"/>
  <c r="G85" i="6"/>
  <c r="G563" i="6"/>
  <c r="I371" i="2"/>
  <c r="I129" i="2"/>
  <c r="I220" i="2"/>
  <c r="I690" i="2"/>
  <c r="G420" i="6"/>
  <c r="G243" i="6"/>
  <c r="I145" i="2"/>
  <c r="I360" i="2"/>
  <c r="I583" i="2"/>
  <c r="G302" i="6"/>
  <c r="G480" i="6"/>
  <c r="G318" i="6"/>
  <c r="I22" i="2"/>
  <c r="I516" i="2"/>
  <c r="G108" i="6"/>
  <c r="I270" i="2"/>
  <c r="I707" i="2"/>
  <c r="I693" i="2"/>
  <c r="I233" i="2"/>
  <c r="I688" i="2"/>
  <c r="I779" i="2"/>
  <c r="I519" i="2"/>
  <c r="I473" i="2"/>
  <c r="G344" i="6"/>
  <c r="I440" i="2"/>
  <c r="I111" i="2"/>
  <c r="I254" i="2"/>
  <c r="I337" i="2"/>
  <c r="I620" i="2"/>
  <c r="I770" i="2"/>
  <c r="I172" i="2"/>
  <c r="I369" i="2"/>
  <c r="I786" i="2"/>
  <c r="I189" i="2"/>
  <c r="I557" i="2"/>
  <c r="I664" i="2"/>
  <c r="I550" i="2"/>
  <c r="I122" i="2"/>
  <c r="I377" i="2"/>
  <c r="I717" i="2"/>
  <c r="I203" i="2"/>
  <c r="G543" i="6"/>
  <c r="G35" i="6"/>
  <c r="I150" i="2"/>
  <c r="I368" i="2"/>
  <c r="I52" i="2"/>
  <c r="I729" i="2"/>
  <c r="I48" i="2"/>
  <c r="I283" i="2"/>
  <c r="I627" i="2"/>
  <c r="I59" i="2"/>
  <c r="I684" i="2"/>
  <c r="I91" i="2"/>
  <c r="I106" i="2"/>
  <c r="G55" i="6"/>
  <c r="I736" i="2"/>
  <c r="I575" i="2"/>
  <c r="V72" i="14"/>
  <c r="V49" i="14"/>
  <c r="I574" i="2"/>
  <c r="I75" i="2"/>
  <c r="G218" i="6"/>
  <c r="G48" i="6"/>
  <c r="G60" i="6"/>
  <c r="G61" i="6"/>
  <c r="G100" i="6"/>
  <c r="G432" i="6"/>
  <c r="I18" i="2"/>
  <c r="I87" i="2"/>
  <c r="I290" i="2"/>
  <c r="I200" i="2"/>
  <c r="I761" i="2"/>
  <c r="I158" i="2"/>
  <c r="I545" i="2"/>
  <c r="I249" i="2"/>
  <c r="I402" i="2"/>
  <c r="I54" i="2"/>
  <c r="I540" i="2"/>
  <c r="I601" i="2"/>
  <c r="I6" i="2"/>
  <c r="I524" i="2"/>
  <c r="I749" i="2"/>
  <c r="I446" i="2"/>
  <c r="G97" i="6"/>
  <c r="I341" i="2"/>
  <c r="G337" i="6"/>
  <c r="G130" i="6"/>
  <c r="I263" i="2"/>
  <c r="G397" i="6"/>
  <c r="I791" i="2"/>
  <c r="I184" i="2"/>
  <c r="I112" i="2"/>
  <c r="I772" i="2"/>
  <c r="I725" i="2"/>
  <c r="I635" i="2"/>
  <c r="I542" i="2"/>
  <c r="I782" i="2"/>
  <c r="I329" i="2"/>
  <c r="I757" i="2"/>
  <c r="I120" i="2"/>
  <c r="I168" i="2"/>
  <c r="I114" i="2"/>
  <c r="I466" i="2"/>
  <c r="I626" i="2"/>
  <c r="I138" i="2"/>
  <c r="I66" i="2"/>
  <c r="I758" i="2"/>
  <c r="I493" i="2"/>
  <c r="I724" i="2"/>
  <c r="I683" i="2"/>
  <c r="I180" i="2"/>
  <c r="I121" i="2"/>
  <c r="I382" i="2"/>
  <c r="G421" i="6"/>
  <c r="I149" i="2"/>
  <c r="I530" i="2"/>
  <c r="I388" i="2"/>
  <c r="I619" i="2"/>
  <c r="G146" i="6"/>
  <c r="I433" i="2"/>
  <c r="I677" i="2"/>
  <c r="I507" i="2"/>
  <c r="V78" i="14"/>
  <c r="I720" i="2"/>
  <c r="I191" i="2"/>
  <c r="I807" i="2"/>
  <c r="I62" i="2"/>
  <c r="I336" i="2"/>
  <c r="I496" i="2"/>
  <c r="I755" i="2"/>
  <c r="I78" i="2"/>
  <c r="I124" i="2"/>
  <c r="I316" i="2"/>
  <c r="I144" i="2"/>
  <c r="I366" i="2"/>
  <c r="I765" i="2"/>
  <c r="G382" i="6"/>
  <c r="G444" i="6"/>
  <c r="I385" i="2"/>
  <c r="V53" i="14"/>
  <c r="V55" i="14"/>
  <c r="I400" i="2"/>
  <c r="I57" i="2"/>
  <c r="I345" i="2"/>
  <c r="I711" i="2"/>
  <c r="I213" i="2"/>
  <c r="I552" i="2"/>
  <c r="I381" i="2"/>
  <c r="I447" i="2"/>
  <c r="I566" i="2"/>
  <c r="I242" i="2"/>
  <c r="G224" i="6"/>
  <c r="G394" i="6"/>
  <c r="G560" i="6"/>
  <c r="G158" i="6"/>
  <c r="G275" i="6"/>
  <c r="I358" i="2"/>
  <c r="I32" i="2"/>
  <c r="G136" i="6"/>
  <c r="G475" i="6"/>
  <c r="I713" i="2"/>
  <c r="I639" i="2"/>
  <c r="G121" i="6"/>
  <c r="I679" i="2"/>
  <c r="V102" i="14"/>
  <c r="G232" i="6"/>
  <c r="I230" i="2"/>
  <c r="I603" i="2"/>
  <c r="I464" i="2"/>
  <c r="I293" i="2"/>
  <c r="I523" i="2"/>
  <c r="I445" i="2"/>
  <c r="G345" i="6"/>
  <c r="I96" i="2"/>
  <c r="I598" i="2"/>
  <c r="I785" i="2"/>
  <c r="I333" i="2"/>
  <c r="I323" i="2"/>
  <c r="I134" i="2"/>
  <c r="I346" i="2"/>
  <c r="I417" i="2"/>
  <c r="G176" i="6"/>
  <c r="G507" i="6"/>
  <c r="I324" i="2"/>
  <c r="G504" i="6"/>
  <c r="I460" i="2"/>
  <c r="G206" i="6"/>
  <c r="I187" i="2"/>
  <c r="V64" i="14"/>
  <c r="G84" i="6"/>
  <c r="G522" i="6"/>
  <c r="I281" i="2"/>
  <c r="G76" i="6"/>
  <c r="G524" i="6"/>
  <c r="G37" i="6"/>
  <c r="I131" i="2"/>
  <c r="G94" i="6"/>
  <c r="G518" i="6"/>
  <c r="V93" i="14"/>
  <c r="G368" i="6"/>
  <c r="G64" i="6"/>
  <c r="V80" i="14"/>
  <c r="I500" i="2"/>
  <c r="I378" i="2"/>
  <c r="I585" i="2"/>
  <c r="I153" i="2"/>
  <c r="I708" i="2"/>
  <c r="I602" i="2"/>
  <c r="I244" i="2"/>
  <c r="I789" i="2"/>
  <c r="I126" i="2"/>
  <c r="I273" i="2"/>
  <c r="I418" i="2"/>
  <c r="I89" i="2"/>
  <c r="I340" i="2"/>
  <c r="I53" i="2"/>
  <c r="I173" i="2"/>
  <c r="I633" i="2"/>
  <c r="I50" i="2"/>
  <c r="I245" i="2"/>
  <c r="I502" i="2"/>
  <c r="I654" i="2"/>
  <c r="I280" i="2"/>
  <c r="I773" i="2"/>
  <c r="I46" i="2"/>
  <c r="I439" i="2"/>
  <c r="G175" i="6"/>
  <c r="G95" i="6"/>
  <c r="G59" i="6"/>
  <c r="I795" i="2"/>
  <c r="I663" i="2"/>
  <c r="G87" i="6"/>
  <c r="G10" i="6"/>
  <c r="V91" i="14"/>
  <c r="G109" i="6"/>
  <c r="I535" i="2"/>
  <c r="I696" i="2"/>
  <c r="G40" i="6"/>
  <c r="G512" i="6"/>
  <c r="I221" i="2"/>
  <c r="I454" i="2"/>
  <c r="I353" i="2"/>
  <c r="I101" i="2"/>
  <c r="V99" i="14"/>
  <c r="V59" i="14"/>
  <c r="I164" i="2"/>
  <c r="V9" i="14"/>
  <c r="G298" i="6"/>
  <c r="G173" i="6"/>
  <c r="I51" i="2"/>
  <c r="I311" i="2"/>
  <c r="G137" i="6"/>
  <c r="I431" i="2"/>
  <c r="I797" i="2"/>
  <c r="I34" i="2"/>
  <c r="I148" i="2"/>
  <c r="I631" i="2"/>
  <c r="V46" i="14"/>
  <c r="G399" i="6"/>
  <c r="G486" i="6"/>
  <c r="I84" i="2"/>
  <c r="G252" i="6"/>
  <c r="V76" i="14"/>
  <c r="G438" i="6"/>
  <c r="I642" i="2"/>
  <c r="I572" i="2"/>
  <c r="I672" i="2"/>
  <c r="G473" i="6"/>
  <c r="I334" i="2"/>
  <c r="I234" i="2"/>
  <c r="G5" i="6"/>
  <c r="V45" i="14"/>
  <c r="V25" i="14"/>
  <c r="V98" i="14"/>
  <c r="G358" i="6"/>
  <c r="G49" i="6"/>
  <c r="G150" i="6"/>
  <c r="G373" i="6"/>
  <c r="I475" i="2"/>
  <c r="G515" i="6"/>
  <c r="V39" i="14"/>
  <c r="V19" i="14"/>
  <c r="G199" i="6"/>
  <c r="G229" i="6"/>
  <c r="G542" i="6"/>
  <c r="I269" i="2"/>
  <c r="Y23" i="14"/>
  <c r="I699" i="2"/>
  <c r="I352" i="2"/>
  <c r="G359" i="6"/>
  <c r="G530" i="6"/>
  <c r="Y107" i="14"/>
  <c r="V103" i="14"/>
  <c r="I746" i="2"/>
  <c r="I304" i="2"/>
  <c r="G228" i="6"/>
  <c r="I771" i="2"/>
  <c r="Y45" i="14"/>
  <c r="Y88" i="14"/>
  <c r="V20" i="14"/>
  <c r="V115" i="14"/>
  <c r="I481" i="2"/>
  <c r="I357" i="2"/>
  <c r="G208" i="6"/>
  <c r="V73" i="14"/>
  <c r="V111" i="14"/>
  <c r="I678" i="2"/>
  <c r="I586" i="2"/>
  <c r="I347" i="2"/>
  <c r="V57" i="14"/>
  <c r="G92" i="6"/>
  <c r="I77" i="2"/>
  <c r="Y72" i="14"/>
  <c r="G385" i="6"/>
  <c r="I208" i="2"/>
  <c r="I330" i="2"/>
  <c r="V23" i="14"/>
  <c r="G401" i="6"/>
  <c r="Y50" i="14"/>
  <c r="AA50" i="14" s="1"/>
  <c r="AC50" i="14" s="1"/>
  <c r="G242" i="6"/>
  <c r="I669" i="2"/>
  <c r="V69" i="14"/>
  <c r="G168" i="6"/>
  <c r="G346" i="6"/>
  <c r="Y74" i="14"/>
  <c r="I64" i="2"/>
  <c r="I648" i="2"/>
  <c r="I27" i="2"/>
  <c r="I701" i="2"/>
  <c r="Y51" i="14"/>
  <c r="I484" i="2"/>
  <c r="I130" i="2"/>
  <c r="I559" i="2"/>
  <c r="I606" i="2"/>
  <c r="Y41" i="14"/>
  <c r="I136" i="2"/>
  <c r="I321" i="2"/>
  <c r="Y65" i="14"/>
  <c r="G266" i="6"/>
  <c r="G120" i="6"/>
  <c r="I675" i="2"/>
  <c r="I512" i="2"/>
  <c r="I499" i="2"/>
  <c r="I421" i="2"/>
  <c r="V67" i="14"/>
  <c r="I256" i="2"/>
  <c r="I715" i="2"/>
  <c r="I608" i="2"/>
  <c r="I452" i="2"/>
  <c r="I105" i="2"/>
  <c r="I636" i="2"/>
  <c r="I209" i="2"/>
  <c r="I705" i="2"/>
  <c r="G258" i="6"/>
  <c r="Y115" i="14"/>
  <c r="I581" i="2"/>
  <c r="I607" i="2"/>
  <c r="I307" i="2"/>
  <c r="I102" i="2"/>
  <c r="G192" i="6"/>
  <c r="I21" i="2"/>
  <c r="I167" i="2"/>
  <c r="I390" i="2"/>
  <c r="G415" i="6"/>
  <c r="I94" i="2"/>
  <c r="I685" i="2"/>
  <c r="I237" i="2"/>
  <c r="I744" i="2"/>
  <c r="I335" i="2"/>
  <c r="I509" i="2"/>
  <c r="I706" i="2"/>
  <c r="V51" i="14"/>
  <c r="I175" i="2"/>
  <c r="I448" i="2"/>
  <c r="I79" i="2"/>
  <c r="Y53" i="14"/>
  <c r="V89" i="14"/>
  <c r="Y63" i="14"/>
  <c r="G362" i="6"/>
  <c r="I98" i="2"/>
  <c r="I355" i="2"/>
  <c r="I674" i="2"/>
  <c r="Y18" i="14"/>
  <c r="Y111" i="14"/>
  <c r="I420" i="2"/>
  <c r="G479" i="6"/>
  <c r="G536" i="6"/>
  <c r="G334" i="6"/>
  <c r="V12" i="14"/>
  <c r="V35" i="14"/>
  <c r="G336" i="6"/>
  <c r="G226" i="6"/>
  <c r="G227" i="6"/>
  <c r="V85" i="14"/>
  <c r="Y110" i="14"/>
  <c r="I783" i="2"/>
  <c r="I383" i="2"/>
  <c r="I414" i="2"/>
  <c r="I133" i="2"/>
  <c r="I476" i="2"/>
  <c r="I528" i="2"/>
  <c r="Y34" i="14"/>
  <c r="I712" i="2"/>
  <c r="I554" i="2"/>
  <c r="V62" i="14"/>
  <c r="Y87" i="14"/>
  <c r="I350" i="2"/>
  <c r="I331" i="2"/>
  <c r="I93" i="2"/>
  <c r="I506" i="2"/>
  <c r="I659" i="2"/>
  <c r="I342" i="2"/>
  <c r="V6" i="14"/>
  <c r="I409" i="2"/>
  <c r="Y12" i="14"/>
  <c r="V31" i="14"/>
  <c r="G119" i="6"/>
  <c r="G101" i="6"/>
  <c r="G251" i="6"/>
  <c r="V27" i="14"/>
  <c r="G234" i="6"/>
  <c r="Y36" i="14"/>
  <c r="V88" i="14"/>
  <c r="V7" i="14"/>
  <c r="I584" i="2"/>
  <c r="Y61" i="14"/>
  <c r="I798" i="2"/>
  <c r="I28" i="2"/>
  <c r="I99" i="2"/>
  <c r="I199" i="2"/>
  <c r="Y81" i="14"/>
  <c r="I119" i="2"/>
  <c r="I521" i="2"/>
  <c r="I58" i="2"/>
  <c r="I694" i="2"/>
  <c r="I628" i="2"/>
  <c r="I442" i="2"/>
  <c r="I43" i="2"/>
  <c r="V14" i="14"/>
  <c r="I67" i="2"/>
  <c r="I166" i="2"/>
  <c r="G115" i="6"/>
  <c r="I511" i="2"/>
  <c r="V74" i="14"/>
  <c r="I222" i="2"/>
  <c r="Y98" i="14"/>
  <c r="G288" i="6"/>
  <c r="G167" i="6"/>
  <c r="I794" i="2"/>
  <c r="I748" i="2"/>
  <c r="I595" i="2"/>
  <c r="G28" i="6"/>
  <c r="I514" i="2"/>
  <c r="Y27" i="14"/>
  <c r="V32" i="14"/>
  <c r="Y105" i="14"/>
  <c r="Y80" i="14"/>
  <c r="Y46" i="14"/>
  <c r="I487" i="2"/>
  <c r="I472" i="2"/>
  <c r="I461" i="2"/>
  <c r="I470" i="2"/>
  <c r="Y59" i="14"/>
  <c r="I70" i="2"/>
  <c r="Y106" i="14"/>
  <c r="I657" i="2"/>
  <c r="I537" i="2"/>
  <c r="I734" i="2"/>
  <c r="I225" i="2"/>
  <c r="I375" i="2"/>
  <c r="I548" i="2"/>
  <c r="V109" i="14"/>
  <c r="Y86" i="14"/>
  <c r="I605" i="2"/>
  <c r="I412" i="2"/>
  <c r="V34" i="14"/>
  <c r="I185" i="2"/>
  <c r="I125" i="2"/>
  <c r="I754" i="2"/>
  <c r="I427" i="2"/>
  <c r="I700" i="2"/>
  <c r="Y83" i="14"/>
  <c r="Y99" i="14"/>
  <c r="I429" i="2"/>
  <c r="I576" i="2"/>
  <c r="Y94" i="14"/>
  <c r="V92" i="14"/>
  <c r="V41" i="14"/>
  <c r="V84" i="14"/>
  <c r="Y84" i="14"/>
  <c r="I4" i="2"/>
  <c r="I367" i="2"/>
  <c r="I732" i="2"/>
  <c r="I161" i="2"/>
  <c r="Y108" i="14"/>
  <c r="I205" i="2"/>
  <c r="I562" i="2"/>
  <c r="Y20" i="14"/>
  <c r="I194" i="2"/>
  <c r="I95" i="2"/>
  <c r="I643" i="2"/>
  <c r="G411" i="6"/>
  <c r="I39" i="2"/>
  <c r="Y19" i="14"/>
  <c r="V52" i="14"/>
  <c r="Y116" i="14"/>
  <c r="V70" i="14"/>
  <c r="I268" i="2"/>
  <c r="G187" i="6"/>
  <c r="I82" i="2"/>
  <c r="I299" i="2"/>
  <c r="I656" i="2"/>
  <c r="Y17" i="14"/>
  <c r="I513" i="2"/>
  <c r="I253" i="2"/>
  <c r="Y32" i="14"/>
  <c r="I155" i="2"/>
  <c r="Y114" i="14"/>
  <c r="Y101" i="14"/>
  <c r="Y10" i="14"/>
  <c r="AA10" i="14" s="1"/>
  <c r="AC10" i="14" s="1"/>
  <c r="I11" i="2"/>
  <c r="I348" i="2"/>
  <c r="I188" i="2"/>
  <c r="V22" i="14"/>
  <c r="V83" i="14"/>
  <c r="V77" i="14"/>
  <c r="Y91" i="14"/>
  <c r="Y92" i="14"/>
  <c r="Y104" i="14"/>
  <c r="I85" i="2"/>
  <c r="I687" i="2"/>
  <c r="I760" i="2"/>
  <c r="Y48" i="14"/>
  <c r="Y70" i="14"/>
  <c r="V17" i="14"/>
  <c r="Y62" i="14"/>
  <c r="I157" i="2"/>
  <c r="I146" i="2"/>
  <c r="I287" i="2"/>
  <c r="I69" i="2"/>
  <c r="V96" i="14"/>
  <c r="G141" i="6"/>
  <c r="I651" i="2"/>
  <c r="Y96" i="14"/>
  <c r="Y42" i="14"/>
  <c r="Y24" i="14"/>
  <c r="I805" i="2"/>
  <c r="Y9" i="14"/>
  <c r="I796" i="2"/>
  <c r="I107" i="2"/>
  <c r="I478" i="2"/>
  <c r="Y6" i="14"/>
  <c r="Y58" i="14"/>
  <c r="I419" i="2"/>
  <c r="V90" i="14"/>
  <c r="G171" i="6"/>
  <c r="I691" i="2"/>
  <c r="G118" i="6"/>
  <c r="G203" i="6"/>
  <c r="G534" i="6"/>
  <c r="V33" i="14"/>
  <c r="G548" i="6"/>
  <c r="V42" i="14"/>
  <c r="V66" i="14"/>
  <c r="V21" i="14"/>
  <c r="I33" i="2"/>
  <c r="Y112" i="14"/>
  <c r="Y49" i="14"/>
  <c r="Y47" i="14"/>
  <c r="AA47" i="14" s="1"/>
  <c r="AC47" i="14" s="1"/>
  <c r="Y5" i="14"/>
  <c r="I88" i="2"/>
  <c r="I590" i="2"/>
  <c r="Y103" i="14"/>
  <c r="Y109" i="14"/>
  <c r="Y95" i="14"/>
  <c r="I192" i="2"/>
  <c r="I731" i="2"/>
  <c r="Y97" i="14"/>
  <c r="I485" i="2"/>
  <c r="Y93" i="14"/>
  <c r="G497" i="6"/>
  <c r="I737" i="2"/>
  <c r="I396" i="2"/>
  <c r="I314" i="2"/>
  <c r="I154" i="2"/>
  <c r="I547" i="2"/>
  <c r="G86" i="6"/>
  <c r="Y57" i="14"/>
  <c r="AA57" i="14" s="1"/>
  <c r="AC57" i="14" s="1"/>
  <c r="Y71" i="14"/>
  <c r="AA71" i="14" s="1"/>
  <c r="AC71" i="14" s="1"/>
  <c r="I40" i="2"/>
  <c r="G122" i="6"/>
  <c r="Y60" i="14"/>
  <c r="Y38" i="14"/>
  <c r="I426" i="2"/>
  <c r="I571" i="2"/>
  <c r="Y43" i="14"/>
  <c r="Y82" i="14"/>
  <c r="I588" i="2"/>
  <c r="Y7" i="14"/>
  <c r="Y37" i="14"/>
  <c r="Y55" i="14"/>
  <c r="V101" i="14"/>
  <c r="V100" i="14"/>
  <c r="G462" i="6"/>
  <c r="Y113" i="14"/>
  <c r="G477" i="6"/>
  <c r="V112" i="14"/>
  <c r="V58" i="14"/>
  <c r="Y3" i="14"/>
  <c r="V48" i="14"/>
  <c r="G112" i="6"/>
  <c r="G326" i="6"/>
  <c r="Y73" i="14"/>
  <c r="Y68" i="14"/>
  <c r="V26" i="14"/>
  <c r="V37" i="14"/>
  <c r="V28" i="14"/>
  <c r="Y79" i="14"/>
  <c r="Y89" i="14"/>
  <c r="G116" i="6"/>
  <c r="Y76" i="14"/>
  <c r="Y100" i="14"/>
  <c r="G157" i="6"/>
  <c r="G212" i="6"/>
  <c r="V24" i="14"/>
  <c r="I239" i="2"/>
  <c r="V11" i="14"/>
  <c r="Y44" i="14"/>
  <c r="V56" i="14"/>
  <c r="Y102" i="14"/>
  <c r="Y90" i="14"/>
  <c r="Y40" i="14"/>
  <c r="Y78" i="14"/>
  <c r="Y75" i="14"/>
  <c r="G200" i="6"/>
  <c r="V108" i="14"/>
  <c r="G335" i="6"/>
  <c r="Y52" i="14"/>
  <c r="V29" i="14"/>
  <c r="V40" i="14"/>
  <c r="Y77" i="14"/>
  <c r="Y56" i="14"/>
  <c r="Y69" i="14"/>
  <c r="Y54" i="14"/>
  <c r="Y67" i="14"/>
  <c r="Y64" i="14"/>
  <c r="Y28" i="14"/>
  <c r="G485" i="6"/>
  <c r="I767" i="2"/>
  <c r="V18" i="14"/>
  <c r="G107" i="6"/>
  <c r="V13" i="14"/>
  <c r="V105" i="14"/>
  <c r="Y21" i="14"/>
  <c r="Y31" i="14"/>
  <c r="Y16" i="14"/>
  <c r="I397" i="2"/>
  <c r="G434" i="6"/>
  <c r="Y66" i="14"/>
  <c r="Y85" i="14"/>
  <c r="Y39" i="14"/>
  <c r="I604" i="2"/>
  <c r="I228" i="2"/>
  <c r="I491" i="2"/>
  <c r="I274" i="2"/>
  <c r="I295" i="2"/>
  <c r="I257" i="2"/>
  <c r="I629" i="2"/>
  <c r="I578" i="2"/>
  <c r="I751" i="2"/>
  <c r="I127" i="2"/>
  <c r="I42" i="2"/>
  <c r="I668" i="2"/>
  <c r="I784" i="2"/>
  <c r="I251" i="2"/>
  <c r="I719" i="2"/>
  <c r="I710" i="2"/>
  <c r="I384" i="2"/>
  <c r="I143" i="2"/>
  <c r="I742" i="2"/>
  <c r="I332" i="2"/>
  <c r="I645" i="2"/>
  <c r="Y15" i="14"/>
  <c r="AA15" i="14" s="1"/>
  <c r="AC15" i="14" s="1"/>
  <c r="I141" i="2"/>
  <c r="I282" i="2"/>
  <c r="I132" i="2"/>
  <c r="I591" i="2"/>
  <c r="I261" i="2"/>
  <c r="I160" i="2"/>
  <c r="I436" i="2"/>
  <c r="I463" i="2"/>
  <c r="I609" i="2"/>
  <c r="I204" i="2"/>
  <c r="I68" i="2"/>
  <c r="I405" i="2"/>
  <c r="I432" i="2"/>
  <c r="I262" i="2"/>
  <c r="I515" i="2"/>
  <c r="I743" i="2"/>
  <c r="I206" i="2"/>
  <c r="I65" i="2"/>
  <c r="I702" i="2"/>
  <c r="I638" i="2"/>
  <c r="I430" i="2"/>
  <c r="I697" i="2"/>
  <c r="I781" i="2"/>
  <c r="I20" i="2"/>
  <c r="I179" i="2"/>
  <c r="I531" i="2"/>
  <c r="I363" i="2"/>
  <c r="I692" i="2"/>
  <c r="I709" i="2"/>
  <c r="I714" i="2"/>
  <c r="I621" i="2"/>
  <c r="I401" i="2"/>
  <c r="I387" i="2"/>
  <c r="I425" i="2"/>
  <c r="I216" i="2"/>
  <c r="Y35" i="14"/>
  <c r="I223" i="2"/>
  <c r="I38" i="2"/>
  <c r="I29" i="2"/>
  <c r="I9" i="2"/>
  <c r="I549" i="2"/>
  <c r="I474" i="2"/>
  <c r="I658" i="2"/>
  <c r="I317" i="2"/>
  <c r="I214" i="2"/>
  <c r="I456" i="2"/>
  <c r="I806" i="2"/>
  <c r="I407" i="2"/>
  <c r="I90" i="2"/>
  <c r="I266" i="2"/>
  <c r="I394" i="2"/>
  <c r="I615" i="2"/>
  <c r="I305" i="2"/>
  <c r="I300" i="2"/>
  <c r="I413" i="2"/>
  <c r="I558" i="2"/>
  <c r="I703" i="2"/>
  <c r="I592" i="2"/>
  <c r="I326" i="2"/>
  <c r="I354" i="2"/>
  <c r="I520" i="2"/>
  <c r="I118" i="2"/>
  <c r="I370" i="2"/>
  <c r="I661" i="2"/>
  <c r="I389" i="2"/>
  <c r="I618" i="2"/>
  <c r="I682" i="2"/>
  <c r="I741" i="2"/>
  <c r="I197" i="2"/>
  <c r="I482" i="2"/>
  <c r="I292" i="2"/>
  <c r="I218" i="2"/>
  <c r="G296" i="6"/>
  <c r="G446" i="6"/>
  <c r="G380" i="6"/>
  <c r="G347" i="6"/>
  <c r="G564" i="6"/>
  <c r="G160" i="6"/>
  <c r="G412" i="6"/>
  <c r="G340" i="6"/>
  <c r="G365" i="6"/>
  <c r="G305" i="6"/>
  <c r="G126" i="6"/>
  <c r="G521" i="6"/>
  <c r="G153" i="6"/>
  <c r="G333" i="6"/>
  <c r="G363" i="6"/>
  <c r="G427" i="6"/>
  <c r="G423" i="6"/>
  <c r="G193" i="6"/>
  <c r="G422" i="6"/>
  <c r="G529" i="6"/>
  <c r="G431" i="6"/>
  <c r="G248" i="6"/>
  <c r="G254" i="6"/>
  <c r="G135" i="6"/>
  <c r="G329" i="6"/>
  <c r="G406" i="6"/>
  <c r="G306" i="6"/>
  <c r="G366" i="6"/>
  <c r="V79" i="14"/>
  <c r="G430" i="6"/>
  <c r="G308" i="6"/>
  <c r="G303" i="6"/>
  <c r="G317" i="6"/>
  <c r="G451" i="6"/>
  <c r="G331" i="6"/>
  <c r="G197" i="6"/>
  <c r="G81" i="6"/>
  <c r="G533" i="6"/>
  <c r="G14" i="6"/>
  <c r="G384" i="6"/>
  <c r="G282" i="6"/>
  <c r="G441" i="6"/>
  <c r="G245" i="6"/>
  <c r="G110" i="6"/>
  <c r="G30" i="6"/>
  <c r="G182" i="6"/>
  <c r="G183" i="6"/>
  <c r="G276" i="6"/>
  <c r="G538" i="6"/>
  <c r="G514" i="6"/>
  <c r="G323" i="6"/>
  <c r="V81" i="14"/>
  <c r="G390" i="6"/>
  <c r="G90" i="6"/>
  <c r="G144" i="6"/>
  <c r="G291" i="6"/>
  <c r="G448" i="6"/>
  <c r="G8" i="6"/>
  <c r="G263" i="6"/>
  <c r="G23" i="6"/>
  <c r="I441" i="2"/>
  <c r="I171" i="2"/>
  <c r="I593" i="2"/>
  <c r="I665" i="2"/>
  <c r="I202" i="2"/>
  <c r="I653" i="2"/>
  <c r="G237" i="6"/>
  <c r="I614" i="2"/>
  <c r="I86" i="2"/>
  <c r="I211" i="2"/>
  <c r="I97" i="2"/>
  <c r="I494" i="2"/>
  <c r="G88" i="6"/>
  <c r="I61" i="2"/>
  <c r="I24" i="2"/>
  <c r="I170" i="2"/>
  <c r="I726" i="2"/>
  <c r="I649" i="2"/>
  <c r="I788" i="2"/>
  <c r="I527" i="2"/>
  <c r="Y25" i="14"/>
  <c r="I565" i="2"/>
  <c r="I315" i="2"/>
  <c r="Y13" i="14"/>
  <c r="I151" i="2"/>
  <c r="I265" i="2"/>
  <c r="I25" i="2"/>
  <c r="I30" i="2"/>
  <c r="G202" i="6"/>
  <c r="V43" i="14"/>
  <c r="G405" i="6"/>
  <c r="G223" i="6"/>
  <c r="G102" i="6"/>
  <c r="G445" i="6"/>
  <c r="G2" i="6"/>
  <c r="G378" i="6"/>
  <c r="I319" i="2"/>
  <c r="I178" i="2"/>
  <c r="Y8" i="14"/>
  <c r="I182" i="2"/>
  <c r="G351" i="6"/>
  <c r="I16" i="2"/>
  <c r="I733" i="2"/>
  <c r="I622" i="2"/>
  <c r="I671" i="2"/>
  <c r="I264" i="2"/>
  <c r="I428" i="2"/>
  <c r="I238" i="2"/>
  <c r="I83" i="2"/>
  <c r="I152" i="2"/>
  <c r="G505" i="6"/>
  <c r="G21" i="6"/>
  <c r="G39" i="6"/>
  <c r="G54" i="6"/>
  <c r="G17" i="6"/>
  <c r="V5" i="14"/>
  <c r="G188" i="6"/>
  <c r="I45" i="2"/>
  <c r="G426" i="6"/>
  <c r="I655" i="2"/>
  <c r="I769" i="2"/>
  <c r="I165" i="2"/>
  <c r="I271" i="2"/>
  <c r="I625" i="2"/>
  <c r="I465" i="2"/>
  <c r="I229" i="2"/>
  <c r="G32" i="6"/>
  <c r="V8" i="14"/>
  <c r="G325" i="6"/>
  <c r="V68" i="14"/>
  <c r="G557" i="6"/>
  <c r="I156" i="2"/>
  <c r="I19" i="2"/>
  <c r="I716" i="2"/>
  <c r="G12" i="6"/>
  <c r="V4" i="14"/>
  <c r="G419" i="6"/>
  <c r="V87" i="14"/>
  <c r="G531" i="6"/>
  <c r="V110" i="14"/>
  <c r="G461" i="6"/>
  <c r="I76" i="2"/>
  <c r="I404" i="2"/>
  <c r="I327" i="2"/>
  <c r="I139" i="2"/>
  <c r="I23" i="2"/>
  <c r="G546" i="6"/>
  <c r="V113" i="14"/>
  <c r="G361" i="6"/>
  <c r="I373" i="2"/>
  <c r="I704" i="2"/>
  <c r="I763" i="2"/>
  <c r="I582" i="2"/>
  <c r="I508" i="2"/>
  <c r="I374" i="2"/>
  <c r="I471" i="2"/>
  <c r="Y22" i="14"/>
  <c r="I529" i="2"/>
  <c r="I380" i="2"/>
  <c r="I362" i="2"/>
  <c r="I556" i="2"/>
  <c r="Y26" i="14"/>
  <c r="I276" i="2"/>
  <c r="I56" i="2"/>
  <c r="G439" i="6"/>
  <c r="G493" i="6"/>
  <c r="G468" i="6"/>
  <c r="V97" i="14"/>
  <c r="G280" i="6"/>
  <c r="G274" i="6"/>
  <c r="G250" i="6"/>
  <c r="G6" i="6"/>
  <c r="G357" i="6"/>
  <c r="I259" i="2"/>
  <c r="I660" i="2"/>
  <c r="I650" i="2"/>
  <c r="Y29" i="14"/>
  <c r="I670" i="2"/>
  <c r="I392" i="2"/>
  <c r="G374" i="6"/>
  <c r="I792" i="2"/>
  <c r="G314" i="6"/>
  <c r="I616" i="2"/>
  <c r="G458" i="6"/>
  <c r="V95" i="14"/>
  <c r="G395" i="6"/>
  <c r="V82" i="14"/>
  <c r="G414" i="6"/>
  <c r="V86" i="14"/>
  <c r="G222" i="6"/>
  <c r="I349" i="2"/>
  <c r="I272" i="2"/>
  <c r="Y11" i="14"/>
  <c r="I2" i="2"/>
  <c r="G470" i="6"/>
  <c r="G551" i="6"/>
  <c r="V114" i="14"/>
  <c r="G256" i="6"/>
  <c r="V54" i="14"/>
  <c r="I569" i="2"/>
  <c r="G552" i="6"/>
  <c r="I408" i="2"/>
  <c r="G300" i="6"/>
  <c r="V63" i="14"/>
  <c r="I26" i="2"/>
  <c r="I201" i="2"/>
  <c r="I735" i="2"/>
  <c r="I72" i="2"/>
  <c r="I641" i="2"/>
  <c r="G38" i="6"/>
  <c r="G501" i="6"/>
  <c r="V104" i="14"/>
  <c r="I617" i="2"/>
  <c r="G290" i="6"/>
  <c r="V61" i="14"/>
  <c r="I803" i="2"/>
  <c r="I580" i="2"/>
  <c r="I288" i="2"/>
  <c r="I680" i="2"/>
  <c r="I219" i="2"/>
  <c r="G349" i="6"/>
  <c r="I36" i="2"/>
  <c r="I775" i="2"/>
  <c r="G289" i="6"/>
  <c r="G396" i="6"/>
  <c r="I753" i="2"/>
  <c r="Y33" i="14"/>
  <c r="I759" i="2"/>
  <c r="I525" i="2"/>
  <c r="I303" i="2"/>
  <c r="G292" i="6"/>
  <c r="G429" i="6"/>
  <c r="G273" i="6"/>
  <c r="I455" i="2"/>
  <c r="I740" i="2"/>
  <c r="I652" i="2"/>
  <c r="I647" i="2"/>
  <c r="I422" i="2"/>
  <c r="I477" i="2"/>
  <c r="I236" i="2"/>
  <c r="I289" i="2"/>
  <c r="G231" i="6"/>
  <c r="G70" i="6"/>
  <c r="V16" i="14"/>
  <c r="I109" i="2"/>
  <c r="I302" i="2"/>
  <c r="G495" i="6"/>
  <c r="G207" i="6"/>
  <c r="V44" i="14"/>
  <c r="I81" i="2"/>
  <c r="Y4" i="14"/>
  <c r="I248" i="2"/>
  <c r="G169" i="6"/>
  <c r="V36" i="14"/>
  <c r="I546" i="2"/>
  <c r="I286" i="2"/>
  <c r="G453" i="6"/>
  <c r="V94" i="14"/>
  <c r="G3" i="6"/>
  <c r="V3" i="14"/>
  <c r="G96" i="6"/>
  <c r="G561" i="6"/>
  <c r="V116" i="14"/>
  <c r="I800" i="2"/>
  <c r="G407" i="6"/>
  <c r="G177" i="6"/>
  <c r="V38" i="14"/>
  <c r="G360" i="6"/>
  <c r="V75" i="14"/>
  <c r="I117" i="2"/>
  <c r="I235" i="2"/>
  <c r="I522" i="2"/>
  <c r="I410" i="2"/>
  <c r="G499" i="6"/>
  <c r="G310" i="6"/>
  <c r="V65" i="14"/>
  <c r="I113" i="2"/>
  <c r="I681" i="2"/>
  <c r="Y30" i="14"/>
  <c r="AA30" i="14" s="1"/>
  <c r="AC30" i="14" s="1"/>
  <c r="I624" i="2"/>
  <c r="I344" i="2"/>
  <c r="Y14" i="14"/>
  <c r="I379" i="2"/>
  <c r="I285" i="2"/>
  <c r="I147" i="2"/>
  <c r="I294" i="2"/>
  <c r="I313" i="2"/>
  <c r="I31" i="2"/>
  <c r="I12" i="2"/>
  <c r="G516" i="6"/>
  <c r="V107" i="14"/>
  <c r="G490" i="6"/>
  <c r="G454" i="6"/>
  <c r="G511" i="6"/>
  <c r="V106" i="14"/>
  <c r="G456" i="6"/>
  <c r="G9" i="6"/>
  <c r="G235" i="6"/>
  <c r="I730" i="2"/>
  <c r="G338" i="6"/>
  <c r="I325" i="2"/>
  <c r="I526" i="2"/>
  <c r="G194" i="6"/>
  <c r="I457" i="2"/>
  <c r="G257" i="6"/>
  <c r="I469" i="2"/>
  <c r="G285" i="6"/>
  <c r="V60" i="14"/>
  <c r="I424" i="2"/>
  <c r="I560" i="2"/>
  <c r="G562" i="6"/>
  <c r="G327" i="6"/>
  <c r="G553" i="6"/>
  <c r="G457" i="6"/>
  <c r="G268" i="6"/>
  <c r="G565" i="6"/>
  <c r="G379" i="6"/>
  <c r="G550" i="6"/>
  <c r="G466" i="6"/>
  <c r="G481" i="6"/>
  <c r="G450" i="6"/>
  <c r="G559" i="6"/>
  <c r="G541" i="6"/>
  <c r="G376" i="6"/>
  <c r="G463" i="6"/>
  <c r="G184" i="6"/>
  <c r="G452" i="6"/>
  <c r="G474" i="6"/>
  <c r="G215" i="6"/>
  <c r="G253" i="6"/>
  <c r="G484" i="6"/>
  <c r="G476" i="6"/>
  <c r="G244" i="6"/>
  <c r="G508" i="6"/>
  <c r="G494" i="6"/>
  <c r="G271" i="6"/>
  <c r="G241" i="6"/>
  <c r="G283" i="6"/>
  <c r="G44" i="6"/>
  <c r="G472" i="6"/>
  <c r="G502" i="6"/>
  <c r="G455" i="6"/>
  <c r="G36" i="6"/>
  <c r="G482" i="6"/>
  <c r="G217" i="6"/>
  <c r="G286" i="6"/>
  <c r="G469" i="6"/>
  <c r="G265" i="6"/>
  <c r="G488" i="6"/>
  <c r="G170" i="6"/>
  <c r="G532" i="6"/>
  <c r="G424" i="6"/>
  <c r="G535" i="6"/>
  <c r="G220" i="6"/>
  <c r="G556" i="6"/>
  <c r="G464" i="6"/>
  <c r="G400" i="6"/>
  <c r="G544" i="6"/>
  <c r="G520" i="6"/>
  <c r="G496" i="6"/>
  <c r="G460" i="6"/>
  <c r="G523" i="6"/>
  <c r="G398" i="6"/>
  <c r="G352" i="6"/>
  <c r="G388" i="6"/>
  <c r="G247" i="6"/>
  <c r="G18" i="6"/>
  <c r="G517" i="6"/>
  <c r="G487" i="6"/>
  <c r="G262" i="6"/>
  <c r="G425" i="6"/>
  <c r="G27" i="6"/>
  <c r="G483" i="6"/>
  <c r="G277" i="6"/>
  <c r="G371" i="6"/>
  <c r="G295" i="6"/>
  <c r="G233" i="6"/>
  <c r="G364" i="6"/>
  <c r="G319" i="6"/>
  <c r="G478" i="6"/>
  <c r="G33" i="6"/>
  <c r="G547" i="6"/>
  <c r="G491" i="6"/>
  <c r="G526" i="6"/>
  <c r="G259" i="6"/>
  <c r="G24" i="6"/>
  <c r="G383" i="6"/>
  <c r="G539" i="6"/>
  <c r="I778" i="2"/>
  <c r="I804" i="2"/>
  <c r="I599" i="2"/>
  <c r="I568" i="2"/>
  <c r="I567" i="2"/>
  <c r="I793" i="2"/>
  <c r="I551" i="2"/>
  <c r="I570" i="2"/>
  <c r="I468" i="2"/>
  <c r="I415" i="2"/>
  <c r="I613" i="2"/>
  <c r="I450" i="2"/>
  <c r="I241" i="2"/>
  <c r="I207" i="2"/>
  <c r="I312" i="2"/>
  <c r="I444" i="2"/>
  <c r="I224" i="2"/>
  <c r="I395" i="2"/>
  <c r="I322" i="2"/>
  <c r="I416" i="2"/>
  <c r="I260" i="2"/>
  <c r="I128" i="2"/>
  <c r="I37" i="2"/>
  <c r="I169" i="2"/>
  <c r="I802" i="2"/>
  <c r="I780" i="2"/>
  <c r="I728" i="2"/>
  <c r="I762" i="2"/>
  <c r="I790" i="2"/>
  <c r="I774" i="2"/>
  <c r="I764" i="2"/>
  <c r="I750" i="2"/>
  <c r="I532" i="2"/>
  <c r="I553" i="2"/>
  <c r="I623" i="2"/>
  <c r="I543" i="2"/>
  <c r="I411" i="2"/>
  <c r="I563" i="2"/>
  <c r="I434" i="2"/>
  <c r="I226" i="2"/>
  <c r="I503" i="2"/>
  <c r="I255" i="2"/>
  <c r="I555" i="2"/>
  <c r="I372" i="2"/>
  <c r="I104" i="2"/>
  <c r="I17" i="2"/>
  <c r="I92" i="2"/>
  <c r="I198" i="2"/>
  <c r="I14" i="2"/>
  <c r="I799" i="2"/>
  <c r="I610" i="2"/>
  <c r="I637" i="2"/>
  <c r="I541" i="2"/>
  <c r="I534" i="2"/>
  <c r="I398" i="2"/>
  <c r="I423" i="2"/>
  <c r="I486" i="2"/>
  <c r="I594" i="2"/>
  <c r="I686" i="2"/>
  <c r="I339" i="2"/>
  <c r="I279" i="2"/>
  <c r="I573" i="2"/>
  <c r="I310" i="2"/>
  <c r="I489" i="2"/>
  <c r="I296" i="2"/>
  <c r="I186" i="2"/>
  <c r="I174" i="2"/>
  <c r="I227" i="2"/>
  <c r="I15" i="2"/>
  <c r="I116" i="2"/>
  <c r="I386" i="2"/>
  <c r="I291" i="2"/>
  <c r="I240" i="2"/>
  <c r="I298" i="2"/>
  <c r="I356" i="2"/>
  <c r="I250" i="2"/>
  <c r="I246" i="2"/>
  <c r="I181" i="2"/>
  <c r="I71" i="2"/>
  <c r="I140" i="2"/>
  <c r="I3" i="2"/>
  <c r="I634" i="2"/>
  <c r="I462" i="2"/>
  <c r="I308" i="2"/>
  <c r="I768" i="2"/>
  <c r="I721" i="2"/>
  <c r="I689" i="2"/>
  <c r="I745" i="2"/>
  <c r="I644" i="2"/>
  <c r="I544" i="2"/>
  <c r="I611" i="2"/>
  <c r="I510" i="2"/>
  <c r="I579" i="2"/>
  <c r="I495" i="2"/>
  <c r="I589" i="2"/>
  <c r="I391" i="2"/>
  <c r="I320" i="2"/>
  <c r="I267" i="2"/>
  <c r="I217" i="2"/>
  <c r="I231" i="2"/>
  <c r="I284" i="2"/>
  <c r="I301" i="2"/>
  <c r="I195" i="2"/>
  <c r="I215" i="2"/>
  <c r="I80" i="2"/>
  <c r="I162" i="2"/>
  <c r="I766" i="2"/>
  <c r="I756" i="2"/>
  <c r="I776" i="2"/>
  <c r="I666" i="2"/>
  <c r="I630" i="2"/>
  <c r="I479" i="2"/>
  <c r="I667" i="2"/>
  <c r="I564" i="2"/>
  <c r="I727" i="2"/>
  <c r="I498" i="2"/>
  <c r="I403" i="2"/>
  <c r="I443" i="2"/>
  <c r="I277" i="2"/>
  <c r="I193" i="2"/>
  <c r="I135" i="2"/>
  <c r="I459" i="2"/>
  <c r="I123" i="2"/>
  <c r="I318" i="2"/>
  <c r="I10" i="2"/>
  <c r="I7" i="2"/>
  <c r="I739" i="2"/>
  <c r="I673" i="2"/>
  <c r="I752" i="2"/>
  <c r="I646" i="2"/>
  <c r="I738" i="2"/>
  <c r="I467" i="2"/>
  <c r="I577" i="2"/>
  <c r="I587" i="2"/>
  <c r="I539" i="2"/>
  <c r="I596" i="2"/>
  <c r="I501" i="2"/>
  <c r="I393" i="2"/>
  <c r="I435" i="2"/>
  <c r="I483" i="2"/>
  <c r="I338" i="2"/>
  <c r="I252" i="2"/>
  <c r="I561" i="2"/>
  <c r="I351" i="2"/>
  <c r="I212" i="2"/>
  <c r="I210" i="2"/>
  <c r="I183" i="2"/>
  <c r="I258" i="2"/>
  <c r="I306" i="2"/>
  <c r="I399" i="2"/>
  <c r="I159" i="2"/>
  <c r="I5" i="2"/>
  <c r="I49" i="2"/>
  <c r="I13" i="2"/>
  <c r="I47" i="2"/>
  <c r="I787" i="2"/>
  <c r="I777" i="2"/>
  <c r="I492" i="2"/>
  <c r="I437" i="2"/>
  <c r="I600" i="2"/>
  <c r="I343" i="2"/>
  <c r="I243" i="2"/>
  <c r="I453" i="2"/>
  <c r="I103" i="2"/>
  <c r="I35" i="2"/>
  <c r="I44" i="2"/>
  <c r="I55" i="2"/>
  <c r="Z3" i="14" l="1"/>
  <c r="Z93" i="14"/>
  <c r="Z47" i="14"/>
  <c r="Z24" i="14"/>
  <c r="Z53" i="14"/>
  <c r="Z17" i="14"/>
  <c r="Z75" i="14"/>
  <c r="Z23" i="14"/>
  <c r="Z112" i="14"/>
  <c r="Z54" i="14"/>
  <c r="Z29" i="14"/>
  <c r="Z10" i="14"/>
  <c r="Z38" i="14"/>
  <c r="Z36" i="14"/>
  <c r="Z26" i="14"/>
  <c r="Z64" i="14"/>
  <c r="Z65" i="14"/>
  <c r="Z59" i="14"/>
  <c r="Z57" i="14"/>
  <c r="Z40" i="14"/>
  <c r="Z71" i="14"/>
  <c r="Z28" i="14"/>
  <c r="Z14" i="14"/>
  <c r="Z30" i="14"/>
  <c r="Z96" i="14"/>
  <c r="Z63" i="14"/>
  <c r="Z66" i="14"/>
  <c r="Z58" i="14"/>
  <c r="Z55" i="14"/>
  <c r="Z97" i="14"/>
  <c r="Z100" i="14"/>
  <c r="Z82" i="14"/>
  <c r="Z12" i="14"/>
  <c r="Z80" i="14"/>
  <c r="Z49" i="14"/>
  <c r="Z33" i="14"/>
  <c r="Z88" i="14"/>
  <c r="Z95" i="14"/>
  <c r="Z7" i="14"/>
  <c r="Z37" i="14"/>
  <c r="Z2" i="14"/>
  <c r="Z43" i="14"/>
  <c r="Z90" i="14"/>
  <c r="Z106" i="14"/>
  <c r="Z25" i="14"/>
  <c r="Z9" i="14"/>
  <c r="Z116" i="14"/>
  <c r="Z73" i="14"/>
  <c r="Z15" i="14"/>
  <c r="Z11" i="14"/>
  <c r="Z60" i="14"/>
  <c r="Z42" i="14"/>
  <c r="Z48" i="14"/>
  <c r="Z99" i="14"/>
  <c r="Z34" i="14"/>
  <c r="Z13" i="14"/>
  <c r="Z87" i="14"/>
  <c r="Z111" i="14"/>
  <c r="Z89" i="14"/>
  <c r="Z102" i="14"/>
  <c r="Z31" i="14"/>
  <c r="Z16" i="14"/>
  <c r="Z70" i="14"/>
  <c r="Z76" i="14"/>
  <c r="Z39" i="14"/>
  <c r="Z77" i="14"/>
  <c r="Z41" i="14"/>
  <c r="Z8" i="14"/>
  <c r="Z91" i="14"/>
  <c r="Z20" i="14"/>
  <c r="Z110" i="14"/>
  <c r="Z104" i="14"/>
  <c r="Z46" i="14"/>
  <c r="Z19" i="14"/>
  <c r="Z45" i="14"/>
  <c r="Z108" i="14"/>
  <c r="AA72" i="14"/>
  <c r="AC72" i="14" s="1"/>
  <c r="AA55" i="14"/>
  <c r="AC55" i="14" s="1"/>
  <c r="AA80" i="14"/>
  <c r="AC80" i="14" s="1"/>
  <c r="AA76" i="14"/>
  <c r="AC76" i="14" s="1"/>
  <c r="AA82" i="14"/>
  <c r="AC82" i="14" s="1"/>
  <c r="AA53" i="14"/>
  <c r="AC53" i="14" s="1"/>
  <c r="AA78" i="14"/>
  <c r="AC78" i="14" s="1"/>
  <c r="AA9" i="14"/>
  <c r="AC9" i="14" s="1"/>
  <c r="AA49" i="14"/>
  <c r="AC49" i="14" s="1"/>
  <c r="AA45" i="14"/>
  <c r="AC45" i="14" s="1"/>
  <c r="AA102" i="14"/>
  <c r="AC102" i="14" s="1"/>
  <c r="AA69" i="14"/>
  <c r="AC69" i="14" s="1"/>
  <c r="AA23" i="14"/>
  <c r="AC23" i="14" s="1"/>
  <c r="AA98" i="14"/>
  <c r="AC98" i="14" s="1"/>
  <c r="AA63" i="14"/>
  <c r="AC63" i="14" s="1"/>
  <c r="AA93" i="14"/>
  <c r="AC93" i="14" s="1"/>
  <c r="AA61" i="14"/>
  <c r="AC61" i="14" s="1"/>
  <c r="AA73" i="14"/>
  <c r="AC73" i="14" s="1"/>
  <c r="AA88" i="14"/>
  <c r="AC88" i="14" s="1"/>
  <c r="AA35" i="14"/>
  <c r="AC35" i="14" s="1"/>
  <c r="AA28" i="14"/>
  <c r="AC28" i="14" s="1"/>
  <c r="AA46" i="14"/>
  <c r="AC46" i="14" s="1"/>
  <c r="AA64" i="14"/>
  <c r="AC64" i="14" s="1"/>
  <c r="AA3" i="14"/>
  <c r="AC3" i="14" s="1"/>
  <c r="AA29" i="14"/>
  <c r="AC29" i="14" s="1"/>
  <c r="AA67" i="14"/>
  <c r="AC67" i="14" s="1"/>
  <c r="AA19" i="14"/>
  <c r="AC19" i="14" s="1"/>
  <c r="AA111" i="14"/>
  <c r="AC111" i="14" s="1"/>
  <c r="AA51" i="14"/>
  <c r="AC51" i="14" s="1"/>
  <c r="AA20" i="14"/>
  <c r="AC20" i="14" s="1"/>
  <c r="AA60" i="14"/>
  <c r="AC60" i="14" s="1"/>
  <c r="AA25" i="14"/>
  <c r="AC25" i="14" s="1"/>
  <c r="AA48" i="14"/>
  <c r="AC48" i="14" s="1"/>
  <c r="AA91" i="14"/>
  <c r="AC91" i="14" s="1"/>
  <c r="AA18" i="14"/>
  <c r="AC18" i="14" s="1"/>
  <c r="AA41" i="14"/>
  <c r="AC41" i="14" s="1"/>
  <c r="AA31" i="14"/>
  <c r="AC31" i="14" s="1"/>
  <c r="AA99" i="14"/>
  <c r="AC99" i="14" s="1"/>
  <c r="AA7" i="14"/>
  <c r="AC7" i="14" s="1"/>
  <c r="AA103" i="14"/>
  <c r="AC103" i="14" s="1"/>
  <c r="AA74" i="14"/>
  <c r="AC74" i="14" s="1"/>
  <c r="AA89" i="14"/>
  <c r="AC89" i="14" s="1"/>
  <c r="AA112" i="14"/>
  <c r="AC112" i="14" s="1"/>
  <c r="AA62" i="14"/>
  <c r="AC62" i="14" s="1"/>
  <c r="AA100" i="14"/>
  <c r="AC100" i="14" s="1"/>
  <c r="AA36" i="14"/>
  <c r="AC36" i="14" s="1"/>
  <c r="AA6" i="14"/>
  <c r="AC6" i="14" s="1"/>
  <c r="AA65" i="14"/>
  <c r="AC65" i="14" s="1"/>
  <c r="AA39" i="14"/>
  <c r="AC39" i="14" s="1"/>
  <c r="AA17" i="14"/>
  <c r="AC17" i="14" s="1"/>
  <c r="AA34" i="14"/>
  <c r="AC34" i="14" s="1"/>
  <c r="AA107" i="14"/>
  <c r="AC107" i="14" s="1"/>
  <c r="AA108" i="14"/>
  <c r="AC108" i="14" s="1"/>
  <c r="AA59" i="14"/>
  <c r="AC59" i="14" s="1"/>
  <c r="AA12" i="14"/>
  <c r="AC12" i="14" s="1"/>
  <c r="AA115" i="14"/>
  <c r="AC115" i="14" s="1"/>
  <c r="AA90" i="14"/>
  <c r="AC90" i="14" s="1"/>
  <c r="AA104" i="14"/>
  <c r="AC104" i="14" s="1"/>
  <c r="AA86" i="14"/>
  <c r="AC86" i="14" s="1"/>
  <c r="AA66" i="14"/>
  <c r="AC66" i="14" s="1"/>
  <c r="AA27" i="14"/>
  <c r="AC27" i="14" s="1"/>
  <c r="AA94" i="14"/>
  <c r="AC94" i="14" s="1"/>
  <c r="AA87" i="14"/>
  <c r="AC87" i="14" s="1"/>
  <c r="AA101" i="14"/>
  <c r="AC101" i="14" s="1"/>
  <c r="AA109" i="14"/>
  <c r="AC109" i="14" s="1"/>
  <c r="AA110" i="14"/>
  <c r="AC110" i="14" s="1"/>
  <c r="AA5" i="14"/>
  <c r="AC5" i="14" s="1"/>
  <c r="AA75" i="14"/>
  <c r="AC75" i="14" s="1"/>
  <c r="AA43" i="14"/>
  <c r="AC43" i="14" s="1"/>
  <c r="AA85" i="14"/>
  <c r="AC85" i="14" s="1"/>
  <c r="AA21" i="14"/>
  <c r="AC21" i="14" s="1"/>
  <c r="AA96" i="14"/>
  <c r="AC96" i="14" s="1"/>
  <c r="AA77" i="14"/>
  <c r="AC77" i="14" s="1"/>
  <c r="AA106" i="14"/>
  <c r="AC106" i="14" s="1"/>
  <c r="AA79" i="14"/>
  <c r="AC79" i="14" s="1"/>
  <c r="AA83" i="14"/>
  <c r="AC83" i="14" s="1"/>
  <c r="AA42" i="14"/>
  <c r="AC42" i="14" s="1"/>
  <c r="AA92" i="14"/>
  <c r="AC92" i="14" s="1"/>
  <c r="AA32" i="14"/>
  <c r="AC32" i="14" s="1"/>
  <c r="AA54" i="14"/>
  <c r="AC54" i="14" s="1"/>
  <c r="AA14" i="14"/>
  <c r="AC14" i="14" s="1"/>
  <c r="AA81" i="14"/>
  <c r="AC81" i="14" s="1"/>
  <c r="AA114" i="14"/>
  <c r="AC114" i="14" s="1"/>
  <c r="AA40" i="14"/>
  <c r="AC40" i="14" s="1"/>
  <c r="AA16" i="14"/>
  <c r="AC16" i="14" s="1"/>
  <c r="AA95" i="14"/>
  <c r="AC95" i="14" s="1"/>
  <c r="AA58" i="14"/>
  <c r="AC58" i="14" s="1"/>
  <c r="AA38" i="14"/>
  <c r="AC38" i="14" s="1"/>
  <c r="AA113" i="14"/>
  <c r="AC113" i="14" s="1"/>
  <c r="AA37" i="14"/>
  <c r="AC37" i="14" s="1"/>
  <c r="AA84" i="14"/>
  <c r="AC84" i="14" s="1"/>
  <c r="AA22" i="14"/>
  <c r="AC22" i="14" s="1"/>
  <c r="AA26" i="14"/>
  <c r="AC26" i="14" s="1"/>
  <c r="AA52" i="14"/>
  <c r="AC52" i="14" s="1"/>
  <c r="AA116" i="14"/>
  <c r="AC116" i="14" s="1"/>
  <c r="AA33" i="14"/>
  <c r="AC33" i="14" s="1"/>
  <c r="AA97" i="14"/>
  <c r="AC97" i="14" s="1"/>
  <c r="AA105" i="14"/>
  <c r="AC105" i="14" s="1"/>
  <c r="AA24" i="14"/>
  <c r="AC24" i="14" s="1"/>
  <c r="AA44" i="14"/>
  <c r="AC44" i="14" s="1"/>
  <c r="AA68" i="14"/>
  <c r="AC68" i="14" s="1"/>
  <c r="AA70" i="14"/>
  <c r="AC70" i="14" s="1"/>
  <c r="AA13" i="14"/>
  <c r="AC13" i="14" s="1"/>
  <c r="AA56" i="14"/>
  <c r="AC56" i="14" s="1"/>
  <c r="AA11" i="14"/>
  <c r="AC11" i="14" s="1"/>
  <c r="AA8" i="14"/>
  <c r="AC8" i="14" s="1"/>
  <c r="AA4" i="14"/>
  <c r="AC4" i="14" s="1"/>
  <c r="AA2" i="14"/>
  <c r="AC2" i="1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E2C3A0-8618-4110-B6EF-F2A6E396E66E}" keepAlive="1" name="Query - Decor_Catalog" description="Connection to the 'Decor_Catalog' query in the workbook." type="5" refreshedVersion="8" background="1" saveData="1">
    <dbPr connection="Provider=Microsoft.Mashup.OleDb.1;Data Source=$Workbook$;Location=Decor_Catalog;Extended Properties=&quot;&quot;" command="SELECT * FROM [Decor_Catalog]"/>
  </connection>
  <connection id="2" xr16:uid="{5D710DB3-FA3E-42B2-A571-367A4DF022F0}" keepAlive="1" name="Query - Decor_Catalog (2)" description="Connection to the 'Decor_Catalog (2)' query in the workbook." type="5" refreshedVersion="0" background="1">
    <dbPr connection="Provider=Microsoft.Mashup.OleDb.1;Data Source=$Workbook$;Location=&quot;Decor_Catalog (2)&quot;;Extended Properties=&quot;&quot;" command="SELECT * FROM [Decor_Catalog (2)]"/>
  </connection>
  <connection id="3" xr16:uid="{1C2B8C92-7701-4D80-B524-2373E9E04660}" keepAlive="1" name="Query - Decor_Orders" description="Connection to the 'Decor_Orders' query in the workbook." type="5" refreshedVersion="8" background="1" saveData="1">
    <dbPr connection="Provider=Microsoft.Mashup.OleDb.1;Data Source=$Workbook$;Location=Decor_Orders;Extended Properties=&quot;&quot;" command="SELECT * FROM [Decor_Orders]"/>
  </connection>
  <connection id="4" xr16:uid="{3A76C1AA-E834-4AC4-9063-45F6C7FB8DF5}" keepAlive="1" name="Query - Entertainment_Catalog" description="Connection to the 'Entertainment_Catalog' query in the workbook." type="5" refreshedVersion="8" background="1" saveData="1">
    <dbPr connection="Provider=Microsoft.Mashup.OleDb.1;Data Source=$Workbook$;Location=Entertainment_Catalog;Extended Properties=&quot;&quot;" command="SELECT * FROM [Entertainment_Catalog]"/>
  </connection>
  <connection id="5" xr16:uid="{F2F38299-302E-476B-B8C3-42CE359372E5}" keepAlive="1" name="Query - Entertainment_Catalog (2)" description="Connection to the 'Entertainment_Catalog (2)' query in the workbook." type="5" refreshedVersion="0" background="1">
    <dbPr connection="Provider=Microsoft.Mashup.OleDb.1;Data Source=$Workbook$;Location=&quot;Entertainment_Catalog (2)&quot;;Extended Properties=&quot;&quot;" command="SELECT * FROM [Entertainment_Catalog (2)]"/>
  </connection>
  <connection id="6" xr16:uid="{DBF5DE9A-6E8B-4092-B767-A246829CFF96}" keepAlive="1" name="Query - Entertainment_Orders" description="Connection to the 'Entertainment_Orders' query in the workbook." type="5" refreshedVersion="8" background="1" saveData="1">
    <dbPr connection="Provider=Microsoft.Mashup.OleDb.1;Data Source=$Workbook$;Location=Entertainment_Orders;Extended Properties=&quot;&quot;" command="SELECT * FROM [Entertainment_Orders]"/>
  </connection>
  <connection id="7" xr16:uid="{874FFBDC-FA14-4BFD-AD02-2E2A6C666C5A}" keepAlive="1" name="Query - Event_Master" description="Connection to the 'Event_Master' query in the workbook." type="5" refreshedVersion="8" background="1" saveData="1">
    <dbPr connection="Provider=Microsoft.Mashup.OleDb.1;Data Source=$Workbook$;Location=Event_Master;Extended Properties=&quot;&quot;" command="SELECT * FROM [Event_Master]"/>
  </connection>
  <connection id="8" xr16:uid="{C5D1ABEB-E3E9-478D-B185-EF4531E1C8A8}" keepAlive="1" name="Query - Event_Master_Decor" description="Connection to the 'Event_Master_Decor' query in the workbook." type="5" refreshedVersion="0" background="1">
    <dbPr connection="Provider=Microsoft.Mashup.OleDb.1;Data Source=$Workbook$;Location=Event_Master_Decor;Extended Properties=&quot;&quot;" command="SELECT * FROM [Event_Master_Decor]"/>
  </connection>
  <connection id="9" xr16:uid="{0AF8A223-B224-4D41-895B-E5A3D8FDBDB1}" keepAlive="1" name="Query - Event_Master_Enter" description="Connection to the 'Event_Master_Enter' query in the workbook." type="5" refreshedVersion="0" background="1">
    <dbPr connection="Provider=Microsoft.Mashup.OleDb.1;Data Source=$Workbook$;Location=Event_Master_Enter;Extended Properties=&quot;&quot;" command="SELECT * FROM [Event_Master_Enter]"/>
  </connection>
  <connection id="10" xr16:uid="{731056BB-E28B-4011-BF3E-164C6E8EDE7E}" keepAlive="1" name="Query - Event_Master_Foo" description="Connection to the 'Event_Master_Foo' query in the workbook." type="5" refreshedVersion="0" background="1">
    <dbPr connection="Provider=Microsoft.Mashup.OleDb.1;Data Source=$Workbook$;Location=Event_Master_Foo;Extended Properties=&quot;&quot;" command="SELECT * FROM [Event_Master_Foo]"/>
  </connection>
  <connection id="11" xr16:uid="{0DC4DDAD-9264-4B42-A56B-51349B0D23A5}" keepAlive="1" name="Query - Event_Master_Log" description="Connection to the 'Event_Master_Log' query in the workbook." type="5" refreshedVersion="0" background="1">
    <dbPr connection="Provider=Microsoft.Mashup.OleDb.1;Data Source=$Workbook$;Location=Event_Master_Log;Extended Properties=&quot;&quot;" command="SELECT * FROM [Event_Master_Log]"/>
  </connection>
  <connection id="12" xr16:uid="{696291C2-8F53-4E13-BACC-3176D69B61E2}" keepAlive="1" name="Query - Event_Master_Photo" description="Connection to the 'Event_Master_Photo' query in the workbook." type="5" refreshedVersion="0" background="1">
    <dbPr connection="Provider=Microsoft.Mashup.OleDb.1;Data Source=$Workbook$;Location=Event_Master_Photo;Extended Properties=&quot;&quot;" command="SELECT * FROM [Event_Master_Photo]"/>
  </connection>
  <connection id="13" xr16:uid="{2865F558-16F3-4EE2-9995-30A7A580ED52}" keepAlive="1" name="Query - Event_Master_Venue" description="Connection to the 'Event_Master_Venue' query in the workbook." type="5" refreshedVersion="0" background="1">
    <dbPr connection="Provider=Microsoft.Mashup.OleDb.1;Data Source=$Workbook$;Location=Event_Master_Venue;Extended Properties=&quot;&quot;" command="SELECT * FROM [Event_Master_Venue]"/>
  </connection>
  <connection id="14" xr16:uid="{BCC5C84A-3810-4CD1-98FD-129B1D9B5F39}" keepAlive="1" name="Query - Food_Catalog" description="Connection to the 'Food_Catalog' query in the workbook." type="5" refreshedVersion="8" background="1" saveData="1">
    <dbPr connection="Provider=Microsoft.Mashup.OleDb.1;Data Source=$Workbook$;Location=Food_Catalog;Extended Properties=&quot;&quot;" command="SELECT * FROM [Food_Catalog]"/>
  </connection>
  <connection id="15" xr16:uid="{6048E924-180B-4B56-ACBD-3939F4F910D6}" keepAlive="1" name="Query - Food_Catalog_1" description="Connection to the 'Food_Catalog_1' query in the workbook." type="5" refreshedVersion="0" background="1">
    <dbPr connection="Provider=Microsoft.Mashup.OleDb.1;Data Source=$Workbook$;Location=Food_Catalog_1;Extended Properties=&quot;&quot;" command="SELECT * FROM [Food_Catalog_1]"/>
  </connection>
  <connection id="16" xr16:uid="{B084A5BF-45F1-4967-B57D-A82CEA9945E3}" keepAlive="1" name="Query - Food_Orders_REal" description="Connection to the 'Food_Orders_REal' query in the workbook." type="5" refreshedVersion="8" background="1" saveData="1">
    <dbPr connection="Provider=Microsoft.Mashup.OleDb.1;Data Source=$Workbook$;Location=Food_Orders_REal;Extended Properties=&quot;&quot;" command="SELECT * FROM [Food_Orders_REal]"/>
  </connection>
  <connection id="17" xr16:uid="{C1DDD1F1-E648-42F3-A211-CB332C776C21}" keepAlive="1" name="Query - Logistics_Catalog" description="Connection to the 'Logistics_Catalog' query in the workbook." type="5" refreshedVersion="8" background="1" saveData="1">
    <dbPr connection="Provider=Microsoft.Mashup.OleDb.1;Data Source=$Workbook$;Location=Logistics_Catalog;Extended Properties=&quot;&quot;" command="SELECT * FROM [Logistics_Catalog]"/>
  </connection>
  <connection id="18" xr16:uid="{B42C8AAA-0AC0-4191-B0C7-7E9A62BCB455}" keepAlive="1" name="Query - Logistics_Catalog (2)" description="Connection to the 'Logistics_Catalog (2)' query in the workbook." type="5" refreshedVersion="0" background="1">
    <dbPr connection="Provider=Microsoft.Mashup.OleDb.1;Data Source=$Workbook$;Location=&quot;Logistics_Catalog (2)&quot;;Extended Properties=&quot;&quot;" command="SELECT * FROM [Logistics_Catalog (2)]"/>
  </connection>
  <connection id="19" xr16:uid="{C277B8C2-41A5-4450-A23F-62CC691C4A7F}" keepAlive="1" name="Query - Logistics_Orders_Real" description="Connection to the 'Logistics_Orders_Real' query in the workbook." type="5" refreshedVersion="8" background="1" saveData="1">
    <dbPr connection="Provider=Microsoft.Mashup.OleDb.1;Data Source=$Workbook$;Location=Logistics_Orders_Real;Extended Properties=&quot;&quot;" command="SELECT * FROM [Logistics_Orders_Real]"/>
  </connection>
  <connection id="20" xr16:uid="{D06999CF-A64C-4757-998A-5C029E8C1C8F}" keepAlive="1" name="Query - Photography_Catalog" description="Connection to the 'Photography_Catalog' query in the workbook." type="5" refreshedVersion="8" background="1" saveData="1">
    <dbPr connection="Provider=Microsoft.Mashup.OleDb.1;Data Source=$Workbook$;Location=Photography_Catalog;Extended Properties=&quot;&quot;" command="SELECT * FROM [Photography_Catalog]"/>
  </connection>
  <connection id="21" xr16:uid="{18E6EAF3-635A-4B5E-92F8-01D35497F4E8}" keepAlive="1" name="Query - Photography_Catalog (2)" description="Connection to the 'Photography_Catalog (2)' query in the workbook." type="5" refreshedVersion="0" background="1">
    <dbPr connection="Provider=Microsoft.Mashup.OleDb.1;Data Source=$Workbook$;Location=&quot;Photography_Catalog (2)&quot;;Extended Properties=&quot;&quot;" command="SELECT * FROM [Photography_Catalog (2)]"/>
  </connection>
  <connection id="22" xr16:uid="{C584A870-9FAD-4511-99CF-0ACF91E4BC5C}" keepAlive="1" name="Query - Photography_Orders" description="Connection to the 'Photography_Orders' query in the workbook." type="5" refreshedVersion="8" background="1" saveData="1">
    <dbPr connection="Provider=Microsoft.Mashup.OleDb.1;Data Source=$Workbook$;Location=Photography_Orders;Extended Properties=&quot;&quot;" command="SELECT * FROM [Photography_Orders]"/>
  </connection>
  <connection id="23" xr16:uid="{9F5B7876-9F68-4A3A-8D59-C056B7DB897C}" keepAlive="1" name="Query - Venue_Catalog" description="Connection to the 'Venue_Catalog' query in the workbook." type="5" refreshedVersion="8" background="1" saveData="1">
    <dbPr connection="Provider=Microsoft.Mashup.OleDb.1;Data Source=$Workbook$;Location=Venue_Catalog;Extended Properties=&quot;&quot;" command="SELECT * FROM [Venue_Catalog]"/>
  </connection>
  <connection id="24" xr16:uid="{14BD0D61-EB39-4577-9C42-8C49A43F179D}" keepAlive="1" name="Query - Venue_Catalog (2)" description="Connection to the 'Venue_Catalog (2)' query in the workbook." type="5" refreshedVersion="0" background="1">
    <dbPr connection="Provider=Microsoft.Mashup.OleDb.1;Data Source=$Workbook$;Location=&quot;Venue_Catalog (2)&quot;;Extended Properties=&quot;&quot;" command="SELECT * FROM [Venue_Catalog (2)]"/>
  </connection>
  <connection id="25" xr16:uid="{BD6F157C-C880-4F76-9A80-4845380EF78B}" keepAlive="1" name="Query - Venue_Orders" description="Connection to the 'Venue_Orders' query in the workbook." type="5" refreshedVersion="8" background="1" saveData="1">
    <dbPr connection="Provider=Microsoft.Mashup.OleDb.1;Data Source=$Workbook$;Location=Venue_Orders;Extended Properties=&quot;&quot;" command="SELECT * FROM [Venue_Ord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<sst xmlns="http://schemas.openxmlformats.org/spreadsheetml/2006/main" count="14989" uniqueCount="470">
  <si>
    <t>Food_ID</t>
  </si>
  <si>
    <t>Category</t>
  </si>
  <si>
    <t>Item_Name</t>
  </si>
  <si>
    <t>Unit_Type</t>
  </si>
  <si>
    <t>Price_Per_Unit</t>
  </si>
  <si>
    <t>Client_Price_Per_Unit</t>
  </si>
  <si>
    <t>Profit_Per_Unit</t>
  </si>
  <si>
    <t>V001</t>
  </si>
  <si>
    <t>Veg Dishes</t>
  </si>
  <si>
    <t>Pappu (Dal)</t>
  </si>
  <si>
    <t>Plate</t>
  </si>
  <si>
    <t>V002</t>
  </si>
  <si>
    <t>Tomato Pappu</t>
  </si>
  <si>
    <t>V003</t>
  </si>
  <si>
    <t>Gongura Pappu</t>
  </si>
  <si>
    <t>V004</t>
  </si>
  <si>
    <t>Palakura Pappu</t>
  </si>
  <si>
    <t>V005</t>
  </si>
  <si>
    <t>Gutti Vankaya</t>
  </si>
  <si>
    <t>V006</t>
  </si>
  <si>
    <t>Bendakaya Vepudu</t>
  </si>
  <si>
    <t>V007</t>
  </si>
  <si>
    <t>Dondakaya Fry</t>
  </si>
  <si>
    <t>V008</t>
  </si>
  <si>
    <t>Chikkudukaya Vepudu</t>
  </si>
  <si>
    <t>V009</t>
  </si>
  <si>
    <t>Beerakaya Pappu</t>
  </si>
  <si>
    <t>V010</t>
  </si>
  <si>
    <t>Mixed Veg Kurma</t>
  </si>
  <si>
    <t>V011</t>
  </si>
  <si>
    <t>Aloo Fry</t>
  </si>
  <si>
    <t>V012</t>
  </si>
  <si>
    <t>Sorakaya Pulusu</t>
  </si>
  <si>
    <t>V013</t>
  </si>
  <si>
    <t>Vankaya Kura</t>
  </si>
  <si>
    <t>V014</t>
  </si>
  <si>
    <t>Tomato Kurma</t>
  </si>
  <si>
    <t>V015</t>
  </si>
  <si>
    <t>Cabbage Curry</t>
  </si>
  <si>
    <t>NV001</t>
  </si>
  <si>
    <t>Non-Veg Dishes</t>
  </si>
  <si>
    <t>Kodi Kura</t>
  </si>
  <si>
    <t>NV002</t>
  </si>
  <si>
    <t>Chicken Fry</t>
  </si>
  <si>
    <t>NV003</t>
  </si>
  <si>
    <t>Natu Kodi Pulusu</t>
  </si>
  <si>
    <t>NV004</t>
  </si>
  <si>
    <t>Mutton Curry</t>
  </si>
  <si>
    <t>NV005</t>
  </si>
  <si>
    <t>Mutton Fry</t>
  </si>
  <si>
    <t>NV006</t>
  </si>
  <si>
    <t>Fish Pulusu</t>
  </si>
  <si>
    <t>NV007</t>
  </si>
  <si>
    <t>Royyala Vepudu</t>
  </si>
  <si>
    <t>NV008</t>
  </si>
  <si>
    <t>Egg Curry</t>
  </si>
  <si>
    <t>NV009</t>
  </si>
  <si>
    <t>Egg Burji</t>
  </si>
  <si>
    <t>NV010</t>
  </si>
  <si>
    <t>Chicken Biryani</t>
  </si>
  <si>
    <t>R001</t>
  </si>
  <si>
    <t>Rice and Staple Items</t>
  </si>
  <si>
    <t>Plain Rice</t>
  </si>
  <si>
    <t>R002</t>
  </si>
  <si>
    <t>Pulihora</t>
  </si>
  <si>
    <t>R003</t>
  </si>
  <si>
    <t>Lemon Rice</t>
  </si>
  <si>
    <t>R004</t>
  </si>
  <si>
    <t>Tomato Rice</t>
  </si>
  <si>
    <t>R005</t>
  </si>
  <si>
    <t>Vegetable Biryani</t>
  </si>
  <si>
    <t>R006</t>
  </si>
  <si>
    <t>Curd Rice</t>
  </si>
  <si>
    <t>R007</t>
  </si>
  <si>
    <t>Bagara Rice</t>
  </si>
  <si>
    <t>R008</t>
  </si>
  <si>
    <t>Ghee Rice</t>
  </si>
  <si>
    <t>R009</t>
  </si>
  <si>
    <t>Paramannam</t>
  </si>
  <si>
    <t>Bowl</t>
  </si>
  <si>
    <t>R010</t>
  </si>
  <si>
    <t>Sambar Rice</t>
  </si>
  <si>
    <t>S001</t>
  </si>
  <si>
    <t>Sweets</t>
  </si>
  <si>
    <t>Bobbatlu</t>
  </si>
  <si>
    <t>Piece</t>
  </si>
  <si>
    <t>S002</t>
  </si>
  <si>
    <t>Ariselu</t>
  </si>
  <si>
    <t>S003</t>
  </si>
  <si>
    <t>Laddu</t>
  </si>
  <si>
    <t>S004</t>
  </si>
  <si>
    <t>Kova Kajjikayalu</t>
  </si>
  <si>
    <t>S005</t>
  </si>
  <si>
    <t>Gulab Jamun</t>
  </si>
  <si>
    <t>S006</t>
  </si>
  <si>
    <t>Rava Kesari</t>
  </si>
  <si>
    <t>S007</t>
  </si>
  <si>
    <t>Payasam</t>
  </si>
  <si>
    <t>S008</t>
  </si>
  <si>
    <t>Jilebi</t>
  </si>
  <si>
    <t>S009</t>
  </si>
  <si>
    <t>Double Ka Meetha</t>
  </si>
  <si>
    <t>S010</t>
  </si>
  <si>
    <t>Badusha</t>
  </si>
  <si>
    <t>C001</t>
  </si>
  <si>
    <t>Coolers &amp; Ice Creams</t>
  </si>
  <si>
    <t>Buttermilk</t>
  </si>
  <si>
    <t>Glass</t>
  </si>
  <si>
    <t>C002</t>
  </si>
  <si>
    <t>Rose Milk</t>
  </si>
  <si>
    <t>C003</t>
  </si>
  <si>
    <t>Mango Ice Cream</t>
  </si>
  <si>
    <t>Cup</t>
  </si>
  <si>
    <t>C004</t>
  </si>
  <si>
    <t>Vanilla Ice Cream</t>
  </si>
  <si>
    <t>C005</t>
  </si>
  <si>
    <t>Kulfi</t>
  </si>
  <si>
    <t>Stick</t>
  </si>
  <si>
    <t>O001</t>
  </si>
  <si>
    <t>Others</t>
  </si>
  <si>
    <t>Tea</t>
  </si>
  <si>
    <t>O002</t>
  </si>
  <si>
    <t>Buscits</t>
  </si>
  <si>
    <t>Four</t>
  </si>
  <si>
    <t>O003</t>
  </si>
  <si>
    <t>Samosa</t>
  </si>
  <si>
    <t>Two</t>
  </si>
  <si>
    <t>O004</t>
  </si>
  <si>
    <t>Cooldrinks</t>
  </si>
  <si>
    <t>O005</t>
  </si>
  <si>
    <t>Coffee</t>
  </si>
  <si>
    <t>Event_No</t>
  </si>
  <si>
    <t>Quantity_Orderd</t>
  </si>
  <si>
    <t>Cost</t>
  </si>
  <si>
    <t>Client_Price</t>
  </si>
  <si>
    <t>Profit</t>
  </si>
  <si>
    <t>Entertainment_ID</t>
  </si>
  <si>
    <t>Act_Type</t>
  </si>
  <si>
    <t>Performer_Name</t>
  </si>
  <si>
    <t>Duration</t>
  </si>
  <si>
    <t>Client_Charge</t>
  </si>
  <si>
    <t>Cultural_Relevance</t>
  </si>
  <si>
    <t>E101</t>
  </si>
  <si>
    <t>Dappu Dance</t>
  </si>
  <si>
    <t>Sadanna &amp; Troupe</t>
  </si>
  <si>
    <t>45 mins</t>
  </si>
  <si>
    <t>Folk</t>
  </si>
  <si>
    <t>E102</t>
  </si>
  <si>
    <t>Bathukamma Songs</t>
  </si>
  <si>
    <t>Sangeetha Sisters</t>
  </si>
  <si>
    <t>60 mins</t>
  </si>
  <si>
    <t>Festival</t>
  </si>
  <si>
    <t>E103</t>
  </si>
  <si>
    <t>DJ + Telugu Hits</t>
  </si>
  <si>
    <t>DJ Ravi</t>
  </si>
  <si>
    <t>3 hours</t>
  </si>
  <si>
    <t>Youth</t>
  </si>
  <si>
    <t>E104</t>
  </si>
  <si>
    <t>Harikatha</t>
  </si>
  <si>
    <t>Sri Ramachary</t>
  </si>
  <si>
    <t>90 mins</t>
  </si>
  <si>
    <t>Classical</t>
  </si>
  <si>
    <t>E105</t>
  </si>
  <si>
    <t>Mimicry &amp; Comedy</t>
  </si>
  <si>
    <t>Telangana Raju</t>
  </si>
  <si>
    <t>Popular</t>
  </si>
  <si>
    <t>Entertainment_Type</t>
  </si>
  <si>
    <t>None</t>
  </si>
  <si>
    <t>No_ID</t>
  </si>
  <si>
    <t>Anchoring + Games</t>
  </si>
  <si>
    <t>Live Band</t>
  </si>
  <si>
    <t>Item</t>
  </si>
  <si>
    <t>Vendor_Name</t>
  </si>
  <si>
    <t>Base_Quantity</t>
  </si>
  <si>
    <t>Delivery_Date</t>
  </si>
  <si>
    <t>Notes</t>
  </si>
  <si>
    <t>Logistics_ID</t>
  </si>
  <si>
    <t>Chairs &amp; Tables</t>
  </si>
  <si>
    <t>Raju Tent House</t>
  </si>
  <si>
    <t>1 day before</t>
  </si>
  <si>
    <t>Includes covers</t>
  </si>
  <si>
    <t>L001</t>
  </si>
  <si>
    <t>Sound System</t>
  </si>
  <si>
    <t>AudioMax Telangana</t>
  </si>
  <si>
    <t>Event day</t>
  </si>
  <si>
    <t>With mic &amp; mixer</t>
  </si>
  <si>
    <t>L002</t>
  </si>
  <si>
    <t>Generator Backup</t>
  </si>
  <si>
    <t>PowerPlus Rentals</t>
  </si>
  <si>
    <t>5-hour backup</t>
  </si>
  <si>
    <t>L003</t>
  </si>
  <si>
    <t>Water Dispensers</t>
  </si>
  <si>
    <t>AquaServe</t>
  </si>
  <si>
    <t>20L cans included</t>
  </si>
  <si>
    <t>L004</t>
  </si>
  <si>
    <t>Fans/Coolers</t>
  </si>
  <si>
    <t>ChillRentals</t>
  </si>
  <si>
    <t>For outdoor venues</t>
  </si>
  <si>
    <t>L005</t>
  </si>
  <si>
    <t>Quantity_Ordered</t>
  </si>
  <si>
    <t>Venue_ID</t>
  </si>
  <si>
    <t>Venue_Name</t>
  </si>
  <si>
    <t>Location</t>
  </si>
  <si>
    <t>Capacity</t>
  </si>
  <si>
    <t>Type</t>
  </si>
  <si>
    <t>Rental_Cost</t>
  </si>
  <si>
    <t>V101</t>
  </si>
  <si>
    <t>Sri Venkateshwara Function Hall</t>
  </si>
  <si>
    <t>Nizamabad</t>
  </si>
  <si>
    <t>Indoor</t>
  </si>
  <si>
    <t>V102</t>
  </si>
  <si>
    <t>Green Acres Garden</t>
  </si>
  <si>
    <t>Hyderabad</t>
  </si>
  <si>
    <t>Outdoor</t>
  </si>
  <si>
    <t>V103</t>
  </si>
  <si>
    <t>Lakshmi Convention</t>
  </si>
  <si>
    <t>Warangal</t>
  </si>
  <si>
    <t>V104</t>
  </si>
  <si>
    <t>Padmavati Kalyana Mandapam</t>
  </si>
  <si>
    <t>Karimnagar</t>
  </si>
  <si>
    <t>V105</t>
  </si>
  <si>
    <t>Telangana Tourism Open Grounds</t>
  </si>
  <si>
    <t>Siddipet</t>
  </si>
  <si>
    <t>Private Residence</t>
  </si>
  <si>
    <t>Temple</t>
  </si>
  <si>
    <t>Photography_ID</t>
  </si>
  <si>
    <t>Service_Type</t>
  </si>
  <si>
    <t>Photographer_Name</t>
  </si>
  <si>
    <t>Package_Details</t>
  </si>
  <si>
    <t>Delivery_Time</t>
  </si>
  <si>
    <t>P001</t>
  </si>
  <si>
    <t>Wedding Full Day</t>
  </si>
  <si>
    <t>ClickTelangana</t>
  </si>
  <si>
    <t>500+ photos + video</t>
  </si>
  <si>
    <t>7 days</t>
  </si>
  <si>
    <t>P002</t>
  </si>
  <si>
    <t>Candid + Drone</t>
  </si>
  <si>
    <t>SkyLens Studios</t>
  </si>
  <si>
    <t>300 photos + drone shots</t>
  </si>
  <si>
    <t>10 days</t>
  </si>
  <si>
    <t>P003</t>
  </si>
  <si>
    <t>Traditional Album</t>
  </si>
  <si>
    <t>Shubham Photos</t>
  </si>
  <si>
    <t>200 photos + album</t>
  </si>
  <si>
    <t>5 days</t>
  </si>
  <si>
    <t>P004</t>
  </si>
  <si>
    <t>Live Streaming</t>
  </si>
  <si>
    <t>EventCast</t>
  </si>
  <si>
    <t>YouTube + Zoom setup</t>
  </si>
  <si>
    <t>Same day</t>
  </si>
  <si>
    <t>P005</t>
  </si>
  <si>
    <t>Pre-Wedding Shoot</t>
  </si>
  <si>
    <t>LoveLens</t>
  </si>
  <si>
    <t>2 locations + edits</t>
  </si>
  <si>
    <t>3 days</t>
  </si>
  <si>
    <t>Decor_ID</t>
  </si>
  <si>
    <t>Décor_Theme</t>
  </si>
  <si>
    <t>Elements_Included</t>
  </si>
  <si>
    <t>Cultural_Fit</t>
  </si>
  <si>
    <t>D001</t>
  </si>
  <si>
    <t>Pelli Pustakam</t>
  </si>
  <si>
    <t>Sri Decor Arts</t>
  </si>
  <si>
    <t>Marigold, mango leaves, brass lamps</t>
  </si>
  <si>
    <t>Traditional</t>
  </si>
  <si>
    <t>Ideal for weddings</t>
  </si>
  <si>
    <t>D002</t>
  </si>
  <si>
    <t>Bathukamma Setup</t>
  </si>
  <si>
    <t>Telangana Events</t>
  </si>
  <si>
    <t>Floral towers, rangoli, saree drapes</t>
  </si>
  <si>
    <t>Festival-specific</t>
  </si>
  <si>
    <t>Seasonal availability</t>
  </si>
  <si>
    <t>D003</t>
  </si>
  <si>
    <t>Royal Nizam Style</t>
  </si>
  <si>
    <t>Hyderabadi Decor</t>
  </si>
  <si>
    <t>Velvet drapes, chandeliers, arches</t>
  </si>
  <si>
    <t>Regal</t>
  </si>
  <si>
    <t>Best for receptions</t>
  </si>
  <si>
    <t>D004</t>
  </si>
  <si>
    <t>Village Vibe</t>
  </si>
  <si>
    <t>Rural Touch</t>
  </si>
  <si>
    <t>Bamboo, jute, bullock cart props</t>
  </si>
  <si>
    <t>Great for themed parties</t>
  </si>
  <si>
    <t>D005</t>
  </si>
  <si>
    <t>Modern Fusion</t>
  </si>
  <si>
    <t>Urban Bloom</t>
  </si>
  <si>
    <t>LED lights, geometric panels</t>
  </si>
  <si>
    <t>Contemporary</t>
  </si>
  <si>
    <t>Customizable colors</t>
  </si>
  <si>
    <t>Decor_Theme</t>
  </si>
  <si>
    <t>Event_ID</t>
  </si>
  <si>
    <t>Event_Name</t>
  </si>
  <si>
    <t>E001</t>
  </si>
  <si>
    <t>Family Events</t>
  </si>
  <si>
    <t>Wedding Reception</t>
  </si>
  <si>
    <t>E002</t>
  </si>
  <si>
    <t>Engagement Ceremony</t>
  </si>
  <si>
    <t>E003</t>
  </si>
  <si>
    <t>Seemantham (Baby Shower)</t>
  </si>
  <si>
    <t>E004</t>
  </si>
  <si>
    <t>Saree Ceremony</t>
  </si>
  <si>
    <t>E005</t>
  </si>
  <si>
    <t>Naming Ceremony</t>
  </si>
  <si>
    <t>E006</t>
  </si>
  <si>
    <t>Cradle Ceremony</t>
  </si>
  <si>
    <t>E007</t>
  </si>
  <si>
    <t>Baby’s First Birthday</t>
  </si>
  <si>
    <t>E008</t>
  </si>
  <si>
    <t>60th Birthday Bash</t>
  </si>
  <si>
    <t>E009</t>
  </si>
  <si>
    <t>Housewarming Ceremony</t>
  </si>
  <si>
    <t>E010</t>
  </si>
  <si>
    <t>Family Get-Together</t>
  </si>
  <si>
    <t>E011</t>
  </si>
  <si>
    <t>Temple Visit</t>
  </si>
  <si>
    <t>E012</t>
  </si>
  <si>
    <t>Academic Events</t>
  </si>
  <si>
    <t>College Farewell</t>
  </si>
  <si>
    <t>E013</t>
  </si>
  <si>
    <t>College Orientation</t>
  </si>
  <si>
    <t>E014</t>
  </si>
  <si>
    <t>College Cultural Night</t>
  </si>
  <si>
    <t>E015</t>
  </si>
  <si>
    <t>School Annual Day</t>
  </si>
  <si>
    <t>E016</t>
  </si>
  <si>
    <t>School Sports Day</t>
  </si>
  <si>
    <t>E017</t>
  </si>
  <si>
    <t>School Science Exhibition</t>
  </si>
  <si>
    <t>E018</t>
  </si>
  <si>
    <t>Parent-Teacher Meeting</t>
  </si>
  <si>
    <t>E019</t>
  </si>
  <si>
    <t>Teacher Felicitation</t>
  </si>
  <si>
    <t>E020</t>
  </si>
  <si>
    <t>Workshop for Teachers</t>
  </si>
  <si>
    <t>E021</t>
  </si>
  <si>
    <t>College Alumni Meet</t>
  </si>
  <si>
    <t>E022</t>
  </si>
  <si>
    <t>Quiz Competition</t>
  </si>
  <si>
    <t>E023</t>
  </si>
  <si>
    <t>Religious Events</t>
  </si>
  <si>
    <t>Temple Flower Festival</t>
  </si>
  <si>
    <t>E024</t>
  </si>
  <si>
    <t>Temple Flag Hoisting</t>
  </si>
  <si>
    <t>E025</t>
  </si>
  <si>
    <t>Ganesh Visarjan</t>
  </si>
  <si>
    <t>E026</t>
  </si>
  <si>
    <t>Navratri Garba Night</t>
  </si>
  <si>
    <t>E027</t>
  </si>
  <si>
    <t>Diwali Celebration</t>
  </si>
  <si>
    <t>E028</t>
  </si>
  <si>
    <t>Eid Gathering</t>
  </si>
  <si>
    <t>E029</t>
  </si>
  <si>
    <t>Bhajan Sandhya</t>
  </si>
  <si>
    <t>E030</t>
  </si>
  <si>
    <t>Kalyanam (Temple Wedding)</t>
  </si>
  <si>
    <t>E031</t>
  </si>
  <si>
    <t>Prasadam Distribution</t>
  </si>
  <si>
    <t>E032</t>
  </si>
  <si>
    <t>Community Events</t>
  </si>
  <si>
    <t>NGO Health Camp</t>
  </si>
  <si>
    <t>E033</t>
  </si>
  <si>
    <t>NGO Volunteer Orientation</t>
  </si>
  <si>
    <t>E034</t>
  </si>
  <si>
    <t>Public Awareness Drive</t>
  </si>
  <si>
    <t>E035</t>
  </si>
  <si>
    <t>Blood Donation Camp</t>
  </si>
  <si>
    <t>E036</t>
  </si>
  <si>
    <t>Art &amp; Craft Fair</t>
  </si>
  <si>
    <t>E037</t>
  </si>
  <si>
    <t>Local Food Festival</t>
  </si>
  <si>
    <t>E038</t>
  </si>
  <si>
    <t>Traditional Dance Recital</t>
  </si>
  <si>
    <t>E039</t>
  </si>
  <si>
    <t>Independence Day Celebration</t>
  </si>
  <si>
    <t>E040</t>
  </si>
  <si>
    <t>Cultural Program</t>
  </si>
  <si>
    <t>E041</t>
  </si>
  <si>
    <t>Public Debate Forum</t>
  </si>
  <si>
    <t>E042</t>
  </si>
  <si>
    <t>Personal Events</t>
  </si>
  <si>
    <t>Bachelorette Party</t>
  </si>
  <si>
    <t>E043</t>
  </si>
  <si>
    <t>Candlelight Dinner Proposal</t>
  </si>
  <si>
    <t>E044</t>
  </si>
  <si>
    <t>Kids Summer Camp</t>
  </si>
  <si>
    <t>E045</t>
  </si>
  <si>
    <t>Movie Night</t>
  </si>
  <si>
    <t>E046</t>
  </si>
  <si>
    <t>Cooking Masterclass</t>
  </si>
  <si>
    <t>E047</t>
  </si>
  <si>
    <t>Saree Draping Workshop</t>
  </si>
  <si>
    <t>Event_Type</t>
  </si>
  <si>
    <t>Guest_Count</t>
  </si>
  <si>
    <t>Budget_Tier</t>
  </si>
  <si>
    <t>Event_Date</t>
  </si>
  <si>
    <t>Venue_Cost</t>
  </si>
  <si>
    <t>Photography_Cost</t>
  </si>
  <si>
    <t>Entertainment_Cost</t>
  </si>
  <si>
    <t>Decor_Cost</t>
  </si>
  <si>
    <t>Logistic_Items</t>
  </si>
  <si>
    <t>Logistics_Cost</t>
  </si>
  <si>
    <t>Food_Items</t>
  </si>
  <si>
    <t>Food_Cost</t>
  </si>
  <si>
    <t>Planner_Remuneration</t>
  </si>
  <si>
    <t>Final_Cost</t>
  </si>
  <si>
    <t>Premium</t>
  </si>
  <si>
    <t>Chairs &amp; Tables, Sound System, Water Dispensers, Fans/Coolers, Generator Backup</t>
  </si>
  <si>
    <t>Plain Rice,Pulihora,Curd Rice,Sambar Rice,Bagara Rice,Ghee Rice,Vegetable Biryani,Tomato Rice,Paramannam,Pappu (Dal),Gongura Pappu,Beerakaya Pappu,Palakura Pappu,Tomato Kurma,Mixed Veg Kurma,Sorakaya Pulusu,Vankaya Kura,Gutti Vankaya,Dondakaya Fry,Bendakaya Vepudu,Aloo Fry,Cabbage Curry,Kodi Kura,Chicken Fry,Mutton Curry,Mutton Fry,Fish Pulusu,Royyala Vepudu,Egg Curry,Chicken Biryani,Bobbatlu,Ariselu,Laddu,Double Ka Meetha,Payasam,Gulab Jamun,Badusha,Jilebi,Buttermilk,Rose Milk,Kulfi,Mango Ice Cream,Tea,Coffee,Samosa,Cooldrinks</t>
  </si>
  <si>
    <t>Medium</t>
  </si>
  <si>
    <t>Plain Rice,Pulihora,Curd Rice,Bagara Rice,Ghee Rice,Vegetable Biryani,Tomato Rice,Paramannam,Pappu (Dal),Gongura Pappu,Mixed Veg Kurma,Sorakaya Pulusu,Vankaya Kura,Gutti Vankaya,Aloo Fry,Cabbage Curry,Kodi Kura,Chicken Fry,Chicken Biryani,Mutton Curry,Fish Pulusu,Bobbatlu,Ariselu,Payasam,Laddu,Gulab Jamun,Jilebi,Buttermilk,Rose Milk,Tea,Coffee,Samosa,Cooldrinks</t>
  </si>
  <si>
    <t>Budget</t>
  </si>
  <si>
    <t>Pulihora,Curd Rice,Plain Rice,Paramannam,Pappu (Dal),Gongura Pappu,Tomato Kurma,Mixed Veg Kurma,Sorakaya Pulusu,Aloo Fry,Cabbage Curry,Bobbatlu,Ariselu,Payasam,Laddu,Gulab Jamun,Buttermilk,Tea,Coffee</t>
  </si>
  <si>
    <t>Pulihora,Curd Rice,Plain Rice,Vegetable Biryani,Gongura Pappu,Mixed Veg Kurma,Sorakaya Pulusu,Aloo Fry,Cabbage Curry,Kodi Kura,Chicken Fry,Chicken Biryani,Mutton Curry,Fish Pulusu,Bobbatlu,Ariselu,Payasam,Gulab Jamun,Jilebi,Buttermilk,Rose Milk,Tea,Coffee,Samosa,Cooldrinks</t>
  </si>
  <si>
    <t>Plain Rice,Pulihora,Curd Rice,Bagara Rice,Ghee Rice,Vegetable Biryani,Paramannam,Pappu (Dal),Gongura Pappu,Mixed Veg Kurma,Sorakaya Pulusu,Vankaya Kura,Gutti Vankaya,Aloo Fry,Cabbage Curry,Bobbatlu,Ariselu,Payasam,Laddu,Gulab Jamun,Jilebi,Buttermilk,Rose Milk,Tea,Coffee,Cooldrinks,Samosa,Buscits</t>
  </si>
  <si>
    <t>Chairs &amp; Tables, Sound System, Water Dispensers, Fans/Coolers</t>
  </si>
  <si>
    <t>Plain Rice,Pulihora,Curd Rice,Bagara Rice,Ghee Rice,Vegetable Biryani,Chicken Biryani,Kodi Kura,Chicken Fry,Mutton Curry,Fish Pulusu,Royyala Vepudu,Mixed Veg Kurma,Gutti Vankaya,Aloo Fry,Cabbage Curry,Bobbatlu,Ariselu,Payasam,Double Ka Meetha,Gulab Jamun,Jilebi,Buttermilk,Rose Milk,Tea,Coffee,Cooldrinks,Samosa,Buscits</t>
  </si>
  <si>
    <t>Chairs &amp; Tables,  Water Dispensers, Fans/Coolers, Generator Backup</t>
  </si>
  <si>
    <t>Plain Rice,Pulihora,Curd Rice,Bagara Rice,Ghee Rice,Vegetable Biryani,Chicken Biryani,Kodi Kura,Chicken Fry,Mutton Curry,Fish Pulusu,Royyala Vepudu,Pappu (Dal),Gongura Pappu,Mixed Veg Kurma,Gutti Vankaya,Aloo Fry,Cabbage Curry,Bobbatlu,Ariselu,Payasam,Double Ka Meetha,Laddu,Gulab Jamun,Jilebi,Buttermilk,Rose Milk,Tea,Coffee,Cooldrinks,Samosa,Buscits</t>
  </si>
  <si>
    <t>Plain Rice,Pulihora,Curd Rice,Sambar Rice,Bagara Rice,Ghee Rice,Vegetable Biryani,Paramannam,Pappu (Dal),Gongura Pappu,Tomato Kurma,Mixed Veg Kurma,Sorakaya Pulusu,Vankaya Kura,Gutti Vankaya,Aloo Fry,Cabbage Curry,Kodi Kura,Chicken Fry,Chicken Biryani,Mutton Curry,Fish Pulusu,Bobbatlu,Ariselu,Payasam,Laddu,Gulab Jamun,Jilebi,Buttermilk,Rose Milk,Tea,Coffee,Cooldrinks</t>
  </si>
  <si>
    <t>Plain Rice,Pulihora,Curd Rice,Bagara Rice,Ghee Rice,Vegetable Biryani,Tomato Rice,Pappu (Dal),Gongura Pappu,Mixed Veg Kurma,Sorakaya Pulusu,Aloo Fry,Cabbage Curry,Kodi Kura,Chicken Fry,Chicken Biryani,Mutton Curry,Fish Pulusu,Bobbatlu,Ariselu,Payasam,Gulab Jamun,Jilebi,Buttermilk,Rose Milk,Tea,Coffee,Samosa,Cooldrinks</t>
  </si>
  <si>
    <t>Pulihora,Curd Rice,Paramannam,Pappu (Dal),Gongura Pappu,Sorakaya Pulusu,Aloo Fry,Cabbage Curry,Bobbatlu,Ariselu,Payasam,Buttermilk,Tea,Coffee</t>
  </si>
  <si>
    <t>Tea,Coffee,Buttermilk,Rose Milk,Cooldrinks,Samosa,Buscits,Pulihora,Curd Rice,Bagara Rice,Ghee Rice,Vegetable Biryani,Tomato Rice,Pappu (Dal),Mixed Veg Kurma,Aloo Fry,Cabbage Curry,Kodi Kura,Chicken Fry,Chicken Biryani,Mutton Curry,Fish Pulusu,Bobbatlu,Ariselu,Payasam,Laddu,Gulab Jamun,Jilebi,Double Ka Meetha</t>
  </si>
  <si>
    <t>Tea,Coffee,Buttermilk,Rose Milk,Cooldrinks,Samosa,Buscits,Pulihora,Curd Rice,Aloo Fry,Cabbage Curry,Vegetable Biryani,Mixed Veg Kurma,Bobbatlu,Payasam,Gulab Jamun,Jilebi</t>
  </si>
  <si>
    <t>Tea,Coffee,Buttermilk,Rose Milk,Buscits,Samosa,Cooldrinks,Pulihora,Curd Rice,Aloo Fry,Cabbage Curry,Gulab Jamun,Payasam</t>
  </si>
  <si>
    <t>Tea,Coffee,Buttermilk,Rose Milk,Buscits,Samosa,Cooldrinks,Pulihora,Curd Rice,Aloo Fry,Cabbage Curry,Bobbatlu,Payasam,Gulab Jamun</t>
  </si>
  <si>
    <t>Pulihora,Curd Rice,Vegetable Biryani,Mixed Veg Kurma,Aloo Fry,Cabbage Curry,Bobbatlu,Ariselu,Payasam,Gulab Jamun,Tea,Coffee,Buttermilk,Rose Milk,Samosa</t>
  </si>
  <si>
    <t>Tea,Coffee,Buttermilk,Buscits,Samosa,Pulihora,Curd Rice,Aloo Fry,Cabbage Curry,Mixed Veg Kurma,Bobbatlu,Payasam,Chicken Biryani</t>
  </si>
  <si>
    <t>Pulihora,Curd Rice,Plain Rice,Sambar Rice,Bagara Rice,Ghee Rice,Vegetable Biryani,Paramannam,Pappu (Dal),Gongura Pappu,Tomato Kurma,Mixed Veg Kurma,Sorakaya Pulusu,Vankaya Kura,Gutti Vankaya,Aloo Fry,Cabbage Curry,Bobbatlu,Ariselu,Payasam,Laddu,Gulab Jamun,Jilebi,Buttermilk,Rose Milk,Tea,Coffee,Cooldrinks,Samosa</t>
  </si>
  <si>
    <t>Pulihora,Curd Rice,Vegetable Biryani,Mixed Veg Kurma,Aloo Fry,Cabbage Curry,Bobbatlu,Ariselu,Payasam,Gulab Jamun,Jilebi,Buttermilk,Rose Milk,Tea,Coffee,Samosa,Cooldrinks</t>
  </si>
  <si>
    <t>Plain Rice,Pulihora,Curd Rice,Sambar Rice,Bagara Rice,Ghee Rice,Vegetable Biryani,Tomato Rice,Paramannam,Pappu (Dal),Gongura Pappu,Tomato Kurma,Mixed Veg Kurma,Sorakaya Pulusu,Vankaya Kura,Gutti Vankaya,Aloo Fry,Cabbage Curry,Bobbatlu,Ariselu,Payasam,Laddu,Gulab Jamun,Jilebi,Double Ka Meetha,Buttermilk,Rose Milk,Tea,Coffee,Cooldrinks,Samosa</t>
  </si>
  <si>
    <t>Plain Rice,Bagara Rice,Ghee Rice,Vegetable Biryani,Chicken Biryani,Kodi Kura,Chicken Fry,Mutton Curry,Mutton Fry,Fish Pulusu,Royyala Vepudu,Paramannam,Pulihora,Curd Rice,Pappu (Dal),Mixed Veg Kurma,Aloo Fry,Cabbage Curry,Bobbatlu,Ariselu,Payasam,Laddu,Gulab Jamun,Jilebi,Double Ka Meetha,Buttermilk,Rose Milk,Tea,Coffee,Cooldrinks,Samosa</t>
  </si>
  <si>
    <t>Chairs &amp; Tables, Sound System, Water Dispensers, Generator Backup</t>
  </si>
  <si>
    <t>Pulihora,Curd Rice,Plain Rice,Sambar Rice,Bagara Rice,Ghee Rice,Vegetable Biryani,Paramannam,Pappu (Dal),Gongura Pappu,Tomato Kurma,Mixed Veg Kurma,Sorakaya Pulusu,Vankaya Kura,Gutti Vankaya,Aloo Fry,Cabbage Curry,Bobbatlu,Ariselu,Payasam,Laddu,Gulab Jamun,Jilebi,Buttermilk,Rose Milk,Tea,Coffee,Cooldrinks,Samosa,Buscits</t>
  </si>
  <si>
    <t>Plain Rice,Pulihora,Curd Rice,Sambar Rice,Bagara Rice,Ghee Rice,Vegetable Biryani,Paramannam,Pappu (Dal),Gongura Pappu,Tomato Kurma,Mixed Veg Kurma,Sorakaya Pulusu,Vankaya Kura,Gutti Vankaya,Aloo Fry,Cabbage Curry,Bobbatlu,Ariselu,Payasam,Laddu,Gulab Jamun,Jilebi,Buttermilk,Rose Milk,Tea,Coffee,Cooldrinks</t>
  </si>
  <si>
    <t>Pulihora,Curd Rice,Paramannam,Pappu (Dal),Gongura Pappu,Sorakaya Pulusu,Aloo Fry,Cabbage Curry,Bobbatlu,Ariselu,Payasam,Laddu,Tea,Buttermilk</t>
  </si>
  <si>
    <t>Tea,Coffee,Buttermilk,Rose Milk,Cooldrinks,Buscits,Samosa,Pulihora,Curd Rice,Aloo Fry,Cabbage Curry,Bobbatlu,Payasam</t>
  </si>
  <si>
    <t>Tea,Coffee,Buttermilk,Rose Milk,Samosa,Buscits,Cooldrinks,Pulihora,Curd Rice,Aloo Fry,Cabbage Curry,Bobbatlu,Payasam,Gulab Jamun</t>
  </si>
  <si>
    <t>Chairs &amp; Tables, Water Dispensers, Fans/Coolers</t>
  </si>
  <si>
    <t>Tea,Coffee,Buttermilk,Rose Milk,Cooldrinks,Buscits,Samosa,Bobbatlu,Payasam,Gulab Jamun,Jilebi,Pulihora,Curd Rice,Aloo Fry,Cabbage Curry,Apple</t>
  </si>
  <si>
    <t>Plain Rice,Curd Rice,Sambar Rice,Bagara Rice,Vegetable Biryani,Tomato Rice,Paramannam,Pappu (Dal),Gongura Pappu,Beerakaya Pappu,Palakura Pappu,Tomato Kurma,Mixed Veg Kurma,Gutti Vankaya,Dondakaya Fry,Bendakaya Vepudu,Aloo Fry,Chicken Fry,Mutton Curry,Mutton Fry,Chicken Biryani,Ariselu,Laddu,Double Ka Meetha,Gulab Jamun,Badusha,Jilebi,Buttermilk,Kulfi,Mango Ice Cream,Tea,Cooldrinks</t>
  </si>
  <si>
    <t>Pulihora,Curd Rice,Paramannam,Pappu (Dal),Gongura Pappu,Tomato Kurma,Mixed Veg Kurma,Sorakaya Pulusu,Aloo Fry,Cabbage Curry,Bobbatlu,Ariselu,Payasam,Laddu,Double Ka Meetha,Buttermilk,Rose Milk,Tea,Coffee</t>
  </si>
  <si>
    <t>Tea,Coffee,Buttermilk,Rose Milk,Cooldrinks,Samosa,Buscits,Pulihora,Curd Rice,Aloo Fry,Cabbage Curry,Bobbatlu,Payasam,Gulab Jamun,Jilebi</t>
  </si>
  <si>
    <t>Tea,Coffee,Buttermilk,Rose Milk,Cooldrinks,Samosa,Buscits,Pulihora,Curd Rice,Aloo Fry,Cabbage Curry,Vegetable Biryani,Mixed Veg Kurma,Bobbatlu,Ariselu,Payasam,Gulab Jamun,Jilebi</t>
  </si>
  <si>
    <t>Bagara Rice,Ghee Rice,Vegetable Biryani,Chicken Biryani,Kodi Kura,Chicken Fry,Mutton Curry,Fish Pulusu,Royyala Vepudu,Mixed Veg Kurma,Gutti Vankaya,Aloo Fry,Bobbatlu,Ariselu,Payasam,Double Ka Meetha,Gulab Jamun,Jilebi,Rose Milk,Tea,Coffee,Cooldrinks,Samosa,Buscits</t>
  </si>
  <si>
    <t>Ghee Rice,Vegetable Biryani,Gutti Vankaya,Mixed Veg Kurma,Chicken Fry,Chicken Biryani,Bobbatlu,Double Ka Meetha,Rose Milk,Tea</t>
  </si>
  <si>
    <t>Chairs &amp; Tables, Water Dispensers, Fans/Coolers, Generator Backup</t>
  </si>
  <si>
    <t>Tea,Coffee,Buttermilk,Rose Milk,Cooldrinks,Samosa,Buscits,Pulihora,Curd Rice,Aloo Fry,Cabbage Curry,Gulab Jamun,Jilebi,Bobbatlu,Payasam,Kulfi,Mango Ice Cream</t>
  </si>
  <si>
    <t>Tea,Coffee,Buttermilk,Rose Milk,Cooldrinks,Samosa,Buscits,Gulab Jamun,Jilebi,Bobbatlu,Payasam,Pulihora,Curd Rice,Aloo Fry,Cabbage Curry</t>
  </si>
  <si>
    <t>Pulihora,Curd Rice,Vegetable Biryani,Tomato Rice,Gongura Pappu,Mixed Veg Kurma,Sorakaya Pulusu,Gutti Vankaya,Kodi Kura,Chicken Fry,Chicken Biryani,Mutton Curry,Fish Pulusu,Bobbatlu,Ariselu,Payasam,Double Ka Meetha,Jilebi</t>
  </si>
  <si>
    <t>Tea,Coffee,Buttermilk,Rose Milk,Samosa,Buscits,Pulihora,Curd Rice,Aloo Fry,Cabbage Curry,Bobbatlu,Payasam,Gulab Jamun</t>
  </si>
  <si>
    <t>Tea,Coffee,Buttermilk,Buscits,Samosa,Pulihora,Curd Rice,Aloo Fry,Cabbage Curry,Mixed Veg Kurma,Bobbatlu,Payasam</t>
  </si>
  <si>
    <t>Chairs &amp; Tables, Fans/Coolers, Generator Backup</t>
  </si>
  <si>
    <t>Remuneration</t>
  </si>
  <si>
    <t xml:space="preserve">Budget </t>
  </si>
  <si>
    <t>Budget Tier</t>
  </si>
  <si>
    <t>Typical Guest Count</t>
  </si>
  <si>
    <t>50–200 guests</t>
  </si>
  <si>
    <t>Focus on close family and friends</t>
  </si>
  <si>
    <t>201–500 guests</t>
  </si>
  <si>
    <t>Includes extended family and community</t>
  </si>
  <si>
    <t>501–1500+ guests</t>
  </si>
  <si>
    <t>Full planning, vendor negotiation, logistics, and day-of execution</t>
  </si>
  <si>
    <t>Ratings</t>
  </si>
  <si>
    <t>Client_Budget</t>
  </si>
  <si>
    <t>Venue_Charge</t>
  </si>
  <si>
    <t>Photography_Charge</t>
  </si>
  <si>
    <t>Entertainment_Charge</t>
  </si>
  <si>
    <t>Decor_Charge</t>
  </si>
  <si>
    <t>Logistics_Charge</t>
  </si>
  <si>
    <t>Food_Charge</t>
  </si>
  <si>
    <t>Event_Budget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</si>
</sst>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Calibri"/>
      <family val="2"/>
      <scheme val="minor"/>
    </font>
    <font>
      <b/>
      <sz val="12"/>
      <color theme="1"/>
      <name val="Calibri"/>
      <family val="2"/>
      <scheme val="minor"/>
    </font>
    <font>
      <sz val="14"/>
      <color theme="1"/>
      <name val="Calibri"/>
      <family val="2"/>
      <scheme val="minor"/>
    </font>
    <font>
      <b/>
      <sz val="14"/>
      <color theme="1"/>
      <name val="Calibri"/>
      <family val="2"/>
      <scheme val="minor"/>
    </font>
  </fonts>
  <fills count="2">
    <fill>
      <patternFill patternType="none"/>
    </fill>
    <fill>
      <patternFill patternType="gray125"/>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8">
    <xf numFmtId="0" fontId="0" fillId="0" borderId="0" xfId="0"/>
    <xf numFmtId="0" fontId="1" fillId="0" borderId="1" xfId="0" applyFont="1" applyBorder="1"/>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Alignment="1">
      <alignment horizontal="center" vertical="center"/>
    </xf>
    <xf numFmtId="14" fontId="0" fillId="0" borderId="0" xfId="0" applyNumberFormat="1" applyAlignment="1">
      <alignment horizontal="center" vertical="center"/>
    </xf>
    <xf numFmtId="49" fontId="2" fillId="0" borderId="5" xfId="0" applyNumberFormat="1" applyFont="1" applyBorder="1" applyAlignment="1">
      <alignment vertical="center"/>
    </xf>
    <xf numFmtId="49" fontId="3" fillId="0" borderId="1" xfId="0" applyNumberFormat="1" applyFont="1" applyBorder="1"/>
    <xf numFmtId="164" fontId="3" fillId="0" borderId="3" xfId="0" applyNumberFormat="1" applyFont="1" applyBorder="1"/>
    <xf numFmtId="0" fontId="2" fillId="0" borderId="0" xfId="0" applyFont="1"/>
    <xf numFmtId="49" fontId="2" fillId="0" borderId="4" xfId="0" applyNumberFormat="1" applyFont="1" applyBorder="1"/>
    <xf numFmtId="164" fontId="2" fillId="0" borderId="6" xfId="0" applyNumberFormat="1" applyFont="1" applyBorder="1"/>
    <xf numFmtId="49" fontId="2" fillId="0" borderId="7" xfId="0" applyNumberFormat="1" applyFont="1" applyBorder="1"/>
    <xf numFmtId="164" fontId="2" fillId="0" borderId="9" xfId="0" applyNumberFormat="1" applyFont="1" applyBorder="1"/>
    <xf numFmtId="49" fontId="3" fillId="0" borderId="1"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vertical="center"/>
    </xf>
    <xf numFmtId="49" fontId="2" fillId="0" borderId="6" xfId="0" applyNumberFormat="1" applyFont="1" applyBorder="1" applyAlignment="1">
      <alignment vertical="center"/>
    </xf>
    <xf numFmtId="49" fontId="3" fillId="0" borderId="7" xfId="0" applyNumberFormat="1" applyFont="1" applyBorder="1" applyAlignment="1">
      <alignment vertical="center"/>
    </xf>
    <xf numFmtId="49" fontId="2" fillId="0" borderId="8" xfId="0" applyNumberFormat="1" applyFont="1" applyBorder="1" applyAlignment="1">
      <alignment vertical="center"/>
    </xf>
    <xf numFmtId="49" fontId="2" fillId="0" borderId="9" xfId="0" applyNumberFormat="1" applyFont="1" applyBorder="1"/>
  </cellXfs>
  <cellStyles count="1">
    <cellStyle name="Normal" xfId="0" builtinId="0"/>
  </cellStyles>
  <dxfs count="103">
    <dxf>
      <font>
        <strike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numFmt numFmtId="30" formatCode="@"/>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4"/>
        <color theme="1"/>
        <name val="Calibri"/>
        <family val="2"/>
        <scheme val="minor"/>
      </font>
      <numFmt numFmtId="30" formatCode="@"/>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numFmt numFmtId="30" formatCode="@"/>
    </dxf>
    <dxf>
      <border outline="0">
        <bottom style="thin">
          <color indexed="64"/>
        </bottom>
      </border>
    </dxf>
    <dxf>
      <font>
        <b/>
        <i val="0"/>
        <strike val="0"/>
        <condense val="0"/>
        <extend val="0"/>
        <outline val="0"/>
        <shadow val="0"/>
        <u val="none"/>
        <vertAlign val="baseline"/>
        <sz val="14"/>
        <color theme="1"/>
        <name val="Calibri"/>
        <family val="2"/>
        <scheme val="minor"/>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4"/>
        <color theme="1"/>
        <name val="Calibri"/>
        <family val="2"/>
        <scheme val="minor"/>
      </font>
      <numFmt numFmtId="164" formatCode="&quot;₹&quot;\ #,##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4"/>
        <color theme="1"/>
        <name val="Calibri"/>
        <family val="2"/>
        <scheme val="minor"/>
      </font>
      <numFmt numFmtId="30" formatCode="@"/>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4"/>
        <color theme="1"/>
        <name val="Calibri"/>
        <family val="2"/>
        <scheme val="minor"/>
      </font>
    </dxf>
    <dxf>
      <border outline="0">
        <bottom style="thin">
          <color indexed="64"/>
        </bottom>
      </border>
    </dxf>
    <dxf>
      <font>
        <strike val="0"/>
        <outline val="0"/>
        <shadow val="0"/>
        <u val="none"/>
        <vertAlign val="baseline"/>
        <sz val="14"/>
        <color theme="1"/>
        <name val="Calibri"/>
        <family val="2"/>
        <scheme val="minor"/>
      </font>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yyyy/mm/dd"/>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4" xr16:uid="{B2AAF26C-5DDB-4BD5-A6ED-203FD8F89698}" autoFormatId="16" applyNumberFormats="0" applyBorderFormats="0" applyFontFormats="0" applyPatternFormats="0" applyAlignmentFormats="0" applyWidthHeightFormats="0">
  <queryTableRefresh nextId="8">
    <queryTableFields count="7">
      <queryTableField id="1" name="Food_ID" tableColumnId="1"/>
      <queryTableField id="2" name="Category" tableColumnId="2"/>
      <queryTableField id="3" name="Item_Name" tableColumnId="3"/>
      <queryTableField id="4" name="Unit_Type" tableColumnId="4"/>
      <queryTableField id="5" name="Price_Per_Unit" tableColumnId="5"/>
      <queryTableField id="6" name="Client_Price_Per_Unit" tableColumnId="6"/>
      <queryTableField id="7" name="Profit_Per_Unit"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6" xr16:uid="{72ECBB3F-6A68-420A-872C-0B8D774E5BBB}" autoFormatId="16" applyNumberFormats="0" applyBorderFormats="0" applyFontFormats="0" applyPatternFormats="0" applyAlignmentFormats="0" applyWidthHeightFormats="0">
  <queryTableRefresh nextId="12">
    <queryTableFields count="9">
      <queryTableField id="1" name="Event_No" tableColumnId="1"/>
      <queryTableField id="4" name="Venue_ID" tableColumnId="4"/>
      <queryTableField id="5" name="Category" tableColumnId="5"/>
      <queryTableField id="6" name="Item_Name" tableColumnId="6"/>
      <queryTableField id="7" name="Unit_Type" tableColumnId="7"/>
      <queryTableField id="11" dataBound="0" tableColumnId="11"/>
      <queryTableField id="8" name="Price_Per_Unit" tableColumnId="8"/>
      <queryTableField id="9" name="Client_Price_Per_Unit" tableColumnId="9"/>
      <queryTableField id="10" name="Profit_Per_Unit" tableColumnId="10"/>
    </queryTableFields>
    <queryTableDeletedFields count="2">
      <deletedField name="Attribute"/>
      <deletedField name="Valu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11E63A2B-DC1D-474C-A3E0-571C4D922C85}" autoFormatId="16" applyNumberFormats="0" applyBorderFormats="0" applyFontFormats="0" applyPatternFormats="0" applyAlignmentFormats="0" applyWidthHeightFormats="0">
  <queryTableRefresh nextId="9">
    <queryTableFields count="8">
      <queryTableField id="1" name="Entertainment_ID" tableColumnId="1"/>
      <queryTableField id="2" name="Act Type" tableColumnId="2"/>
      <queryTableField id="3" name="Performer Name" tableColumnId="3"/>
      <queryTableField id="4" name="Duration" tableColumnId="4"/>
      <queryTableField id="5" name="Cost" tableColumnId="5"/>
      <queryTableField id="6" name="Client Charge" tableColumnId="6"/>
      <queryTableField id="7" name="Profit" tableColumnId="7"/>
      <queryTableField id="8" name="Cultural Relevance"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6" xr16:uid="{704D1619-510B-4DD9-82FF-7DDA49A1E7D2}" autoFormatId="16" applyNumberFormats="0" applyBorderFormats="0" applyFontFormats="0" applyPatternFormats="0" applyAlignmentFormats="0" applyWidthHeightFormats="0">
  <queryTableRefresh nextId="11">
    <queryTableFields count="7">
      <queryTableField id="1" name="Event_No" tableColumnId="1"/>
      <queryTableField id="2" name="Entertainment_Type" tableColumnId="2"/>
      <queryTableField id="3" name="Entertainment_ID" tableColumnId="3"/>
      <queryTableField id="4" name="Act Type" tableColumnId="4"/>
      <queryTableField id="7" name="Cost" tableColumnId="7"/>
      <queryTableField id="8" name="Client Charge" tableColumnId="8"/>
      <queryTableField id="9" name="Profit" tableColumnId="9"/>
    </queryTableFields>
    <queryTableDeletedFields count="3">
      <deletedField name="Performer Name"/>
      <deletedField name="Duration"/>
      <deletedField name="Cultural Relevance"/>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7" xr16:uid="{CD5C84DD-1EFC-4B92-AF9C-D9366379582B}" autoFormatId="16" applyNumberFormats="0" applyBorderFormats="0" applyFontFormats="0" applyPatternFormats="0" applyAlignmentFormats="0" applyWidthHeightFormats="0">
  <queryTableRefresh nextId="10">
    <queryTableFields count="9">
      <queryTableField id="1" name="Item" tableColumnId="1"/>
      <queryTableField id="2" name="Vendor Name" tableColumnId="2"/>
      <queryTableField id="3" name="Quantity" tableColumnId="3"/>
      <queryTableField id="4" name="Cost" tableColumnId="4"/>
      <queryTableField id="5" name="Client Charge" tableColumnId="5"/>
      <queryTableField id="6" name="Profit" tableColumnId="6"/>
      <queryTableField id="7" name="Delivery Date" tableColumnId="7"/>
      <queryTableField id="8" name="Notes" tableColumnId="8"/>
      <queryTableField id="9" name="Logistics_ID"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9" xr16:uid="{34E3457D-C95C-4651-BF5B-C98F1E5C7C74}" autoFormatId="16" applyNumberFormats="0" applyBorderFormats="0" applyFontFormats="0" applyPatternFormats="0" applyAlignmentFormats="0" applyWidthHeightFormats="0">
  <queryTableRefresh nextId="14">
    <queryTableFields count="8">
      <queryTableField id="1" name="Event_No" tableColumnId="1"/>
      <queryTableField id="4" name="Item" tableColumnId="4"/>
      <queryTableField id="6" name="Quantity" tableColumnId="6"/>
      <queryTableField id="13" dataBound="0" tableColumnId="2"/>
      <queryTableField id="7" name="Cost" tableColumnId="7"/>
      <queryTableField id="8" name="Client Charge" tableColumnId="8"/>
      <queryTableField id="9" name="Profit" tableColumnId="9"/>
      <queryTableField id="12" name="Logistics_ID" tableColumnId="12"/>
    </queryTableFields>
    <queryTableDeletedFields count="5">
      <deletedField name="Attribute"/>
      <deletedField name="Value"/>
      <deletedField name="Vendor Name"/>
      <deletedField name="Notes"/>
      <deletedField name="Delivery Date"/>
    </queryTableDeleted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23" xr16:uid="{5B7EE056-30BF-4640-BB11-2EA5BDC647EC}" autoFormatId="16" applyNumberFormats="0" applyBorderFormats="0" applyFontFormats="0" applyPatternFormats="0" applyAlignmentFormats="0" applyWidthHeightFormats="0">
  <queryTableRefresh nextId="9">
    <queryTableFields count="8">
      <queryTableField id="1" name="Venue_ID" tableColumnId="1"/>
      <queryTableField id="2" name="Venue Name" tableColumnId="2"/>
      <queryTableField id="3" name="Location" tableColumnId="3"/>
      <queryTableField id="4" name="Capacity" tableColumnId="4"/>
      <queryTableField id="5" name="Type" tableColumnId="5"/>
      <queryTableField id="6" name="Rental Cost" tableColumnId="6"/>
      <queryTableField id="7" name="Client Charge" tableColumnId="7"/>
      <queryTableField id="8" name="Profit"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25" xr16:uid="{0E2B4280-CC00-469C-B54A-292AE770BCAD}" autoFormatId="16" applyNumberFormats="0" applyBorderFormats="0" applyFontFormats="0" applyPatternFormats="0" applyAlignmentFormats="0" applyWidthHeightFormats="0">
  <queryTableRefresh nextId="11">
    <queryTableFields count="7">
      <queryTableField id="1" name="Event_No" tableColumnId="1"/>
      <queryTableField id="2" name="Venue_Name" tableColumnId="2"/>
      <queryTableField id="3" name="Venue_ID" tableColumnId="3"/>
      <queryTableField id="5" name="Location" tableColumnId="5"/>
      <queryTableField id="8" name="Rental Cost" tableColumnId="8"/>
      <queryTableField id="9" name="Client Charge" tableColumnId="9"/>
      <queryTableField id="10" name="Profit" tableColumnId="10"/>
    </queryTableFields>
    <queryTableDeletedFields count="3">
      <deletedField name="Venue Name"/>
      <deletedField name="Capacity"/>
      <deletedField name="Type"/>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 xr16:uid="{5D58044E-676B-4B39-ACB9-3507271EF6FE}" autoFormatId="16" applyNumberFormats="0" applyBorderFormats="0" applyFontFormats="0" applyPatternFormats="0" applyAlignmentFormats="0" applyWidthHeightFormats="0">
  <queryTableRefresh nextId="10">
    <queryTableFields count="9">
      <queryTableField id="1" name="Decor_ID" tableColumnId="1"/>
      <queryTableField id="2" name="Decor Theme" tableColumnId="2"/>
      <queryTableField id="3" name="Vendor Name" tableColumnId="3"/>
      <queryTableField id="4" name="Elements Included" tableColumnId="4"/>
      <queryTableField id="5" name="Cultural Fit" tableColumnId="5"/>
      <queryTableField id="6" name="Notes" tableColumnId="6"/>
      <queryTableField id="7" name="Cost" tableColumnId="7"/>
      <queryTableField id="8" name="Client Charge" tableColumnId="8"/>
      <queryTableField id="9" name="Profit" tableColumnId="9"/>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20" xr16:uid="{10A6D1D0-5CE2-47FD-99D5-777B8BEFF0B0}" autoFormatId="16" applyNumberFormats="0" applyBorderFormats="0" applyFontFormats="0" applyPatternFormats="0" applyAlignmentFormats="0" applyWidthHeightFormats="0">
  <queryTableRefresh nextId="9">
    <queryTableFields count="8">
      <queryTableField id="1" name="Photography_ID" tableColumnId="1"/>
      <queryTableField id="2" name="Service Type" tableColumnId="2"/>
      <queryTableField id="3" name="Photographer Name" tableColumnId="3"/>
      <queryTableField id="4" name="Package Details" tableColumnId="4"/>
      <queryTableField id="5" name="Cost" tableColumnId="5"/>
      <queryTableField id="6" name="Client Charge" tableColumnId="6"/>
      <queryTableField id="7" name="Profit" tableColumnId="7"/>
      <queryTableField id="8" name="Delivery Time"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22" xr16:uid="{4AF6EFBD-3840-4C86-86CD-A6B5D8F4FA9D}" autoFormatId="16" applyNumberFormats="0" applyBorderFormats="0" applyFontFormats="0" applyPatternFormats="0" applyAlignmentFormats="0" applyWidthHeightFormats="0">
  <queryTableRefresh nextId="11">
    <queryTableFields count="6">
      <queryTableField id="1" name="Event_No" tableColumnId="1"/>
      <queryTableField id="2" name="Photographer_Name" tableColumnId="2"/>
      <queryTableField id="3" name="Photography_ID" tableColumnId="3"/>
      <queryTableField id="7" name="Cost" tableColumnId="7"/>
      <queryTableField id="8" name="Client Charge" tableColumnId="8"/>
      <queryTableField id="9" name="Profit" tableColumnId="9"/>
    </queryTableFields>
    <queryTableDeletedFields count="4">
      <deletedField name="Photographer Name"/>
      <deletedField name="Package Details"/>
      <deletedField name="Delivery Time"/>
      <deletedField name="Service Type"/>
    </queryTableDeleted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3" xr16:uid="{A0E459D0-DDBF-418B-9594-5C79C1196867}" autoFormatId="16" applyNumberFormats="0" applyBorderFormats="0" applyFontFormats="0" applyPatternFormats="0" applyAlignmentFormats="0" applyWidthHeightFormats="0">
  <queryTableRefresh nextId="12">
    <queryTableFields count="6">
      <queryTableField id="1" name="Event_No" tableColumnId="1"/>
      <queryTableField id="2" name="Decor_Theme" tableColumnId="2"/>
      <queryTableField id="3" name="Decor_ID" tableColumnId="3"/>
      <queryTableField id="9" name="Cost" tableColumnId="9"/>
      <queryTableField id="10" name="Client Charge" tableColumnId="10"/>
      <queryTableField id="11" name="Profit" tableColumnId="11"/>
    </queryTableFields>
    <queryTableDeletedFields count="5">
      <deletedField name="Decor Theme"/>
      <deletedField name="Vendor Name"/>
      <deletedField name="Elements Included"/>
      <deletedField name="Cultural Fit"/>
      <deletedField name="Notes"/>
    </queryTableDeleted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7" xr16:uid="{6CCD05B4-1386-47BE-9EE7-FD6B271E970A}" autoFormatId="16" applyNumberFormats="0" applyBorderFormats="0" applyFontFormats="0" applyPatternFormats="0" applyAlignmentFormats="0" applyWidthHeightFormats="0">
  <queryTableRefresh nextId="38" unboundColumnsRight="2">
    <queryTableFields count="30">
      <queryTableField id="1" name="Event_No" tableColumnId="1"/>
      <queryTableField id="24" dataBound="0" tableColumnId="21"/>
      <queryTableField id="2" name="Event_Type" tableColumnId="2"/>
      <queryTableField id="3" name="Category" tableColumnId="3"/>
      <queryTableField id="4" name="Guest_Count" tableColumnId="4"/>
      <queryTableField id="5" name="Budget_Tier" tableColumnId="5"/>
      <queryTableField id="6" name="Event_Date" tableColumnId="6"/>
      <queryTableField id="7" name="Venue_Name" tableColumnId="7"/>
      <queryTableField id="28" dataBound="0" tableColumnId="26"/>
      <queryTableField id="15" dataBound="0" tableColumnId="16"/>
      <queryTableField id="8" name="Photographer_Name" tableColumnId="8"/>
      <queryTableField id="29" dataBound="0" tableColumnId="27"/>
      <queryTableField id="16" dataBound="0" tableColumnId="17"/>
      <queryTableField id="9" name="Entertainment_Type" tableColumnId="9"/>
      <queryTableField id="30" dataBound="0" tableColumnId="28"/>
      <queryTableField id="17" dataBound="0" tableColumnId="18"/>
      <queryTableField id="10" name="Decor_Theme" tableColumnId="10"/>
      <queryTableField id="31" dataBound="0" tableColumnId="29"/>
      <queryTableField id="18" dataBound="0" tableColumnId="19"/>
      <queryTableField id="11" name="Logistic_Items" tableColumnId="11"/>
      <queryTableField id="32" dataBound="0" tableColumnId="30"/>
      <queryTableField id="19" dataBound="0" tableColumnId="20"/>
      <queryTableField id="12" name="Food_Items" tableColumnId="12"/>
      <queryTableField id="33" dataBound="0" tableColumnId="32"/>
      <queryTableField id="20" dataBound="0" tableColumnId="23"/>
      <queryTableField id="34" dataBound="0" tableColumnId="33"/>
      <queryTableField id="22" dataBound="0" tableColumnId="14"/>
      <queryTableField id="13" name="Planner_Remuneration" tableColumnId="13"/>
      <queryTableField id="23" dataBound="0" tableColumnId="15"/>
      <queryTableField id="25" dataBound="0"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65D61F-0E46-4728-9559-08E29D2147A3}" name="Food_Catalog" displayName="Food_Catalog" ref="A1:G56" tableType="queryTable" totalsRowShown="0">
  <autoFilter ref="A1:G56" xr:uid="{F465D61F-0E46-4728-9559-08E29D2147A3}"/>
  <tableColumns count="7">
    <tableColumn id="1" xr3:uid="{876E4249-BA23-4107-9965-C70D452A494E}" uniqueName="1" name="Food_ID" queryTableFieldId="1" dataDxfId="102"/>
    <tableColumn id="2" xr3:uid="{A13D733D-DB0C-47ED-863B-759DAAFA424C}" uniqueName="2" name="Category" queryTableFieldId="2" dataDxfId="101"/>
    <tableColumn id="3" xr3:uid="{1C4B0054-F18B-4D54-8BDE-687FA351CEF2}" uniqueName="3" name="Item_Name" queryTableFieldId="3" dataDxfId="100"/>
    <tableColumn id="4" xr3:uid="{94C1B5F6-8DE3-4832-924B-B12F5D9D3C7E}" uniqueName="4" name="Unit_Type" queryTableFieldId="4" dataDxfId="99"/>
    <tableColumn id="5" xr3:uid="{3BDCC7B9-758D-4E69-B386-F541EC4E9A20}" uniqueName="5" name="Price_Per_Unit" queryTableFieldId="5"/>
    <tableColumn id="6" xr3:uid="{73E29EF5-A3A6-411D-8461-0B174583503C}" uniqueName="6" name="Client_Price_Per_Unit" queryTableFieldId="6"/>
    <tableColumn id="7" xr3:uid="{D5BAEBDA-E0FC-4058-B822-DE73D59466F6}" uniqueName="7" name="Profit_Per_Unit"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7415CE-8EB8-4301-87D1-BD846D6B9C26}" name="Food_Orders" displayName="Food_Orders" ref="A1:I2782" tableType="queryTable" totalsRowShown="0">
  <autoFilter ref="A1:I2782" xr:uid="{0A7415CE-8EB8-4301-87D1-BD846D6B9C26}"/>
  <tableColumns count="9">
    <tableColumn id="1" xr3:uid="{6CFC9A13-DAF6-4521-BE1B-1C1A387EB207}" uniqueName="1" name="Event_No" queryTableFieldId="1"/>
    <tableColumn id="4" xr3:uid="{F1E3795D-6353-43EF-99E5-7D393E139EDD}" uniqueName="4" name="Food_ID" queryTableFieldId="4" dataDxfId="98"/>
    <tableColumn id="5" xr3:uid="{44872A29-6A22-48A8-B8E7-FDE74D0C6567}" uniqueName="5" name="Category" queryTableFieldId="5" dataDxfId="97"/>
    <tableColumn id="6" xr3:uid="{2A0B64B5-E165-4AD5-B802-0652D44850A0}" uniqueName="6" name="Item_Name" queryTableFieldId="6" dataDxfId="96"/>
    <tableColumn id="7" xr3:uid="{B2924386-06C2-4094-A5CA-776F4BCC51E4}" uniqueName="7" name="Unit_Type" queryTableFieldId="7" dataDxfId="95"/>
    <tableColumn id="11" xr3:uid="{ED6AE2C3-65C3-477A-9767-B9EBC70415C8}" uniqueName="11" name="Quantity_Orderd" queryTableFieldId="11" dataDxfId="94">
      <calculatedColumnFormula array="1">_xlfn.XLOOKUP(Food_Orders[[#This Row],[Event_No]],Event_Master[[#All],[Event_No]],Event_Master[[#All],[Guest_Count]],,0)</calculatedColumnFormula>
    </tableColumn>
    <tableColumn id="8" xr3:uid="{E8F91681-F67C-4300-B3E6-6BA38D9D2DA6}" uniqueName="8" name="Cost" queryTableFieldId="8"/>
    <tableColumn id="9" xr3:uid="{C37F550F-AFA7-4365-9D3D-453B362005A6}" uniqueName="9" name="Client_Price" queryTableFieldId="9"/>
    <tableColumn id="10" xr3:uid="{71D11089-C925-405E-B67F-9325CD595AAF}" uniqueName="10" name="Profit"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C1A5F83-F530-42CB-8374-DDBC01540F72}" name="Entertainment_Catalog" displayName="Entertainment_Catalog" ref="A1:H6" tableType="queryTable" totalsRowShown="0">
  <autoFilter ref="A1:H6" xr:uid="{7C1A5F83-F530-42CB-8374-DDBC01540F72}"/>
  <tableColumns count="8">
    <tableColumn id="1" xr3:uid="{7944147F-B2BE-4B20-A63D-920F1D37BAB0}" uniqueName="1" name="Entertainment_ID" queryTableFieldId="1" dataDxfId="93"/>
    <tableColumn id="2" xr3:uid="{6C7E3E7B-5D20-4EE7-B2E2-49C519B6EEB4}" uniqueName="2" name="Act_Type" queryTableFieldId="2" dataDxfId="92"/>
    <tableColumn id="3" xr3:uid="{75E85E52-3E11-429B-B3C2-5AA6330B88AC}" uniqueName="3" name="Performer_Name" queryTableFieldId="3" dataDxfId="91"/>
    <tableColumn id="4" xr3:uid="{DEC802CF-579C-43B0-AB28-7C36E1A58170}" uniqueName="4" name="Duration" queryTableFieldId="4" dataDxfId="90"/>
    <tableColumn id="5" xr3:uid="{B39AB632-3924-4C3F-8E95-FA267AE8073A}" uniqueName="5" name="Cost" queryTableFieldId="5"/>
    <tableColumn id="6" xr3:uid="{0F3718D8-C090-4425-8B07-4B00553828D3}" uniqueName="6" name="Client_Charge" queryTableFieldId="6"/>
    <tableColumn id="7" xr3:uid="{D4F524B3-FD19-460D-A176-C9224881A0DE}" uniqueName="7" name="Profit" queryTableFieldId="7"/>
    <tableColumn id="8" xr3:uid="{A52CA194-6BA0-4E73-ABCA-358EC33D5B7F}" uniqueName="8" name="Cultural_Relevance" queryTableFieldId="8" dataDxfId="8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B3158A-D144-4A52-93BF-B8D57845E4A1}" name="Entertainment_Orders" displayName="Entertainment_Orders" ref="A1:G116" tableType="queryTable" totalsRowShown="0">
  <autoFilter ref="A1:G116" xr:uid="{30B3158A-D144-4A52-93BF-B8D57845E4A1}"/>
  <tableColumns count="7">
    <tableColumn id="1" xr3:uid="{B4248745-A88D-4B84-842D-FAE0FCBE092A}" uniqueName="1" name="Event_No" queryTableFieldId="1"/>
    <tableColumn id="2" xr3:uid="{B0544E17-9EF5-441F-ADD7-1945B345033D}" uniqueName="2" name="Entertainment_Type" queryTableFieldId="2" dataDxfId="88"/>
    <tableColumn id="3" xr3:uid="{DCCFF43E-CAB6-40C6-A29C-7C2182FF20B9}" uniqueName="3" name="Entertainment_ID" queryTableFieldId="3" dataDxfId="87"/>
    <tableColumn id="4" xr3:uid="{D68A7AD0-9424-429E-86A8-BE8A837EEE5D}" uniqueName="4" name="Act_Type" queryTableFieldId="4" dataDxfId="86"/>
    <tableColumn id="7" xr3:uid="{8C73D812-92C0-441F-81C5-99E9E378965E}" uniqueName="7" name="Cost" queryTableFieldId="7"/>
    <tableColumn id="8" xr3:uid="{882A9A6B-09C5-4DE4-ACDE-CCC491A1C2AE}" uniqueName="8" name="Client_Charge" queryTableFieldId="8"/>
    <tableColumn id="9" xr3:uid="{FC9A045C-D3A5-44B4-BDF3-8FCB7EA12C74}" uniqueName="9" name="Profit" queryTableFieldId="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FB8798-AC02-4B70-A511-15F07ABCB669}" name="Logistics_Catalog" displayName="Logistics_Catalog" ref="A1:I6" tableType="queryTable" totalsRowShown="0">
  <autoFilter ref="A1:I6" xr:uid="{13FB8798-AC02-4B70-A511-15F07ABCB669}"/>
  <tableColumns count="9">
    <tableColumn id="1" xr3:uid="{D480765B-9F40-4154-9A2E-F08EDA9E229D}" uniqueName="1" name="Item" queryTableFieldId="1" dataDxfId="85"/>
    <tableColumn id="2" xr3:uid="{829B4D78-F4B5-4CF5-BE2F-CB5F1619D81D}" uniqueName="2" name="Vendor_Name" queryTableFieldId="2" dataDxfId="84"/>
    <tableColumn id="3" xr3:uid="{24A0BC10-06E7-4734-81A3-428B599AEF4E}" uniqueName="3" name="Base_Quantity" queryTableFieldId="3" dataDxfId="83"/>
    <tableColumn id="4" xr3:uid="{F52B39F2-CE8F-4050-982B-8B365057EE5A}" uniqueName="4" name="Cost" queryTableFieldId="4"/>
    <tableColumn id="5" xr3:uid="{8D27D02A-156B-43E0-B7F5-D6B7A2989DD8}" uniqueName="5" name="Client_Charge" queryTableFieldId="5"/>
    <tableColumn id="6" xr3:uid="{9C4C71D5-404F-47EF-B29B-98DF962DF140}" uniqueName="6" name="Profit" queryTableFieldId="6"/>
    <tableColumn id="7" xr3:uid="{AFBDD75B-D6A1-4B8A-B391-8F7BE7CAA4D9}" uniqueName="7" name="Delivery_Date" queryTableFieldId="7" dataDxfId="82"/>
    <tableColumn id="8" xr3:uid="{87F533C4-D4C9-412B-8664-BE6CF2E6E990}" uniqueName="8" name="Notes" queryTableFieldId="8" dataDxfId="81"/>
    <tableColumn id="9" xr3:uid="{EFAA9204-A6FC-4A07-B5CC-8FD8B04FB7D6}" uniqueName="9" name="Logistics_ID" queryTableFieldId="9" dataDxfId="8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86038AB-A1ED-4720-AFD9-E0CABDBC932A}" name="Logistics_Orders" displayName="Logistics_Orders" ref="A1:H565" tableType="queryTable" totalsRowShown="0">
  <autoFilter ref="A1:H565" xr:uid="{D86038AB-A1ED-4720-AFD9-E0CABDBC932A}"/>
  <tableColumns count="8">
    <tableColumn id="1" xr3:uid="{BB9A5DD4-2797-40C1-B17B-E6FC474E64EB}" uniqueName="1" name="Event_No" queryTableFieldId="1"/>
    <tableColumn id="4" xr3:uid="{49135DB0-A236-4E84-8E7F-A90059D0EC57}" uniqueName="4" name="Item" queryTableFieldId="4" dataDxfId="79"/>
    <tableColumn id="6" xr3:uid="{A7932349-A700-4322-B194-5DD93B0AC51D}" uniqueName="6" name="Base_Quantity" queryTableFieldId="6" dataDxfId="78"/>
    <tableColumn id="2" xr3:uid="{4B8DFD41-C933-4143-B0C9-F1509E17E414}" uniqueName="2" name="Quantity_Ordered" queryTableFieldId="13" dataDxfId="77">
      <calculatedColumnFormula array="1">IF(Logistics_Orders[[#This Row],[Item]]="Chairs &amp; Tables",CEILING(_xlfn.XLOOKUP(Logistics_Orders[[#This Row],[Event_No]],Event_Master[[#All],[Event_No]],Event_Master[[#All],[Guest_Count]],,0)/Logistics_Orders[[#This Row],[Base_Quantity]],1),1)</calculatedColumnFormula>
    </tableColumn>
    <tableColumn id="7" xr3:uid="{3651AD82-EC66-4056-8258-3DC03D92479F}" uniqueName="7" name="Cost" queryTableFieldId="7"/>
    <tableColumn id="8" xr3:uid="{3F84454C-EC1A-436B-9951-E7270D8EFD7F}" uniqueName="8" name="Client_Charge" queryTableFieldId="8"/>
    <tableColumn id="9" xr3:uid="{BBB82266-BCEF-4375-8193-DA81C0E36AAF}" uniqueName="9" name="Profit" queryTableFieldId="9"/>
    <tableColumn id="12" xr3:uid="{B43F6959-FFCC-4CFB-BED4-069FADE2A602}" uniqueName="12" name="Logistics_ID" queryTableFieldId="12" dataDxfId="7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44087A-EDE4-4423-8E6F-81C3322F0B06}" name="Venue_Catalog" displayName="Venue_Catalog" ref="A1:H6" tableType="queryTable" totalsRowShown="0">
  <autoFilter ref="A1:H6" xr:uid="{3E44087A-EDE4-4423-8E6F-81C3322F0B06}"/>
  <tableColumns count="8">
    <tableColumn id="1" xr3:uid="{410405D6-923B-4882-8C3A-448FFD192CF0}" uniqueName="1" name="Venue_ID" queryTableFieldId="1" dataDxfId="75"/>
    <tableColumn id="2" xr3:uid="{F0D66C06-2053-4BFF-B13E-7066DC3371A1}" uniqueName="2" name="Venue_Name" queryTableFieldId="2" dataDxfId="74"/>
    <tableColumn id="3" xr3:uid="{59B69E20-3DD7-49B1-B11E-3533FF01F7EF}" uniqueName="3" name="Location" queryTableFieldId="3" dataDxfId="73"/>
    <tableColumn id="4" xr3:uid="{9759C190-D686-42F4-84B4-C77A3C46A8C5}" uniqueName="4" name="Capacity" queryTableFieldId="4"/>
    <tableColumn id="5" xr3:uid="{A7487B9B-D256-4713-A6D0-F4F3C2ACCB0B}" uniqueName="5" name="Type" queryTableFieldId="5" dataDxfId="72"/>
    <tableColumn id="6" xr3:uid="{68D80DA4-AFA6-4890-90AA-2D03264CE133}" uniqueName="6" name="Rental_Cost" queryTableFieldId="6"/>
    <tableColumn id="7" xr3:uid="{81EE4853-8284-4EF3-A3CA-D9FEC876B2E5}" uniqueName="7" name="Client_Charge" queryTableFieldId="7"/>
    <tableColumn id="8" xr3:uid="{71AC51F1-6CB5-4136-806B-05A4AD88116C}" uniqueName="8" name="Profit" queryTableFieldId="8"/>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75AE9E1-F92B-46F5-B23A-21ABFD7DAABA}" name="Venue_Orders" displayName="Venue_Orders" ref="A1:G116" tableType="queryTable" totalsRowShown="0">
  <autoFilter ref="A1:G116" xr:uid="{075AE9E1-F92B-46F5-B23A-21ABFD7DAABA}"/>
  <tableColumns count="7">
    <tableColumn id="1" xr3:uid="{FE390C3D-7DA5-41B8-A50C-3FDF13B3149B}" uniqueName="1" name="Event_No" queryTableFieldId="1"/>
    <tableColumn id="2" xr3:uid="{EC9624ED-93F8-4851-A7B6-490E2E434AE9}" uniqueName="2" name="Venue_Name" queryTableFieldId="2" dataDxfId="71"/>
    <tableColumn id="3" xr3:uid="{06B46EE6-2FB3-462E-B7C0-6CF299C987CB}" uniqueName="3" name="Venue_ID" queryTableFieldId="3" dataDxfId="70"/>
    <tableColumn id="5" xr3:uid="{A8D534D7-FD58-4998-BE9E-B6D99C17083C}" uniqueName="5" name="Location" queryTableFieldId="5" dataDxfId="69"/>
    <tableColumn id="8" xr3:uid="{35A88DCD-5290-4557-A29A-6595978A5444}" uniqueName="8" name="Rental_Cost" queryTableFieldId="8"/>
    <tableColumn id="9" xr3:uid="{D669D689-BE8D-49D6-8EBA-33F6445CC6CA}" uniqueName="9" name="Client_Charge" queryTableFieldId="9"/>
    <tableColumn id="10" xr3:uid="{E83EDBC2-6238-4827-AFF3-10350268E0B3}" uniqueName="10" name="Profit" queryTableFieldId="10"/>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4D73BA7-FF3E-426C-86EF-F6DE0D2A78D5}" name="Decor_Catalog" displayName="Decor_Catalog" ref="A1:I6" tableType="queryTable" totalsRowShown="0">
  <autoFilter ref="A1:I6" xr:uid="{74D73BA7-FF3E-426C-86EF-F6DE0D2A78D5}"/>
  <tableColumns count="9">
    <tableColumn id="1" xr3:uid="{4E8428EF-CD38-45DF-BEDD-85DF6F685968}" uniqueName="1" name="Decor_ID" queryTableFieldId="1" dataDxfId="68"/>
    <tableColumn id="2" xr3:uid="{E54984F3-F585-4B90-A6DE-D7076C7B588B}" uniqueName="2" name="Décor_Theme" queryTableFieldId="2" dataDxfId="67"/>
    <tableColumn id="3" xr3:uid="{78807B96-1E55-4BD1-B4EE-6248D7944AA4}" uniqueName="3" name="Vendor_Name" queryTableFieldId="3" dataDxfId="66"/>
    <tableColumn id="4" xr3:uid="{C154DD5D-EFD4-410C-B4F0-4894F0B9490B}" uniqueName="4" name="Elements_Included" queryTableFieldId="4" dataDxfId="65"/>
    <tableColumn id="5" xr3:uid="{81A5D7C7-C732-4053-B43F-84AB49EAB6A9}" uniqueName="5" name="Cultural_Fit" queryTableFieldId="5" dataDxfId="64"/>
    <tableColumn id="6" xr3:uid="{79DB784D-009C-4858-8065-CB9F1E50E36B}" uniqueName="6" name="Notes" queryTableFieldId="6" dataDxfId="63"/>
    <tableColumn id="7" xr3:uid="{DCD22A4B-487E-4273-A3CB-056E1B4D5147}" uniqueName="7" name="Cost" queryTableFieldId="7"/>
    <tableColumn id="8" xr3:uid="{73D87668-D621-47AA-BAC2-AFC5D5300333}" uniqueName="8" name="Client_Charge" queryTableFieldId="8"/>
    <tableColumn id="9" xr3:uid="{DB20D630-3B86-4843-A6EE-ECE9AEF886C8}" uniqueName="9" name="Profit" queryTableFieldId="9"/>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B4F8A6C-769D-4C27-B424-59C2382D943E}" name="Photography_Catalog" displayName="Photography_Catalog" ref="A1:H6" tableType="queryTable" totalsRowShown="0">
  <autoFilter ref="A1:H6" xr:uid="{CB4F8A6C-769D-4C27-B424-59C2382D943E}"/>
  <tableColumns count="8">
    <tableColumn id="1" xr3:uid="{D18A7B9A-1C96-4C38-AB61-E4353AEDF910}" uniqueName="1" name="Photography_ID" queryTableFieldId="1" dataDxfId="62"/>
    <tableColumn id="2" xr3:uid="{E3DA7E6E-4581-4505-90B5-F490C9E31C59}" uniqueName="2" name="Service_Type" queryTableFieldId="2" dataDxfId="61"/>
    <tableColumn id="3" xr3:uid="{8C845D8A-9B89-42CB-9033-8A32DFAE71D2}" uniqueName="3" name="Photographer_Name" queryTableFieldId="3" dataDxfId="60"/>
    <tableColumn id="4" xr3:uid="{EC3C23D6-2664-4646-9B9A-5C8E453AADCE}" uniqueName="4" name="Package_Details" queryTableFieldId="4" dataDxfId="59"/>
    <tableColumn id="5" xr3:uid="{44506A6C-9ACD-4175-BE61-2D4E6E1E21D5}" uniqueName="5" name="Cost" queryTableFieldId="5"/>
    <tableColumn id="6" xr3:uid="{45EFA649-B902-498A-B0CE-7D8370171983}" uniqueName="6" name="Client_Charge" queryTableFieldId="6"/>
    <tableColumn id="7" xr3:uid="{09D9FFEC-69F5-4258-A193-A1A0D4F33613}" uniqueName="7" name="Profit" queryTableFieldId="7"/>
    <tableColumn id="8" xr3:uid="{CBF8000A-F6DC-4095-A279-D1995EE4647F}" uniqueName="8" name="Delivery_Time" queryTableFieldId="8" dataDxfId="5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FA24C45-5882-4E8A-B18F-8F474427AF0A}" name="Photography_Orders" displayName="Photography_Orders" ref="A1:F116" tableType="queryTable" totalsRowShown="0">
  <autoFilter ref="A1:F116" xr:uid="{0FA24C45-5882-4E8A-B18F-8F474427AF0A}"/>
  <tableColumns count="6">
    <tableColumn id="1" xr3:uid="{342C8721-B115-4F56-BED7-8E0CB2B47EB1}" uniqueName="1" name="Event_No" queryTableFieldId="1"/>
    <tableColumn id="2" xr3:uid="{4D3D812C-7980-4237-B748-BB25765A535D}" uniqueName="2" name="Photographer_Name" queryTableFieldId="2" dataDxfId="57"/>
    <tableColumn id="3" xr3:uid="{07E37B27-1F40-4EF3-8066-81A39FB5A145}" uniqueName="3" name="Photography_ID" queryTableFieldId="3" dataDxfId="56"/>
    <tableColumn id="7" xr3:uid="{5F02B200-C7C6-4976-AF8D-0399D880A53E}" uniqueName="7" name="Cost" queryTableFieldId="7"/>
    <tableColumn id="8" xr3:uid="{F54356E7-294C-4CB7-9476-AD89AAEE1639}" uniqueName="8" name="Client_Charge" queryTableFieldId="8"/>
    <tableColumn id="9" xr3:uid="{C935684D-F9AA-4328-979C-559E46E11E35}" uniqueName="9" name="Profit" queryTableFieldId="9"/>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92426AD-3E9E-4018-9272-CCC7199D5760}" name="Decor_Orders" displayName="Decor_Orders" ref="A1:F116" tableType="queryTable" totalsRowShown="0">
  <autoFilter ref="A1:F116" xr:uid="{892426AD-3E9E-4018-9272-CCC7199D5760}"/>
  <tableColumns count="6">
    <tableColumn id="1" xr3:uid="{606CF53F-1468-44C1-AF6F-5646399130B3}" uniqueName="1" name="Event_No" queryTableFieldId="1"/>
    <tableColumn id="2" xr3:uid="{F0FE13BD-1D93-4158-B478-220BDD3A73F1}" uniqueName="2" name="Decor_Theme" queryTableFieldId="2" dataDxfId="55"/>
    <tableColumn id="3" xr3:uid="{0758546E-3060-4936-863C-F892A51FE41F}" uniqueName="3" name="Decor_ID" queryTableFieldId="3" dataDxfId="54"/>
    <tableColumn id="9" xr3:uid="{7753C624-AAB1-4905-8202-51A8F1848562}" uniqueName="9" name="Cost" queryTableFieldId="9"/>
    <tableColumn id="10" xr3:uid="{2E7AFD8C-8178-4C56-89C6-CD4DAA7B6A0C}" uniqueName="10" name="Client_Charge" queryTableFieldId="10"/>
    <tableColumn id="11" xr3:uid="{BD4AABAD-6DCE-44FD-AE52-34BE50BDDC02}" uniqueName="11" name="Profit" queryTableFieldId="1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765AEF0-D6B9-45EA-B3FF-73BDF0480784}" name="Event_Catalog" displayName="Event_Catalog" ref="A1:C48" totalsRowShown="0" headerRowDxfId="53" headerRowBorderDxfId="52" tableBorderDxfId="51" totalsRowBorderDxfId="50">
  <autoFilter ref="A1:C48" xr:uid="{2765AEF0-D6B9-45EA-B3FF-73BDF0480784}"/>
  <tableColumns count="3">
    <tableColumn id="1" xr3:uid="{49D68585-564D-41B2-8DFB-FE12B79A0D12}" name="Event_ID" dataDxfId="49"/>
    <tableColumn id="2" xr3:uid="{CE5A228B-BF56-41D0-8FCA-362209375D03}" name="Category" dataDxfId="48"/>
    <tableColumn id="3" xr3:uid="{69F35019-D25B-4A1E-9DCE-EDEF73D92CFB}" name="Event_Name" dataDxfId="47"/>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32D1368-E8E6-4E22-A6D5-D32D6028AE7D}" name="Event_Master" displayName="Event_Master" ref="A1:AD116" tableType="queryTable" totalsRowShown="0" headerRowDxfId="46" dataDxfId="45">
  <autoFilter ref="A1:AD116" xr:uid="{A32D1368-E8E6-4E22-A6D5-D32D6028AE7D}"/>
  <tableColumns count="30">
    <tableColumn id="1" xr3:uid="{61C6345F-F9FC-405B-9DDC-7F343FABFA2C}" uniqueName="1" name="Event_No" queryTableFieldId="1" dataDxfId="44"/>
    <tableColumn id="21" xr3:uid="{D2395A81-D740-4CE8-BF1D-6591C09F9606}" uniqueName="21" name="Event_ID" queryTableFieldId="24" dataDxfId="43">
      <calculatedColumnFormula array="1">_xlfn.XLOOKUP(Event_Master[[#This Row],[Event_Type]],Event_Catalog[[#All],[Event_Name]],Event_Catalog[[#All],[Event_ID]],,0)</calculatedColumnFormula>
    </tableColumn>
    <tableColumn id="2" xr3:uid="{CA650F00-9471-485D-8442-6A0916CACCC6}" uniqueName="2" name="Event_Type" queryTableFieldId="2" dataDxfId="42"/>
    <tableColumn id="3" xr3:uid="{42A1D4A2-AF8E-44CA-924E-1B4DEF655A75}" uniqueName="3" name="Category" queryTableFieldId="3" dataDxfId="41"/>
    <tableColumn id="4" xr3:uid="{3E4EEE1B-8634-4DA4-9C24-622AC360BAEB}" uniqueName="4" name="Guest_Count" queryTableFieldId="4" dataDxfId="40"/>
    <tableColumn id="5" xr3:uid="{34640E35-3927-4174-8EE0-5703D208FC8F}" uniqueName="5" name="Budget_Tier" queryTableFieldId="5" dataDxfId="39"/>
    <tableColumn id="6" xr3:uid="{82851440-CC51-4226-92C6-EC65040003CF}" uniqueName="6" name="Event_Date" queryTableFieldId="6" dataDxfId="38"/>
    <tableColumn id="7" xr3:uid="{7AE28BCC-08BA-43EC-84BD-D25E48638EC6}" uniqueName="7" name="Venue_Name" queryTableFieldId="7" dataDxfId="37"/>
    <tableColumn id="26" xr3:uid="{C0403510-F6EE-470B-977F-69BBE45EB6BE}" uniqueName="26" name="Venue_Cost" queryTableFieldId="28" dataDxfId="36">
      <calculatedColumnFormula array="1">_xlfn.XLOOKUP(Event_Master[[#This Row],[Event_No]],Venue_Orders[[#All],[Event_No]],Venue_Orders[[#All],[Rental_Cost]],0,0)</calculatedColumnFormula>
    </tableColumn>
    <tableColumn id="16" xr3:uid="{8B9AB08C-8384-4EB8-98BB-B4DE061F24A7}" uniqueName="16" name="Venue_Charge" queryTableFieldId="15" dataDxfId="35">
      <calculatedColumnFormula array="1">_xlfn.XLOOKUP(Event_Master[[#This Row],[Event_No]],Venue_Orders[[#All],[Event_No]],Venue_Orders[[#All],[Client_Charge]],,0)</calculatedColumnFormula>
    </tableColumn>
    <tableColumn id="8" xr3:uid="{970068C9-02DD-4089-A2A8-80A2BDA09282}" uniqueName="8" name="Photographer_Name" queryTableFieldId="8" dataDxfId="34"/>
    <tableColumn id="27" xr3:uid="{3E1833FA-F908-4273-9D3B-880C8229648D}" uniqueName="27" name="Photography_Cost" queryTableFieldId="29" dataDxfId="33">
      <calculatedColumnFormula array="1">_xlfn.XLOOKUP(Event_Master[[#This Row],[Event_No]],Photography_Orders[[#All],[Event_No]],Photography_Orders[[#All],[Cost]],,0)</calculatedColumnFormula>
    </tableColumn>
    <tableColumn id="17" xr3:uid="{7888D6BB-F0F2-4A1E-A2F2-76888D0479BF}" uniqueName="17" name="Photography_Charge" queryTableFieldId="16" dataDxfId="32">
      <calculatedColumnFormula array="1">_xlfn.XLOOKUP(Event_Master[[#This Row],[Event_No]],Photography_Orders[[#All],[Event_No]],Photography_Orders[[#All],[Client_Charge]],,0)</calculatedColumnFormula>
    </tableColumn>
    <tableColumn id="9" xr3:uid="{175C2A05-6885-4AEA-A657-BADFB8E1E1A2}" uniqueName="9" name="Entertainment_Type" queryTableFieldId="9" dataDxfId="31"/>
    <tableColumn id="28" xr3:uid="{6C9DAC1E-4008-4111-942E-CDB3880DD003}" uniqueName="28" name="Entertainment_Cost" queryTableFieldId="30" dataDxfId="30">
      <calculatedColumnFormula array="1">_xlfn.XLOOKUP(Event_Master[[#This Row],[Event_No]],Entertainment_Orders[[#All],[Event_No]],Entertainment_Orders[[#All],[Cost]],,0)</calculatedColumnFormula>
    </tableColumn>
    <tableColumn id="18" xr3:uid="{4EB4090D-F05D-4BEC-9B0E-C4CADEF28021}" uniqueName="18" name="Entertainment_Charge" queryTableFieldId="17" dataDxfId="29">
      <calculatedColumnFormula array="1">_xlfn.XLOOKUP(Event_Master[[#This Row],[Event_No]],Entertainment_Orders[[#All],[Event_No]],Entertainment_Orders[[#All],[Client_Charge]],,0)</calculatedColumnFormula>
    </tableColumn>
    <tableColumn id="10" xr3:uid="{4D876EF7-6023-45AB-8A0B-AF4C8EF5F860}" uniqueName="10" name="Decor_Theme" queryTableFieldId="10" dataDxfId="28"/>
    <tableColumn id="29" xr3:uid="{6B45F3AF-BD4A-446C-B4A0-A413B2DF70BB}" uniqueName="29" name="Decor_Cost" queryTableFieldId="31" dataDxfId="27">
      <calculatedColumnFormula array="1">_xlfn.XLOOKUP(Event_Master[[#This Row],[Event_No]],Decor_Orders[[#All],[Event_No]],Decor_Orders[[#All],[Cost]],,0)</calculatedColumnFormula>
    </tableColumn>
    <tableColumn id="19" xr3:uid="{B6B50DFE-FEE7-4DAE-8E24-883F262BDE05}" uniqueName="19" name="Decor_Charge" queryTableFieldId="18" dataDxfId="26">
      <calculatedColumnFormula array="1">_xlfn.XLOOKUP(Event_Master[[#This Row],[Event_No]],Decor_Orders[[#All],[Event_No]],Decor_Orders[[#All],[Client_Charge]],,0)</calculatedColumnFormula>
    </tableColumn>
    <tableColumn id="11" xr3:uid="{8E92E622-388E-48AB-A160-1BC1A0859CA9}" uniqueName="11" name="Logistic_Items" queryTableFieldId="11" dataDxfId="25"/>
    <tableColumn id="30" xr3:uid="{DEE6E0BF-9B22-41A8-9411-BC47D9C3F2B0}" uniqueName="30" name="Logistics_Cost" queryTableFieldId="32" dataDxfId="24">
      <calculatedColumnFormula>SUMIFS(Logistics_Orders[[#All],[Cost]],Logistics_Orders[[#All],[Event_No]],Event_Master[[#This Row],[Event_No]])</calculatedColumnFormula>
    </tableColumn>
    <tableColumn id="20" xr3:uid="{996B3132-A559-443E-B3B6-0D0D944455E6}" uniqueName="20" name="Logistics_Charge" queryTableFieldId="19" dataDxfId="23">
      <calculatedColumnFormula>SUMIFS(Logistics_Orders[[#All],[Client_Charge]],Logistics_Orders[[#All],[Event_No]],Event_Master[[#This Row],[Event_No]])</calculatedColumnFormula>
    </tableColumn>
    <tableColumn id="12" xr3:uid="{FD0700FD-AE8B-4FCD-8EE8-87900D17D738}" uniqueName="12" name="Food_Items" queryTableFieldId="12" dataDxfId="22"/>
    <tableColumn id="32" xr3:uid="{7E5BD5B5-BE7B-41F7-B246-CC5257CF5532}" uniqueName="32" name="Food_Cost" queryTableFieldId="33" dataDxfId="21">
      <calculatedColumnFormula>SUMIFS(Food_Orders[[#All],[Cost]],Food_Orders[[#All],[Event_No]],Event_Master[[#This Row],[Event_No]])</calculatedColumnFormula>
    </tableColumn>
    <tableColumn id="23" xr3:uid="{868C2070-866C-4DF8-9AAF-808563197061}" uniqueName="23" name="Food_Charge" queryTableFieldId="20" dataDxfId="20">
      <calculatedColumnFormula>SUMIFS(Food_Orders[[#All],[Client_Price]],Food_Orders[[#All],[Event_No]],Event_Master[[#This Row],[Event_No]])</calculatedColumnFormula>
    </tableColumn>
    <tableColumn id="33" xr3:uid="{E901BCA7-37B4-47DB-939B-115A46D1CECF}" uniqueName="33" name="Event_Budget" queryTableFieldId="34" dataDxfId="19">
      <calculatedColumnFormula>Event_Master[[#This Row],[Venue_Cost]]+Event_Master[[#This Row],[Photography_Cost]]+Event_Master[[#This Row],[Entertainment_Cost]]+Event_Master[[#This Row],[Decor_Cost]]+Event_Master[[#This Row],[Logistics_Cost]]+Event_Master[[#This Row],[Food_Cost]]</calculatedColumnFormula>
    </tableColumn>
    <tableColumn id="14" xr3:uid="{A30F34BF-2C3D-4AB1-81B8-EE2CB6FB389E}" uniqueName="14" name="Client_Budget" queryTableFieldId="22" dataDxfId="18">
      <calculatedColumnFormula>Event_Master[[#This Row],[Venue_Charge]]+Event_Master[[#This Row],[Photography_Charge]]+Event_Master[[#This Row],[Entertainment_Charge]]+Event_Master[[#This Row],[Decor_Charge]]+Event_Master[[#This Row],[Logistics_Charge]]+Event_Master[[#This Row],[Food_Charge]]</calculatedColumnFormula>
    </tableColumn>
    <tableColumn id="13" xr3:uid="{F6066D03-56C0-4078-8868-F678B68E7576}" uniqueName="13" name="Planner_Remuneration" queryTableFieldId="13" dataDxfId="17"/>
    <tableColumn id="15" xr3:uid="{1F7C46C7-4E80-4283-8E0E-329636812541}" uniqueName="15" name="Final_Cost" queryTableFieldId="23" dataDxfId="16">
      <calculatedColumnFormula>Event_Master[[#This Row],[Client_Budget]]+Event_Master[[#This Row],[Planner_Remuneration]]</calculatedColumnFormula>
    </tableColumn>
    <tableColumn id="22" xr3:uid="{22995104-2DC2-43F9-A35E-B3AC3112C20B}" uniqueName="22" name="Ratings" queryTableFieldId="25" dataDxfId="15"/>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80004A7-BAD6-4B0C-866E-9EBC68C7D238}" name="Budget" displayName="Budget" ref="A1:B4" totalsRowShown="0" headerRowDxfId="14" dataDxfId="12" headerRowBorderDxfId="13" tableBorderDxfId="11" totalsRowBorderDxfId="10">
  <autoFilter ref="A1:B4" xr:uid="{180004A7-BAD6-4B0C-866E-9EBC68C7D238}"/>
  <tableColumns count="2">
    <tableColumn id="1" xr3:uid="{148FC8C5-0174-4759-8D18-1D77C65E79FA}" name="Budget_Tier" dataDxfId="9"/>
    <tableColumn id="2" xr3:uid="{53DBA496-0D98-40A1-8FDF-5B204BCE74DC}" name="Remuneration" dataDxfId="8"/>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5C64B17-46A1-419B-B86E-F34641AE3B87}" name="Guest_Count" displayName="Guest_Count" ref="D1:F4" totalsRowShown="0" headerRowDxfId="7" dataDxfId="5" headerRowBorderDxfId="6" tableBorderDxfId="4" totalsRowBorderDxfId="3">
  <autoFilter ref="D1:F4" xr:uid="{D5C64B17-46A1-419B-B86E-F34641AE3B87}"/>
  <tableColumns count="3">
    <tableColumn id="1" xr3:uid="{91D4DC92-A0FC-4D9C-9E2D-D38067FEB29F}" name="Budget Tier" dataDxfId="2"/>
    <tableColumn id="2" xr3:uid="{A726BAD8-01E6-4235-87BF-C16B8F4E710A}" name="Typical Guest Count" dataDxfId="1"/>
    <tableColumn id="3" xr3:uid="{5FA7E188-A508-4EBA-A215-63AE98077B32}" name="Notes"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61FC-9DB4-4992-AF6A-C9B0E775CE5C}">
  <dimension ref="A1:G56"/>
  <sheetViews>
    <sheetView topLeftCell="A20" workbookViewId="0">
      <selection activeCell="C10" sqref="C10"/>
    </sheetView>
  </sheetViews>
  <sheetFormatPr defaultRowHeight="15" x14ac:dyDescent="0.25"/>
  <cols>
    <col min="1" max="1" width="10.5703125" bestFit="1" customWidth="1"/>
    <col min="2" max="2" width="20.140625" bestFit="1" customWidth="1"/>
    <col min="3" max="3" width="21" bestFit="1" customWidth="1"/>
    <col min="4" max="4" width="12.42578125" bestFit="1" customWidth="1"/>
    <col min="5" max="5" width="16.7109375" bestFit="1" customWidth="1"/>
    <col min="6" max="6" width="23.140625" bestFit="1" customWidth="1"/>
    <col min="7" max="7" width="17.28515625" bestFit="1" customWidth="1"/>
  </cols>
  <sheetData>
    <row r="1" spans="1:7" x14ac:dyDescent="0.25">
      <c r="A1" t="s">
        <v>0</v>
      </c>
      <c r="B1" t="s">
        <v>1</v>
      </c>
      <c r="C1" t="s">
        <v>2</v>
      </c>
      <c r="D1" t="s">
        <v>3</v>
      </c>
      <c r="E1" t="s">
        <v>4</v>
      </c>
      <c r="F1" t="s">
        <v>5</v>
      </c>
      <c r="G1" t="s">
        <v>6</v>
      </c>
    </row>
    <row r="2" spans="1:7" x14ac:dyDescent="0.25">
      <c r="A2" t="s">
        <v>7</v>
      </c>
      <c r="B2" t="s">
        <v>8</v>
      </c>
      <c r="C2" t="s">
        <v>9</v>
      </c>
      <c r="D2" t="s">
        <v>10</v>
      </c>
      <c r="E2">
        <v>25</v>
      </c>
      <c r="F2">
        <v>30</v>
      </c>
      <c r="G2">
        <v>5</v>
      </c>
    </row>
    <row r="3" spans="1:7" x14ac:dyDescent="0.25">
      <c r="A3" t="s">
        <v>11</v>
      </c>
      <c r="B3" t="s">
        <v>8</v>
      </c>
      <c r="C3" t="s">
        <v>12</v>
      </c>
      <c r="D3" t="s">
        <v>10</v>
      </c>
      <c r="E3">
        <v>30</v>
      </c>
      <c r="F3">
        <v>36</v>
      </c>
      <c r="G3">
        <v>6</v>
      </c>
    </row>
    <row r="4" spans="1:7" x14ac:dyDescent="0.25">
      <c r="A4" t="s">
        <v>13</v>
      </c>
      <c r="B4" t="s">
        <v>8</v>
      </c>
      <c r="C4" t="s">
        <v>14</v>
      </c>
      <c r="D4" t="s">
        <v>10</v>
      </c>
      <c r="E4">
        <v>35</v>
      </c>
      <c r="F4">
        <v>42</v>
      </c>
      <c r="G4">
        <v>7</v>
      </c>
    </row>
    <row r="5" spans="1:7" x14ac:dyDescent="0.25">
      <c r="A5" t="s">
        <v>15</v>
      </c>
      <c r="B5" t="s">
        <v>8</v>
      </c>
      <c r="C5" t="s">
        <v>16</v>
      </c>
      <c r="D5" t="s">
        <v>10</v>
      </c>
      <c r="E5">
        <v>30</v>
      </c>
      <c r="F5">
        <v>36</v>
      </c>
      <c r="G5">
        <v>6</v>
      </c>
    </row>
    <row r="6" spans="1:7" x14ac:dyDescent="0.25">
      <c r="A6" t="s">
        <v>17</v>
      </c>
      <c r="B6" t="s">
        <v>8</v>
      </c>
      <c r="C6" t="s">
        <v>18</v>
      </c>
      <c r="D6" t="s">
        <v>10</v>
      </c>
      <c r="E6">
        <v>40</v>
      </c>
      <c r="F6">
        <v>48</v>
      </c>
      <c r="G6">
        <v>8</v>
      </c>
    </row>
    <row r="7" spans="1:7" x14ac:dyDescent="0.25">
      <c r="A7" t="s">
        <v>19</v>
      </c>
      <c r="B7" t="s">
        <v>8</v>
      </c>
      <c r="C7" t="s">
        <v>20</v>
      </c>
      <c r="D7" t="s">
        <v>10</v>
      </c>
      <c r="E7">
        <v>35</v>
      </c>
      <c r="F7">
        <v>42</v>
      </c>
      <c r="G7">
        <v>7</v>
      </c>
    </row>
    <row r="8" spans="1:7" x14ac:dyDescent="0.25">
      <c r="A8" t="s">
        <v>21</v>
      </c>
      <c r="B8" t="s">
        <v>8</v>
      </c>
      <c r="C8" t="s">
        <v>22</v>
      </c>
      <c r="D8" t="s">
        <v>10</v>
      </c>
      <c r="E8">
        <v>35</v>
      </c>
      <c r="F8">
        <v>42</v>
      </c>
      <c r="G8">
        <v>7</v>
      </c>
    </row>
    <row r="9" spans="1:7" x14ac:dyDescent="0.25">
      <c r="A9" t="s">
        <v>23</v>
      </c>
      <c r="B9" t="s">
        <v>8</v>
      </c>
      <c r="C9" t="s">
        <v>24</v>
      </c>
      <c r="D9" t="s">
        <v>10</v>
      </c>
      <c r="E9">
        <v>35</v>
      </c>
      <c r="F9">
        <v>42</v>
      </c>
      <c r="G9">
        <v>7</v>
      </c>
    </row>
    <row r="10" spans="1:7" x14ac:dyDescent="0.25">
      <c r="A10" t="s">
        <v>25</v>
      </c>
      <c r="B10" t="s">
        <v>8</v>
      </c>
      <c r="C10" t="s">
        <v>26</v>
      </c>
      <c r="D10" t="s">
        <v>10</v>
      </c>
      <c r="E10">
        <v>30</v>
      </c>
      <c r="F10">
        <v>36</v>
      </c>
      <c r="G10">
        <v>6</v>
      </c>
    </row>
    <row r="11" spans="1:7" x14ac:dyDescent="0.25">
      <c r="A11" t="s">
        <v>27</v>
      </c>
      <c r="B11" t="s">
        <v>8</v>
      </c>
      <c r="C11" t="s">
        <v>28</v>
      </c>
      <c r="D11" t="s">
        <v>10</v>
      </c>
      <c r="E11">
        <v>40</v>
      </c>
      <c r="F11">
        <v>48</v>
      </c>
      <c r="G11">
        <v>8</v>
      </c>
    </row>
    <row r="12" spans="1:7" x14ac:dyDescent="0.25">
      <c r="A12" t="s">
        <v>29</v>
      </c>
      <c r="B12" t="s">
        <v>8</v>
      </c>
      <c r="C12" t="s">
        <v>30</v>
      </c>
      <c r="D12" t="s">
        <v>10</v>
      </c>
      <c r="E12">
        <v>30</v>
      </c>
      <c r="F12">
        <v>36</v>
      </c>
      <c r="G12">
        <v>6</v>
      </c>
    </row>
    <row r="13" spans="1:7" x14ac:dyDescent="0.25">
      <c r="A13" t="s">
        <v>31</v>
      </c>
      <c r="B13" t="s">
        <v>8</v>
      </c>
      <c r="C13" t="s">
        <v>32</v>
      </c>
      <c r="D13" t="s">
        <v>10</v>
      </c>
      <c r="E13">
        <v>30</v>
      </c>
      <c r="F13">
        <v>36</v>
      </c>
      <c r="G13">
        <v>6</v>
      </c>
    </row>
    <row r="14" spans="1:7" x14ac:dyDescent="0.25">
      <c r="A14" t="s">
        <v>33</v>
      </c>
      <c r="B14" t="s">
        <v>8</v>
      </c>
      <c r="C14" t="s">
        <v>34</v>
      </c>
      <c r="D14" t="s">
        <v>10</v>
      </c>
      <c r="E14">
        <v>30</v>
      </c>
      <c r="F14">
        <v>36</v>
      </c>
      <c r="G14">
        <v>6</v>
      </c>
    </row>
    <row r="15" spans="1:7" x14ac:dyDescent="0.25">
      <c r="A15" t="s">
        <v>35</v>
      </c>
      <c r="B15" t="s">
        <v>8</v>
      </c>
      <c r="C15" t="s">
        <v>36</v>
      </c>
      <c r="D15" t="s">
        <v>10</v>
      </c>
      <c r="E15">
        <v>30</v>
      </c>
      <c r="F15">
        <v>36</v>
      </c>
      <c r="G15">
        <v>6</v>
      </c>
    </row>
    <row r="16" spans="1:7" x14ac:dyDescent="0.25">
      <c r="A16" t="s">
        <v>37</v>
      </c>
      <c r="B16" t="s">
        <v>8</v>
      </c>
      <c r="C16" t="s">
        <v>38</v>
      </c>
      <c r="D16" t="s">
        <v>10</v>
      </c>
      <c r="E16">
        <v>25</v>
      </c>
      <c r="F16">
        <v>30</v>
      </c>
      <c r="G16">
        <v>5</v>
      </c>
    </row>
    <row r="17" spans="1:7" x14ac:dyDescent="0.25">
      <c r="A17" t="s">
        <v>39</v>
      </c>
      <c r="B17" t="s">
        <v>40</v>
      </c>
      <c r="C17" t="s">
        <v>41</v>
      </c>
      <c r="D17" t="s">
        <v>10</v>
      </c>
      <c r="E17">
        <v>60</v>
      </c>
      <c r="F17">
        <v>72</v>
      </c>
      <c r="G17">
        <v>12</v>
      </c>
    </row>
    <row r="18" spans="1:7" x14ac:dyDescent="0.25">
      <c r="A18" t="s">
        <v>42</v>
      </c>
      <c r="B18" t="s">
        <v>40</v>
      </c>
      <c r="C18" t="s">
        <v>43</v>
      </c>
      <c r="D18" t="s">
        <v>10</v>
      </c>
      <c r="E18">
        <v>70</v>
      </c>
      <c r="F18">
        <v>84</v>
      </c>
      <c r="G18">
        <v>14</v>
      </c>
    </row>
    <row r="19" spans="1:7" x14ac:dyDescent="0.25">
      <c r="A19" t="s">
        <v>44</v>
      </c>
      <c r="B19" t="s">
        <v>40</v>
      </c>
      <c r="C19" t="s">
        <v>45</v>
      </c>
      <c r="D19" t="s">
        <v>10</v>
      </c>
      <c r="E19">
        <v>80</v>
      </c>
      <c r="F19">
        <v>96</v>
      </c>
      <c r="G19">
        <v>16</v>
      </c>
    </row>
    <row r="20" spans="1:7" x14ac:dyDescent="0.25">
      <c r="A20" t="s">
        <v>46</v>
      </c>
      <c r="B20" t="s">
        <v>40</v>
      </c>
      <c r="C20" t="s">
        <v>47</v>
      </c>
      <c r="D20" t="s">
        <v>10</v>
      </c>
      <c r="E20">
        <v>90</v>
      </c>
      <c r="F20">
        <v>108</v>
      </c>
      <c r="G20">
        <v>18</v>
      </c>
    </row>
    <row r="21" spans="1:7" x14ac:dyDescent="0.25">
      <c r="A21" t="s">
        <v>48</v>
      </c>
      <c r="B21" t="s">
        <v>40</v>
      </c>
      <c r="C21" t="s">
        <v>49</v>
      </c>
      <c r="D21" t="s">
        <v>10</v>
      </c>
      <c r="E21">
        <v>100</v>
      </c>
      <c r="F21">
        <v>120</v>
      </c>
      <c r="G21">
        <v>20</v>
      </c>
    </row>
    <row r="22" spans="1:7" x14ac:dyDescent="0.25">
      <c r="A22" t="s">
        <v>50</v>
      </c>
      <c r="B22" t="s">
        <v>40</v>
      </c>
      <c r="C22" t="s">
        <v>51</v>
      </c>
      <c r="D22" t="s">
        <v>10</v>
      </c>
      <c r="E22">
        <v>80</v>
      </c>
      <c r="F22">
        <v>96</v>
      </c>
      <c r="G22">
        <v>16</v>
      </c>
    </row>
    <row r="23" spans="1:7" x14ac:dyDescent="0.25">
      <c r="A23" t="s">
        <v>52</v>
      </c>
      <c r="B23" t="s">
        <v>40</v>
      </c>
      <c r="C23" t="s">
        <v>53</v>
      </c>
      <c r="D23" t="s">
        <v>10</v>
      </c>
      <c r="E23">
        <v>100</v>
      </c>
      <c r="F23">
        <v>120</v>
      </c>
      <c r="G23">
        <v>20</v>
      </c>
    </row>
    <row r="24" spans="1:7" x14ac:dyDescent="0.25">
      <c r="A24" t="s">
        <v>54</v>
      </c>
      <c r="B24" t="s">
        <v>40</v>
      </c>
      <c r="C24" t="s">
        <v>55</v>
      </c>
      <c r="D24" t="s">
        <v>10</v>
      </c>
      <c r="E24">
        <v>40</v>
      </c>
      <c r="F24">
        <v>48</v>
      </c>
      <c r="G24">
        <v>8</v>
      </c>
    </row>
    <row r="25" spans="1:7" x14ac:dyDescent="0.25">
      <c r="A25" t="s">
        <v>56</v>
      </c>
      <c r="B25" t="s">
        <v>40</v>
      </c>
      <c r="C25" t="s">
        <v>57</v>
      </c>
      <c r="D25" t="s">
        <v>10</v>
      </c>
      <c r="E25">
        <v>35</v>
      </c>
      <c r="F25">
        <v>42</v>
      </c>
      <c r="G25">
        <v>7</v>
      </c>
    </row>
    <row r="26" spans="1:7" x14ac:dyDescent="0.25">
      <c r="A26" t="s">
        <v>58</v>
      </c>
      <c r="B26" t="s">
        <v>40</v>
      </c>
      <c r="C26" t="s">
        <v>59</v>
      </c>
      <c r="D26" t="s">
        <v>10</v>
      </c>
      <c r="E26">
        <v>90</v>
      </c>
      <c r="F26">
        <v>108</v>
      </c>
      <c r="G26">
        <v>18</v>
      </c>
    </row>
    <row r="27" spans="1:7" x14ac:dyDescent="0.25">
      <c r="A27" t="s">
        <v>60</v>
      </c>
      <c r="B27" t="s">
        <v>61</v>
      </c>
      <c r="C27" t="s">
        <v>62</v>
      </c>
      <c r="D27" t="s">
        <v>10</v>
      </c>
      <c r="E27">
        <v>20</v>
      </c>
      <c r="F27">
        <v>24</v>
      </c>
      <c r="G27">
        <v>4</v>
      </c>
    </row>
    <row r="28" spans="1:7" x14ac:dyDescent="0.25">
      <c r="A28" t="s">
        <v>63</v>
      </c>
      <c r="B28" t="s">
        <v>61</v>
      </c>
      <c r="C28" t="s">
        <v>64</v>
      </c>
      <c r="D28" t="s">
        <v>10</v>
      </c>
      <c r="E28">
        <v>30</v>
      </c>
      <c r="F28">
        <v>36</v>
      </c>
      <c r="G28">
        <v>6</v>
      </c>
    </row>
    <row r="29" spans="1:7" x14ac:dyDescent="0.25">
      <c r="A29" t="s">
        <v>65</v>
      </c>
      <c r="B29" t="s">
        <v>61</v>
      </c>
      <c r="C29" t="s">
        <v>66</v>
      </c>
      <c r="D29" t="s">
        <v>10</v>
      </c>
      <c r="E29">
        <v>30</v>
      </c>
      <c r="F29">
        <v>36</v>
      </c>
      <c r="G29">
        <v>6</v>
      </c>
    </row>
    <row r="30" spans="1:7" x14ac:dyDescent="0.25">
      <c r="A30" t="s">
        <v>67</v>
      </c>
      <c r="B30" t="s">
        <v>61</v>
      </c>
      <c r="C30" t="s">
        <v>68</v>
      </c>
      <c r="D30" t="s">
        <v>10</v>
      </c>
      <c r="E30">
        <v>30</v>
      </c>
      <c r="F30">
        <v>36</v>
      </c>
      <c r="G30">
        <v>6</v>
      </c>
    </row>
    <row r="31" spans="1:7" x14ac:dyDescent="0.25">
      <c r="A31" t="s">
        <v>69</v>
      </c>
      <c r="B31" t="s">
        <v>61</v>
      </c>
      <c r="C31" t="s">
        <v>70</v>
      </c>
      <c r="D31" t="s">
        <v>10</v>
      </c>
      <c r="E31">
        <v>50</v>
      </c>
      <c r="F31">
        <v>60</v>
      </c>
      <c r="G31">
        <v>10</v>
      </c>
    </row>
    <row r="32" spans="1:7" x14ac:dyDescent="0.25">
      <c r="A32" t="s">
        <v>71</v>
      </c>
      <c r="B32" t="s">
        <v>61</v>
      </c>
      <c r="C32" t="s">
        <v>72</v>
      </c>
      <c r="D32" t="s">
        <v>10</v>
      </c>
      <c r="E32">
        <v>25</v>
      </c>
      <c r="F32">
        <v>30</v>
      </c>
      <c r="G32">
        <v>5</v>
      </c>
    </row>
    <row r="33" spans="1:7" x14ac:dyDescent="0.25">
      <c r="A33" t="s">
        <v>73</v>
      </c>
      <c r="B33" t="s">
        <v>61</v>
      </c>
      <c r="C33" t="s">
        <v>74</v>
      </c>
      <c r="D33" t="s">
        <v>10</v>
      </c>
      <c r="E33">
        <v>40</v>
      </c>
      <c r="F33">
        <v>48</v>
      </c>
      <c r="G33">
        <v>8</v>
      </c>
    </row>
    <row r="34" spans="1:7" x14ac:dyDescent="0.25">
      <c r="A34" t="s">
        <v>75</v>
      </c>
      <c r="B34" t="s">
        <v>61</v>
      </c>
      <c r="C34" t="s">
        <v>76</v>
      </c>
      <c r="D34" t="s">
        <v>10</v>
      </c>
      <c r="E34">
        <v>40</v>
      </c>
      <c r="F34">
        <v>48</v>
      </c>
      <c r="G34">
        <v>8</v>
      </c>
    </row>
    <row r="35" spans="1:7" x14ac:dyDescent="0.25">
      <c r="A35" t="s">
        <v>77</v>
      </c>
      <c r="B35" t="s">
        <v>61</v>
      </c>
      <c r="C35" t="s">
        <v>78</v>
      </c>
      <c r="D35" t="s">
        <v>79</v>
      </c>
      <c r="E35">
        <v>35</v>
      </c>
      <c r="F35">
        <v>42</v>
      </c>
      <c r="G35">
        <v>7</v>
      </c>
    </row>
    <row r="36" spans="1:7" x14ac:dyDescent="0.25">
      <c r="A36" t="s">
        <v>80</v>
      </c>
      <c r="B36" t="s">
        <v>61</v>
      </c>
      <c r="C36" t="s">
        <v>81</v>
      </c>
      <c r="D36" t="s">
        <v>10</v>
      </c>
      <c r="E36">
        <v>30</v>
      </c>
      <c r="F36">
        <v>36</v>
      </c>
      <c r="G36">
        <v>6</v>
      </c>
    </row>
    <row r="37" spans="1:7" x14ac:dyDescent="0.25">
      <c r="A37" t="s">
        <v>82</v>
      </c>
      <c r="B37" t="s">
        <v>83</v>
      </c>
      <c r="C37" t="s">
        <v>84</v>
      </c>
      <c r="D37" t="s">
        <v>85</v>
      </c>
      <c r="E37">
        <v>20</v>
      </c>
      <c r="F37">
        <v>24</v>
      </c>
      <c r="G37">
        <v>4</v>
      </c>
    </row>
    <row r="38" spans="1:7" x14ac:dyDescent="0.25">
      <c r="A38" t="s">
        <v>86</v>
      </c>
      <c r="B38" t="s">
        <v>83</v>
      </c>
      <c r="C38" t="s">
        <v>87</v>
      </c>
      <c r="D38" t="s">
        <v>85</v>
      </c>
      <c r="E38">
        <v>20</v>
      </c>
      <c r="F38">
        <v>24</v>
      </c>
      <c r="G38">
        <v>4</v>
      </c>
    </row>
    <row r="39" spans="1:7" x14ac:dyDescent="0.25">
      <c r="A39" t="s">
        <v>88</v>
      </c>
      <c r="B39" t="s">
        <v>83</v>
      </c>
      <c r="C39" t="s">
        <v>89</v>
      </c>
      <c r="D39" t="s">
        <v>85</v>
      </c>
      <c r="E39">
        <v>15</v>
      </c>
      <c r="F39">
        <v>18</v>
      </c>
      <c r="G39">
        <v>3</v>
      </c>
    </row>
    <row r="40" spans="1:7" x14ac:dyDescent="0.25">
      <c r="A40" t="s">
        <v>90</v>
      </c>
      <c r="B40" t="s">
        <v>83</v>
      </c>
      <c r="C40" t="s">
        <v>91</v>
      </c>
      <c r="D40" t="s">
        <v>85</v>
      </c>
      <c r="E40">
        <v>20</v>
      </c>
      <c r="F40">
        <v>24</v>
      </c>
      <c r="G40">
        <v>4</v>
      </c>
    </row>
    <row r="41" spans="1:7" x14ac:dyDescent="0.25">
      <c r="A41" t="s">
        <v>92</v>
      </c>
      <c r="B41" t="s">
        <v>83</v>
      </c>
      <c r="C41" t="s">
        <v>93</v>
      </c>
      <c r="D41" t="s">
        <v>85</v>
      </c>
      <c r="E41">
        <v>15</v>
      </c>
      <c r="F41">
        <v>18</v>
      </c>
      <c r="G41">
        <v>3</v>
      </c>
    </row>
    <row r="42" spans="1:7" x14ac:dyDescent="0.25">
      <c r="A42" t="s">
        <v>94</v>
      </c>
      <c r="B42" t="s">
        <v>83</v>
      </c>
      <c r="C42" t="s">
        <v>95</v>
      </c>
      <c r="D42" t="s">
        <v>79</v>
      </c>
      <c r="E42">
        <v>25</v>
      </c>
      <c r="F42">
        <v>30</v>
      </c>
      <c r="G42">
        <v>5</v>
      </c>
    </row>
    <row r="43" spans="1:7" x14ac:dyDescent="0.25">
      <c r="A43" t="s">
        <v>96</v>
      </c>
      <c r="B43" t="s">
        <v>83</v>
      </c>
      <c r="C43" t="s">
        <v>97</v>
      </c>
      <c r="D43" t="s">
        <v>79</v>
      </c>
      <c r="E43">
        <v>30</v>
      </c>
      <c r="F43">
        <v>36</v>
      </c>
      <c r="G43">
        <v>6</v>
      </c>
    </row>
    <row r="44" spans="1:7" x14ac:dyDescent="0.25">
      <c r="A44" t="s">
        <v>98</v>
      </c>
      <c r="B44" t="s">
        <v>83</v>
      </c>
      <c r="C44" t="s">
        <v>99</v>
      </c>
      <c r="D44" t="s">
        <v>85</v>
      </c>
      <c r="E44">
        <v>15</v>
      </c>
      <c r="F44">
        <v>18</v>
      </c>
      <c r="G44">
        <v>3</v>
      </c>
    </row>
    <row r="45" spans="1:7" x14ac:dyDescent="0.25">
      <c r="A45" t="s">
        <v>100</v>
      </c>
      <c r="B45" t="s">
        <v>83</v>
      </c>
      <c r="C45" t="s">
        <v>101</v>
      </c>
      <c r="D45" t="s">
        <v>79</v>
      </c>
      <c r="E45">
        <v>35</v>
      </c>
      <c r="F45">
        <v>42</v>
      </c>
      <c r="G45">
        <v>7</v>
      </c>
    </row>
    <row r="46" spans="1:7" x14ac:dyDescent="0.25">
      <c r="A46" t="s">
        <v>102</v>
      </c>
      <c r="B46" t="s">
        <v>83</v>
      </c>
      <c r="C46" t="s">
        <v>103</v>
      </c>
      <c r="D46" t="s">
        <v>85</v>
      </c>
      <c r="E46">
        <v>20</v>
      </c>
      <c r="F46">
        <v>24</v>
      </c>
      <c r="G46">
        <v>4</v>
      </c>
    </row>
    <row r="47" spans="1:7" x14ac:dyDescent="0.25">
      <c r="A47" t="s">
        <v>104</v>
      </c>
      <c r="B47" t="s">
        <v>105</v>
      </c>
      <c r="C47" t="s">
        <v>106</v>
      </c>
      <c r="D47" t="s">
        <v>107</v>
      </c>
      <c r="E47">
        <v>10</v>
      </c>
      <c r="F47">
        <v>12</v>
      </c>
      <c r="G47">
        <v>2</v>
      </c>
    </row>
    <row r="48" spans="1:7" x14ac:dyDescent="0.25">
      <c r="A48" t="s">
        <v>108</v>
      </c>
      <c r="B48" t="s">
        <v>105</v>
      </c>
      <c r="C48" t="s">
        <v>109</v>
      </c>
      <c r="D48" t="s">
        <v>107</v>
      </c>
      <c r="E48">
        <v>15</v>
      </c>
      <c r="F48">
        <v>18</v>
      </c>
      <c r="G48">
        <v>3</v>
      </c>
    </row>
    <row r="49" spans="1:7" x14ac:dyDescent="0.25">
      <c r="A49" t="s">
        <v>110</v>
      </c>
      <c r="B49" t="s">
        <v>105</v>
      </c>
      <c r="C49" t="s">
        <v>111</v>
      </c>
      <c r="D49" t="s">
        <v>112</v>
      </c>
      <c r="E49">
        <v>20</v>
      </c>
      <c r="F49">
        <v>24</v>
      </c>
      <c r="G49">
        <v>4</v>
      </c>
    </row>
    <row r="50" spans="1:7" x14ac:dyDescent="0.25">
      <c r="A50" t="s">
        <v>113</v>
      </c>
      <c r="B50" t="s">
        <v>105</v>
      </c>
      <c r="C50" t="s">
        <v>114</v>
      </c>
      <c r="D50" t="s">
        <v>112</v>
      </c>
      <c r="E50">
        <v>20</v>
      </c>
      <c r="F50">
        <v>24</v>
      </c>
      <c r="G50">
        <v>4</v>
      </c>
    </row>
    <row r="51" spans="1:7" x14ac:dyDescent="0.25">
      <c r="A51" t="s">
        <v>115</v>
      </c>
      <c r="B51" t="s">
        <v>105</v>
      </c>
      <c r="C51" t="s">
        <v>116</v>
      </c>
      <c r="D51" t="s">
        <v>117</v>
      </c>
      <c r="E51">
        <v>25</v>
      </c>
      <c r="F51">
        <v>30</v>
      </c>
      <c r="G51">
        <v>5</v>
      </c>
    </row>
    <row r="52" spans="1:7" x14ac:dyDescent="0.25">
      <c r="A52" t="s">
        <v>118</v>
      </c>
      <c r="B52" t="s">
        <v>119</v>
      </c>
      <c r="C52" t="s">
        <v>120</v>
      </c>
      <c r="D52" t="s">
        <v>112</v>
      </c>
      <c r="E52">
        <v>10</v>
      </c>
      <c r="F52">
        <v>12</v>
      </c>
      <c r="G52">
        <v>2</v>
      </c>
    </row>
    <row r="53" spans="1:7" x14ac:dyDescent="0.25">
      <c r="A53" t="s">
        <v>121</v>
      </c>
      <c r="B53" t="s">
        <v>119</v>
      </c>
      <c r="C53" t="s">
        <v>122</v>
      </c>
      <c r="D53" t="s">
        <v>123</v>
      </c>
      <c r="E53">
        <v>10</v>
      </c>
      <c r="F53">
        <v>12</v>
      </c>
      <c r="G53">
        <v>2</v>
      </c>
    </row>
    <row r="54" spans="1:7" x14ac:dyDescent="0.25">
      <c r="A54" t="s">
        <v>124</v>
      </c>
      <c r="B54" t="s">
        <v>119</v>
      </c>
      <c r="C54" t="s">
        <v>125</v>
      </c>
      <c r="D54" t="s">
        <v>126</v>
      </c>
      <c r="E54">
        <v>20</v>
      </c>
      <c r="F54">
        <v>24</v>
      </c>
      <c r="G54">
        <v>4</v>
      </c>
    </row>
    <row r="55" spans="1:7" x14ac:dyDescent="0.25">
      <c r="A55" t="s">
        <v>127</v>
      </c>
      <c r="B55" t="s">
        <v>119</v>
      </c>
      <c r="C55" t="s">
        <v>128</v>
      </c>
      <c r="D55" t="s">
        <v>107</v>
      </c>
      <c r="E55">
        <v>20</v>
      </c>
      <c r="F55">
        <v>24</v>
      </c>
      <c r="G55">
        <v>4</v>
      </c>
    </row>
    <row r="56" spans="1:7" x14ac:dyDescent="0.25">
      <c r="A56" t="s">
        <v>129</v>
      </c>
      <c r="B56" t="s">
        <v>119</v>
      </c>
      <c r="C56" t="s">
        <v>130</v>
      </c>
      <c r="D56" t="s">
        <v>112</v>
      </c>
      <c r="E56">
        <v>10</v>
      </c>
      <c r="F56">
        <v>12</v>
      </c>
      <c r="G56">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BA4A4-8706-495E-9B63-94AFA61293ED}">
  <dimension ref="A1:I2782"/>
  <sheetViews>
    <sheetView workbookViewId="0">
      <selection activeCell="S2775" sqref="S2775"/>
    </sheetView>
  </sheetViews>
  <sheetFormatPr defaultRowHeight="15" x14ac:dyDescent="0.25"/>
  <cols>
    <col min="1" max="1" width="11.85546875" bestFit="1" customWidth="1"/>
    <col min="4" max="4" width="18.28515625" bestFit="1" customWidth="1"/>
    <col min="5" max="5" width="12.42578125" bestFit="1" customWidth="1"/>
  </cols>
  <sheetData>
    <row r="1" spans="1:9" x14ac:dyDescent="0.25">
      <c r="A1" t="s">
        <v>131</v>
      </c>
      <c r="B1" t="s">
        <v>0</v>
      </c>
      <c r="C1" t="s">
        <v>1</v>
      </c>
      <c r="D1" t="s">
        <v>2</v>
      </c>
      <c r="E1" t="s">
        <v>3</v>
      </c>
      <c r="F1" t="s">
        <v>132</v>
      </c>
      <c r="G1" t="s">
        <v>133</v>
      </c>
      <c r="H1" t="s">
        <v>134</v>
      </c>
      <c r="I1" t="s">
        <v>135</v>
      </c>
    </row>
    <row r="2" spans="1:9" x14ac:dyDescent="0.25">
      <c r="A2">
        <v>1</v>
      </c>
      <c r="B2" t="s">
        <v>60</v>
      </c>
      <c r="C2" t="s">
        <v>61</v>
      </c>
      <c r="D2" t="s">
        <v>62</v>
      </c>
      <c r="E2" t="s">
        <v>10</v>
      </c>
      <c r="F2" cm="1">
        <f t="array" ref="F2">_xlfn.XLOOKUP(Food_Orders[[#This Row],[Event_No]],Event_Master[[#All],[Event_No]],Event_Master[[#All],[Guest_Count]],,0)</f>
        <v>850</v>
      </c>
      <c r="G2" cm="1">
        <f t="array" ref="G2">Food_Orders[[#This Row],[Quantity_Orderd]]*_xlfn.XLOOKUP(Food_Orders[[#This Row],[Food_ID]],Food_Catalog[[#All],[Food_ID]],Food_Catalog[[#All],[Price_Per_Unit]],0,0)</f>
        <v>17000</v>
      </c>
      <c r="H2" cm="1">
        <f t="array" ref="H2">Food_Orders[[#This Row],[Quantity_Orderd]]*_xlfn.XLOOKUP(Food_Orders[[#This Row],[Food_ID]],Food_Catalog[[#All],[Food_ID]],Food_Catalog[[#All],[Client_Price_Per_Unit]],0,0)</f>
        <v>20400</v>
      </c>
      <c r="I2">
        <f>Food_Orders[[#This Row],[Client_Price]]-Food_Orders[[#This Row],[Cost]]</f>
        <v>3400</v>
      </c>
    </row>
    <row r="3" spans="1:9" x14ac:dyDescent="0.25">
      <c r="A3">
        <v>2</v>
      </c>
      <c r="B3" t="s">
        <v>60</v>
      </c>
      <c r="C3" t="s">
        <v>61</v>
      </c>
      <c r="D3" t="s">
        <v>62</v>
      </c>
      <c r="E3" t="s">
        <v>10</v>
      </c>
      <c r="F3" cm="1">
        <f t="array" ref="F3">_xlfn.XLOOKUP(Food_Orders[[#This Row],[Event_No]],Event_Master[[#All],[Event_No]],Event_Master[[#All],[Guest_Count]],,0)</f>
        <v>400</v>
      </c>
      <c r="G3" cm="1">
        <f t="array" ref="G3">Food_Orders[[#This Row],[Quantity_Orderd]]*_xlfn.XLOOKUP(Food_Orders[[#This Row],[Food_ID]],Food_Catalog[[#All],[Food_ID]],Food_Catalog[[#All],[Price_Per_Unit]],0,0)</f>
        <v>8000</v>
      </c>
      <c r="H3" cm="1">
        <f t="array" ref="H3">Food_Orders[[#This Row],[Quantity_Orderd]]*_xlfn.XLOOKUP(Food_Orders[[#This Row],[Food_ID]],Food_Catalog[[#All],[Food_ID]],Food_Catalog[[#All],[Client_Price_Per_Unit]],0,0)</f>
        <v>9600</v>
      </c>
      <c r="I3">
        <f>Food_Orders[[#This Row],[Client_Price]]-Food_Orders[[#This Row],[Cost]]</f>
        <v>1600</v>
      </c>
    </row>
    <row r="4" spans="1:9" x14ac:dyDescent="0.25">
      <c r="A4">
        <v>1</v>
      </c>
      <c r="B4" t="s">
        <v>7</v>
      </c>
      <c r="C4" t="s">
        <v>8</v>
      </c>
      <c r="D4" t="s">
        <v>9</v>
      </c>
      <c r="E4" t="s">
        <v>10</v>
      </c>
      <c r="F4" cm="1">
        <f t="array" ref="F4">_xlfn.XLOOKUP(Food_Orders[[#This Row],[Event_No]],Event_Master[[#All],[Event_No]],Event_Master[[#All],[Guest_Count]],,0)</f>
        <v>850</v>
      </c>
      <c r="G4" cm="1">
        <f t="array" ref="G4">Food_Orders[[#This Row],[Quantity_Orderd]]*_xlfn.XLOOKUP(Food_Orders[[#This Row],[Food_ID]],Food_Catalog[[#All],[Food_ID]],Food_Catalog[[#All],[Price_Per_Unit]],0,0)</f>
        <v>21250</v>
      </c>
      <c r="H4" cm="1">
        <f t="array" ref="H4">Food_Orders[[#This Row],[Quantity_Orderd]]*_xlfn.XLOOKUP(Food_Orders[[#This Row],[Food_ID]],Food_Catalog[[#All],[Food_ID]],Food_Catalog[[#All],[Client_Price_Per_Unit]],0,0)</f>
        <v>25500</v>
      </c>
      <c r="I4">
        <f>Food_Orders[[#This Row],[Client_Price]]-Food_Orders[[#This Row],[Cost]]</f>
        <v>4250</v>
      </c>
    </row>
    <row r="5" spans="1:9" x14ac:dyDescent="0.25">
      <c r="A5">
        <v>2</v>
      </c>
      <c r="B5" t="s">
        <v>7</v>
      </c>
      <c r="C5" t="s">
        <v>8</v>
      </c>
      <c r="D5" t="s">
        <v>9</v>
      </c>
      <c r="E5" t="s">
        <v>10</v>
      </c>
      <c r="F5" cm="1">
        <f t="array" ref="F5">_xlfn.XLOOKUP(Food_Orders[[#This Row],[Event_No]],Event_Master[[#All],[Event_No]],Event_Master[[#All],[Guest_Count]],,0)</f>
        <v>400</v>
      </c>
      <c r="G5" cm="1">
        <f t="array" ref="G5">Food_Orders[[#This Row],[Quantity_Orderd]]*_xlfn.XLOOKUP(Food_Orders[[#This Row],[Food_ID]],Food_Catalog[[#All],[Food_ID]],Food_Catalog[[#All],[Price_Per_Unit]],0,0)</f>
        <v>10000</v>
      </c>
      <c r="H5" cm="1">
        <f t="array" ref="H5">Food_Orders[[#This Row],[Quantity_Orderd]]*_xlfn.XLOOKUP(Food_Orders[[#This Row],[Food_ID]],Food_Catalog[[#All],[Food_ID]],Food_Catalog[[#All],[Client_Price_Per_Unit]],0,0)</f>
        <v>12000</v>
      </c>
      <c r="I5">
        <f>Food_Orders[[#This Row],[Client_Price]]-Food_Orders[[#This Row],[Cost]]</f>
        <v>2000</v>
      </c>
    </row>
    <row r="6" spans="1:9" x14ac:dyDescent="0.25">
      <c r="A6">
        <v>1</v>
      </c>
      <c r="B6" t="s">
        <v>63</v>
      </c>
      <c r="C6" t="s">
        <v>61</v>
      </c>
      <c r="D6" t="s">
        <v>64</v>
      </c>
      <c r="E6" t="s">
        <v>10</v>
      </c>
      <c r="F6" cm="1">
        <f t="array" ref="F6">_xlfn.XLOOKUP(Food_Orders[[#This Row],[Event_No]],Event_Master[[#All],[Event_No]],Event_Master[[#All],[Guest_Count]],,0)</f>
        <v>850</v>
      </c>
      <c r="G6" cm="1">
        <f t="array" ref="G6">Food_Orders[[#This Row],[Quantity_Orderd]]*_xlfn.XLOOKUP(Food_Orders[[#This Row],[Food_ID]],Food_Catalog[[#All],[Food_ID]],Food_Catalog[[#All],[Price_Per_Unit]],0,0)</f>
        <v>25500</v>
      </c>
      <c r="H6" cm="1">
        <f t="array" ref="H6">Food_Orders[[#This Row],[Quantity_Orderd]]*_xlfn.XLOOKUP(Food_Orders[[#This Row],[Food_ID]],Food_Catalog[[#All],[Food_ID]],Food_Catalog[[#All],[Client_Price_Per_Unit]],0,0)</f>
        <v>30600</v>
      </c>
      <c r="I6">
        <f>Food_Orders[[#This Row],[Client_Price]]-Food_Orders[[#This Row],[Cost]]</f>
        <v>5100</v>
      </c>
    </row>
    <row r="7" spans="1:9" x14ac:dyDescent="0.25">
      <c r="A7">
        <v>2</v>
      </c>
      <c r="B7" t="s">
        <v>63</v>
      </c>
      <c r="C7" t="s">
        <v>61</v>
      </c>
      <c r="D7" t="s">
        <v>64</v>
      </c>
      <c r="E7" t="s">
        <v>10</v>
      </c>
      <c r="F7" cm="1">
        <f t="array" ref="F7">_xlfn.XLOOKUP(Food_Orders[[#This Row],[Event_No]],Event_Master[[#All],[Event_No]],Event_Master[[#All],[Guest_Count]],,0)</f>
        <v>400</v>
      </c>
      <c r="G7" cm="1">
        <f t="array" ref="G7">Food_Orders[[#This Row],[Quantity_Orderd]]*_xlfn.XLOOKUP(Food_Orders[[#This Row],[Food_ID]],Food_Catalog[[#All],[Food_ID]],Food_Catalog[[#All],[Price_Per_Unit]],0,0)</f>
        <v>12000</v>
      </c>
      <c r="H7" cm="1">
        <f t="array" ref="H7">Food_Orders[[#This Row],[Quantity_Orderd]]*_xlfn.XLOOKUP(Food_Orders[[#This Row],[Food_ID]],Food_Catalog[[#All],[Food_ID]],Food_Catalog[[#All],[Client_Price_Per_Unit]],0,0)</f>
        <v>14400</v>
      </c>
      <c r="I7">
        <f>Food_Orders[[#This Row],[Client_Price]]-Food_Orders[[#This Row],[Cost]]</f>
        <v>2400</v>
      </c>
    </row>
    <row r="8" spans="1:9" x14ac:dyDescent="0.25">
      <c r="A8">
        <v>1</v>
      </c>
      <c r="B8" t="s">
        <v>71</v>
      </c>
      <c r="C8" t="s">
        <v>61</v>
      </c>
      <c r="D8" t="s">
        <v>72</v>
      </c>
      <c r="E8" t="s">
        <v>10</v>
      </c>
      <c r="F8" cm="1">
        <f t="array" ref="F8">_xlfn.XLOOKUP(Food_Orders[[#This Row],[Event_No]],Event_Master[[#All],[Event_No]],Event_Master[[#All],[Guest_Count]],,0)</f>
        <v>850</v>
      </c>
      <c r="G8" cm="1">
        <f t="array" ref="G8">Food_Orders[[#This Row],[Quantity_Orderd]]*_xlfn.XLOOKUP(Food_Orders[[#This Row],[Food_ID]],Food_Catalog[[#All],[Food_ID]],Food_Catalog[[#All],[Price_Per_Unit]],0,0)</f>
        <v>21250</v>
      </c>
      <c r="H8" cm="1">
        <f t="array" ref="H8">Food_Orders[[#This Row],[Quantity_Orderd]]*_xlfn.XLOOKUP(Food_Orders[[#This Row],[Food_ID]],Food_Catalog[[#All],[Food_ID]],Food_Catalog[[#All],[Client_Price_Per_Unit]],0,0)</f>
        <v>25500</v>
      </c>
      <c r="I8">
        <f>Food_Orders[[#This Row],[Client_Price]]-Food_Orders[[#This Row],[Cost]]</f>
        <v>4250</v>
      </c>
    </row>
    <row r="9" spans="1:9" x14ac:dyDescent="0.25">
      <c r="A9">
        <v>2</v>
      </c>
      <c r="B9" t="s">
        <v>71</v>
      </c>
      <c r="C9" t="s">
        <v>61</v>
      </c>
      <c r="D9" t="s">
        <v>72</v>
      </c>
      <c r="E9" t="s">
        <v>10</v>
      </c>
      <c r="F9" cm="1">
        <f t="array" ref="F9">_xlfn.XLOOKUP(Food_Orders[[#This Row],[Event_No]],Event_Master[[#All],[Event_No]],Event_Master[[#All],[Guest_Count]],,0)</f>
        <v>400</v>
      </c>
      <c r="G9" cm="1">
        <f t="array" ref="G9">Food_Orders[[#This Row],[Quantity_Orderd]]*_xlfn.XLOOKUP(Food_Orders[[#This Row],[Food_ID]],Food_Catalog[[#All],[Food_ID]],Food_Catalog[[#All],[Price_Per_Unit]],0,0)</f>
        <v>10000</v>
      </c>
      <c r="H9" cm="1">
        <f t="array" ref="H9">Food_Orders[[#This Row],[Quantity_Orderd]]*_xlfn.XLOOKUP(Food_Orders[[#This Row],[Food_ID]],Food_Catalog[[#All],[Food_ID]],Food_Catalog[[#All],[Client_Price_Per_Unit]],0,0)</f>
        <v>12000</v>
      </c>
      <c r="I9">
        <f>Food_Orders[[#This Row],[Client_Price]]-Food_Orders[[#This Row],[Cost]]</f>
        <v>2000</v>
      </c>
    </row>
    <row r="10" spans="1:9" x14ac:dyDescent="0.25">
      <c r="A10">
        <v>1</v>
      </c>
      <c r="B10" t="s">
        <v>13</v>
      </c>
      <c r="C10" t="s">
        <v>8</v>
      </c>
      <c r="D10" t="s">
        <v>14</v>
      </c>
      <c r="E10" t="s">
        <v>10</v>
      </c>
      <c r="F10" cm="1">
        <f t="array" ref="F10">_xlfn.XLOOKUP(Food_Orders[[#This Row],[Event_No]],Event_Master[[#All],[Event_No]],Event_Master[[#All],[Guest_Count]],,0)</f>
        <v>850</v>
      </c>
      <c r="G10" cm="1">
        <f t="array" ref="G10">Food_Orders[[#This Row],[Quantity_Orderd]]*_xlfn.XLOOKUP(Food_Orders[[#This Row],[Food_ID]],Food_Catalog[[#All],[Food_ID]],Food_Catalog[[#All],[Price_Per_Unit]],0,0)</f>
        <v>29750</v>
      </c>
      <c r="H10" cm="1">
        <f t="array" ref="H10">Food_Orders[[#This Row],[Quantity_Orderd]]*_xlfn.XLOOKUP(Food_Orders[[#This Row],[Food_ID]],Food_Catalog[[#All],[Food_ID]],Food_Catalog[[#All],[Client_Price_Per_Unit]],0,0)</f>
        <v>35700</v>
      </c>
      <c r="I10">
        <f>Food_Orders[[#This Row],[Client_Price]]-Food_Orders[[#This Row],[Cost]]</f>
        <v>5950</v>
      </c>
    </row>
    <row r="11" spans="1:9" x14ac:dyDescent="0.25">
      <c r="A11">
        <v>2</v>
      </c>
      <c r="B11" t="s">
        <v>13</v>
      </c>
      <c r="C11" t="s">
        <v>8</v>
      </c>
      <c r="D11" t="s">
        <v>14</v>
      </c>
      <c r="E11" t="s">
        <v>10</v>
      </c>
      <c r="F11" cm="1">
        <f t="array" ref="F11">_xlfn.XLOOKUP(Food_Orders[[#This Row],[Event_No]],Event_Master[[#All],[Event_No]],Event_Master[[#All],[Guest_Count]],,0)</f>
        <v>400</v>
      </c>
      <c r="G11" cm="1">
        <f t="array" ref="G11">Food_Orders[[#This Row],[Quantity_Orderd]]*_xlfn.XLOOKUP(Food_Orders[[#This Row],[Food_ID]],Food_Catalog[[#All],[Food_ID]],Food_Catalog[[#All],[Price_Per_Unit]],0,0)</f>
        <v>14000</v>
      </c>
      <c r="H11" cm="1">
        <f t="array" ref="H11">Food_Orders[[#This Row],[Quantity_Orderd]]*_xlfn.XLOOKUP(Food_Orders[[#This Row],[Food_ID]],Food_Catalog[[#All],[Food_ID]],Food_Catalog[[#All],[Client_Price_Per_Unit]],0,0)</f>
        <v>16800</v>
      </c>
      <c r="I11">
        <f>Food_Orders[[#This Row],[Client_Price]]-Food_Orders[[#This Row],[Cost]]</f>
        <v>2800</v>
      </c>
    </row>
    <row r="12" spans="1:9" x14ac:dyDescent="0.25">
      <c r="A12">
        <v>1</v>
      </c>
      <c r="B12" t="s">
        <v>80</v>
      </c>
      <c r="C12" t="s">
        <v>61</v>
      </c>
      <c r="D12" t="s">
        <v>81</v>
      </c>
      <c r="E12" t="s">
        <v>10</v>
      </c>
      <c r="F12" cm="1">
        <f t="array" ref="F12">_xlfn.XLOOKUP(Food_Orders[[#This Row],[Event_No]],Event_Master[[#All],[Event_No]],Event_Master[[#All],[Guest_Count]],,0)</f>
        <v>850</v>
      </c>
      <c r="G12" cm="1">
        <f t="array" ref="G12">Food_Orders[[#This Row],[Quantity_Orderd]]*_xlfn.XLOOKUP(Food_Orders[[#This Row],[Food_ID]],Food_Catalog[[#All],[Food_ID]],Food_Catalog[[#All],[Price_Per_Unit]],0,0)</f>
        <v>25500</v>
      </c>
      <c r="H12" cm="1">
        <f t="array" ref="H12">Food_Orders[[#This Row],[Quantity_Orderd]]*_xlfn.XLOOKUP(Food_Orders[[#This Row],[Food_ID]],Food_Catalog[[#All],[Food_ID]],Food_Catalog[[#All],[Client_Price_Per_Unit]],0,0)</f>
        <v>30600</v>
      </c>
      <c r="I12">
        <f>Food_Orders[[#This Row],[Client_Price]]-Food_Orders[[#This Row],[Cost]]</f>
        <v>5100</v>
      </c>
    </row>
    <row r="13" spans="1:9" x14ac:dyDescent="0.25">
      <c r="A13">
        <v>1</v>
      </c>
      <c r="B13" t="s">
        <v>15</v>
      </c>
      <c r="C13" t="s">
        <v>8</v>
      </c>
      <c r="D13" t="s">
        <v>16</v>
      </c>
      <c r="E13" t="s">
        <v>10</v>
      </c>
      <c r="F13" cm="1">
        <f t="array" ref="F13">_xlfn.XLOOKUP(Food_Orders[[#This Row],[Event_No]],Event_Master[[#All],[Event_No]],Event_Master[[#All],[Guest_Count]],,0)</f>
        <v>850</v>
      </c>
      <c r="G13" cm="1">
        <f t="array" ref="G13">Food_Orders[[#This Row],[Quantity_Orderd]]*_xlfn.XLOOKUP(Food_Orders[[#This Row],[Food_ID]],Food_Catalog[[#All],[Food_ID]],Food_Catalog[[#All],[Price_Per_Unit]],0,0)</f>
        <v>25500</v>
      </c>
      <c r="H13" cm="1">
        <f t="array" ref="H13">Food_Orders[[#This Row],[Quantity_Orderd]]*_xlfn.XLOOKUP(Food_Orders[[#This Row],[Food_ID]],Food_Catalog[[#All],[Food_ID]],Food_Catalog[[#All],[Client_Price_Per_Unit]],0,0)</f>
        <v>30600</v>
      </c>
      <c r="I13">
        <f>Food_Orders[[#This Row],[Client_Price]]-Food_Orders[[#This Row],[Cost]]</f>
        <v>5100</v>
      </c>
    </row>
    <row r="14" spans="1:9" x14ac:dyDescent="0.25">
      <c r="A14">
        <v>1</v>
      </c>
      <c r="B14" t="s">
        <v>73</v>
      </c>
      <c r="C14" t="s">
        <v>61</v>
      </c>
      <c r="D14" t="s">
        <v>74</v>
      </c>
      <c r="E14" t="s">
        <v>10</v>
      </c>
      <c r="F14" cm="1">
        <f t="array" ref="F14">_xlfn.XLOOKUP(Food_Orders[[#This Row],[Event_No]],Event_Master[[#All],[Event_No]],Event_Master[[#All],[Guest_Count]],,0)</f>
        <v>850</v>
      </c>
      <c r="G14" cm="1">
        <f t="array" ref="G14">Food_Orders[[#This Row],[Quantity_Orderd]]*_xlfn.XLOOKUP(Food_Orders[[#This Row],[Food_ID]],Food_Catalog[[#All],[Food_ID]],Food_Catalog[[#All],[Price_Per_Unit]],0,0)</f>
        <v>34000</v>
      </c>
      <c r="H14" cm="1">
        <f t="array" ref="H14">Food_Orders[[#This Row],[Quantity_Orderd]]*_xlfn.XLOOKUP(Food_Orders[[#This Row],[Food_ID]],Food_Catalog[[#All],[Food_ID]],Food_Catalog[[#All],[Client_Price_Per_Unit]],0,0)</f>
        <v>40800</v>
      </c>
      <c r="I14">
        <f>Food_Orders[[#This Row],[Client_Price]]-Food_Orders[[#This Row],[Cost]]</f>
        <v>6800</v>
      </c>
    </row>
    <row r="15" spans="1:9" x14ac:dyDescent="0.25">
      <c r="A15">
        <v>2</v>
      </c>
      <c r="B15" t="s">
        <v>73</v>
      </c>
      <c r="C15" t="s">
        <v>61</v>
      </c>
      <c r="D15" t="s">
        <v>74</v>
      </c>
      <c r="E15" t="s">
        <v>10</v>
      </c>
      <c r="F15" cm="1">
        <f t="array" ref="F15">_xlfn.XLOOKUP(Food_Orders[[#This Row],[Event_No]],Event_Master[[#All],[Event_No]],Event_Master[[#All],[Guest_Count]],,0)</f>
        <v>400</v>
      </c>
      <c r="G15" cm="1">
        <f t="array" ref="G15">Food_Orders[[#This Row],[Quantity_Orderd]]*_xlfn.XLOOKUP(Food_Orders[[#This Row],[Food_ID]],Food_Catalog[[#All],[Food_ID]],Food_Catalog[[#All],[Price_Per_Unit]],0,0)</f>
        <v>16000</v>
      </c>
      <c r="H15" cm="1">
        <f t="array" ref="H15">Food_Orders[[#This Row],[Quantity_Orderd]]*_xlfn.XLOOKUP(Food_Orders[[#This Row],[Food_ID]],Food_Catalog[[#All],[Food_ID]],Food_Catalog[[#All],[Client_Price_Per_Unit]],0,0)</f>
        <v>19200</v>
      </c>
      <c r="I15">
        <f>Food_Orders[[#This Row],[Client_Price]]-Food_Orders[[#This Row],[Cost]]</f>
        <v>3200</v>
      </c>
    </row>
    <row r="16" spans="1:9" x14ac:dyDescent="0.25">
      <c r="A16">
        <v>1</v>
      </c>
      <c r="B16" t="s">
        <v>17</v>
      </c>
      <c r="C16" t="s">
        <v>8</v>
      </c>
      <c r="D16" t="s">
        <v>18</v>
      </c>
      <c r="E16" t="s">
        <v>10</v>
      </c>
      <c r="F16" cm="1">
        <f t="array" ref="F16">_xlfn.XLOOKUP(Food_Orders[[#This Row],[Event_No]],Event_Master[[#All],[Event_No]],Event_Master[[#All],[Guest_Count]],,0)</f>
        <v>850</v>
      </c>
      <c r="G16" cm="1">
        <f t="array" ref="G16">Food_Orders[[#This Row],[Quantity_Orderd]]*_xlfn.XLOOKUP(Food_Orders[[#This Row],[Food_ID]],Food_Catalog[[#All],[Food_ID]],Food_Catalog[[#All],[Price_Per_Unit]],0,0)</f>
        <v>34000</v>
      </c>
      <c r="H16" cm="1">
        <f t="array" ref="H16">Food_Orders[[#This Row],[Quantity_Orderd]]*_xlfn.XLOOKUP(Food_Orders[[#This Row],[Food_ID]],Food_Catalog[[#All],[Food_ID]],Food_Catalog[[#All],[Client_Price_Per_Unit]],0,0)</f>
        <v>40800</v>
      </c>
      <c r="I16">
        <f>Food_Orders[[#This Row],[Client_Price]]-Food_Orders[[#This Row],[Cost]]</f>
        <v>6800</v>
      </c>
    </row>
    <row r="17" spans="1:9" x14ac:dyDescent="0.25">
      <c r="A17">
        <v>1</v>
      </c>
      <c r="B17" t="s">
        <v>75</v>
      </c>
      <c r="C17" t="s">
        <v>61</v>
      </c>
      <c r="D17" t="s">
        <v>76</v>
      </c>
      <c r="E17" t="s">
        <v>10</v>
      </c>
      <c r="F17" cm="1">
        <f t="array" ref="F17">_xlfn.XLOOKUP(Food_Orders[[#This Row],[Event_No]],Event_Master[[#All],[Event_No]],Event_Master[[#All],[Guest_Count]],,0)</f>
        <v>850</v>
      </c>
      <c r="G17" cm="1">
        <f t="array" ref="G17">Food_Orders[[#This Row],[Quantity_Orderd]]*_xlfn.XLOOKUP(Food_Orders[[#This Row],[Food_ID]],Food_Catalog[[#All],[Food_ID]],Food_Catalog[[#All],[Price_Per_Unit]],0,0)</f>
        <v>34000</v>
      </c>
      <c r="H17" cm="1">
        <f t="array" ref="H17">Food_Orders[[#This Row],[Quantity_Orderd]]*_xlfn.XLOOKUP(Food_Orders[[#This Row],[Food_ID]],Food_Catalog[[#All],[Food_ID]],Food_Catalog[[#All],[Client_Price_Per_Unit]],0,0)</f>
        <v>40800</v>
      </c>
      <c r="I17">
        <f>Food_Orders[[#This Row],[Client_Price]]-Food_Orders[[#This Row],[Cost]]</f>
        <v>6800</v>
      </c>
    </row>
    <row r="18" spans="1:9" x14ac:dyDescent="0.25">
      <c r="A18">
        <v>2</v>
      </c>
      <c r="B18" t="s">
        <v>75</v>
      </c>
      <c r="C18" t="s">
        <v>61</v>
      </c>
      <c r="D18" t="s">
        <v>76</v>
      </c>
      <c r="E18" t="s">
        <v>10</v>
      </c>
      <c r="F18" cm="1">
        <f t="array" ref="F18">_xlfn.XLOOKUP(Food_Orders[[#This Row],[Event_No]],Event_Master[[#All],[Event_No]],Event_Master[[#All],[Guest_Count]],,0)</f>
        <v>400</v>
      </c>
      <c r="G18" cm="1">
        <f t="array" ref="G18">Food_Orders[[#This Row],[Quantity_Orderd]]*_xlfn.XLOOKUP(Food_Orders[[#This Row],[Food_ID]],Food_Catalog[[#All],[Food_ID]],Food_Catalog[[#All],[Price_Per_Unit]],0,0)</f>
        <v>16000</v>
      </c>
      <c r="H18" cm="1">
        <f t="array" ref="H18">Food_Orders[[#This Row],[Quantity_Orderd]]*_xlfn.XLOOKUP(Food_Orders[[#This Row],[Food_ID]],Food_Catalog[[#All],[Food_ID]],Food_Catalog[[#All],[Client_Price_Per_Unit]],0,0)</f>
        <v>19200</v>
      </c>
      <c r="I18">
        <f>Food_Orders[[#This Row],[Client_Price]]-Food_Orders[[#This Row],[Cost]]</f>
        <v>3200</v>
      </c>
    </row>
    <row r="19" spans="1:9" x14ac:dyDescent="0.25">
      <c r="A19">
        <v>1</v>
      </c>
      <c r="B19" t="s">
        <v>19</v>
      </c>
      <c r="C19" t="s">
        <v>8</v>
      </c>
      <c r="D19" t="s">
        <v>20</v>
      </c>
      <c r="E19" t="s">
        <v>10</v>
      </c>
      <c r="F19" cm="1">
        <f t="array" ref="F19">_xlfn.XLOOKUP(Food_Orders[[#This Row],[Event_No]],Event_Master[[#All],[Event_No]],Event_Master[[#All],[Guest_Count]],,0)</f>
        <v>850</v>
      </c>
      <c r="G19" cm="1">
        <f t="array" ref="G19">Food_Orders[[#This Row],[Quantity_Orderd]]*_xlfn.XLOOKUP(Food_Orders[[#This Row],[Food_ID]],Food_Catalog[[#All],[Food_ID]],Food_Catalog[[#All],[Price_Per_Unit]],0,0)</f>
        <v>29750</v>
      </c>
      <c r="H19" cm="1">
        <f t="array" ref="H19">Food_Orders[[#This Row],[Quantity_Orderd]]*_xlfn.XLOOKUP(Food_Orders[[#This Row],[Food_ID]],Food_Catalog[[#All],[Food_ID]],Food_Catalog[[#All],[Client_Price_Per_Unit]],0,0)</f>
        <v>35700</v>
      </c>
      <c r="I19">
        <f>Food_Orders[[#This Row],[Client_Price]]-Food_Orders[[#This Row],[Cost]]</f>
        <v>5950</v>
      </c>
    </row>
    <row r="20" spans="1:9" x14ac:dyDescent="0.25">
      <c r="A20">
        <v>1</v>
      </c>
      <c r="B20" t="s">
        <v>69</v>
      </c>
      <c r="C20" t="s">
        <v>61</v>
      </c>
      <c r="D20" t="s">
        <v>70</v>
      </c>
      <c r="E20" t="s">
        <v>10</v>
      </c>
      <c r="F20" cm="1">
        <f t="array" ref="F20">_xlfn.XLOOKUP(Food_Orders[[#This Row],[Event_No]],Event_Master[[#All],[Event_No]],Event_Master[[#All],[Guest_Count]],,0)</f>
        <v>850</v>
      </c>
      <c r="G20" cm="1">
        <f t="array" ref="G20">Food_Orders[[#This Row],[Quantity_Orderd]]*_xlfn.XLOOKUP(Food_Orders[[#This Row],[Food_ID]],Food_Catalog[[#All],[Food_ID]],Food_Catalog[[#All],[Price_Per_Unit]],0,0)</f>
        <v>42500</v>
      </c>
      <c r="H20" cm="1">
        <f t="array" ref="H20">Food_Orders[[#This Row],[Quantity_Orderd]]*_xlfn.XLOOKUP(Food_Orders[[#This Row],[Food_ID]],Food_Catalog[[#All],[Food_ID]],Food_Catalog[[#All],[Client_Price_Per_Unit]],0,0)</f>
        <v>51000</v>
      </c>
      <c r="I20">
        <f>Food_Orders[[#This Row],[Client_Price]]-Food_Orders[[#This Row],[Cost]]</f>
        <v>8500</v>
      </c>
    </row>
    <row r="21" spans="1:9" x14ac:dyDescent="0.25">
      <c r="A21">
        <v>2</v>
      </c>
      <c r="B21" t="s">
        <v>69</v>
      </c>
      <c r="C21" t="s">
        <v>61</v>
      </c>
      <c r="D21" t="s">
        <v>70</v>
      </c>
      <c r="E21" t="s">
        <v>10</v>
      </c>
      <c r="F21" cm="1">
        <f t="array" ref="F21">_xlfn.XLOOKUP(Food_Orders[[#This Row],[Event_No]],Event_Master[[#All],[Event_No]],Event_Master[[#All],[Guest_Count]],,0)</f>
        <v>400</v>
      </c>
      <c r="G21" cm="1">
        <f t="array" ref="G21">Food_Orders[[#This Row],[Quantity_Orderd]]*_xlfn.XLOOKUP(Food_Orders[[#This Row],[Food_ID]],Food_Catalog[[#All],[Food_ID]],Food_Catalog[[#All],[Price_Per_Unit]],0,0)</f>
        <v>20000</v>
      </c>
      <c r="H21" cm="1">
        <f t="array" ref="H21">Food_Orders[[#This Row],[Quantity_Orderd]]*_xlfn.XLOOKUP(Food_Orders[[#This Row],[Food_ID]],Food_Catalog[[#All],[Food_ID]],Food_Catalog[[#All],[Client_Price_Per_Unit]],0,0)</f>
        <v>24000</v>
      </c>
      <c r="I21">
        <f>Food_Orders[[#This Row],[Client_Price]]-Food_Orders[[#This Row],[Cost]]</f>
        <v>4000</v>
      </c>
    </row>
    <row r="22" spans="1:9" x14ac:dyDescent="0.25">
      <c r="A22">
        <v>1</v>
      </c>
      <c r="B22" t="s">
        <v>21</v>
      </c>
      <c r="C22" t="s">
        <v>8</v>
      </c>
      <c r="D22" t="s">
        <v>22</v>
      </c>
      <c r="E22" t="s">
        <v>10</v>
      </c>
      <c r="F22" cm="1">
        <f t="array" ref="F22">_xlfn.XLOOKUP(Food_Orders[[#This Row],[Event_No]],Event_Master[[#All],[Event_No]],Event_Master[[#All],[Guest_Count]],,0)</f>
        <v>850</v>
      </c>
      <c r="G22" cm="1">
        <f t="array" ref="G22">Food_Orders[[#This Row],[Quantity_Orderd]]*_xlfn.XLOOKUP(Food_Orders[[#This Row],[Food_ID]],Food_Catalog[[#All],[Food_ID]],Food_Catalog[[#All],[Price_Per_Unit]],0,0)</f>
        <v>29750</v>
      </c>
      <c r="H22" cm="1">
        <f t="array" ref="H22">Food_Orders[[#This Row],[Quantity_Orderd]]*_xlfn.XLOOKUP(Food_Orders[[#This Row],[Food_ID]],Food_Catalog[[#All],[Food_ID]],Food_Catalog[[#All],[Client_Price_Per_Unit]],0,0)</f>
        <v>35700</v>
      </c>
      <c r="I22">
        <f>Food_Orders[[#This Row],[Client_Price]]-Food_Orders[[#This Row],[Cost]]</f>
        <v>5950</v>
      </c>
    </row>
    <row r="23" spans="1:9" x14ac:dyDescent="0.25">
      <c r="A23">
        <v>1</v>
      </c>
      <c r="B23" t="s">
        <v>67</v>
      </c>
      <c r="C23" t="s">
        <v>61</v>
      </c>
      <c r="D23" t="s">
        <v>68</v>
      </c>
      <c r="E23" t="s">
        <v>10</v>
      </c>
      <c r="F23" cm="1">
        <f t="array" ref="F23">_xlfn.XLOOKUP(Food_Orders[[#This Row],[Event_No]],Event_Master[[#All],[Event_No]],Event_Master[[#All],[Guest_Count]],,0)</f>
        <v>850</v>
      </c>
      <c r="G23" cm="1">
        <f t="array" ref="G23">Food_Orders[[#This Row],[Quantity_Orderd]]*_xlfn.XLOOKUP(Food_Orders[[#This Row],[Food_ID]],Food_Catalog[[#All],[Food_ID]],Food_Catalog[[#All],[Price_Per_Unit]],0,0)</f>
        <v>25500</v>
      </c>
      <c r="H23" cm="1">
        <f t="array" ref="H23">Food_Orders[[#This Row],[Quantity_Orderd]]*_xlfn.XLOOKUP(Food_Orders[[#This Row],[Food_ID]],Food_Catalog[[#All],[Food_ID]],Food_Catalog[[#All],[Client_Price_Per_Unit]],0,0)</f>
        <v>30600</v>
      </c>
      <c r="I23">
        <f>Food_Orders[[#This Row],[Client_Price]]-Food_Orders[[#This Row],[Cost]]</f>
        <v>5100</v>
      </c>
    </row>
    <row r="24" spans="1:9" x14ac:dyDescent="0.25">
      <c r="A24">
        <v>2</v>
      </c>
      <c r="B24" t="s">
        <v>67</v>
      </c>
      <c r="C24" t="s">
        <v>61</v>
      </c>
      <c r="D24" t="s">
        <v>68</v>
      </c>
      <c r="E24" t="s">
        <v>10</v>
      </c>
      <c r="F24" cm="1">
        <f t="array" ref="F24">_xlfn.XLOOKUP(Food_Orders[[#This Row],[Event_No]],Event_Master[[#All],[Event_No]],Event_Master[[#All],[Guest_Count]],,0)</f>
        <v>400</v>
      </c>
      <c r="G24" cm="1">
        <f t="array" ref="G24">Food_Orders[[#This Row],[Quantity_Orderd]]*_xlfn.XLOOKUP(Food_Orders[[#This Row],[Food_ID]],Food_Catalog[[#All],[Food_ID]],Food_Catalog[[#All],[Price_Per_Unit]],0,0)</f>
        <v>12000</v>
      </c>
      <c r="H24" cm="1">
        <f t="array" ref="H24">Food_Orders[[#This Row],[Quantity_Orderd]]*_xlfn.XLOOKUP(Food_Orders[[#This Row],[Food_ID]],Food_Catalog[[#All],[Food_ID]],Food_Catalog[[#All],[Client_Price_Per_Unit]],0,0)</f>
        <v>14400</v>
      </c>
      <c r="I24">
        <f>Food_Orders[[#This Row],[Client_Price]]-Food_Orders[[#This Row],[Cost]]</f>
        <v>2400</v>
      </c>
    </row>
    <row r="25" spans="1:9" x14ac:dyDescent="0.25">
      <c r="A25">
        <v>1</v>
      </c>
      <c r="B25" t="s">
        <v>77</v>
      </c>
      <c r="C25" t="s">
        <v>61</v>
      </c>
      <c r="D25" t="s">
        <v>78</v>
      </c>
      <c r="E25" t="s">
        <v>79</v>
      </c>
      <c r="F25" cm="1">
        <f t="array" ref="F25">_xlfn.XLOOKUP(Food_Orders[[#This Row],[Event_No]],Event_Master[[#All],[Event_No]],Event_Master[[#All],[Guest_Count]],,0)</f>
        <v>850</v>
      </c>
      <c r="G25" cm="1">
        <f t="array" ref="G25">Food_Orders[[#This Row],[Quantity_Orderd]]*_xlfn.XLOOKUP(Food_Orders[[#This Row],[Food_ID]],Food_Catalog[[#All],[Food_ID]],Food_Catalog[[#All],[Price_Per_Unit]],0,0)</f>
        <v>29750</v>
      </c>
      <c r="H25" cm="1">
        <f t="array" ref="H25">Food_Orders[[#This Row],[Quantity_Orderd]]*_xlfn.XLOOKUP(Food_Orders[[#This Row],[Food_ID]],Food_Catalog[[#All],[Food_ID]],Food_Catalog[[#All],[Client_Price_Per_Unit]],0,0)</f>
        <v>35700</v>
      </c>
      <c r="I25">
        <f>Food_Orders[[#This Row],[Client_Price]]-Food_Orders[[#This Row],[Cost]]</f>
        <v>5950</v>
      </c>
    </row>
    <row r="26" spans="1:9" x14ac:dyDescent="0.25">
      <c r="A26">
        <v>2</v>
      </c>
      <c r="B26" t="s">
        <v>77</v>
      </c>
      <c r="C26" t="s">
        <v>61</v>
      </c>
      <c r="D26" t="s">
        <v>78</v>
      </c>
      <c r="E26" t="s">
        <v>79</v>
      </c>
      <c r="F26" cm="1">
        <f t="array" ref="F26">_xlfn.XLOOKUP(Food_Orders[[#This Row],[Event_No]],Event_Master[[#All],[Event_No]],Event_Master[[#All],[Guest_Count]],,0)</f>
        <v>400</v>
      </c>
      <c r="G26" cm="1">
        <f t="array" ref="G26">Food_Orders[[#This Row],[Quantity_Orderd]]*_xlfn.XLOOKUP(Food_Orders[[#This Row],[Food_ID]],Food_Catalog[[#All],[Food_ID]],Food_Catalog[[#All],[Price_Per_Unit]],0,0)</f>
        <v>14000</v>
      </c>
      <c r="H26" cm="1">
        <f t="array" ref="H26">Food_Orders[[#This Row],[Quantity_Orderd]]*_xlfn.XLOOKUP(Food_Orders[[#This Row],[Food_ID]],Food_Catalog[[#All],[Food_ID]],Food_Catalog[[#All],[Client_Price_Per_Unit]],0,0)</f>
        <v>16800</v>
      </c>
      <c r="I26">
        <f>Food_Orders[[#This Row],[Client_Price]]-Food_Orders[[#This Row],[Cost]]</f>
        <v>2800</v>
      </c>
    </row>
    <row r="27" spans="1:9" x14ac:dyDescent="0.25">
      <c r="A27">
        <v>1</v>
      </c>
      <c r="B27" t="s">
        <v>25</v>
      </c>
      <c r="C27" t="s">
        <v>8</v>
      </c>
      <c r="D27" t="s">
        <v>26</v>
      </c>
      <c r="E27" t="s">
        <v>10</v>
      </c>
      <c r="F27" cm="1">
        <f t="array" ref="F27">_xlfn.XLOOKUP(Food_Orders[[#This Row],[Event_No]],Event_Master[[#All],[Event_No]],Event_Master[[#All],[Guest_Count]],,0)</f>
        <v>850</v>
      </c>
      <c r="G27" cm="1">
        <f t="array" ref="G27">Food_Orders[[#This Row],[Quantity_Orderd]]*_xlfn.XLOOKUP(Food_Orders[[#This Row],[Food_ID]],Food_Catalog[[#All],[Food_ID]],Food_Catalog[[#All],[Price_Per_Unit]],0,0)</f>
        <v>25500</v>
      </c>
      <c r="H27" cm="1">
        <f t="array" ref="H27">Food_Orders[[#This Row],[Quantity_Orderd]]*_xlfn.XLOOKUP(Food_Orders[[#This Row],[Food_ID]],Food_Catalog[[#All],[Food_ID]],Food_Catalog[[#All],[Client_Price_Per_Unit]],0,0)</f>
        <v>30600</v>
      </c>
      <c r="I27">
        <f>Food_Orders[[#This Row],[Client_Price]]-Food_Orders[[#This Row],[Cost]]</f>
        <v>5100</v>
      </c>
    </row>
    <row r="28" spans="1:9" x14ac:dyDescent="0.25">
      <c r="A28">
        <v>1</v>
      </c>
      <c r="B28" t="s">
        <v>27</v>
      </c>
      <c r="C28" t="s">
        <v>8</v>
      </c>
      <c r="D28" t="s">
        <v>28</v>
      </c>
      <c r="E28" t="s">
        <v>10</v>
      </c>
      <c r="F28" cm="1">
        <f t="array" ref="F28">_xlfn.XLOOKUP(Food_Orders[[#This Row],[Event_No]],Event_Master[[#All],[Event_No]],Event_Master[[#All],[Guest_Count]],,0)</f>
        <v>850</v>
      </c>
      <c r="G28" cm="1">
        <f t="array" ref="G28">Food_Orders[[#This Row],[Quantity_Orderd]]*_xlfn.XLOOKUP(Food_Orders[[#This Row],[Food_ID]],Food_Catalog[[#All],[Food_ID]],Food_Catalog[[#All],[Price_Per_Unit]],0,0)</f>
        <v>34000</v>
      </c>
      <c r="H28" cm="1">
        <f t="array" ref="H28">Food_Orders[[#This Row],[Quantity_Orderd]]*_xlfn.XLOOKUP(Food_Orders[[#This Row],[Food_ID]],Food_Catalog[[#All],[Food_ID]],Food_Catalog[[#All],[Client_Price_Per_Unit]],0,0)</f>
        <v>40800</v>
      </c>
      <c r="I28">
        <f>Food_Orders[[#This Row],[Client_Price]]-Food_Orders[[#This Row],[Cost]]</f>
        <v>6800</v>
      </c>
    </row>
    <row r="29" spans="1:9" x14ac:dyDescent="0.25">
      <c r="A29">
        <v>1</v>
      </c>
      <c r="B29" t="s">
        <v>29</v>
      </c>
      <c r="C29" t="s">
        <v>8</v>
      </c>
      <c r="D29" t="s">
        <v>30</v>
      </c>
      <c r="E29" t="s">
        <v>10</v>
      </c>
      <c r="F29" cm="1">
        <f t="array" ref="F29">_xlfn.XLOOKUP(Food_Orders[[#This Row],[Event_No]],Event_Master[[#All],[Event_No]],Event_Master[[#All],[Guest_Count]],,0)</f>
        <v>850</v>
      </c>
      <c r="G29" cm="1">
        <f t="array" ref="G29">Food_Orders[[#This Row],[Quantity_Orderd]]*_xlfn.XLOOKUP(Food_Orders[[#This Row],[Food_ID]],Food_Catalog[[#All],[Food_ID]],Food_Catalog[[#All],[Price_Per_Unit]],0,0)</f>
        <v>25500</v>
      </c>
      <c r="H29" cm="1">
        <f t="array" ref="H29">Food_Orders[[#This Row],[Quantity_Orderd]]*_xlfn.XLOOKUP(Food_Orders[[#This Row],[Food_ID]],Food_Catalog[[#All],[Food_ID]],Food_Catalog[[#All],[Client_Price_Per_Unit]],0,0)</f>
        <v>30600</v>
      </c>
      <c r="I29">
        <f>Food_Orders[[#This Row],[Client_Price]]-Food_Orders[[#This Row],[Cost]]</f>
        <v>5100</v>
      </c>
    </row>
    <row r="30" spans="1:9" x14ac:dyDescent="0.25">
      <c r="A30">
        <v>1</v>
      </c>
      <c r="B30" t="s">
        <v>31</v>
      </c>
      <c r="C30" t="s">
        <v>8</v>
      </c>
      <c r="D30" t="s">
        <v>32</v>
      </c>
      <c r="E30" t="s">
        <v>10</v>
      </c>
      <c r="F30" cm="1">
        <f t="array" ref="F30">_xlfn.XLOOKUP(Food_Orders[[#This Row],[Event_No]],Event_Master[[#All],[Event_No]],Event_Master[[#All],[Guest_Count]],,0)</f>
        <v>850</v>
      </c>
      <c r="G30" cm="1">
        <f t="array" ref="G30">Food_Orders[[#This Row],[Quantity_Orderd]]*_xlfn.XLOOKUP(Food_Orders[[#This Row],[Food_ID]],Food_Catalog[[#All],[Food_ID]],Food_Catalog[[#All],[Price_Per_Unit]],0,0)</f>
        <v>25500</v>
      </c>
      <c r="H30" cm="1">
        <f t="array" ref="H30">Food_Orders[[#This Row],[Quantity_Orderd]]*_xlfn.XLOOKUP(Food_Orders[[#This Row],[Food_ID]],Food_Catalog[[#All],[Food_ID]],Food_Catalog[[#All],[Client_Price_Per_Unit]],0,0)</f>
        <v>30600</v>
      </c>
      <c r="I30">
        <f>Food_Orders[[#This Row],[Client_Price]]-Food_Orders[[#This Row],[Cost]]</f>
        <v>5100</v>
      </c>
    </row>
    <row r="31" spans="1:9" x14ac:dyDescent="0.25">
      <c r="A31">
        <v>1</v>
      </c>
      <c r="B31" t="s">
        <v>33</v>
      </c>
      <c r="C31" t="s">
        <v>8</v>
      </c>
      <c r="D31" t="s">
        <v>34</v>
      </c>
      <c r="E31" t="s">
        <v>10</v>
      </c>
      <c r="F31" cm="1">
        <f t="array" ref="F31">_xlfn.XLOOKUP(Food_Orders[[#This Row],[Event_No]],Event_Master[[#All],[Event_No]],Event_Master[[#All],[Guest_Count]],,0)</f>
        <v>850</v>
      </c>
      <c r="G31" cm="1">
        <f t="array" ref="G31">Food_Orders[[#This Row],[Quantity_Orderd]]*_xlfn.XLOOKUP(Food_Orders[[#This Row],[Food_ID]],Food_Catalog[[#All],[Food_ID]],Food_Catalog[[#All],[Price_Per_Unit]],0,0)</f>
        <v>25500</v>
      </c>
      <c r="H31" cm="1">
        <f t="array" ref="H31">Food_Orders[[#This Row],[Quantity_Orderd]]*_xlfn.XLOOKUP(Food_Orders[[#This Row],[Food_ID]],Food_Catalog[[#All],[Food_ID]],Food_Catalog[[#All],[Client_Price_Per_Unit]],0,0)</f>
        <v>30600</v>
      </c>
      <c r="I31">
        <f>Food_Orders[[#This Row],[Client_Price]]-Food_Orders[[#This Row],[Cost]]</f>
        <v>5100</v>
      </c>
    </row>
    <row r="32" spans="1:9" x14ac:dyDescent="0.25">
      <c r="A32">
        <v>1</v>
      </c>
      <c r="B32" t="s">
        <v>35</v>
      </c>
      <c r="C32" t="s">
        <v>8</v>
      </c>
      <c r="D32" t="s">
        <v>36</v>
      </c>
      <c r="E32" t="s">
        <v>10</v>
      </c>
      <c r="F32" cm="1">
        <f t="array" ref="F32">_xlfn.XLOOKUP(Food_Orders[[#This Row],[Event_No]],Event_Master[[#All],[Event_No]],Event_Master[[#All],[Guest_Count]],,0)</f>
        <v>850</v>
      </c>
      <c r="G32" cm="1">
        <f t="array" ref="G32">Food_Orders[[#This Row],[Quantity_Orderd]]*_xlfn.XLOOKUP(Food_Orders[[#This Row],[Food_ID]],Food_Catalog[[#All],[Food_ID]],Food_Catalog[[#All],[Price_Per_Unit]],0,0)</f>
        <v>25500</v>
      </c>
      <c r="H32" cm="1">
        <f t="array" ref="H32">Food_Orders[[#This Row],[Quantity_Orderd]]*_xlfn.XLOOKUP(Food_Orders[[#This Row],[Food_ID]],Food_Catalog[[#All],[Food_ID]],Food_Catalog[[#All],[Client_Price_Per_Unit]],0,0)</f>
        <v>30600</v>
      </c>
      <c r="I32">
        <f>Food_Orders[[#This Row],[Client_Price]]-Food_Orders[[#This Row],[Cost]]</f>
        <v>5100</v>
      </c>
    </row>
    <row r="33" spans="1:9" x14ac:dyDescent="0.25">
      <c r="A33">
        <v>1</v>
      </c>
      <c r="B33" t="s">
        <v>37</v>
      </c>
      <c r="C33" t="s">
        <v>8</v>
      </c>
      <c r="D33" t="s">
        <v>38</v>
      </c>
      <c r="E33" t="s">
        <v>10</v>
      </c>
      <c r="F33" cm="1">
        <f t="array" ref="F33">_xlfn.XLOOKUP(Food_Orders[[#This Row],[Event_No]],Event_Master[[#All],[Event_No]],Event_Master[[#All],[Guest_Count]],,0)</f>
        <v>850</v>
      </c>
      <c r="G33" cm="1">
        <f t="array" ref="G33">Food_Orders[[#This Row],[Quantity_Orderd]]*_xlfn.XLOOKUP(Food_Orders[[#This Row],[Food_ID]],Food_Catalog[[#All],[Food_ID]],Food_Catalog[[#All],[Price_Per_Unit]],0,0)</f>
        <v>21250</v>
      </c>
      <c r="H33" cm="1">
        <f t="array" ref="H33">Food_Orders[[#This Row],[Quantity_Orderd]]*_xlfn.XLOOKUP(Food_Orders[[#This Row],[Food_ID]],Food_Catalog[[#All],[Food_ID]],Food_Catalog[[#All],[Client_Price_Per_Unit]],0,0)</f>
        <v>25500</v>
      </c>
      <c r="I33">
        <f>Food_Orders[[#This Row],[Client_Price]]-Food_Orders[[#This Row],[Cost]]</f>
        <v>4250</v>
      </c>
    </row>
    <row r="34" spans="1:9" x14ac:dyDescent="0.25">
      <c r="A34">
        <v>1</v>
      </c>
      <c r="B34" t="s">
        <v>39</v>
      </c>
      <c r="C34" t="s">
        <v>40</v>
      </c>
      <c r="D34" t="s">
        <v>41</v>
      </c>
      <c r="E34" t="s">
        <v>10</v>
      </c>
      <c r="F34" cm="1">
        <f t="array" ref="F34">_xlfn.XLOOKUP(Food_Orders[[#This Row],[Event_No]],Event_Master[[#All],[Event_No]],Event_Master[[#All],[Guest_Count]],,0)</f>
        <v>850</v>
      </c>
      <c r="G34" cm="1">
        <f t="array" ref="G34">Food_Orders[[#This Row],[Quantity_Orderd]]*_xlfn.XLOOKUP(Food_Orders[[#This Row],[Food_ID]],Food_Catalog[[#All],[Food_ID]],Food_Catalog[[#All],[Price_Per_Unit]],0,0)</f>
        <v>51000</v>
      </c>
      <c r="H34" cm="1">
        <f t="array" ref="H34">Food_Orders[[#This Row],[Quantity_Orderd]]*_xlfn.XLOOKUP(Food_Orders[[#This Row],[Food_ID]],Food_Catalog[[#All],[Food_ID]],Food_Catalog[[#All],[Client_Price_Per_Unit]],0,0)</f>
        <v>61200</v>
      </c>
      <c r="I34">
        <f>Food_Orders[[#This Row],[Client_Price]]-Food_Orders[[#This Row],[Cost]]</f>
        <v>10200</v>
      </c>
    </row>
    <row r="35" spans="1:9" x14ac:dyDescent="0.25">
      <c r="A35">
        <v>1</v>
      </c>
      <c r="B35" t="s">
        <v>42</v>
      </c>
      <c r="C35" t="s">
        <v>40</v>
      </c>
      <c r="D35" t="s">
        <v>43</v>
      </c>
      <c r="E35" t="s">
        <v>10</v>
      </c>
      <c r="F35" cm="1">
        <f t="array" ref="F35">_xlfn.XLOOKUP(Food_Orders[[#This Row],[Event_No]],Event_Master[[#All],[Event_No]],Event_Master[[#All],[Guest_Count]],,0)</f>
        <v>850</v>
      </c>
      <c r="G35" cm="1">
        <f t="array" ref="G35">Food_Orders[[#This Row],[Quantity_Orderd]]*_xlfn.XLOOKUP(Food_Orders[[#This Row],[Food_ID]],Food_Catalog[[#All],[Food_ID]],Food_Catalog[[#All],[Price_Per_Unit]],0,0)</f>
        <v>59500</v>
      </c>
      <c r="H35" cm="1">
        <f t="array" ref="H35">Food_Orders[[#This Row],[Quantity_Orderd]]*_xlfn.XLOOKUP(Food_Orders[[#This Row],[Food_ID]],Food_Catalog[[#All],[Food_ID]],Food_Catalog[[#All],[Client_Price_Per_Unit]],0,0)</f>
        <v>71400</v>
      </c>
      <c r="I35">
        <f>Food_Orders[[#This Row],[Client_Price]]-Food_Orders[[#This Row],[Cost]]</f>
        <v>11900</v>
      </c>
    </row>
    <row r="36" spans="1:9" x14ac:dyDescent="0.25">
      <c r="A36">
        <v>1</v>
      </c>
      <c r="B36" t="s">
        <v>46</v>
      </c>
      <c r="C36" t="s">
        <v>40</v>
      </c>
      <c r="D36" t="s">
        <v>47</v>
      </c>
      <c r="E36" t="s">
        <v>10</v>
      </c>
      <c r="F36" cm="1">
        <f t="array" ref="F36">_xlfn.XLOOKUP(Food_Orders[[#This Row],[Event_No]],Event_Master[[#All],[Event_No]],Event_Master[[#All],[Guest_Count]],,0)</f>
        <v>850</v>
      </c>
      <c r="G36" cm="1">
        <f t="array" ref="G36">Food_Orders[[#This Row],[Quantity_Orderd]]*_xlfn.XLOOKUP(Food_Orders[[#This Row],[Food_ID]],Food_Catalog[[#All],[Food_ID]],Food_Catalog[[#All],[Price_Per_Unit]],0,0)</f>
        <v>76500</v>
      </c>
      <c r="H36" cm="1">
        <f t="array" ref="H36">Food_Orders[[#This Row],[Quantity_Orderd]]*_xlfn.XLOOKUP(Food_Orders[[#This Row],[Food_ID]],Food_Catalog[[#All],[Food_ID]],Food_Catalog[[#All],[Client_Price_Per_Unit]],0,0)</f>
        <v>91800</v>
      </c>
      <c r="I36">
        <f>Food_Orders[[#This Row],[Client_Price]]-Food_Orders[[#This Row],[Cost]]</f>
        <v>15300</v>
      </c>
    </row>
    <row r="37" spans="1:9" x14ac:dyDescent="0.25">
      <c r="A37">
        <v>1</v>
      </c>
      <c r="B37" t="s">
        <v>48</v>
      </c>
      <c r="C37" t="s">
        <v>40</v>
      </c>
      <c r="D37" t="s">
        <v>49</v>
      </c>
      <c r="E37" t="s">
        <v>10</v>
      </c>
      <c r="F37" cm="1">
        <f t="array" ref="F37">_xlfn.XLOOKUP(Food_Orders[[#This Row],[Event_No]],Event_Master[[#All],[Event_No]],Event_Master[[#All],[Guest_Count]],,0)</f>
        <v>850</v>
      </c>
      <c r="G37" cm="1">
        <f t="array" ref="G37">Food_Orders[[#This Row],[Quantity_Orderd]]*_xlfn.XLOOKUP(Food_Orders[[#This Row],[Food_ID]],Food_Catalog[[#All],[Food_ID]],Food_Catalog[[#All],[Price_Per_Unit]],0,0)</f>
        <v>85000</v>
      </c>
      <c r="H37" cm="1">
        <f t="array" ref="H37">Food_Orders[[#This Row],[Quantity_Orderd]]*_xlfn.XLOOKUP(Food_Orders[[#This Row],[Food_ID]],Food_Catalog[[#All],[Food_ID]],Food_Catalog[[#All],[Client_Price_Per_Unit]],0,0)</f>
        <v>102000</v>
      </c>
      <c r="I37">
        <f>Food_Orders[[#This Row],[Client_Price]]-Food_Orders[[#This Row],[Cost]]</f>
        <v>17000</v>
      </c>
    </row>
    <row r="38" spans="1:9" x14ac:dyDescent="0.25">
      <c r="A38">
        <v>1</v>
      </c>
      <c r="B38" t="s">
        <v>50</v>
      </c>
      <c r="C38" t="s">
        <v>40</v>
      </c>
      <c r="D38" t="s">
        <v>51</v>
      </c>
      <c r="E38" t="s">
        <v>10</v>
      </c>
      <c r="F38" cm="1">
        <f t="array" ref="F38">_xlfn.XLOOKUP(Food_Orders[[#This Row],[Event_No]],Event_Master[[#All],[Event_No]],Event_Master[[#All],[Guest_Count]],,0)</f>
        <v>850</v>
      </c>
      <c r="G38" cm="1">
        <f t="array" ref="G38">Food_Orders[[#This Row],[Quantity_Orderd]]*_xlfn.XLOOKUP(Food_Orders[[#This Row],[Food_ID]],Food_Catalog[[#All],[Food_ID]],Food_Catalog[[#All],[Price_Per_Unit]],0,0)</f>
        <v>68000</v>
      </c>
      <c r="H38" cm="1">
        <f t="array" ref="H38">Food_Orders[[#This Row],[Quantity_Orderd]]*_xlfn.XLOOKUP(Food_Orders[[#This Row],[Food_ID]],Food_Catalog[[#All],[Food_ID]],Food_Catalog[[#All],[Client_Price_Per_Unit]],0,0)</f>
        <v>81600</v>
      </c>
      <c r="I38">
        <f>Food_Orders[[#This Row],[Client_Price]]-Food_Orders[[#This Row],[Cost]]</f>
        <v>13600</v>
      </c>
    </row>
    <row r="39" spans="1:9" x14ac:dyDescent="0.25">
      <c r="A39">
        <v>1</v>
      </c>
      <c r="B39" t="s">
        <v>52</v>
      </c>
      <c r="C39" t="s">
        <v>40</v>
      </c>
      <c r="D39" t="s">
        <v>53</v>
      </c>
      <c r="E39" t="s">
        <v>10</v>
      </c>
      <c r="F39" cm="1">
        <f t="array" ref="F39">_xlfn.XLOOKUP(Food_Orders[[#This Row],[Event_No]],Event_Master[[#All],[Event_No]],Event_Master[[#All],[Guest_Count]],,0)</f>
        <v>850</v>
      </c>
      <c r="G39" cm="1">
        <f t="array" ref="G39">Food_Orders[[#This Row],[Quantity_Orderd]]*_xlfn.XLOOKUP(Food_Orders[[#This Row],[Food_ID]],Food_Catalog[[#All],[Food_ID]],Food_Catalog[[#All],[Price_Per_Unit]],0,0)</f>
        <v>85000</v>
      </c>
      <c r="H39" cm="1">
        <f t="array" ref="H39">Food_Orders[[#This Row],[Quantity_Orderd]]*_xlfn.XLOOKUP(Food_Orders[[#This Row],[Food_ID]],Food_Catalog[[#All],[Food_ID]],Food_Catalog[[#All],[Client_Price_Per_Unit]],0,0)</f>
        <v>102000</v>
      </c>
      <c r="I39">
        <f>Food_Orders[[#This Row],[Client_Price]]-Food_Orders[[#This Row],[Cost]]</f>
        <v>17000</v>
      </c>
    </row>
    <row r="40" spans="1:9" x14ac:dyDescent="0.25">
      <c r="A40">
        <v>1</v>
      </c>
      <c r="B40" t="s">
        <v>54</v>
      </c>
      <c r="C40" t="s">
        <v>40</v>
      </c>
      <c r="D40" t="s">
        <v>55</v>
      </c>
      <c r="E40" t="s">
        <v>10</v>
      </c>
      <c r="F40" cm="1">
        <f t="array" ref="F40">_xlfn.XLOOKUP(Food_Orders[[#This Row],[Event_No]],Event_Master[[#All],[Event_No]],Event_Master[[#All],[Guest_Count]],,0)</f>
        <v>850</v>
      </c>
      <c r="G40" cm="1">
        <f t="array" ref="G40">Food_Orders[[#This Row],[Quantity_Orderd]]*_xlfn.XLOOKUP(Food_Orders[[#This Row],[Food_ID]],Food_Catalog[[#All],[Food_ID]],Food_Catalog[[#All],[Price_Per_Unit]],0,0)</f>
        <v>34000</v>
      </c>
      <c r="H40" cm="1">
        <f t="array" ref="H40">Food_Orders[[#This Row],[Quantity_Orderd]]*_xlfn.XLOOKUP(Food_Orders[[#This Row],[Food_ID]],Food_Catalog[[#All],[Food_ID]],Food_Catalog[[#All],[Client_Price_Per_Unit]],0,0)</f>
        <v>40800</v>
      </c>
      <c r="I40">
        <f>Food_Orders[[#This Row],[Client_Price]]-Food_Orders[[#This Row],[Cost]]</f>
        <v>6800</v>
      </c>
    </row>
    <row r="41" spans="1:9" x14ac:dyDescent="0.25">
      <c r="A41">
        <v>1</v>
      </c>
      <c r="B41" t="s">
        <v>58</v>
      </c>
      <c r="C41" t="s">
        <v>40</v>
      </c>
      <c r="D41" t="s">
        <v>59</v>
      </c>
      <c r="E41" t="s">
        <v>10</v>
      </c>
      <c r="F41" cm="1">
        <f t="array" ref="F41">_xlfn.XLOOKUP(Food_Orders[[#This Row],[Event_No]],Event_Master[[#All],[Event_No]],Event_Master[[#All],[Guest_Count]],,0)</f>
        <v>850</v>
      </c>
      <c r="G41" cm="1">
        <f t="array" ref="G41">Food_Orders[[#This Row],[Quantity_Orderd]]*_xlfn.XLOOKUP(Food_Orders[[#This Row],[Food_ID]],Food_Catalog[[#All],[Food_ID]],Food_Catalog[[#All],[Price_Per_Unit]],0,0)</f>
        <v>76500</v>
      </c>
      <c r="H41" cm="1">
        <f t="array" ref="H41">Food_Orders[[#This Row],[Quantity_Orderd]]*_xlfn.XLOOKUP(Food_Orders[[#This Row],[Food_ID]],Food_Catalog[[#All],[Food_ID]],Food_Catalog[[#All],[Client_Price_Per_Unit]],0,0)</f>
        <v>91800</v>
      </c>
      <c r="I41">
        <f>Food_Orders[[#This Row],[Client_Price]]-Food_Orders[[#This Row],[Cost]]</f>
        <v>15300</v>
      </c>
    </row>
    <row r="42" spans="1:9" x14ac:dyDescent="0.25">
      <c r="A42">
        <v>1</v>
      </c>
      <c r="B42" t="s">
        <v>82</v>
      </c>
      <c r="C42" t="s">
        <v>83</v>
      </c>
      <c r="D42" t="s">
        <v>84</v>
      </c>
      <c r="E42" t="s">
        <v>85</v>
      </c>
      <c r="F42" cm="1">
        <f t="array" ref="F42">_xlfn.XLOOKUP(Food_Orders[[#This Row],[Event_No]],Event_Master[[#All],[Event_No]],Event_Master[[#All],[Guest_Count]],,0)</f>
        <v>850</v>
      </c>
      <c r="G42" cm="1">
        <f t="array" ref="G42">Food_Orders[[#This Row],[Quantity_Orderd]]*_xlfn.XLOOKUP(Food_Orders[[#This Row],[Food_ID]],Food_Catalog[[#All],[Food_ID]],Food_Catalog[[#All],[Price_Per_Unit]],0,0)</f>
        <v>17000</v>
      </c>
      <c r="H42" cm="1">
        <f t="array" ref="H42">Food_Orders[[#This Row],[Quantity_Orderd]]*_xlfn.XLOOKUP(Food_Orders[[#This Row],[Food_ID]],Food_Catalog[[#All],[Food_ID]],Food_Catalog[[#All],[Client_Price_Per_Unit]],0,0)</f>
        <v>20400</v>
      </c>
      <c r="I42">
        <f>Food_Orders[[#This Row],[Client_Price]]-Food_Orders[[#This Row],[Cost]]</f>
        <v>3400</v>
      </c>
    </row>
    <row r="43" spans="1:9" x14ac:dyDescent="0.25">
      <c r="A43">
        <v>1</v>
      </c>
      <c r="B43" t="s">
        <v>86</v>
      </c>
      <c r="C43" t="s">
        <v>83</v>
      </c>
      <c r="D43" t="s">
        <v>87</v>
      </c>
      <c r="E43" t="s">
        <v>85</v>
      </c>
      <c r="F43" cm="1">
        <f t="array" ref="F43">_xlfn.XLOOKUP(Food_Orders[[#This Row],[Event_No]],Event_Master[[#All],[Event_No]],Event_Master[[#All],[Guest_Count]],,0)</f>
        <v>850</v>
      </c>
      <c r="G43" cm="1">
        <f t="array" ref="G43">Food_Orders[[#This Row],[Quantity_Orderd]]*_xlfn.XLOOKUP(Food_Orders[[#This Row],[Food_ID]],Food_Catalog[[#All],[Food_ID]],Food_Catalog[[#All],[Price_Per_Unit]],0,0)</f>
        <v>17000</v>
      </c>
      <c r="H43" cm="1">
        <f t="array" ref="H43">Food_Orders[[#This Row],[Quantity_Orderd]]*_xlfn.XLOOKUP(Food_Orders[[#This Row],[Food_ID]],Food_Catalog[[#All],[Food_ID]],Food_Catalog[[#All],[Client_Price_Per_Unit]],0,0)</f>
        <v>20400</v>
      </c>
      <c r="I43">
        <f>Food_Orders[[#This Row],[Client_Price]]-Food_Orders[[#This Row],[Cost]]</f>
        <v>3400</v>
      </c>
    </row>
    <row r="44" spans="1:9" x14ac:dyDescent="0.25">
      <c r="A44">
        <v>1</v>
      </c>
      <c r="B44" t="s">
        <v>88</v>
      </c>
      <c r="C44" t="s">
        <v>83</v>
      </c>
      <c r="D44" t="s">
        <v>89</v>
      </c>
      <c r="E44" t="s">
        <v>85</v>
      </c>
      <c r="F44" cm="1">
        <f t="array" ref="F44">_xlfn.XLOOKUP(Food_Orders[[#This Row],[Event_No]],Event_Master[[#All],[Event_No]],Event_Master[[#All],[Guest_Count]],,0)</f>
        <v>850</v>
      </c>
      <c r="G44" cm="1">
        <f t="array" ref="G44">Food_Orders[[#This Row],[Quantity_Orderd]]*_xlfn.XLOOKUP(Food_Orders[[#This Row],[Food_ID]],Food_Catalog[[#All],[Food_ID]],Food_Catalog[[#All],[Price_Per_Unit]],0,0)</f>
        <v>12750</v>
      </c>
      <c r="H44" cm="1">
        <f t="array" ref="H44">Food_Orders[[#This Row],[Quantity_Orderd]]*_xlfn.XLOOKUP(Food_Orders[[#This Row],[Food_ID]],Food_Catalog[[#All],[Food_ID]],Food_Catalog[[#All],[Client_Price_Per_Unit]],0,0)</f>
        <v>15300</v>
      </c>
      <c r="I44">
        <f>Food_Orders[[#This Row],[Client_Price]]-Food_Orders[[#This Row],[Cost]]</f>
        <v>2550</v>
      </c>
    </row>
    <row r="45" spans="1:9" x14ac:dyDescent="0.25">
      <c r="A45">
        <v>1</v>
      </c>
      <c r="B45" t="s">
        <v>100</v>
      </c>
      <c r="C45" t="s">
        <v>83</v>
      </c>
      <c r="D45" t="s">
        <v>101</v>
      </c>
      <c r="E45" t="s">
        <v>79</v>
      </c>
      <c r="F45" cm="1">
        <f t="array" ref="F45">_xlfn.XLOOKUP(Food_Orders[[#This Row],[Event_No]],Event_Master[[#All],[Event_No]],Event_Master[[#All],[Guest_Count]],,0)</f>
        <v>850</v>
      </c>
      <c r="G45" cm="1">
        <f t="array" ref="G45">Food_Orders[[#This Row],[Quantity_Orderd]]*_xlfn.XLOOKUP(Food_Orders[[#This Row],[Food_ID]],Food_Catalog[[#All],[Food_ID]],Food_Catalog[[#All],[Price_Per_Unit]],0,0)</f>
        <v>29750</v>
      </c>
      <c r="H45" cm="1">
        <f t="array" ref="H45">Food_Orders[[#This Row],[Quantity_Orderd]]*_xlfn.XLOOKUP(Food_Orders[[#This Row],[Food_ID]],Food_Catalog[[#All],[Food_ID]],Food_Catalog[[#All],[Client_Price_Per_Unit]],0,0)</f>
        <v>35700</v>
      </c>
      <c r="I45">
        <f>Food_Orders[[#This Row],[Client_Price]]-Food_Orders[[#This Row],[Cost]]</f>
        <v>5950</v>
      </c>
    </row>
    <row r="46" spans="1:9" x14ac:dyDescent="0.25">
      <c r="A46">
        <v>1</v>
      </c>
      <c r="B46" t="s">
        <v>96</v>
      </c>
      <c r="C46" t="s">
        <v>83</v>
      </c>
      <c r="D46" t="s">
        <v>97</v>
      </c>
      <c r="E46" t="s">
        <v>79</v>
      </c>
      <c r="F46" cm="1">
        <f t="array" ref="F46">_xlfn.XLOOKUP(Food_Orders[[#This Row],[Event_No]],Event_Master[[#All],[Event_No]],Event_Master[[#All],[Guest_Count]],,0)</f>
        <v>850</v>
      </c>
      <c r="G46" cm="1">
        <f t="array" ref="G46">Food_Orders[[#This Row],[Quantity_Orderd]]*_xlfn.XLOOKUP(Food_Orders[[#This Row],[Food_ID]],Food_Catalog[[#All],[Food_ID]],Food_Catalog[[#All],[Price_Per_Unit]],0,0)</f>
        <v>25500</v>
      </c>
      <c r="H46" cm="1">
        <f t="array" ref="H46">Food_Orders[[#This Row],[Quantity_Orderd]]*_xlfn.XLOOKUP(Food_Orders[[#This Row],[Food_ID]],Food_Catalog[[#All],[Food_ID]],Food_Catalog[[#All],[Client_Price_Per_Unit]],0,0)</f>
        <v>30600</v>
      </c>
      <c r="I46">
        <f>Food_Orders[[#This Row],[Client_Price]]-Food_Orders[[#This Row],[Cost]]</f>
        <v>5100</v>
      </c>
    </row>
    <row r="47" spans="1:9" x14ac:dyDescent="0.25">
      <c r="A47">
        <v>1</v>
      </c>
      <c r="B47" t="s">
        <v>92</v>
      </c>
      <c r="C47" t="s">
        <v>83</v>
      </c>
      <c r="D47" t="s">
        <v>93</v>
      </c>
      <c r="E47" t="s">
        <v>85</v>
      </c>
      <c r="F47" cm="1">
        <f t="array" ref="F47">_xlfn.XLOOKUP(Food_Orders[[#This Row],[Event_No]],Event_Master[[#All],[Event_No]],Event_Master[[#All],[Guest_Count]],,0)</f>
        <v>850</v>
      </c>
      <c r="G47" cm="1">
        <f t="array" ref="G47">Food_Orders[[#This Row],[Quantity_Orderd]]*_xlfn.XLOOKUP(Food_Orders[[#This Row],[Food_ID]],Food_Catalog[[#All],[Food_ID]],Food_Catalog[[#All],[Price_Per_Unit]],0,0)</f>
        <v>12750</v>
      </c>
      <c r="H47" cm="1">
        <f t="array" ref="H47">Food_Orders[[#This Row],[Quantity_Orderd]]*_xlfn.XLOOKUP(Food_Orders[[#This Row],[Food_ID]],Food_Catalog[[#All],[Food_ID]],Food_Catalog[[#All],[Client_Price_Per_Unit]],0,0)</f>
        <v>15300</v>
      </c>
      <c r="I47">
        <f>Food_Orders[[#This Row],[Client_Price]]-Food_Orders[[#This Row],[Cost]]</f>
        <v>2550</v>
      </c>
    </row>
    <row r="48" spans="1:9" x14ac:dyDescent="0.25">
      <c r="A48">
        <v>1</v>
      </c>
      <c r="B48" t="s">
        <v>102</v>
      </c>
      <c r="C48" t="s">
        <v>83</v>
      </c>
      <c r="D48" t="s">
        <v>103</v>
      </c>
      <c r="E48" t="s">
        <v>85</v>
      </c>
      <c r="F48" cm="1">
        <f t="array" ref="F48">_xlfn.XLOOKUP(Food_Orders[[#This Row],[Event_No]],Event_Master[[#All],[Event_No]],Event_Master[[#All],[Guest_Count]],,0)</f>
        <v>850</v>
      </c>
      <c r="G48" cm="1">
        <f t="array" ref="G48">Food_Orders[[#This Row],[Quantity_Orderd]]*_xlfn.XLOOKUP(Food_Orders[[#This Row],[Food_ID]],Food_Catalog[[#All],[Food_ID]],Food_Catalog[[#All],[Price_Per_Unit]],0,0)</f>
        <v>17000</v>
      </c>
      <c r="H48" cm="1">
        <f t="array" ref="H48">Food_Orders[[#This Row],[Quantity_Orderd]]*_xlfn.XLOOKUP(Food_Orders[[#This Row],[Food_ID]],Food_Catalog[[#All],[Food_ID]],Food_Catalog[[#All],[Client_Price_Per_Unit]],0,0)</f>
        <v>20400</v>
      </c>
      <c r="I48">
        <f>Food_Orders[[#This Row],[Client_Price]]-Food_Orders[[#This Row],[Cost]]</f>
        <v>3400</v>
      </c>
    </row>
    <row r="49" spans="1:9" x14ac:dyDescent="0.25">
      <c r="A49">
        <v>1</v>
      </c>
      <c r="B49" t="s">
        <v>98</v>
      </c>
      <c r="C49" t="s">
        <v>83</v>
      </c>
      <c r="D49" t="s">
        <v>99</v>
      </c>
      <c r="E49" t="s">
        <v>85</v>
      </c>
      <c r="F49" cm="1">
        <f t="array" ref="F49">_xlfn.XLOOKUP(Food_Orders[[#This Row],[Event_No]],Event_Master[[#All],[Event_No]],Event_Master[[#All],[Guest_Count]],,0)</f>
        <v>850</v>
      </c>
      <c r="G49" cm="1">
        <f t="array" ref="G49">Food_Orders[[#This Row],[Quantity_Orderd]]*_xlfn.XLOOKUP(Food_Orders[[#This Row],[Food_ID]],Food_Catalog[[#All],[Food_ID]],Food_Catalog[[#All],[Price_Per_Unit]],0,0)</f>
        <v>12750</v>
      </c>
      <c r="H49" cm="1">
        <f t="array" ref="H49">Food_Orders[[#This Row],[Quantity_Orderd]]*_xlfn.XLOOKUP(Food_Orders[[#This Row],[Food_ID]],Food_Catalog[[#All],[Food_ID]],Food_Catalog[[#All],[Client_Price_Per_Unit]],0,0)</f>
        <v>15300</v>
      </c>
      <c r="I49">
        <f>Food_Orders[[#This Row],[Client_Price]]-Food_Orders[[#This Row],[Cost]]</f>
        <v>2550</v>
      </c>
    </row>
    <row r="50" spans="1:9" x14ac:dyDescent="0.25">
      <c r="A50">
        <v>1</v>
      </c>
      <c r="B50" t="s">
        <v>104</v>
      </c>
      <c r="C50" t="s">
        <v>105</v>
      </c>
      <c r="D50" t="s">
        <v>106</v>
      </c>
      <c r="E50" t="s">
        <v>107</v>
      </c>
      <c r="F50" cm="1">
        <f t="array" ref="F50">_xlfn.XLOOKUP(Food_Orders[[#This Row],[Event_No]],Event_Master[[#All],[Event_No]],Event_Master[[#All],[Guest_Count]],,0)</f>
        <v>850</v>
      </c>
      <c r="G50" cm="1">
        <f t="array" ref="G50">Food_Orders[[#This Row],[Quantity_Orderd]]*_xlfn.XLOOKUP(Food_Orders[[#This Row],[Food_ID]],Food_Catalog[[#All],[Food_ID]],Food_Catalog[[#All],[Price_Per_Unit]],0,0)</f>
        <v>8500</v>
      </c>
      <c r="H50" cm="1">
        <f t="array" ref="H50">Food_Orders[[#This Row],[Quantity_Orderd]]*_xlfn.XLOOKUP(Food_Orders[[#This Row],[Food_ID]],Food_Catalog[[#All],[Food_ID]],Food_Catalog[[#All],[Client_Price_Per_Unit]],0,0)</f>
        <v>10200</v>
      </c>
      <c r="I50">
        <f>Food_Orders[[#This Row],[Client_Price]]-Food_Orders[[#This Row],[Cost]]</f>
        <v>1700</v>
      </c>
    </row>
    <row r="51" spans="1:9" x14ac:dyDescent="0.25">
      <c r="A51">
        <v>1</v>
      </c>
      <c r="B51" t="s">
        <v>108</v>
      </c>
      <c r="C51" t="s">
        <v>105</v>
      </c>
      <c r="D51" t="s">
        <v>109</v>
      </c>
      <c r="E51" t="s">
        <v>107</v>
      </c>
      <c r="F51" cm="1">
        <f t="array" ref="F51">_xlfn.XLOOKUP(Food_Orders[[#This Row],[Event_No]],Event_Master[[#All],[Event_No]],Event_Master[[#All],[Guest_Count]],,0)</f>
        <v>850</v>
      </c>
      <c r="G51" cm="1">
        <f t="array" ref="G51">Food_Orders[[#This Row],[Quantity_Orderd]]*_xlfn.XLOOKUP(Food_Orders[[#This Row],[Food_ID]],Food_Catalog[[#All],[Food_ID]],Food_Catalog[[#All],[Price_Per_Unit]],0,0)</f>
        <v>12750</v>
      </c>
      <c r="H51" cm="1">
        <f t="array" ref="H51">Food_Orders[[#This Row],[Quantity_Orderd]]*_xlfn.XLOOKUP(Food_Orders[[#This Row],[Food_ID]],Food_Catalog[[#All],[Food_ID]],Food_Catalog[[#All],[Client_Price_Per_Unit]],0,0)</f>
        <v>15300</v>
      </c>
      <c r="I51">
        <f>Food_Orders[[#This Row],[Client_Price]]-Food_Orders[[#This Row],[Cost]]</f>
        <v>2550</v>
      </c>
    </row>
    <row r="52" spans="1:9" x14ac:dyDescent="0.25">
      <c r="A52">
        <v>1</v>
      </c>
      <c r="B52" t="s">
        <v>115</v>
      </c>
      <c r="C52" t="s">
        <v>105</v>
      </c>
      <c r="D52" t="s">
        <v>116</v>
      </c>
      <c r="E52" t="s">
        <v>117</v>
      </c>
      <c r="F52" cm="1">
        <f t="array" ref="F52">_xlfn.XLOOKUP(Food_Orders[[#This Row],[Event_No]],Event_Master[[#All],[Event_No]],Event_Master[[#All],[Guest_Count]],,0)</f>
        <v>850</v>
      </c>
      <c r="G52" cm="1">
        <f t="array" ref="G52">Food_Orders[[#This Row],[Quantity_Orderd]]*_xlfn.XLOOKUP(Food_Orders[[#This Row],[Food_ID]],Food_Catalog[[#All],[Food_ID]],Food_Catalog[[#All],[Price_Per_Unit]],0,0)</f>
        <v>21250</v>
      </c>
      <c r="H52" cm="1">
        <f t="array" ref="H52">Food_Orders[[#This Row],[Quantity_Orderd]]*_xlfn.XLOOKUP(Food_Orders[[#This Row],[Food_ID]],Food_Catalog[[#All],[Food_ID]],Food_Catalog[[#All],[Client_Price_Per_Unit]],0,0)</f>
        <v>25500</v>
      </c>
      <c r="I52">
        <f>Food_Orders[[#This Row],[Client_Price]]-Food_Orders[[#This Row],[Cost]]</f>
        <v>4250</v>
      </c>
    </row>
    <row r="53" spans="1:9" x14ac:dyDescent="0.25">
      <c r="A53">
        <v>1</v>
      </c>
      <c r="B53" t="s">
        <v>110</v>
      </c>
      <c r="C53" t="s">
        <v>105</v>
      </c>
      <c r="D53" t="s">
        <v>111</v>
      </c>
      <c r="E53" t="s">
        <v>112</v>
      </c>
      <c r="F53" cm="1">
        <f t="array" ref="F53">_xlfn.XLOOKUP(Food_Orders[[#This Row],[Event_No]],Event_Master[[#All],[Event_No]],Event_Master[[#All],[Guest_Count]],,0)</f>
        <v>850</v>
      </c>
      <c r="G53" cm="1">
        <f t="array" ref="G53">Food_Orders[[#This Row],[Quantity_Orderd]]*_xlfn.XLOOKUP(Food_Orders[[#This Row],[Food_ID]],Food_Catalog[[#All],[Food_ID]],Food_Catalog[[#All],[Price_Per_Unit]],0,0)</f>
        <v>17000</v>
      </c>
      <c r="H53" cm="1">
        <f t="array" ref="H53">Food_Orders[[#This Row],[Quantity_Orderd]]*_xlfn.XLOOKUP(Food_Orders[[#This Row],[Food_ID]],Food_Catalog[[#All],[Food_ID]],Food_Catalog[[#All],[Client_Price_Per_Unit]],0,0)</f>
        <v>20400</v>
      </c>
      <c r="I53">
        <f>Food_Orders[[#This Row],[Client_Price]]-Food_Orders[[#This Row],[Cost]]</f>
        <v>3400</v>
      </c>
    </row>
    <row r="54" spans="1:9" x14ac:dyDescent="0.25">
      <c r="A54">
        <v>1</v>
      </c>
      <c r="B54" t="s">
        <v>118</v>
      </c>
      <c r="C54" t="s">
        <v>119</v>
      </c>
      <c r="D54" t="s">
        <v>120</v>
      </c>
      <c r="E54" t="s">
        <v>112</v>
      </c>
      <c r="F54" cm="1">
        <f t="array" ref="F54">_xlfn.XLOOKUP(Food_Orders[[#This Row],[Event_No]],Event_Master[[#All],[Event_No]],Event_Master[[#All],[Guest_Count]],,0)</f>
        <v>850</v>
      </c>
      <c r="G54" cm="1">
        <f t="array" ref="G54">Food_Orders[[#This Row],[Quantity_Orderd]]*_xlfn.XLOOKUP(Food_Orders[[#This Row],[Food_ID]],Food_Catalog[[#All],[Food_ID]],Food_Catalog[[#All],[Price_Per_Unit]],0,0)</f>
        <v>8500</v>
      </c>
      <c r="H54" cm="1">
        <f t="array" ref="H54">Food_Orders[[#This Row],[Quantity_Orderd]]*_xlfn.XLOOKUP(Food_Orders[[#This Row],[Food_ID]],Food_Catalog[[#All],[Food_ID]],Food_Catalog[[#All],[Client_Price_Per_Unit]],0,0)</f>
        <v>10200</v>
      </c>
      <c r="I54">
        <f>Food_Orders[[#This Row],[Client_Price]]-Food_Orders[[#This Row],[Cost]]</f>
        <v>1700</v>
      </c>
    </row>
    <row r="55" spans="1:9" x14ac:dyDescent="0.25">
      <c r="A55">
        <v>1</v>
      </c>
      <c r="B55" t="s">
        <v>129</v>
      </c>
      <c r="C55" t="s">
        <v>119</v>
      </c>
      <c r="D55" t="s">
        <v>130</v>
      </c>
      <c r="E55" t="s">
        <v>112</v>
      </c>
      <c r="F55" cm="1">
        <f t="array" ref="F55">_xlfn.XLOOKUP(Food_Orders[[#This Row],[Event_No]],Event_Master[[#All],[Event_No]],Event_Master[[#All],[Guest_Count]],,0)</f>
        <v>850</v>
      </c>
      <c r="G55" cm="1">
        <f t="array" ref="G55">Food_Orders[[#This Row],[Quantity_Orderd]]*_xlfn.XLOOKUP(Food_Orders[[#This Row],[Food_ID]],Food_Catalog[[#All],[Food_ID]],Food_Catalog[[#All],[Price_Per_Unit]],0,0)</f>
        <v>8500</v>
      </c>
      <c r="H55" cm="1">
        <f t="array" ref="H55">Food_Orders[[#This Row],[Quantity_Orderd]]*_xlfn.XLOOKUP(Food_Orders[[#This Row],[Food_ID]],Food_Catalog[[#All],[Food_ID]],Food_Catalog[[#All],[Client_Price_Per_Unit]],0,0)</f>
        <v>10200</v>
      </c>
      <c r="I55">
        <f>Food_Orders[[#This Row],[Client_Price]]-Food_Orders[[#This Row],[Cost]]</f>
        <v>1700</v>
      </c>
    </row>
    <row r="56" spans="1:9" x14ac:dyDescent="0.25">
      <c r="A56">
        <v>1</v>
      </c>
      <c r="B56" t="s">
        <v>124</v>
      </c>
      <c r="C56" t="s">
        <v>119</v>
      </c>
      <c r="D56" t="s">
        <v>125</v>
      </c>
      <c r="E56" t="s">
        <v>126</v>
      </c>
      <c r="F56" cm="1">
        <f t="array" ref="F56">_xlfn.XLOOKUP(Food_Orders[[#This Row],[Event_No]],Event_Master[[#All],[Event_No]],Event_Master[[#All],[Guest_Count]],,0)</f>
        <v>850</v>
      </c>
      <c r="G56" cm="1">
        <f t="array" ref="G56">Food_Orders[[#This Row],[Quantity_Orderd]]*_xlfn.XLOOKUP(Food_Orders[[#This Row],[Food_ID]],Food_Catalog[[#All],[Food_ID]],Food_Catalog[[#All],[Price_Per_Unit]],0,0)</f>
        <v>17000</v>
      </c>
      <c r="H56" cm="1">
        <f t="array" ref="H56">Food_Orders[[#This Row],[Quantity_Orderd]]*_xlfn.XLOOKUP(Food_Orders[[#This Row],[Food_ID]],Food_Catalog[[#All],[Food_ID]],Food_Catalog[[#All],[Client_Price_Per_Unit]],0,0)</f>
        <v>20400</v>
      </c>
      <c r="I56">
        <f>Food_Orders[[#This Row],[Client_Price]]-Food_Orders[[#This Row],[Cost]]</f>
        <v>3400</v>
      </c>
    </row>
    <row r="57" spans="1:9" x14ac:dyDescent="0.25">
      <c r="A57">
        <v>1</v>
      </c>
      <c r="B57" t="s">
        <v>127</v>
      </c>
      <c r="C57" t="s">
        <v>119</v>
      </c>
      <c r="D57" t="s">
        <v>128</v>
      </c>
      <c r="E57" t="s">
        <v>107</v>
      </c>
      <c r="F57" cm="1">
        <f t="array" ref="F57">_xlfn.XLOOKUP(Food_Orders[[#This Row],[Event_No]],Event_Master[[#All],[Event_No]],Event_Master[[#All],[Guest_Count]],,0)</f>
        <v>850</v>
      </c>
      <c r="G57" cm="1">
        <f t="array" ref="G57">Food_Orders[[#This Row],[Quantity_Orderd]]*_xlfn.XLOOKUP(Food_Orders[[#This Row],[Food_ID]],Food_Catalog[[#All],[Food_ID]],Food_Catalog[[#All],[Price_Per_Unit]],0,0)</f>
        <v>17000</v>
      </c>
      <c r="H57" cm="1">
        <f t="array" ref="H57">Food_Orders[[#This Row],[Quantity_Orderd]]*_xlfn.XLOOKUP(Food_Orders[[#This Row],[Food_ID]],Food_Catalog[[#All],[Food_ID]],Food_Catalog[[#All],[Client_Price_Per_Unit]],0,0)</f>
        <v>20400</v>
      </c>
      <c r="I57">
        <f>Food_Orders[[#This Row],[Client_Price]]-Food_Orders[[#This Row],[Cost]]</f>
        <v>3400</v>
      </c>
    </row>
    <row r="58" spans="1:9" x14ac:dyDescent="0.25">
      <c r="A58">
        <v>2</v>
      </c>
      <c r="B58" t="s">
        <v>27</v>
      </c>
      <c r="C58" t="s">
        <v>8</v>
      </c>
      <c r="D58" t="s">
        <v>28</v>
      </c>
      <c r="E58" t="s">
        <v>10</v>
      </c>
      <c r="F58" cm="1">
        <f t="array" ref="F58">_xlfn.XLOOKUP(Food_Orders[[#This Row],[Event_No]],Event_Master[[#All],[Event_No]],Event_Master[[#All],[Guest_Count]],,0)</f>
        <v>400</v>
      </c>
      <c r="G58" cm="1">
        <f t="array" ref="G58">Food_Orders[[#This Row],[Quantity_Orderd]]*_xlfn.XLOOKUP(Food_Orders[[#This Row],[Food_ID]],Food_Catalog[[#All],[Food_ID]],Food_Catalog[[#All],[Price_Per_Unit]],0,0)</f>
        <v>16000</v>
      </c>
      <c r="H58" cm="1">
        <f t="array" ref="H58">Food_Orders[[#This Row],[Quantity_Orderd]]*_xlfn.XLOOKUP(Food_Orders[[#This Row],[Food_ID]],Food_Catalog[[#All],[Food_ID]],Food_Catalog[[#All],[Client_Price_Per_Unit]],0,0)</f>
        <v>19200</v>
      </c>
      <c r="I58">
        <f>Food_Orders[[#This Row],[Client_Price]]-Food_Orders[[#This Row],[Cost]]</f>
        <v>3200</v>
      </c>
    </row>
    <row r="59" spans="1:9" x14ac:dyDescent="0.25">
      <c r="A59">
        <v>2</v>
      </c>
      <c r="B59" t="s">
        <v>31</v>
      </c>
      <c r="C59" t="s">
        <v>8</v>
      </c>
      <c r="D59" t="s">
        <v>32</v>
      </c>
      <c r="E59" t="s">
        <v>10</v>
      </c>
      <c r="F59" cm="1">
        <f t="array" ref="F59">_xlfn.XLOOKUP(Food_Orders[[#This Row],[Event_No]],Event_Master[[#All],[Event_No]],Event_Master[[#All],[Guest_Count]],,0)</f>
        <v>400</v>
      </c>
      <c r="G59" cm="1">
        <f t="array" ref="G59">Food_Orders[[#This Row],[Quantity_Orderd]]*_xlfn.XLOOKUP(Food_Orders[[#This Row],[Food_ID]],Food_Catalog[[#All],[Food_ID]],Food_Catalog[[#All],[Price_Per_Unit]],0,0)</f>
        <v>12000</v>
      </c>
      <c r="H59" cm="1">
        <f t="array" ref="H59">Food_Orders[[#This Row],[Quantity_Orderd]]*_xlfn.XLOOKUP(Food_Orders[[#This Row],[Food_ID]],Food_Catalog[[#All],[Food_ID]],Food_Catalog[[#All],[Client_Price_Per_Unit]],0,0)</f>
        <v>14400</v>
      </c>
      <c r="I59">
        <f>Food_Orders[[#This Row],[Client_Price]]-Food_Orders[[#This Row],[Cost]]</f>
        <v>2400</v>
      </c>
    </row>
    <row r="60" spans="1:9" x14ac:dyDescent="0.25">
      <c r="A60">
        <v>2</v>
      </c>
      <c r="B60" t="s">
        <v>33</v>
      </c>
      <c r="C60" t="s">
        <v>8</v>
      </c>
      <c r="D60" t="s">
        <v>34</v>
      </c>
      <c r="E60" t="s">
        <v>10</v>
      </c>
      <c r="F60" cm="1">
        <f t="array" ref="F60">_xlfn.XLOOKUP(Food_Orders[[#This Row],[Event_No]],Event_Master[[#All],[Event_No]],Event_Master[[#All],[Guest_Count]],,0)</f>
        <v>400</v>
      </c>
      <c r="G60" cm="1">
        <f t="array" ref="G60">Food_Orders[[#This Row],[Quantity_Orderd]]*_xlfn.XLOOKUP(Food_Orders[[#This Row],[Food_ID]],Food_Catalog[[#All],[Food_ID]],Food_Catalog[[#All],[Price_Per_Unit]],0,0)</f>
        <v>12000</v>
      </c>
      <c r="H60" cm="1">
        <f t="array" ref="H60">Food_Orders[[#This Row],[Quantity_Orderd]]*_xlfn.XLOOKUP(Food_Orders[[#This Row],[Food_ID]],Food_Catalog[[#All],[Food_ID]],Food_Catalog[[#All],[Client_Price_Per_Unit]],0,0)</f>
        <v>14400</v>
      </c>
      <c r="I60">
        <f>Food_Orders[[#This Row],[Client_Price]]-Food_Orders[[#This Row],[Cost]]</f>
        <v>2400</v>
      </c>
    </row>
    <row r="61" spans="1:9" x14ac:dyDescent="0.25">
      <c r="A61">
        <v>2</v>
      </c>
      <c r="B61" t="s">
        <v>17</v>
      </c>
      <c r="C61" t="s">
        <v>8</v>
      </c>
      <c r="D61" t="s">
        <v>18</v>
      </c>
      <c r="E61" t="s">
        <v>10</v>
      </c>
      <c r="F61" cm="1">
        <f t="array" ref="F61">_xlfn.XLOOKUP(Food_Orders[[#This Row],[Event_No]],Event_Master[[#All],[Event_No]],Event_Master[[#All],[Guest_Count]],,0)</f>
        <v>400</v>
      </c>
      <c r="G61" cm="1">
        <f t="array" ref="G61">Food_Orders[[#This Row],[Quantity_Orderd]]*_xlfn.XLOOKUP(Food_Orders[[#This Row],[Food_ID]],Food_Catalog[[#All],[Food_ID]],Food_Catalog[[#All],[Price_Per_Unit]],0,0)</f>
        <v>16000</v>
      </c>
      <c r="H61" cm="1">
        <f t="array" ref="H61">Food_Orders[[#This Row],[Quantity_Orderd]]*_xlfn.XLOOKUP(Food_Orders[[#This Row],[Food_ID]],Food_Catalog[[#All],[Food_ID]],Food_Catalog[[#All],[Client_Price_Per_Unit]],0,0)</f>
        <v>19200</v>
      </c>
      <c r="I61">
        <f>Food_Orders[[#This Row],[Client_Price]]-Food_Orders[[#This Row],[Cost]]</f>
        <v>3200</v>
      </c>
    </row>
    <row r="62" spans="1:9" x14ac:dyDescent="0.25">
      <c r="A62">
        <v>2</v>
      </c>
      <c r="B62" t="s">
        <v>29</v>
      </c>
      <c r="C62" t="s">
        <v>8</v>
      </c>
      <c r="D62" t="s">
        <v>30</v>
      </c>
      <c r="E62" t="s">
        <v>10</v>
      </c>
      <c r="F62" cm="1">
        <f t="array" ref="F62">_xlfn.XLOOKUP(Food_Orders[[#This Row],[Event_No]],Event_Master[[#All],[Event_No]],Event_Master[[#All],[Guest_Count]],,0)</f>
        <v>400</v>
      </c>
      <c r="G62" cm="1">
        <f t="array" ref="G62">Food_Orders[[#This Row],[Quantity_Orderd]]*_xlfn.XLOOKUP(Food_Orders[[#This Row],[Food_ID]],Food_Catalog[[#All],[Food_ID]],Food_Catalog[[#All],[Price_Per_Unit]],0,0)</f>
        <v>12000</v>
      </c>
      <c r="H62" cm="1">
        <f t="array" ref="H62">Food_Orders[[#This Row],[Quantity_Orderd]]*_xlfn.XLOOKUP(Food_Orders[[#This Row],[Food_ID]],Food_Catalog[[#All],[Food_ID]],Food_Catalog[[#All],[Client_Price_Per_Unit]],0,0)</f>
        <v>14400</v>
      </c>
      <c r="I62">
        <f>Food_Orders[[#This Row],[Client_Price]]-Food_Orders[[#This Row],[Cost]]</f>
        <v>2400</v>
      </c>
    </row>
    <row r="63" spans="1:9" x14ac:dyDescent="0.25">
      <c r="A63">
        <v>2</v>
      </c>
      <c r="B63" t="s">
        <v>37</v>
      </c>
      <c r="C63" t="s">
        <v>8</v>
      </c>
      <c r="D63" t="s">
        <v>38</v>
      </c>
      <c r="E63" t="s">
        <v>10</v>
      </c>
      <c r="F63" cm="1">
        <f t="array" ref="F63">_xlfn.XLOOKUP(Food_Orders[[#This Row],[Event_No]],Event_Master[[#All],[Event_No]],Event_Master[[#All],[Guest_Count]],,0)</f>
        <v>400</v>
      </c>
      <c r="G63" cm="1">
        <f t="array" ref="G63">Food_Orders[[#This Row],[Quantity_Orderd]]*_xlfn.XLOOKUP(Food_Orders[[#This Row],[Food_ID]],Food_Catalog[[#All],[Food_ID]],Food_Catalog[[#All],[Price_Per_Unit]],0,0)</f>
        <v>10000</v>
      </c>
      <c r="H63" cm="1">
        <f t="array" ref="H63">Food_Orders[[#This Row],[Quantity_Orderd]]*_xlfn.XLOOKUP(Food_Orders[[#This Row],[Food_ID]],Food_Catalog[[#All],[Food_ID]],Food_Catalog[[#All],[Client_Price_Per_Unit]],0,0)</f>
        <v>12000</v>
      </c>
      <c r="I63">
        <f>Food_Orders[[#This Row],[Client_Price]]-Food_Orders[[#This Row],[Cost]]</f>
        <v>2000</v>
      </c>
    </row>
    <row r="64" spans="1:9" x14ac:dyDescent="0.25">
      <c r="A64">
        <v>2</v>
      </c>
      <c r="B64" t="s">
        <v>39</v>
      </c>
      <c r="C64" t="s">
        <v>40</v>
      </c>
      <c r="D64" t="s">
        <v>41</v>
      </c>
      <c r="E64" t="s">
        <v>10</v>
      </c>
      <c r="F64" cm="1">
        <f t="array" ref="F64">_xlfn.XLOOKUP(Food_Orders[[#This Row],[Event_No]],Event_Master[[#All],[Event_No]],Event_Master[[#All],[Guest_Count]],,0)</f>
        <v>400</v>
      </c>
      <c r="G64" cm="1">
        <f t="array" ref="G64">Food_Orders[[#This Row],[Quantity_Orderd]]*_xlfn.XLOOKUP(Food_Orders[[#This Row],[Food_ID]],Food_Catalog[[#All],[Food_ID]],Food_Catalog[[#All],[Price_Per_Unit]],0,0)</f>
        <v>24000</v>
      </c>
      <c r="H64" cm="1">
        <f t="array" ref="H64">Food_Orders[[#This Row],[Quantity_Orderd]]*_xlfn.XLOOKUP(Food_Orders[[#This Row],[Food_ID]],Food_Catalog[[#All],[Food_ID]],Food_Catalog[[#All],[Client_Price_Per_Unit]],0,0)</f>
        <v>28800</v>
      </c>
      <c r="I64">
        <f>Food_Orders[[#This Row],[Client_Price]]-Food_Orders[[#This Row],[Cost]]</f>
        <v>4800</v>
      </c>
    </row>
    <row r="65" spans="1:9" x14ac:dyDescent="0.25">
      <c r="A65">
        <v>2</v>
      </c>
      <c r="B65" t="s">
        <v>42</v>
      </c>
      <c r="C65" t="s">
        <v>40</v>
      </c>
      <c r="D65" t="s">
        <v>43</v>
      </c>
      <c r="E65" t="s">
        <v>10</v>
      </c>
      <c r="F65" cm="1">
        <f t="array" ref="F65">_xlfn.XLOOKUP(Food_Orders[[#This Row],[Event_No]],Event_Master[[#All],[Event_No]],Event_Master[[#All],[Guest_Count]],,0)</f>
        <v>400</v>
      </c>
      <c r="G65" cm="1">
        <f t="array" ref="G65">Food_Orders[[#This Row],[Quantity_Orderd]]*_xlfn.XLOOKUP(Food_Orders[[#This Row],[Food_ID]],Food_Catalog[[#All],[Food_ID]],Food_Catalog[[#All],[Price_Per_Unit]],0,0)</f>
        <v>28000</v>
      </c>
      <c r="H65" cm="1">
        <f t="array" ref="H65">Food_Orders[[#This Row],[Quantity_Orderd]]*_xlfn.XLOOKUP(Food_Orders[[#This Row],[Food_ID]],Food_Catalog[[#All],[Food_ID]],Food_Catalog[[#All],[Client_Price_Per_Unit]],0,0)</f>
        <v>33600</v>
      </c>
      <c r="I65">
        <f>Food_Orders[[#This Row],[Client_Price]]-Food_Orders[[#This Row],[Cost]]</f>
        <v>5600</v>
      </c>
    </row>
    <row r="66" spans="1:9" x14ac:dyDescent="0.25">
      <c r="A66">
        <v>2</v>
      </c>
      <c r="B66" t="s">
        <v>58</v>
      </c>
      <c r="C66" t="s">
        <v>40</v>
      </c>
      <c r="D66" t="s">
        <v>59</v>
      </c>
      <c r="E66" t="s">
        <v>10</v>
      </c>
      <c r="F66" cm="1">
        <f t="array" ref="F66">_xlfn.XLOOKUP(Food_Orders[[#This Row],[Event_No]],Event_Master[[#All],[Event_No]],Event_Master[[#All],[Guest_Count]],,0)</f>
        <v>400</v>
      </c>
      <c r="G66" cm="1">
        <f t="array" ref="G66">Food_Orders[[#This Row],[Quantity_Orderd]]*_xlfn.XLOOKUP(Food_Orders[[#This Row],[Food_ID]],Food_Catalog[[#All],[Food_ID]],Food_Catalog[[#All],[Price_Per_Unit]],0,0)</f>
        <v>36000</v>
      </c>
      <c r="H66" cm="1">
        <f t="array" ref="H66">Food_Orders[[#This Row],[Quantity_Orderd]]*_xlfn.XLOOKUP(Food_Orders[[#This Row],[Food_ID]],Food_Catalog[[#All],[Food_ID]],Food_Catalog[[#All],[Client_Price_Per_Unit]],0,0)</f>
        <v>43200</v>
      </c>
      <c r="I66">
        <f>Food_Orders[[#This Row],[Client_Price]]-Food_Orders[[#This Row],[Cost]]</f>
        <v>7200</v>
      </c>
    </row>
    <row r="67" spans="1:9" x14ac:dyDescent="0.25">
      <c r="A67">
        <v>2</v>
      </c>
      <c r="B67" t="s">
        <v>46</v>
      </c>
      <c r="C67" t="s">
        <v>40</v>
      </c>
      <c r="D67" t="s">
        <v>47</v>
      </c>
      <c r="E67" t="s">
        <v>10</v>
      </c>
      <c r="F67" cm="1">
        <f t="array" ref="F67">_xlfn.XLOOKUP(Food_Orders[[#This Row],[Event_No]],Event_Master[[#All],[Event_No]],Event_Master[[#All],[Guest_Count]],,0)</f>
        <v>400</v>
      </c>
      <c r="G67" cm="1">
        <f t="array" ref="G67">Food_Orders[[#This Row],[Quantity_Orderd]]*_xlfn.XLOOKUP(Food_Orders[[#This Row],[Food_ID]],Food_Catalog[[#All],[Food_ID]],Food_Catalog[[#All],[Price_Per_Unit]],0,0)</f>
        <v>36000</v>
      </c>
      <c r="H67" cm="1">
        <f t="array" ref="H67">Food_Orders[[#This Row],[Quantity_Orderd]]*_xlfn.XLOOKUP(Food_Orders[[#This Row],[Food_ID]],Food_Catalog[[#All],[Food_ID]],Food_Catalog[[#All],[Client_Price_Per_Unit]],0,0)</f>
        <v>43200</v>
      </c>
      <c r="I67">
        <f>Food_Orders[[#This Row],[Client_Price]]-Food_Orders[[#This Row],[Cost]]</f>
        <v>7200</v>
      </c>
    </row>
    <row r="68" spans="1:9" x14ac:dyDescent="0.25">
      <c r="A68">
        <v>2</v>
      </c>
      <c r="B68" t="s">
        <v>50</v>
      </c>
      <c r="C68" t="s">
        <v>40</v>
      </c>
      <c r="D68" t="s">
        <v>51</v>
      </c>
      <c r="E68" t="s">
        <v>10</v>
      </c>
      <c r="F68" cm="1">
        <f t="array" ref="F68">_xlfn.XLOOKUP(Food_Orders[[#This Row],[Event_No]],Event_Master[[#All],[Event_No]],Event_Master[[#All],[Guest_Count]],,0)</f>
        <v>400</v>
      </c>
      <c r="G68" cm="1">
        <f t="array" ref="G68">Food_Orders[[#This Row],[Quantity_Orderd]]*_xlfn.XLOOKUP(Food_Orders[[#This Row],[Food_ID]],Food_Catalog[[#All],[Food_ID]],Food_Catalog[[#All],[Price_Per_Unit]],0,0)</f>
        <v>32000</v>
      </c>
      <c r="H68" cm="1">
        <f t="array" ref="H68">Food_Orders[[#This Row],[Quantity_Orderd]]*_xlfn.XLOOKUP(Food_Orders[[#This Row],[Food_ID]],Food_Catalog[[#All],[Food_ID]],Food_Catalog[[#All],[Client_Price_Per_Unit]],0,0)</f>
        <v>38400</v>
      </c>
      <c r="I68">
        <f>Food_Orders[[#This Row],[Client_Price]]-Food_Orders[[#This Row],[Cost]]</f>
        <v>6400</v>
      </c>
    </row>
    <row r="69" spans="1:9" x14ac:dyDescent="0.25">
      <c r="A69">
        <v>2</v>
      </c>
      <c r="B69" t="s">
        <v>82</v>
      </c>
      <c r="C69" t="s">
        <v>83</v>
      </c>
      <c r="D69" t="s">
        <v>84</v>
      </c>
      <c r="E69" t="s">
        <v>85</v>
      </c>
      <c r="F69" cm="1">
        <f t="array" ref="F69">_xlfn.XLOOKUP(Food_Orders[[#This Row],[Event_No]],Event_Master[[#All],[Event_No]],Event_Master[[#All],[Guest_Count]],,0)</f>
        <v>400</v>
      </c>
      <c r="G69" cm="1">
        <f t="array" ref="G69">Food_Orders[[#This Row],[Quantity_Orderd]]*_xlfn.XLOOKUP(Food_Orders[[#This Row],[Food_ID]],Food_Catalog[[#All],[Food_ID]],Food_Catalog[[#All],[Price_Per_Unit]],0,0)</f>
        <v>8000</v>
      </c>
      <c r="H69" cm="1">
        <f t="array" ref="H69">Food_Orders[[#This Row],[Quantity_Orderd]]*_xlfn.XLOOKUP(Food_Orders[[#This Row],[Food_ID]],Food_Catalog[[#All],[Food_ID]],Food_Catalog[[#All],[Client_Price_Per_Unit]],0,0)</f>
        <v>9600</v>
      </c>
      <c r="I69">
        <f>Food_Orders[[#This Row],[Client_Price]]-Food_Orders[[#This Row],[Cost]]</f>
        <v>1600</v>
      </c>
    </row>
    <row r="70" spans="1:9" x14ac:dyDescent="0.25">
      <c r="A70">
        <v>2</v>
      </c>
      <c r="B70" t="s">
        <v>86</v>
      </c>
      <c r="C70" t="s">
        <v>83</v>
      </c>
      <c r="D70" t="s">
        <v>87</v>
      </c>
      <c r="E70" t="s">
        <v>85</v>
      </c>
      <c r="F70" cm="1">
        <f t="array" ref="F70">_xlfn.XLOOKUP(Food_Orders[[#This Row],[Event_No]],Event_Master[[#All],[Event_No]],Event_Master[[#All],[Guest_Count]],,0)</f>
        <v>400</v>
      </c>
      <c r="G70" cm="1">
        <f t="array" ref="G70">Food_Orders[[#This Row],[Quantity_Orderd]]*_xlfn.XLOOKUP(Food_Orders[[#This Row],[Food_ID]],Food_Catalog[[#All],[Food_ID]],Food_Catalog[[#All],[Price_Per_Unit]],0,0)</f>
        <v>8000</v>
      </c>
      <c r="H70" cm="1">
        <f t="array" ref="H70">Food_Orders[[#This Row],[Quantity_Orderd]]*_xlfn.XLOOKUP(Food_Orders[[#This Row],[Food_ID]],Food_Catalog[[#All],[Food_ID]],Food_Catalog[[#All],[Client_Price_Per_Unit]],0,0)</f>
        <v>9600</v>
      </c>
      <c r="I70">
        <f>Food_Orders[[#This Row],[Client_Price]]-Food_Orders[[#This Row],[Cost]]</f>
        <v>1600</v>
      </c>
    </row>
    <row r="71" spans="1:9" x14ac:dyDescent="0.25">
      <c r="A71">
        <v>2</v>
      </c>
      <c r="B71" t="s">
        <v>96</v>
      </c>
      <c r="C71" t="s">
        <v>83</v>
      </c>
      <c r="D71" t="s">
        <v>97</v>
      </c>
      <c r="E71" t="s">
        <v>79</v>
      </c>
      <c r="F71" cm="1">
        <f t="array" ref="F71">_xlfn.XLOOKUP(Food_Orders[[#This Row],[Event_No]],Event_Master[[#All],[Event_No]],Event_Master[[#All],[Guest_Count]],,0)</f>
        <v>400</v>
      </c>
      <c r="G71" cm="1">
        <f t="array" ref="G71">Food_Orders[[#This Row],[Quantity_Orderd]]*_xlfn.XLOOKUP(Food_Orders[[#This Row],[Food_ID]],Food_Catalog[[#All],[Food_ID]],Food_Catalog[[#All],[Price_Per_Unit]],0,0)</f>
        <v>12000</v>
      </c>
      <c r="H71" cm="1">
        <f t="array" ref="H71">Food_Orders[[#This Row],[Quantity_Orderd]]*_xlfn.XLOOKUP(Food_Orders[[#This Row],[Food_ID]],Food_Catalog[[#All],[Food_ID]],Food_Catalog[[#All],[Client_Price_Per_Unit]],0,0)</f>
        <v>14400</v>
      </c>
      <c r="I71">
        <f>Food_Orders[[#This Row],[Client_Price]]-Food_Orders[[#This Row],[Cost]]</f>
        <v>2400</v>
      </c>
    </row>
    <row r="72" spans="1:9" x14ac:dyDescent="0.25">
      <c r="A72">
        <v>2</v>
      </c>
      <c r="B72" t="s">
        <v>88</v>
      </c>
      <c r="C72" t="s">
        <v>83</v>
      </c>
      <c r="D72" t="s">
        <v>89</v>
      </c>
      <c r="E72" t="s">
        <v>85</v>
      </c>
      <c r="F72" cm="1">
        <f t="array" ref="F72">_xlfn.XLOOKUP(Food_Orders[[#This Row],[Event_No]],Event_Master[[#All],[Event_No]],Event_Master[[#All],[Guest_Count]],,0)</f>
        <v>400</v>
      </c>
      <c r="G72" cm="1">
        <f t="array" ref="G72">Food_Orders[[#This Row],[Quantity_Orderd]]*_xlfn.XLOOKUP(Food_Orders[[#This Row],[Food_ID]],Food_Catalog[[#All],[Food_ID]],Food_Catalog[[#All],[Price_Per_Unit]],0,0)</f>
        <v>6000</v>
      </c>
      <c r="H72" cm="1">
        <f t="array" ref="H72">Food_Orders[[#This Row],[Quantity_Orderd]]*_xlfn.XLOOKUP(Food_Orders[[#This Row],[Food_ID]],Food_Catalog[[#All],[Food_ID]],Food_Catalog[[#All],[Client_Price_Per_Unit]],0,0)</f>
        <v>7200</v>
      </c>
      <c r="I72">
        <f>Food_Orders[[#This Row],[Client_Price]]-Food_Orders[[#This Row],[Cost]]</f>
        <v>1200</v>
      </c>
    </row>
    <row r="73" spans="1:9" x14ac:dyDescent="0.25">
      <c r="A73">
        <v>2</v>
      </c>
      <c r="B73" t="s">
        <v>92</v>
      </c>
      <c r="C73" t="s">
        <v>83</v>
      </c>
      <c r="D73" t="s">
        <v>93</v>
      </c>
      <c r="E73" t="s">
        <v>85</v>
      </c>
      <c r="F73" cm="1">
        <f t="array" ref="F73">_xlfn.XLOOKUP(Food_Orders[[#This Row],[Event_No]],Event_Master[[#All],[Event_No]],Event_Master[[#All],[Guest_Count]],,0)</f>
        <v>400</v>
      </c>
      <c r="G73" cm="1">
        <f t="array" ref="G73">Food_Orders[[#This Row],[Quantity_Orderd]]*_xlfn.XLOOKUP(Food_Orders[[#This Row],[Food_ID]],Food_Catalog[[#All],[Food_ID]],Food_Catalog[[#All],[Price_Per_Unit]],0,0)</f>
        <v>6000</v>
      </c>
      <c r="H73" cm="1">
        <f t="array" ref="H73">Food_Orders[[#This Row],[Quantity_Orderd]]*_xlfn.XLOOKUP(Food_Orders[[#This Row],[Food_ID]],Food_Catalog[[#All],[Food_ID]],Food_Catalog[[#All],[Client_Price_Per_Unit]],0,0)</f>
        <v>7200</v>
      </c>
      <c r="I73">
        <f>Food_Orders[[#This Row],[Client_Price]]-Food_Orders[[#This Row],[Cost]]</f>
        <v>1200</v>
      </c>
    </row>
    <row r="74" spans="1:9" x14ac:dyDescent="0.25">
      <c r="A74">
        <v>2</v>
      </c>
      <c r="B74" t="s">
        <v>98</v>
      </c>
      <c r="C74" t="s">
        <v>83</v>
      </c>
      <c r="D74" t="s">
        <v>99</v>
      </c>
      <c r="E74" t="s">
        <v>85</v>
      </c>
      <c r="F74" cm="1">
        <f t="array" ref="F74">_xlfn.XLOOKUP(Food_Orders[[#This Row],[Event_No]],Event_Master[[#All],[Event_No]],Event_Master[[#All],[Guest_Count]],,0)</f>
        <v>400</v>
      </c>
      <c r="G74" cm="1">
        <f t="array" ref="G74">Food_Orders[[#This Row],[Quantity_Orderd]]*_xlfn.XLOOKUP(Food_Orders[[#This Row],[Food_ID]],Food_Catalog[[#All],[Food_ID]],Food_Catalog[[#All],[Price_Per_Unit]],0,0)</f>
        <v>6000</v>
      </c>
      <c r="H74" cm="1">
        <f t="array" ref="H74">Food_Orders[[#This Row],[Quantity_Orderd]]*_xlfn.XLOOKUP(Food_Orders[[#This Row],[Food_ID]],Food_Catalog[[#All],[Food_ID]],Food_Catalog[[#All],[Client_Price_Per_Unit]],0,0)</f>
        <v>7200</v>
      </c>
      <c r="I74">
        <f>Food_Orders[[#This Row],[Client_Price]]-Food_Orders[[#This Row],[Cost]]</f>
        <v>1200</v>
      </c>
    </row>
    <row r="75" spans="1:9" x14ac:dyDescent="0.25">
      <c r="A75">
        <v>2</v>
      </c>
      <c r="B75" t="s">
        <v>104</v>
      </c>
      <c r="C75" t="s">
        <v>105</v>
      </c>
      <c r="D75" t="s">
        <v>106</v>
      </c>
      <c r="E75" t="s">
        <v>107</v>
      </c>
      <c r="F75" cm="1">
        <f t="array" ref="F75">_xlfn.XLOOKUP(Food_Orders[[#This Row],[Event_No]],Event_Master[[#All],[Event_No]],Event_Master[[#All],[Guest_Count]],,0)</f>
        <v>400</v>
      </c>
      <c r="G75" cm="1">
        <f t="array" ref="G75">Food_Orders[[#This Row],[Quantity_Orderd]]*_xlfn.XLOOKUP(Food_Orders[[#This Row],[Food_ID]],Food_Catalog[[#All],[Food_ID]],Food_Catalog[[#All],[Price_Per_Unit]],0,0)</f>
        <v>4000</v>
      </c>
      <c r="H75" cm="1">
        <f t="array" ref="H75">Food_Orders[[#This Row],[Quantity_Orderd]]*_xlfn.XLOOKUP(Food_Orders[[#This Row],[Food_ID]],Food_Catalog[[#All],[Food_ID]],Food_Catalog[[#All],[Client_Price_Per_Unit]],0,0)</f>
        <v>4800</v>
      </c>
      <c r="I75">
        <f>Food_Orders[[#This Row],[Client_Price]]-Food_Orders[[#This Row],[Cost]]</f>
        <v>800</v>
      </c>
    </row>
    <row r="76" spans="1:9" x14ac:dyDescent="0.25">
      <c r="A76">
        <v>2</v>
      </c>
      <c r="B76" t="s">
        <v>108</v>
      </c>
      <c r="C76" t="s">
        <v>105</v>
      </c>
      <c r="D76" t="s">
        <v>109</v>
      </c>
      <c r="E76" t="s">
        <v>107</v>
      </c>
      <c r="F76" cm="1">
        <f t="array" ref="F76">_xlfn.XLOOKUP(Food_Orders[[#This Row],[Event_No]],Event_Master[[#All],[Event_No]],Event_Master[[#All],[Guest_Count]],,0)</f>
        <v>400</v>
      </c>
      <c r="G76" cm="1">
        <f t="array" ref="G76">Food_Orders[[#This Row],[Quantity_Orderd]]*_xlfn.XLOOKUP(Food_Orders[[#This Row],[Food_ID]],Food_Catalog[[#All],[Food_ID]],Food_Catalog[[#All],[Price_Per_Unit]],0,0)</f>
        <v>6000</v>
      </c>
      <c r="H76" cm="1">
        <f t="array" ref="H76">Food_Orders[[#This Row],[Quantity_Orderd]]*_xlfn.XLOOKUP(Food_Orders[[#This Row],[Food_ID]],Food_Catalog[[#All],[Food_ID]],Food_Catalog[[#All],[Client_Price_Per_Unit]],0,0)</f>
        <v>7200</v>
      </c>
      <c r="I76">
        <f>Food_Orders[[#This Row],[Client_Price]]-Food_Orders[[#This Row],[Cost]]</f>
        <v>1200</v>
      </c>
    </row>
    <row r="77" spans="1:9" x14ac:dyDescent="0.25">
      <c r="A77">
        <v>2</v>
      </c>
      <c r="B77" t="s">
        <v>118</v>
      </c>
      <c r="C77" t="s">
        <v>119</v>
      </c>
      <c r="D77" t="s">
        <v>120</v>
      </c>
      <c r="E77" t="s">
        <v>112</v>
      </c>
      <c r="F77" cm="1">
        <f t="array" ref="F77">_xlfn.XLOOKUP(Food_Orders[[#This Row],[Event_No]],Event_Master[[#All],[Event_No]],Event_Master[[#All],[Guest_Count]],,0)</f>
        <v>400</v>
      </c>
      <c r="G77" cm="1">
        <f t="array" ref="G77">Food_Orders[[#This Row],[Quantity_Orderd]]*_xlfn.XLOOKUP(Food_Orders[[#This Row],[Food_ID]],Food_Catalog[[#All],[Food_ID]],Food_Catalog[[#All],[Price_Per_Unit]],0,0)</f>
        <v>4000</v>
      </c>
      <c r="H77" cm="1">
        <f t="array" ref="H77">Food_Orders[[#This Row],[Quantity_Orderd]]*_xlfn.XLOOKUP(Food_Orders[[#This Row],[Food_ID]],Food_Catalog[[#All],[Food_ID]],Food_Catalog[[#All],[Client_Price_Per_Unit]],0,0)</f>
        <v>4800</v>
      </c>
      <c r="I77">
        <f>Food_Orders[[#This Row],[Client_Price]]-Food_Orders[[#This Row],[Cost]]</f>
        <v>800</v>
      </c>
    </row>
    <row r="78" spans="1:9" x14ac:dyDescent="0.25">
      <c r="A78">
        <v>2</v>
      </c>
      <c r="B78" t="s">
        <v>129</v>
      </c>
      <c r="C78" t="s">
        <v>119</v>
      </c>
      <c r="D78" t="s">
        <v>130</v>
      </c>
      <c r="E78" t="s">
        <v>112</v>
      </c>
      <c r="F78" cm="1">
        <f t="array" ref="F78">_xlfn.XLOOKUP(Food_Orders[[#This Row],[Event_No]],Event_Master[[#All],[Event_No]],Event_Master[[#All],[Guest_Count]],,0)</f>
        <v>400</v>
      </c>
      <c r="G78" cm="1">
        <f t="array" ref="G78">Food_Orders[[#This Row],[Quantity_Orderd]]*_xlfn.XLOOKUP(Food_Orders[[#This Row],[Food_ID]],Food_Catalog[[#All],[Food_ID]],Food_Catalog[[#All],[Price_Per_Unit]],0,0)</f>
        <v>4000</v>
      </c>
      <c r="H78" cm="1">
        <f t="array" ref="H78">Food_Orders[[#This Row],[Quantity_Orderd]]*_xlfn.XLOOKUP(Food_Orders[[#This Row],[Food_ID]],Food_Catalog[[#All],[Food_ID]],Food_Catalog[[#All],[Client_Price_Per_Unit]],0,0)</f>
        <v>4800</v>
      </c>
      <c r="I78">
        <f>Food_Orders[[#This Row],[Client_Price]]-Food_Orders[[#This Row],[Cost]]</f>
        <v>800</v>
      </c>
    </row>
    <row r="79" spans="1:9" x14ac:dyDescent="0.25">
      <c r="A79">
        <v>2</v>
      </c>
      <c r="B79" t="s">
        <v>124</v>
      </c>
      <c r="C79" t="s">
        <v>119</v>
      </c>
      <c r="D79" t="s">
        <v>125</v>
      </c>
      <c r="E79" t="s">
        <v>126</v>
      </c>
      <c r="F79" cm="1">
        <f t="array" ref="F79">_xlfn.XLOOKUP(Food_Orders[[#This Row],[Event_No]],Event_Master[[#All],[Event_No]],Event_Master[[#All],[Guest_Count]],,0)</f>
        <v>400</v>
      </c>
      <c r="G79" cm="1">
        <f t="array" ref="G79">Food_Orders[[#This Row],[Quantity_Orderd]]*_xlfn.XLOOKUP(Food_Orders[[#This Row],[Food_ID]],Food_Catalog[[#All],[Food_ID]],Food_Catalog[[#All],[Price_Per_Unit]],0,0)</f>
        <v>8000</v>
      </c>
      <c r="H79" cm="1">
        <f t="array" ref="H79">Food_Orders[[#This Row],[Quantity_Orderd]]*_xlfn.XLOOKUP(Food_Orders[[#This Row],[Food_ID]],Food_Catalog[[#All],[Food_ID]],Food_Catalog[[#All],[Client_Price_Per_Unit]],0,0)</f>
        <v>9600</v>
      </c>
      <c r="I79">
        <f>Food_Orders[[#This Row],[Client_Price]]-Food_Orders[[#This Row],[Cost]]</f>
        <v>1600</v>
      </c>
    </row>
    <row r="80" spans="1:9" x14ac:dyDescent="0.25">
      <c r="A80">
        <v>2</v>
      </c>
      <c r="B80" t="s">
        <v>127</v>
      </c>
      <c r="C80" t="s">
        <v>119</v>
      </c>
      <c r="D80" t="s">
        <v>128</v>
      </c>
      <c r="E80" t="s">
        <v>107</v>
      </c>
      <c r="F80" cm="1">
        <f t="array" ref="F80">_xlfn.XLOOKUP(Food_Orders[[#This Row],[Event_No]],Event_Master[[#All],[Event_No]],Event_Master[[#All],[Guest_Count]],,0)</f>
        <v>400</v>
      </c>
      <c r="G80" cm="1">
        <f t="array" ref="G80">Food_Orders[[#This Row],[Quantity_Orderd]]*_xlfn.XLOOKUP(Food_Orders[[#This Row],[Food_ID]],Food_Catalog[[#All],[Food_ID]],Food_Catalog[[#All],[Price_Per_Unit]],0,0)</f>
        <v>8000</v>
      </c>
      <c r="H80" cm="1">
        <f t="array" ref="H80">Food_Orders[[#This Row],[Quantity_Orderd]]*_xlfn.XLOOKUP(Food_Orders[[#This Row],[Food_ID]],Food_Catalog[[#All],[Food_ID]],Food_Catalog[[#All],[Client_Price_Per_Unit]],0,0)</f>
        <v>9600</v>
      </c>
      <c r="I80">
        <f>Food_Orders[[#This Row],[Client_Price]]-Food_Orders[[#This Row],[Cost]]</f>
        <v>1600</v>
      </c>
    </row>
    <row r="81" spans="1:9" x14ac:dyDescent="0.25">
      <c r="A81">
        <v>3</v>
      </c>
      <c r="B81" t="s">
        <v>63</v>
      </c>
      <c r="C81" t="s">
        <v>61</v>
      </c>
      <c r="D81" t="s">
        <v>64</v>
      </c>
      <c r="E81" t="s">
        <v>10</v>
      </c>
      <c r="F81" cm="1">
        <f t="array" ref="F81">_xlfn.XLOOKUP(Food_Orders[[#This Row],[Event_No]],Event_Master[[#All],[Event_No]],Event_Master[[#All],[Guest_Count]],,0)</f>
        <v>180</v>
      </c>
      <c r="G81" cm="1">
        <f t="array" ref="G81">Food_Orders[[#This Row],[Quantity_Orderd]]*_xlfn.XLOOKUP(Food_Orders[[#This Row],[Food_ID]],Food_Catalog[[#All],[Food_ID]],Food_Catalog[[#All],[Price_Per_Unit]],0,0)</f>
        <v>5400</v>
      </c>
      <c r="H81" cm="1">
        <f t="array" ref="H81">Food_Orders[[#This Row],[Quantity_Orderd]]*_xlfn.XLOOKUP(Food_Orders[[#This Row],[Food_ID]],Food_Catalog[[#All],[Food_ID]],Food_Catalog[[#All],[Client_Price_Per_Unit]],0,0)</f>
        <v>6480</v>
      </c>
      <c r="I81">
        <f>Food_Orders[[#This Row],[Client_Price]]-Food_Orders[[#This Row],[Cost]]</f>
        <v>1080</v>
      </c>
    </row>
    <row r="82" spans="1:9" x14ac:dyDescent="0.25">
      <c r="A82">
        <v>3</v>
      </c>
      <c r="B82" t="s">
        <v>71</v>
      </c>
      <c r="C82" t="s">
        <v>61</v>
      </c>
      <c r="D82" t="s">
        <v>72</v>
      </c>
      <c r="E82" t="s">
        <v>10</v>
      </c>
      <c r="F82" cm="1">
        <f t="array" ref="F82">_xlfn.XLOOKUP(Food_Orders[[#This Row],[Event_No]],Event_Master[[#All],[Event_No]],Event_Master[[#All],[Guest_Count]],,0)</f>
        <v>180</v>
      </c>
      <c r="G82" cm="1">
        <f t="array" ref="G82">Food_Orders[[#This Row],[Quantity_Orderd]]*_xlfn.XLOOKUP(Food_Orders[[#This Row],[Food_ID]],Food_Catalog[[#All],[Food_ID]],Food_Catalog[[#All],[Price_Per_Unit]],0,0)</f>
        <v>4500</v>
      </c>
      <c r="H82" cm="1">
        <f t="array" ref="H82">Food_Orders[[#This Row],[Quantity_Orderd]]*_xlfn.XLOOKUP(Food_Orders[[#This Row],[Food_ID]],Food_Catalog[[#All],[Food_ID]],Food_Catalog[[#All],[Client_Price_Per_Unit]],0,0)</f>
        <v>5400</v>
      </c>
      <c r="I82">
        <f>Food_Orders[[#This Row],[Client_Price]]-Food_Orders[[#This Row],[Cost]]</f>
        <v>900</v>
      </c>
    </row>
    <row r="83" spans="1:9" x14ac:dyDescent="0.25">
      <c r="A83">
        <v>3</v>
      </c>
      <c r="B83" t="s">
        <v>60</v>
      </c>
      <c r="C83" t="s">
        <v>61</v>
      </c>
      <c r="D83" t="s">
        <v>62</v>
      </c>
      <c r="E83" t="s">
        <v>10</v>
      </c>
      <c r="F83" cm="1">
        <f t="array" ref="F83">_xlfn.XLOOKUP(Food_Orders[[#This Row],[Event_No]],Event_Master[[#All],[Event_No]],Event_Master[[#All],[Guest_Count]],,0)</f>
        <v>180</v>
      </c>
      <c r="G83" cm="1">
        <f t="array" ref="G83">Food_Orders[[#This Row],[Quantity_Orderd]]*_xlfn.XLOOKUP(Food_Orders[[#This Row],[Food_ID]],Food_Catalog[[#All],[Food_ID]],Food_Catalog[[#All],[Price_Per_Unit]],0,0)</f>
        <v>3600</v>
      </c>
      <c r="H83" cm="1">
        <f t="array" ref="H83">Food_Orders[[#This Row],[Quantity_Orderd]]*_xlfn.XLOOKUP(Food_Orders[[#This Row],[Food_ID]],Food_Catalog[[#All],[Food_ID]],Food_Catalog[[#All],[Client_Price_Per_Unit]],0,0)</f>
        <v>4320</v>
      </c>
      <c r="I83">
        <f>Food_Orders[[#This Row],[Client_Price]]-Food_Orders[[#This Row],[Cost]]</f>
        <v>720</v>
      </c>
    </row>
    <row r="84" spans="1:9" x14ac:dyDescent="0.25">
      <c r="A84">
        <v>3</v>
      </c>
      <c r="B84" t="s">
        <v>77</v>
      </c>
      <c r="C84" t="s">
        <v>61</v>
      </c>
      <c r="D84" t="s">
        <v>78</v>
      </c>
      <c r="E84" t="s">
        <v>79</v>
      </c>
      <c r="F84" cm="1">
        <f t="array" ref="F84">_xlfn.XLOOKUP(Food_Orders[[#This Row],[Event_No]],Event_Master[[#All],[Event_No]],Event_Master[[#All],[Guest_Count]],,0)</f>
        <v>180</v>
      </c>
      <c r="G84" cm="1">
        <f t="array" ref="G84">Food_Orders[[#This Row],[Quantity_Orderd]]*_xlfn.XLOOKUP(Food_Orders[[#This Row],[Food_ID]],Food_Catalog[[#All],[Food_ID]],Food_Catalog[[#All],[Price_Per_Unit]],0,0)</f>
        <v>6300</v>
      </c>
      <c r="H84" cm="1">
        <f t="array" ref="H84">Food_Orders[[#This Row],[Quantity_Orderd]]*_xlfn.XLOOKUP(Food_Orders[[#This Row],[Food_ID]],Food_Catalog[[#All],[Food_ID]],Food_Catalog[[#All],[Client_Price_Per_Unit]],0,0)</f>
        <v>7560</v>
      </c>
      <c r="I84">
        <f>Food_Orders[[#This Row],[Client_Price]]-Food_Orders[[#This Row],[Cost]]</f>
        <v>1260</v>
      </c>
    </row>
    <row r="85" spans="1:9" x14ac:dyDescent="0.25">
      <c r="A85">
        <v>3</v>
      </c>
      <c r="B85" t="s">
        <v>7</v>
      </c>
      <c r="C85" t="s">
        <v>8</v>
      </c>
      <c r="D85" t="s">
        <v>9</v>
      </c>
      <c r="E85" t="s">
        <v>10</v>
      </c>
      <c r="F85" cm="1">
        <f t="array" ref="F85">_xlfn.XLOOKUP(Food_Orders[[#This Row],[Event_No]],Event_Master[[#All],[Event_No]],Event_Master[[#All],[Guest_Count]],,0)</f>
        <v>180</v>
      </c>
      <c r="G85" cm="1">
        <f t="array" ref="G85">Food_Orders[[#This Row],[Quantity_Orderd]]*_xlfn.XLOOKUP(Food_Orders[[#This Row],[Food_ID]],Food_Catalog[[#All],[Food_ID]],Food_Catalog[[#All],[Price_Per_Unit]],0,0)</f>
        <v>4500</v>
      </c>
      <c r="H85" cm="1">
        <f t="array" ref="H85">Food_Orders[[#This Row],[Quantity_Orderd]]*_xlfn.XLOOKUP(Food_Orders[[#This Row],[Food_ID]],Food_Catalog[[#All],[Food_ID]],Food_Catalog[[#All],[Client_Price_Per_Unit]],0,0)</f>
        <v>5400</v>
      </c>
      <c r="I85">
        <f>Food_Orders[[#This Row],[Client_Price]]-Food_Orders[[#This Row],[Cost]]</f>
        <v>900</v>
      </c>
    </row>
    <row r="86" spans="1:9" x14ac:dyDescent="0.25">
      <c r="A86">
        <v>3</v>
      </c>
      <c r="B86" t="s">
        <v>13</v>
      </c>
      <c r="C86" t="s">
        <v>8</v>
      </c>
      <c r="D86" t="s">
        <v>14</v>
      </c>
      <c r="E86" t="s">
        <v>10</v>
      </c>
      <c r="F86" cm="1">
        <f t="array" ref="F86">_xlfn.XLOOKUP(Food_Orders[[#This Row],[Event_No]],Event_Master[[#All],[Event_No]],Event_Master[[#All],[Guest_Count]],,0)</f>
        <v>180</v>
      </c>
      <c r="G86" cm="1">
        <f t="array" ref="G86">Food_Orders[[#This Row],[Quantity_Orderd]]*_xlfn.XLOOKUP(Food_Orders[[#This Row],[Food_ID]],Food_Catalog[[#All],[Food_ID]],Food_Catalog[[#All],[Price_Per_Unit]],0,0)</f>
        <v>6300</v>
      </c>
      <c r="H86" cm="1">
        <f t="array" ref="H86">Food_Orders[[#This Row],[Quantity_Orderd]]*_xlfn.XLOOKUP(Food_Orders[[#This Row],[Food_ID]],Food_Catalog[[#All],[Food_ID]],Food_Catalog[[#All],[Client_Price_Per_Unit]],0,0)</f>
        <v>7560</v>
      </c>
      <c r="I86">
        <f>Food_Orders[[#This Row],[Client_Price]]-Food_Orders[[#This Row],[Cost]]</f>
        <v>1260</v>
      </c>
    </row>
    <row r="87" spans="1:9" x14ac:dyDescent="0.25">
      <c r="A87">
        <v>3</v>
      </c>
      <c r="B87" t="s">
        <v>35</v>
      </c>
      <c r="C87" t="s">
        <v>8</v>
      </c>
      <c r="D87" t="s">
        <v>36</v>
      </c>
      <c r="E87" t="s">
        <v>10</v>
      </c>
      <c r="F87" cm="1">
        <f t="array" ref="F87">_xlfn.XLOOKUP(Food_Orders[[#This Row],[Event_No]],Event_Master[[#All],[Event_No]],Event_Master[[#All],[Guest_Count]],,0)</f>
        <v>180</v>
      </c>
      <c r="G87" cm="1">
        <f t="array" ref="G87">Food_Orders[[#This Row],[Quantity_Orderd]]*_xlfn.XLOOKUP(Food_Orders[[#This Row],[Food_ID]],Food_Catalog[[#All],[Food_ID]],Food_Catalog[[#All],[Price_Per_Unit]],0,0)</f>
        <v>5400</v>
      </c>
      <c r="H87" cm="1">
        <f t="array" ref="H87">Food_Orders[[#This Row],[Quantity_Orderd]]*_xlfn.XLOOKUP(Food_Orders[[#This Row],[Food_ID]],Food_Catalog[[#All],[Food_ID]],Food_Catalog[[#All],[Client_Price_Per_Unit]],0,0)</f>
        <v>6480</v>
      </c>
      <c r="I87">
        <f>Food_Orders[[#This Row],[Client_Price]]-Food_Orders[[#This Row],[Cost]]</f>
        <v>1080</v>
      </c>
    </row>
    <row r="88" spans="1:9" x14ac:dyDescent="0.25">
      <c r="A88">
        <v>3</v>
      </c>
      <c r="B88" t="s">
        <v>27</v>
      </c>
      <c r="C88" t="s">
        <v>8</v>
      </c>
      <c r="D88" t="s">
        <v>28</v>
      </c>
      <c r="E88" t="s">
        <v>10</v>
      </c>
      <c r="F88" cm="1">
        <f t="array" ref="F88">_xlfn.XLOOKUP(Food_Orders[[#This Row],[Event_No]],Event_Master[[#All],[Event_No]],Event_Master[[#All],[Guest_Count]],,0)</f>
        <v>180</v>
      </c>
      <c r="G88" cm="1">
        <f t="array" ref="G88">Food_Orders[[#This Row],[Quantity_Orderd]]*_xlfn.XLOOKUP(Food_Orders[[#This Row],[Food_ID]],Food_Catalog[[#All],[Food_ID]],Food_Catalog[[#All],[Price_Per_Unit]],0,0)</f>
        <v>7200</v>
      </c>
      <c r="H88" cm="1">
        <f t="array" ref="H88">Food_Orders[[#This Row],[Quantity_Orderd]]*_xlfn.XLOOKUP(Food_Orders[[#This Row],[Food_ID]],Food_Catalog[[#All],[Food_ID]],Food_Catalog[[#All],[Client_Price_Per_Unit]],0,0)</f>
        <v>8640</v>
      </c>
      <c r="I88">
        <f>Food_Orders[[#This Row],[Client_Price]]-Food_Orders[[#This Row],[Cost]]</f>
        <v>1440</v>
      </c>
    </row>
    <row r="89" spans="1:9" x14ac:dyDescent="0.25">
      <c r="A89">
        <v>3</v>
      </c>
      <c r="B89" t="s">
        <v>31</v>
      </c>
      <c r="C89" t="s">
        <v>8</v>
      </c>
      <c r="D89" t="s">
        <v>32</v>
      </c>
      <c r="E89" t="s">
        <v>10</v>
      </c>
      <c r="F89" cm="1">
        <f t="array" ref="F89">_xlfn.XLOOKUP(Food_Orders[[#This Row],[Event_No]],Event_Master[[#All],[Event_No]],Event_Master[[#All],[Guest_Count]],,0)</f>
        <v>180</v>
      </c>
      <c r="G89" cm="1">
        <f t="array" ref="G89">Food_Orders[[#This Row],[Quantity_Orderd]]*_xlfn.XLOOKUP(Food_Orders[[#This Row],[Food_ID]],Food_Catalog[[#All],[Food_ID]],Food_Catalog[[#All],[Price_Per_Unit]],0,0)</f>
        <v>5400</v>
      </c>
      <c r="H89" cm="1">
        <f t="array" ref="H89">Food_Orders[[#This Row],[Quantity_Orderd]]*_xlfn.XLOOKUP(Food_Orders[[#This Row],[Food_ID]],Food_Catalog[[#All],[Food_ID]],Food_Catalog[[#All],[Client_Price_Per_Unit]],0,0)</f>
        <v>6480</v>
      </c>
      <c r="I89">
        <f>Food_Orders[[#This Row],[Client_Price]]-Food_Orders[[#This Row],[Cost]]</f>
        <v>1080</v>
      </c>
    </row>
    <row r="90" spans="1:9" x14ac:dyDescent="0.25">
      <c r="A90">
        <v>3</v>
      </c>
      <c r="B90" t="s">
        <v>29</v>
      </c>
      <c r="C90" t="s">
        <v>8</v>
      </c>
      <c r="D90" t="s">
        <v>30</v>
      </c>
      <c r="E90" t="s">
        <v>10</v>
      </c>
      <c r="F90" cm="1">
        <f t="array" ref="F90">_xlfn.XLOOKUP(Food_Orders[[#This Row],[Event_No]],Event_Master[[#All],[Event_No]],Event_Master[[#All],[Guest_Count]],,0)</f>
        <v>180</v>
      </c>
      <c r="G90" cm="1">
        <f t="array" ref="G90">Food_Orders[[#This Row],[Quantity_Orderd]]*_xlfn.XLOOKUP(Food_Orders[[#This Row],[Food_ID]],Food_Catalog[[#All],[Food_ID]],Food_Catalog[[#All],[Price_Per_Unit]],0,0)</f>
        <v>5400</v>
      </c>
      <c r="H90" cm="1">
        <f t="array" ref="H90">Food_Orders[[#This Row],[Quantity_Orderd]]*_xlfn.XLOOKUP(Food_Orders[[#This Row],[Food_ID]],Food_Catalog[[#All],[Food_ID]],Food_Catalog[[#All],[Client_Price_Per_Unit]],0,0)</f>
        <v>6480</v>
      </c>
      <c r="I90">
        <f>Food_Orders[[#This Row],[Client_Price]]-Food_Orders[[#This Row],[Cost]]</f>
        <v>1080</v>
      </c>
    </row>
    <row r="91" spans="1:9" x14ac:dyDescent="0.25">
      <c r="A91">
        <v>3</v>
      </c>
      <c r="B91" t="s">
        <v>37</v>
      </c>
      <c r="C91" t="s">
        <v>8</v>
      </c>
      <c r="D91" t="s">
        <v>38</v>
      </c>
      <c r="E91" t="s">
        <v>10</v>
      </c>
      <c r="F91" cm="1">
        <f t="array" ref="F91">_xlfn.XLOOKUP(Food_Orders[[#This Row],[Event_No]],Event_Master[[#All],[Event_No]],Event_Master[[#All],[Guest_Count]],,0)</f>
        <v>180</v>
      </c>
      <c r="G91" cm="1">
        <f t="array" ref="G91">Food_Orders[[#This Row],[Quantity_Orderd]]*_xlfn.XLOOKUP(Food_Orders[[#This Row],[Food_ID]],Food_Catalog[[#All],[Food_ID]],Food_Catalog[[#All],[Price_Per_Unit]],0,0)</f>
        <v>4500</v>
      </c>
      <c r="H91" cm="1">
        <f t="array" ref="H91">Food_Orders[[#This Row],[Quantity_Orderd]]*_xlfn.XLOOKUP(Food_Orders[[#This Row],[Food_ID]],Food_Catalog[[#All],[Food_ID]],Food_Catalog[[#All],[Client_Price_Per_Unit]],0,0)</f>
        <v>5400</v>
      </c>
      <c r="I91">
        <f>Food_Orders[[#This Row],[Client_Price]]-Food_Orders[[#This Row],[Cost]]</f>
        <v>900</v>
      </c>
    </row>
    <row r="92" spans="1:9" x14ac:dyDescent="0.25">
      <c r="A92">
        <v>3</v>
      </c>
      <c r="B92" t="s">
        <v>82</v>
      </c>
      <c r="C92" t="s">
        <v>83</v>
      </c>
      <c r="D92" t="s">
        <v>84</v>
      </c>
      <c r="E92" t="s">
        <v>85</v>
      </c>
      <c r="F92" cm="1">
        <f t="array" ref="F92">_xlfn.XLOOKUP(Food_Orders[[#This Row],[Event_No]],Event_Master[[#All],[Event_No]],Event_Master[[#All],[Guest_Count]],,0)</f>
        <v>180</v>
      </c>
      <c r="G92" cm="1">
        <f t="array" ref="G92">Food_Orders[[#This Row],[Quantity_Orderd]]*_xlfn.XLOOKUP(Food_Orders[[#This Row],[Food_ID]],Food_Catalog[[#All],[Food_ID]],Food_Catalog[[#All],[Price_Per_Unit]],0,0)</f>
        <v>3600</v>
      </c>
      <c r="H92" cm="1">
        <f t="array" ref="H92">Food_Orders[[#This Row],[Quantity_Orderd]]*_xlfn.XLOOKUP(Food_Orders[[#This Row],[Food_ID]],Food_Catalog[[#All],[Food_ID]],Food_Catalog[[#All],[Client_Price_Per_Unit]],0,0)</f>
        <v>4320</v>
      </c>
      <c r="I92">
        <f>Food_Orders[[#This Row],[Client_Price]]-Food_Orders[[#This Row],[Cost]]</f>
        <v>720</v>
      </c>
    </row>
    <row r="93" spans="1:9" x14ac:dyDescent="0.25">
      <c r="A93">
        <v>3</v>
      </c>
      <c r="B93" t="s">
        <v>86</v>
      </c>
      <c r="C93" t="s">
        <v>83</v>
      </c>
      <c r="D93" t="s">
        <v>87</v>
      </c>
      <c r="E93" t="s">
        <v>85</v>
      </c>
      <c r="F93" cm="1">
        <f t="array" ref="F93">_xlfn.XLOOKUP(Food_Orders[[#This Row],[Event_No]],Event_Master[[#All],[Event_No]],Event_Master[[#All],[Guest_Count]],,0)</f>
        <v>180</v>
      </c>
      <c r="G93" cm="1">
        <f t="array" ref="G93">Food_Orders[[#This Row],[Quantity_Orderd]]*_xlfn.XLOOKUP(Food_Orders[[#This Row],[Food_ID]],Food_Catalog[[#All],[Food_ID]],Food_Catalog[[#All],[Price_Per_Unit]],0,0)</f>
        <v>3600</v>
      </c>
      <c r="H93" cm="1">
        <f t="array" ref="H93">Food_Orders[[#This Row],[Quantity_Orderd]]*_xlfn.XLOOKUP(Food_Orders[[#This Row],[Food_ID]],Food_Catalog[[#All],[Food_ID]],Food_Catalog[[#All],[Client_Price_Per_Unit]],0,0)</f>
        <v>4320</v>
      </c>
      <c r="I93">
        <f>Food_Orders[[#This Row],[Client_Price]]-Food_Orders[[#This Row],[Cost]]</f>
        <v>720</v>
      </c>
    </row>
    <row r="94" spans="1:9" x14ac:dyDescent="0.25">
      <c r="A94">
        <v>3</v>
      </c>
      <c r="B94" t="s">
        <v>96</v>
      </c>
      <c r="C94" t="s">
        <v>83</v>
      </c>
      <c r="D94" t="s">
        <v>97</v>
      </c>
      <c r="E94" t="s">
        <v>79</v>
      </c>
      <c r="F94" cm="1">
        <f t="array" ref="F94">_xlfn.XLOOKUP(Food_Orders[[#This Row],[Event_No]],Event_Master[[#All],[Event_No]],Event_Master[[#All],[Guest_Count]],,0)</f>
        <v>180</v>
      </c>
      <c r="G94" cm="1">
        <f t="array" ref="G94">Food_Orders[[#This Row],[Quantity_Orderd]]*_xlfn.XLOOKUP(Food_Orders[[#This Row],[Food_ID]],Food_Catalog[[#All],[Food_ID]],Food_Catalog[[#All],[Price_Per_Unit]],0,0)</f>
        <v>5400</v>
      </c>
      <c r="H94" cm="1">
        <f t="array" ref="H94">Food_Orders[[#This Row],[Quantity_Orderd]]*_xlfn.XLOOKUP(Food_Orders[[#This Row],[Food_ID]],Food_Catalog[[#All],[Food_ID]],Food_Catalog[[#All],[Client_Price_Per_Unit]],0,0)</f>
        <v>6480</v>
      </c>
      <c r="I94">
        <f>Food_Orders[[#This Row],[Client_Price]]-Food_Orders[[#This Row],[Cost]]</f>
        <v>1080</v>
      </c>
    </row>
    <row r="95" spans="1:9" x14ac:dyDescent="0.25">
      <c r="A95">
        <v>3</v>
      </c>
      <c r="B95" t="s">
        <v>88</v>
      </c>
      <c r="C95" t="s">
        <v>83</v>
      </c>
      <c r="D95" t="s">
        <v>89</v>
      </c>
      <c r="E95" t="s">
        <v>85</v>
      </c>
      <c r="F95" cm="1">
        <f t="array" ref="F95">_xlfn.XLOOKUP(Food_Orders[[#This Row],[Event_No]],Event_Master[[#All],[Event_No]],Event_Master[[#All],[Guest_Count]],,0)</f>
        <v>180</v>
      </c>
      <c r="G95" cm="1">
        <f t="array" ref="G95">Food_Orders[[#This Row],[Quantity_Orderd]]*_xlfn.XLOOKUP(Food_Orders[[#This Row],[Food_ID]],Food_Catalog[[#All],[Food_ID]],Food_Catalog[[#All],[Price_Per_Unit]],0,0)</f>
        <v>2700</v>
      </c>
      <c r="H95" cm="1">
        <f t="array" ref="H95">Food_Orders[[#This Row],[Quantity_Orderd]]*_xlfn.XLOOKUP(Food_Orders[[#This Row],[Food_ID]],Food_Catalog[[#All],[Food_ID]],Food_Catalog[[#All],[Client_Price_Per_Unit]],0,0)</f>
        <v>3240</v>
      </c>
      <c r="I95">
        <f>Food_Orders[[#This Row],[Client_Price]]-Food_Orders[[#This Row],[Cost]]</f>
        <v>540</v>
      </c>
    </row>
    <row r="96" spans="1:9" x14ac:dyDescent="0.25">
      <c r="A96">
        <v>3</v>
      </c>
      <c r="B96" t="s">
        <v>92</v>
      </c>
      <c r="C96" t="s">
        <v>83</v>
      </c>
      <c r="D96" t="s">
        <v>93</v>
      </c>
      <c r="E96" t="s">
        <v>85</v>
      </c>
      <c r="F96" cm="1">
        <f t="array" ref="F96">_xlfn.XLOOKUP(Food_Orders[[#This Row],[Event_No]],Event_Master[[#All],[Event_No]],Event_Master[[#All],[Guest_Count]],,0)</f>
        <v>180</v>
      </c>
      <c r="G96" cm="1">
        <f t="array" ref="G96">Food_Orders[[#This Row],[Quantity_Orderd]]*_xlfn.XLOOKUP(Food_Orders[[#This Row],[Food_ID]],Food_Catalog[[#All],[Food_ID]],Food_Catalog[[#All],[Price_Per_Unit]],0,0)</f>
        <v>2700</v>
      </c>
      <c r="H96" cm="1">
        <f t="array" ref="H96">Food_Orders[[#This Row],[Quantity_Orderd]]*_xlfn.XLOOKUP(Food_Orders[[#This Row],[Food_ID]],Food_Catalog[[#All],[Food_ID]],Food_Catalog[[#All],[Client_Price_Per_Unit]],0,0)</f>
        <v>3240</v>
      </c>
      <c r="I96">
        <f>Food_Orders[[#This Row],[Client_Price]]-Food_Orders[[#This Row],[Cost]]</f>
        <v>540</v>
      </c>
    </row>
    <row r="97" spans="1:9" x14ac:dyDescent="0.25">
      <c r="A97">
        <v>3</v>
      </c>
      <c r="B97" t="s">
        <v>104</v>
      </c>
      <c r="C97" t="s">
        <v>105</v>
      </c>
      <c r="D97" t="s">
        <v>106</v>
      </c>
      <c r="E97" t="s">
        <v>107</v>
      </c>
      <c r="F97" cm="1">
        <f t="array" ref="F97">_xlfn.XLOOKUP(Food_Orders[[#This Row],[Event_No]],Event_Master[[#All],[Event_No]],Event_Master[[#All],[Guest_Count]],,0)</f>
        <v>180</v>
      </c>
      <c r="G97" cm="1">
        <f t="array" ref="G97">Food_Orders[[#This Row],[Quantity_Orderd]]*_xlfn.XLOOKUP(Food_Orders[[#This Row],[Food_ID]],Food_Catalog[[#All],[Food_ID]],Food_Catalog[[#All],[Price_Per_Unit]],0,0)</f>
        <v>1800</v>
      </c>
      <c r="H97" cm="1">
        <f t="array" ref="H97">Food_Orders[[#This Row],[Quantity_Orderd]]*_xlfn.XLOOKUP(Food_Orders[[#This Row],[Food_ID]],Food_Catalog[[#All],[Food_ID]],Food_Catalog[[#All],[Client_Price_Per_Unit]],0,0)</f>
        <v>2160</v>
      </c>
      <c r="I97">
        <f>Food_Orders[[#This Row],[Client_Price]]-Food_Orders[[#This Row],[Cost]]</f>
        <v>360</v>
      </c>
    </row>
    <row r="98" spans="1:9" x14ac:dyDescent="0.25">
      <c r="A98">
        <v>3</v>
      </c>
      <c r="B98" t="s">
        <v>118</v>
      </c>
      <c r="C98" t="s">
        <v>119</v>
      </c>
      <c r="D98" t="s">
        <v>120</v>
      </c>
      <c r="E98" t="s">
        <v>112</v>
      </c>
      <c r="F98" cm="1">
        <f t="array" ref="F98">_xlfn.XLOOKUP(Food_Orders[[#This Row],[Event_No]],Event_Master[[#All],[Event_No]],Event_Master[[#All],[Guest_Count]],,0)</f>
        <v>180</v>
      </c>
      <c r="G98" cm="1">
        <f t="array" ref="G98">Food_Orders[[#This Row],[Quantity_Orderd]]*_xlfn.XLOOKUP(Food_Orders[[#This Row],[Food_ID]],Food_Catalog[[#All],[Food_ID]],Food_Catalog[[#All],[Price_Per_Unit]],0,0)</f>
        <v>1800</v>
      </c>
      <c r="H98" cm="1">
        <f t="array" ref="H98">Food_Orders[[#This Row],[Quantity_Orderd]]*_xlfn.XLOOKUP(Food_Orders[[#This Row],[Food_ID]],Food_Catalog[[#All],[Food_ID]],Food_Catalog[[#All],[Client_Price_Per_Unit]],0,0)</f>
        <v>2160</v>
      </c>
      <c r="I98">
        <f>Food_Orders[[#This Row],[Client_Price]]-Food_Orders[[#This Row],[Cost]]</f>
        <v>360</v>
      </c>
    </row>
    <row r="99" spans="1:9" x14ac:dyDescent="0.25">
      <c r="A99">
        <v>3</v>
      </c>
      <c r="B99" t="s">
        <v>129</v>
      </c>
      <c r="C99" t="s">
        <v>119</v>
      </c>
      <c r="D99" t="s">
        <v>130</v>
      </c>
      <c r="E99" t="s">
        <v>112</v>
      </c>
      <c r="F99" cm="1">
        <f t="array" ref="F99">_xlfn.XLOOKUP(Food_Orders[[#This Row],[Event_No]],Event_Master[[#All],[Event_No]],Event_Master[[#All],[Guest_Count]],,0)</f>
        <v>180</v>
      </c>
      <c r="G99" cm="1">
        <f t="array" ref="G99">Food_Orders[[#This Row],[Quantity_Orderd]]*_xlfn.XLOOKUP(Food_Orders[[#This Row],[Food_ID]],Food_Catalog[[#All],[Food_ID]],Food_Catalog[[#All],[Price_Per_Unit]],0,0)</f>
        <v>1800</v>
      </c>
      <c r="H99" cm="1">
        <f t="array" ref="H99">Food_Orders[[#This Row],[Quantity_Orderd]]*_xlfn.XLOOKUP(Food_Orders[[#This Row],[Food_ID]],Food_Catalog[[#All],[Food_ID]],Food_Catalog[[#All],[Client_Price_Per_Unit]],0,0)</f>
        <v>2160</v>
      </c>
      <c r="I99">
        <f>Food_Orders[[#This Row],[Client_Price]]-Food_Orders[[#This Row],[Cost]]</f>
        <v>360</v>
      </c>
    </row>
    <row r="100" spans="1:9" x14ac:dyDescent="0.25">
      <c r="A100">
        <v>4</v>
      </c>
      <c r="B100" t="s">
        <v>63</v>
      </c>
      <c r="C100" t="s">
        <v>61</v>
      </c>
      <c r="D100" t="s">
        <v>64</v>
      </c>
      <c r="E100" t="s">
        <v>10</v>
      </c>
      <c r="F100" cm="1">
        <f t="array" ref="F100">_xlfn.XLOOKUP(Food_Orders[[#This Row],[Event_No]],Event_Master[[#All],[Event_No]],Event_Master[[#All],[Guest_Count]],,0)</f>
        <v>220</v>
      </c>
      <c r="G100" cm="1">
        <f t="array" ref="G100">Food_Orders[[#This Row],[Quantity_Orderd]]*_xlfn.XLOOKUP(Food_Orders[[#This Row],[Food_ID]],Food_Catalog[[#All],[Food_ID]],Food_Catalog[[#All],[Price_Per_Unit]],0,0)</f>
        <v>6600</v>
      </c>
      <c r="H100" cm="1">
        <f t="array" ref="H100">Food_Orders[[#This Row],[Quantity_Orderd]]*_xlfn.XLOOKUP(Food_Orders[[#This Row],[Food_ID]],Food_Catalog[[#All],[Food_ID]],Food_Catalog[[#All],[Client_Price_Per_Unit]],0,0)</f>
        <v>7920</v>
      </c>
      <c r="I100">
        <f>Food_Orders[[#This Row],[Client_Price]]-Food_Orders[[#This Row],[Cost]]</f>
        <v>1320</v>
      </c>
    </row>
    <row r="101" spans="1:9" x14ac:dyDescent="0.25">
      <c r="A101">
        <v>4</v>
      </c>
      <c r="B101" t="s">
        <v>71</v>
      </c>
      <c r="C101" t="s">
        <v>61</v>
      </c>
      <c r="D101" t="s">
        <v>72</v>
      </c>
      <c r="E101" t="s">
        <v>10</v>
      </c>
      <c r="F101" cm="1">
        <f t="array" ref="F101">_xlfn.XLOOKUP(Food_Orders[[#This Row],[Event_No]],Event_Master[[#All],[Event_No]],Event_Master[[#All],[Guest_Count]],,0)</f>
        <v>220</v>
      </c>
      <c r="G101" cm="1">
        <f t="array" ref="G101">Food_Orders[[#This Row],[Quantity_Orderd]]*_xlfn.XLOOKUP(Food_Orders[[#This Row],[Food_ID]],Food_Catalog[[#All],[Food_ID]],Food_Catalog[[#All],[Price_Per_Unit]],0,0)</f>
        <v>5500</v>
      </c>
      <c r="H101" cm="1">
        <f t="array" ref="H101">Food_Orders[[#This Row],[Quantity_Orderd]]*_xlfn.XLOOKUP(Food_Orders[[#This Row],[Food_ID]],Food_Catalog[[#All],[Food_ID]],Food_Catalog[[#All],[Client_Price_Per_Unit]],0,0)</f>
        <v>6600</v>
      </c>
      <c r="I101">
        <f>Food_Orders[[#This Row],[Client_Price]]-Food_Orders[[#This Row],[Cost]]</f>
        <v>1100</v>
      </c>
    </row>
    <row r="102" spans="1:9" x14ac:dyDescent="0.25">
      <c r="A102">
        <v>4</v>
      </c>
      <c r="B102" t="s">
        <v>60</v>
      </c>
      <c r="C102" t="s">
        <v>61</v>
      </c>
      <c r="D102" t="s">
        <v>62</v>
      </c>
      <c r="E102" t="s">
        <v>10</v>
      </c>
      <c r="F102" cm="1">
        <f t="array" ref="F102">_xlfn.XLOOKUP(Food_Orders[[#This Row],[Event_No]],Event_Master[[#All],[Event_No]],Event_Master[[#All],[Guest_Count]],,0)</f>
        <v>220</v>
      </c>
      <c r="G102" cm="1">
        <f t="array" ref="G102">Food_Orders[[#This Row],[Quantity_Orderd]]*_xlfn.XLOOKUP(Food_Orders[[#This Row],[Food_ID]],Food_Catalog[[#All],[Food_ID]],Food_Catalog[[#All],[Price_Per_Unit]],0,0)</f>
        <v>4400</v>
      </c>
      <c r="H102" cm="1">
        <f t="array" ref="H102">Food_Orders[[#This Row],[Quantity_Orderd]]*_xlfn.XLOOKUP(Food_Orders[[#This Row],[Food_ID]],Food_Catalog[[#All],[Food_ID]],Food_Catalog[[#All],[Client_Price_Per_Unit]],0,0)</f>
        <v>5280</v>
      </c>
      <c r="I102">
        <f>Food_Orders[[#This Row],[Client_Price]]-Food_Orders[[#This Row],[Cost]]</f>
        <v>880</v>
      </c>
    </row>
    <row r="103" spans="1:9" x14ac:dyDescent="0.25">
      <c r="A103">
        <v>4</v>
      </c>
      <c r="B103" t="s">
        <v>69</v>
      </c>
      <c r="C103" t="s">
        <v>61</v>
      </c>
      <c r="D103" t="s">
        <v>70</v>
      </c>
      <c r="E103" t="s">
        <v>10</v>
      </c>
      <c r="F103" cm="1">
        <f t="array" ref="F103">_xlfn.XLOOKUP(Food_Orders[[#This Row],[Event_No]],Event_Master[[#All],[Event_No]],Event_Master[[#All],[Guest_Count]],,0)</f>
        <v>220</v>
      </c>
      <c r="G103" cm="1">
        <f t="array" ref="G103">Food_Orders[[#This Row],[Quantity_Orderd]]*_xlfn.XLOOKUP(Food_Orders[[#This Row],[Food_ID]],Food_Catalog[[#All],[Food_ID]],Food_Catalog[[#All],[Price_Per_Unit]],0,0)</f>
        <v>11000</v>
      </c>
      <c r="H103" cm="1">
        <f t="array" ref="H103">Food_Orders[[#This Row],[Quantity_Orderd]]*_xlfn.XLOOKUP(Food_Orders[[#This Row],[Food_ID]],Food_Catalog[[#All],[Food_ID]],Food_Catalog[[#All],[Client_Price_Per_Unit]],0,0)</f>
        <v>13200</v>
      </c>
      <c r="I103">
        <f>Food_Orders[[#This Row],[Client_Price]]-Food_Orders[[#This Row],[Cost]]</f>
        <v>2200</v>
      </c>
    </row>
    <row r="104" spans="1:9" x14ac:dyDescent="0.25">
      <c r="A104">
        <v>4</v>
      </c>
      <c r="B104" t="s">
        <v>13</v>
      </c>
      <c r="C104" t="s">
        <v>8</v>
      </c>
      <c r="D104" t="s">
        <v>14</v>
      </c>
      <c r="E104" t="s">
        <v>10</v>
      </c>
      <c r="F104" cm="1">
        <f t="array" ref="F104">_xlfn.XLOOKUP(Food_Orders[[#This Row],[Event_No]],Event_Master[[#All],[Event_No]],Event_Master[[#All],[Guest_Count]],,0)</f>
        <v>220</v>
      </c>
      <c r="G104" cm="1">
        <f t="array" ref="G104">Food_Orders[[#This Row],[Quantity_Orderd]]*_xlfn.XLOOKUP(Food_Orders[[#This Row],[Food_ID]],Food_Catalog[[#All],[Food_ID]],Food_Catalog[[#All],[Price_Per_Unit]],0,0)</f>
        <v>7700</v>
      </c>
      <c r="H104" cm="1">
        <f t="array" ref="H104">Food_Orders[[#This Row],[Quantity_Orderd]]*_xlfn.XLOOKUP(Food_Orders[[#This Row],[Food_ID]],Food_Catalog[[#All],[Food_ID]],Food_Catalog[[#All],[Client_Price_Per_Unit]],0,0)</f>
        <v>9240</v>
      </c>
      <c r="I104">
        <f>Food_Orders[[#This Row],[Client_Price]]-Food_Orders[[#This Row],[Cost]]</f>
        <v>1540</v>
      </c>
    </row>
    <row r="105" spans="1:9" x14ac:dyDescent="0.25">
      <c r="A105">
        <v>4</v>
      </c>
      <c r="B105" t="s">
        <v>27</v>
      </c>
      <c r="C105" t="s">
        <v>8</v>
      </c>
      <c r="D105" t="s">
        <v>28</v>
      </c>
      <c r="E105" t="s">
        <v>10</v>
      </c>
      <c r="F105" cm="1">
        <f t="array" ref="F105">_xlfn.XLOOKUP(Food_Orders[[#This Row],[Event_No]],Event_Master[[#All],[Event_No]],Event_Master[[#All],[Guest_Count]],,0)</f>
        <v>220</v>
      </c>
      <c r="G105" cm="1">
        <f t="array" ref="G105">Food_Orders[[#This Row],[Quantity_Orderd]]*_xlfn.XLOOKUP(Food_Orders[[#This Row],[Food_ID]],Food_Catalog[[#All],[Food_ID]],Food_Catalog[[#All],[Price_Per_Unit]],0,0)</f>
        <v>8800</v>
      </c>
      <c r="H105" cm="1">
        <f t="array" ref="H105">Food_Orders[[#This Row],[Quantity_Orderd]]*_xlfn.XLOOKUP(Food_Orders[[#This Row],[Food_ID]],Food_Catalog[[#All],[Food_ID]],Food_Catalog[[#All],[Client_Price_Per_Unit]],0,0)</f>
        <v>10560</v>
      </c>
      <c r="I105">
        <f>Food_Orders[[#This Row],[Client_Price]]-Food_Orders[[#This Row],[Cost]]</f>
        <v>1760</v>
      </c>
    </row>
    <row r="106" spans="1:9" x14ac:dyDescent="0.25">
      <c r="A106">
        <v>4</v>
      </c>
      <c r="B106" t="s">
        <v>31</v>
      </c>
      <c r="C106" t="s">
        <v>8</v>
      </c>
      <c r="D106" t="s">
        <v>32</v>
      </c>
      <c r="E106" t="s">
        <v>10</v>
      </c>
      <c r="F106" cm="1">
        <f t="array" ref="F106">_xlfn.XLOOKUP(Food_Orders[[#This Row],[Event_No]],Event_Master[[#All],[Event_No]],Event_Master[[#All],[Guest_Count]],,0)</f>
        <v>220</v>
      </c>
      <c r="G106" cm="1">
        <f t="array" ref="G106">Food_Orders[[#This Row],[Quantity_Orderd]]*_xlfn.XLOOKUP(Food_Orders[[#This Row],[Food_ID]],Food_Catalog[[#All],[Food_ID]],Food_Catalog[[#All],[Price_Per_Unit]],0,0)</f>
        <v>6600</v>
      </c>
      <c r="H106" cm="1">
        <f t="array" ref="H106">Food_Orders[[#This Row],[Quantity_Orderd]]*_xlfn.XLOOKUP(Food_Orders[[#This Row],[Food_ID]],Food_Catalog[[#All],[Food_ID]],Food_Catalog[[#All],[Client_Price_Per_Unit]],0,0)</f>
        <v>7920</v>
      </c>
      <c r="I106">
        <f>Food_Orders[[#This Row],[Client_Price]]-Food_Orders[[#This Row],[Cost]]</f>
        <v>1320</v>
      </c>
    </row>
    <row r="107" spans="1:9" x14ac:dyDescent="0.25">
      <c r="A107">
        <v>4</v>
      </c>
      <c r="B107" t="s">
        <v>29</v>
      </c>
      <c r="C107" t="s">
        <v>8</v>
      </c>
      <c r="D107" t="s">
        <v>30</v>
      </c>
      <c r="E107" t="s">
        <v>10</v>
      </c>
      <c r="F107" cm="1">
        <f t="array" ref="F107">_xlfn.XLOOKUP(Food_Orders[[#This Row],[Event_No]],Event_Master[[#All],[Event_No]],Event_Master[[#All],[Guest_Count]],,0)</f>
        <v>220</v>
      </c>
      <c r="G107" cm="1">
        <f t="array" ref="G107">Food_Orders[[#This Row],[Quantity_Orderd]]*_xlfn.XLOOKUP(Food_Orders[[#This Row],[Food_ID]],Food_Catalog[[#All],[Food_ID]],Food_Catalog[[#All],[Price_Per_Unit]],0,0)</f>
        <v>6600</v>
      </c>
      <c r="H107" cm="1">
        <f t="array" ref="H107">Food_Orders[[#This Row],[Quantity_Orderd]]*_xlfn.XLOOKUP(Food_Orders[[#This Row],[Food_ID]],Food_Catalog[[#All],[Food_ID]],Food_Catalog[[#All],[Client_Price_Per_Unit]],0,0)</f>
        <v>7920</v>
      </c>
      <c r="I107">
        <f>Food_Orders[[#This Row],[Client_Price]]-Food_Orders[[#This Row],[Cost]]</f>
        <v>1320</v>
      </c>
    </row>
    <row r="108" spans="1:9" x14ac:dyDescent="0.25">
      <c r="A108">
        <v>4</v>
      </c>
      <c r="B108" t="s">
        <v>37</v>
      </c>
      <c r="C108" t="s">
        <v>8</v>
      </c>
      <c r="D108" t="s">
        <v>38</v>
      </c>
      <c r="E108" t="s">
        <v>10</v>
      </c>
      <c r="F108" cm="1">
        <f t="array" ref="F108">_xlfn.XLOOKUP(Food_Orders[[#This Row],[Event_No]],Event_Master[[#All],[Event_No]],Event_Master[[#All],[Guest_Count]],,0)</f>
        <v>220</v>
      </c>
      <c r="G108" cm="1">
        <f t="array" ref="G108">Food_Orders[[#This Row],[Quantity_Orderd]]*_xlfn.XLOOKUP(Food_Orders[[#This Row],[Food_ID]],Food_Catalog[[#All],[Food_ID]],Food_Catalog[[#All],[Price_Per_Unit]],0,0)</f>
        <v>5500</v>
      </c>
      <c r="H108" cm="1">
        <f t="array" ref="H108">Food_Orders[[#This Row],[Quantity_Orderd]]*_xlfn.XLOOKUP(Food_Orders[[#This Row],[Food_ID]],Food_Catalog[[#All],[Food_ID]],Food_Catalog[[#All],[Client_Price_Per_Unit]],0,0)</f>
        <v>6600</v>
      </c>
      <c r="I108">
        <f>Food_Orders[[#This Row],[Client_Price]]-Food_Orders[[#This Row],[Cost]]</f>
        <v>1100</v>
      </c>
    </row>
    <row r="109" spans="1:9" x14ac:dyDescent="0.25">
      <c r="A109">
        <v>4</v>
      </c>
      <c r="B109" t="s">
        <v>39</v>
      </c>
      <c r="C109" t="s">
        <v>40</v>
      </c>
      <c r="D109" t="s">
        <v>41</v>
      </c>
      <c r="E109" t="s">
        <v>10</v>
      </c>
      <c r="F109" cm="1">
        <f t="array" ref="F109">_xlfn.XLOOKUP(Food_Orders[[#This Row],[Event_No]],Event_Master[[#All],[Event_No]],Event_Master[[#All],[Guest_Count]],,0)</f>
        <v>220</v>
      </c>
      <c r="G109" cm="1">
        <f t="array" ref="G109">Food_Orders[[#This Row],[Quantity_Orderd]]*_xlfn.XLOOKUP(Food_Orders[[#This Row],[Food_ID]],Food_Catalog[[#All],[Food_ID]],Food_Catalog[[#All],[Price_Per_Unit]],0,0)</f>
        <v>13200</v>
      </c>
      <c r="H109" cm="1">
        <f t="array" ref="H109">Food_Orders[[#This Row],[Quantity_Orderd]]*_xlfn.XLOOKUP(Food_Orders[[#This Row],[Food_ID]],Food_Catalog[[#All],[Food_ID]],Food_Catalog[[#All],[Client_Price_Per_Unit]],0,0)</f>
        <v>15840</v>
      </c>
      <c r="I109">
        <f>Food_Orders[[#This Row],[Client_Price]]-Food_Orders[[#This Row],[Cost]]</f>
        <v>2640</v>
      </c>
    </row>
    <row r="110" spans="1:9" x14ac:dyDescent="0.25">
      <c r="A110">
        <v>4</v>
      </c>
      <c r="B110" t="s">
        <v>42</v>
      </c>
      <c r="C110" t="s">
        <v>40</v>
      </c>
      <c r="D110" t="s">
        <v>43</v>
      </c>
      <c r="E110" t="s">
        <v>10</v>
      </c>
      <c r="F110" cm="1">
        <f t="array" ref="F110">_xlfn.XLOOKUP(Food_Orders[[#This Row],[Event_No]],Event_Master[[#All],[Event_No]],Event_Master[[#All],[Guest_Count]],,0)</f>
        <v>220</v>
      </c>
      <c r="G110" cm="1">
        <f t="array" ref="G110">Food_Orders[[#This Row],[Quantity_Orderd]]*_xlfn.XLOOKUP(Food_Orders[[#This Row],[Food_ID]],Food_Catalog[[#All],[Food_ID]],Food_Catalog[[#All],[Price_Per_Unit]],0,0)</f>
        <v>15400</v>
      </c>
      <c r="H110" cm="1">
        <f t="array" ref="H110">Food_Orders[[#This Row],[Quantity_Orderd]]*_xlfn.XLOOKUP(Food_Orders[[#This Row],[Food_ID]],Food_Catalog[[#All],[Food_ID]],Food_Catalog[[#All],[Client_Price_Per_Unit]],0,0)</f>
        <v>18480</v>
      </c>
      <c r="I110">
        <f>Food_Orders[[#This Row],[Client_Price]]-Food_Orders[[#This Row],[Cost]]</f>
        <v>3080</v>
      </c>
    </row>
    <row r="111" spans="1:9" x14ac:dyDescent="0.25">
      <c r="A111">
        <v>4</v>
      </c>
      <c r="B111" t="s">
        <v>58</v>
      </c>
      <c r="C111" t="s">
        <v>40</v>
      </c>
      <c r="D111" t="s">
        <v>59</v>
      </c>
      <c r="E111" t="s">
        <v>10</v>
      </c>
      <c r="F111" cm="1">
        <f t="array" ref="F111">_xlfn.XLOOKUP(Food_Orders[[#This Row],[Event_No]],Event_Master[[#All],[Event_No]],Event_Master[[#All],[Guest_Count]],,0)</f>
        <v>220</v>
      </c>
      <c r="G111" cm="1">
        <f t="array" ref="G111">Food_Orders[[#This Row],[Quantity_Orderd]]*_xlfn.XLOOKUP(Food_Orders[[#This Row],[Food_ID]],Food_Catalog[[#All],[Food_ID]],Food_Catalog[[#All],[Price_Per_Unit]],0,0)</f>
        <v>19800</v>
      </c>
      <c r="H111" cm="1">
        <f t="array" ref="H111">Food_Orders[[#This Row],[Quantity_Orderd]]*_xlfn.XLOOKUP(Food_Orders[[#This Row],[Food_ID]],Food_Catalog[[#All],[Food_ID]],Food_Catalog[[#All],[Client_Price_Per_Unit]],0,0)</f>
        <v>23760</v>
      </c>
      <c r="I111">
        <f>Food_Orders[[#This Row],[Client_Price]]-Food_Orders[[#This Row],[Cost]]</f>
        <v>3960</v>
      </c>
    </row>
    <row r="112" spans="1:9" x14ac:dyDescent="0.25">
      <c r="A112">
        <v>4</v>
      </c>
      <c r="B112" t="s">
        <v>46</v>
      </c>
      <c r="C112" t="s">
        <v>40</v>
      </c>
      <c r="D112" t="s">
        <v>47</v>
      </c>
      <c r="E112" t="s">
        <v>10</v>
      </c>
      <c r="F112" cm="1">
        <f t="array" ref="F112">_xlfn.XLOOKUP(Food_Orders[[#This Row],[Event_No]],Event_Master[[#All],[Event_No]],Event_Master[[#All],[Guest_Count]],,0)</f>
        <v>220</v>
      </c>
      <c r="G112" cm="1">
        <f t="array" ref="G112">Food_Orders[[#This Row],[Quantity_Orderd]]*_xlfn.XLOOKUP(Food_Orders[[#This Row],[Food_ID]],Food_Catalog[[#All],[Food_ID]],Food_Catalog[[#All],[Price_Per_Unit]],0,0)</f>
        <v>19800</v>
      </c>
      <c r="H112" cm="1">
        <f t="array" ref="H112">Food_Orders[[#This Row],[Quantity_Orderd]]*_xlfn.XLOOKUP(Food_Orders[[#This Row],[Food_ID]],Food_Catalog[[#All],[Food_ID]],Food_Catalog[[#All],[Client_Price_Per_Unit]],0,0)</f>
        <v>23760</v>
      </c>
      <c r="I112">
        <f>Food_Orders[[#This Row],[Client_Price]]-Food_Orders[[#This Row],[Cost]]</f>
        <v>3960</v>
      </c>
    </row>
    <row r="113" spans="1:9" x14ac:dyDescent="0.25">
      <c r="A113">
        <v>4</v>
      </c>
      <c r="B113" t="s">
        <v>50</v>
      </c>
      <c r="C113" t="s">
        <v>40</v>
      </c>
      <c r="D113" t="s">
        <v>51</v>
      </c>
      <c r="E113" t="s">
        <v>10</v>
      </c>
      <c r="F113" cm="1">
        <f t="array" ref="F113">_xlfn.XLOOKUP(Food_Orders[[#This Row],[Event_No]],Event_Master[[#All],[Event_No]],Event_Master[[#All],[Guest_Count]],,0)</f>
        <v>220</v>
      </c>
      <c r="G113" cm="1">
        <f t="array" ref="G113">Food_Orders[[#This Row],[Quantity_Orderd]]*_xlfn.XLOOKUP(Food_Orders[[#This Row],[Food_ID]],Food_Catalog[[#All],[Food_ID]],Food_Catalog[[#All],[Price_Per_Unit]],0,0)</f>
        <v>17600</v>
      </c>
      <c r="H113" cm="1">
        <f t="array" ref="H113">Food_Orders[[#This Row],[Quantity_Orderd]]*_xlfn.XLOOKUP(Food_Orders[[#This Row],[Food_ID]],Food_Catalog[[#All],[Food_ID]],Food_Catalog[[#All],[Client_Price_Per_Unit]],0,0)</f>
        <v>21120</v>
      </c>
      <c r="I113">
        <f>Food_Orders[[#This Row],[Client_Price]]-Food_Orders[[#This Row],[Cost]]</f>
        <v>3520</v>
      </c>
    </row>
    <row r="114" spans="1:9" x14ac:dyDescent="0.25">
      <c r="A114">
        <v>4</v>
      </c>
      <c r="B114" t="s">
        <v>82</v>
      </c>
      <c r="C114" t="s">
        <v>83</v>
      </c>
      <c r="D114" t="s">
        <v>84</v>
      </c>
      <c r="E114" t="s">
        <v>85</v>
      </c>
      <c r="F114" cm="1">
        <f t="array" ref="F114">_xlfn.XLOOKUP(Food_Orders[[#This Row],[Event_No]],Event_Master[[#All],[Event_No]],Event_Master[[#All],[Guest_Count]],,0)</f>
        <v>220</v>
      </c>
      <c r="G114" cm="1">
        <f t="array" ref="G114">Food_Orders[[#This Row],[Quantity_Orderd]]*_xlfn.XLOOKUP(Food_Orders[[#This Row],[Food_ID]],Food_Catalog[[#All],[Food_ID]],Food_Catalog[[#All],[Price_Per_Unit]],0,0)</f>
        <v>4400</v>
      </c>
      <c r="H114" cm="1">
        <f t="array" ref="H114">Food_Orders[[#This Row],[Quantity_Orderd]]*_xlfn.XLOOKUP(Food_Orders[[#This Row],[Food_ID]],Food_Catalog[[#All],[Food_ID]],Food_Catalog[[#All],[Client_Price_Per_Unit]],0,0)</f>
        <v>5280</v>
      </c>
      <c r="I114">
        <f>Food_Orders[[#This Row],[Client_Price]]-Food_Orders[[#This Row],[Cost]]</f>
        <v>880</v>
      </c>
    </row>
    <row r="115" spans="1:9" x14ac:dyDescent="0.25">
      <c r="A115">
        <v>4</v>
      </c>
      <c r="B115" t="s">
        <v>86</v>
      </c>
      <c r="C115" t="s">
        <v>83</v>
      </c>
      <c r="D115" t="s">
        <v>87</v>
      </c>
      <c r="E115" t="s">
        <v>85</v>
      </c>
      <c r="F115" cm="1">
        <f t="array" ref="F115">_xlfn.XLOOKUP(Food_Orders[[#This Row],[Event_No]],Event_Master[[#All],[Event_No]],Event_Master[[#All],[Guest_Count]],,0)</f>
        <v>220</v>
      </c>
      <c r="G115" cm="1">
        <f t="array" ref="G115">Food_Orders[[#This Row],[Quantity_Orderd]]*_xlfn.XLOOKUP(Food_Orders[[#This Row],[Food_ID]],Food_Catalog[[#All],[Food_ID]],Food_Catalog[[#All],[Price_Per_Unit]],0,0)</f>
        <v>4400</v>
      </c>
      <c r="H115" cm="1">
        <f t="array" ref="H115">Food_Orders[[#This Row],[Quantity_Orderd]]*_xlfn.XLOOKUP(Food_Orders[[#This Row],[Food_ID]],Food_Catalog[[#All],[Food_ID]],Food_Catalog[[#All],[Client_Price_Per_Unit]],0,0)</f>
        <v>5280</v>
      </c>
      <c r="I115">
        <f>Food_Orders[[#This Row],[Client_Price]]-Food_Orders[[#This Row],[Cost]]</f>
        <v>880</v>
      </c>
    </row>
    <row r="116" spans="1:9" x14ac:dyDescent="0.25">
      <c r="A116">
        <v>4</v>
      </c>
      <c r="B116" t="s">
        <v>96</v>
      </c>
      <c r="C116" t="s">
        <v>83</v>
      </c>
      <c r="D116" t="s">
        <v>97</v>
      </c>
      <c r="E116" t="s">
        <v>79</v>
      </c>
      <c r="F116" cm="1">
        <f t="array" ref="F116">_xlfn.XLOOKUP(Food_Orders[[#This Row],[Event_No]],Event_Master[[#All],[Event_No]],Event_Master[[#All],[Guest_Count]],,0)</f>
        <v>220</v>
      </c>
      <c r="G116" cm="1">
        <f t="array" ref="G116">Food_Orders[[#This Row],[Quantity_Orderd]]*_xlfn.XLOOKUP(Food_Orders[[#This Row],[Food_ID]],Food_Catalog[[#All],[Food_ID]],Food_Catalog[[#All],[Price_Per_Unit]],0,0)</f>
        <v>6600</v>
      </c>
      <c r="H116" cm="1">
        <f t="array" ref="H116">Food_Orders[[#This Row],[Quantity_Orderd]]*_xlfn.XLOOKUP(Food_Orders[[#This Row],[Food_ID]],Food_Catalog[[#All],[Food_ID]],Food_Catalog[[#All],[Client_Price_Per_Unit]],0,0)</f>
        <v>7920</v>
      </c>
      <c r="I116">
        <f>Food_Orders[[#This Row],[Client_Price]]-Food_Orders[[#This Row],[Cost]]</f>
        <v>1320</v>
      </c>
    </row>
    <row r="117" spans="1:9" x14ac:dyDescent="0.25">
      <c r="A117">
        <v>4</v>
      </c>
      <c r="B117" t="s">
        <v>92</v>
      </c>
      <c r="C117" t="s">
        <v>83</v>
      </c>
      <c r="D117" t="s">
        <v>93</v>
      </c>
      <c r="E117" t="s">
        <v>85</v>
      </c>
      <c r="F117" cm="1">
        <f t="array" ref="F117">_xlfn.XLOOKUP(Food_Orders[[#This Row],[Event_No]],Event_Master[[#All],[Event_No]],Event_Master[[#All],[Guest_Count]],,0)</f>
        <v>220</v>
      </c>
      <c r="G117" cm="1">
        <f t="array" ref="G117">Food_Orders[[#This Row],[Quantity_Orderd]]*_xlfn.XLOOKUP(Food_Orders[[#This Row],[Food_ID]],Food_Catalog[[#All],[Food_ID]],Food_Catalog[[#All],[Price_Per_Unit]],0,0)</f>
        <v>3300</v>
      </c>
      <c r="H117" cm="1">
        <f t="array" ref="H117">Food_Orders[[#This Row],[Quantity_Orderd]]*_xlfn.XLOOKUP(Food_Orders[[#This Row],[Food_ID]],Food_Catalog[[#All],[Food_ID]],Food_Catalog[[#All],[Client_Price_Per_Unit]],0,0)</f>
        <v>3960</v>
      </c>
      <c r="I117">
        <f>Food_Orders[[#This Row],[Client_Price]]-Food_Orders[[#This Row],[Cost]]</f>
        <v>660</v>
      </c>
    </row>
    <row r="118" spans="1:9" x14ac:dyDescent="0.25">
      <c r="A118">
        <v>4</v>
      </c>
      <c r="B118" t="s">
        <v>98</v>
      </c>
      <c r="C118" t="s">
        <v>83</v>
      </c>
      <c r="D118" t="s">
        <v>99</v>
      </c>
      <c r="E118" t="s">
        <v>85</v>
      </c>
      <c r="F118" cm="1">
        <f t="array" ref="F118">_xlfn.XLOOKUP(Food_Orders[[#This Row],[Event_No]],Event_Master[[#All],[Event_No]],Event_Master[[#All],[Guest_Count]],,0)</f>
        <v>220</v>
      </c>
      <c r="G118" cm="1">
        <f t="array" ref="G118">Food_Orders[[#This Row],[Quantity_Orderd]]*_xlfn.XLOOKUP(Food_Orders[[#This Row],[Food_ID]],Food_Catalog[[#All],[Food_ID]],Food_Catalog[[#All],[Price_Per_Unit]],0,0)</f>
        <v>3300</v>
      </c>
      <c r="H118" cm="1">
        <f t="array" ref="H118">Food_Orders[[#This Row],[Quantity_Orderd]]*_xlfn.XLOOKUP(Food_Orders[[#This Row],[Food_ID]],Food_Catalog[[#All],[Food_ID]],Food_Catalog[[#All],[Client_Price_Per_Unit]],0,0)</f>
        <v>3960</v>
      </c>
      <c r="I118">
        <f>Food_Orders[[#This Row],[Client_Price]]-Food_Orders[[#This Row],[Cost]]</f>
        <v>660</v>
      </c>
    </row>
    <row r="119" spans="1:9" x14ac:dyDescent="0.25">
      <c r="A119">
        <v>4</v>
      </c>
      <c r="B119" t="s">
        <v>104</v>
      </c>
      <c r="C119" t="s">
        <v>105</v>
      </c>
      <c r="D119" t="s">
        <v>106</v>
      </c>
      <c r="E119" t="s">
        <v>107</v>
      </c>
      <c r="F119" cm="1">
        <f t="array" ref="F119">_xlfn.XLOOKUP(Food_Orders[[#This Row],[Event_No]],Event_Master[[#All],[Event_No]],Event_Master[[#All],[Guest_Count]],,0)</f>
        <v>220</v>
      </c>
      <c r="G119" cm="1">
        <f t="array" ref="G119">Food_Orders[[#This Row],[Quantity_Orderd]]*_xlfn.XLOOKUP(Food_Orders[[#This Row],[Food_ID]],Food_Catalog[[#All],[Food_ID]],Food_Catalog[[#All],[Price_Per_Unit]],0,0)</f>
        <v>2200</v>
      </c>
      <c r="H119" cm="1">
        <f t="array" ref="H119">Food_Orders[[#This Row],[Quantity_Orderd]]*_xlfn.XLOOKUP(Food_Orders[[#This Row],[Food_ID]],Food_Catalog[[#All],[Food_ID]],Food_Catalog[[#All],[Client_Price_Per_Unit]],0,0)</f>
        <v>2640</v>
      </c>
      <c r="I119">
        <f>Food_Orders[[#This Row],[Client_Price]]-Food_Orders[[#This Row],[Cost]]</f>
        <v>440</v>
      </c>
    </row>
    <row r="120" spans="1:9" x14ac:dyDescent="0.25">
      <c r="A120">
        <v>4</v>
      </c>
      <c r="B120" t="s">
        <v>108</v>
      </c>
      <c r="C120" t="s">
        <v>105</v>
      </c>
      <c r="D120" t="s">
        <v>109</v>
      </c>
      <c r="E120" t="s">
        <v>107</v>
      </c>
      <c r="F120" cm="1">
        <f t="array" ref="F120">_xlfn.XLOOKUP(Food_Orders[[#This Row],[Event_No]],Event_Master[[#All],[Event_No]],Event_Master[[#All],[Guest_Count]],,0)</f>
        <v>220</v>
      </c>
      <c r="G120" cm="1">
        <f t="array" ref="G120">Food_Orders[[#This Row],[Quantity_Orderd]]*_xlfn.XLOOKUP(Food_Orders[[#This Row],[Food_ID]],Food_Catalog[[#All],[Food_ID]],Food_Catalog[[#All],[Price_Per_Unit]],0,0)</f>
        <v>3300</v>
      </c>
      <c r="H120" cm="1">
        <f t="array" ref="H120">Food_Orders[[#This Row],[Quantity_Orderd]]*_xlfn.XLOOKUP(Food_Orders[[#This Row],[Food_ID]],Food_Catalog[[#All],[Food_ID]],Food_Catalog[[#All],[Client_Price_Per_Unit]],0,0)</f>
        <v>3960</v>
      </c>
      <c r="I120">
        <f>Food_Orders[[#This Row],[Client_Price]]-Food_Orders[[#This Row],[Cost]]</f>
        <v>660</v>
      </c>
    </row>
    <row r="121" spans="1:9" x14ac:dyDescent="0.25">
      <c r="A121">
        <v>4</v>
      </c>
      <c r="B121" t="s">
        <v>118</v>
      </c>
      <c r="C121" t="s">
        <v>119</v>
      </c>
      <c r="D121" t="s">
        <v>120</v>
      </c>
      <c r="E121" t="s">
        <v>112</v>
      </c>
      <c r="F121" cm="1">
        <f t="array" ref="F121">_xlfn.XLOOKUP(Food_Orders[[#This Row],[Event_No]],Event_Master[[#All],[Event_No]],Event_Master[[#All],[Guest_Count]],,0)</f>
        <v>220</v>
      </c>
      <c r="G121" cm="1">
        <f t="array" ref="G121">Food_Orders[[#This Row],[Quantity_Orderd]]*_xlfn.XLOOKUP(Food_Orders[[#This Row],[Food_ID]],Food_Catalog[[#All],[Food_ID]],Food_Catalog[[#All],[Price_Per_Unit]],0,0)</f>
        <v>2200</v>
      </c>
      <c r="H121" cm="1">
        <f t="array" ref="H121">Food_Orders[[#This Row],[Quantity_Orderd]]*_xlfn.XLOOKUP(Food_Orders[[#This Row],[Food_ID]],Food_Catalog[[#All],[Food_ID]],Food_Catalog[[#All],[Client_Price_Per_Unit]],0,0)</f>
        <v>2640</v>
      </c>
      <c r="I121">
        <f>Food_Orders[[#This Row],[Client_Price]]-Food_Orders[[#This Row],[Cost]]</f>
        <v>440</v>
      </c>
    </row>
    <row r="122" spans="1:9" x14ac:dyDescent="0.25">
      <c r="A122">
        <v>4</v>
      </c>
      <c r="B122" t="s">
        <v>129</v>
      </c>
      <c r="C122" t="s">
        <v>119</v>
      </c>
      <c r="D122" t="s">
        <v>130</v>
      </c>
      <c r="E122" t="s">
        <v>112</v>
      </c>
      <c r="F122" cm="1">
        <f t="array" ref="F122">_xlfn.XLOOKUP(Food_Orders[[#This Row],[Event_No]],Event_Master[[#All],[Event_No]],Event_Master[[#All],[Guest_Count]],,0)</f>
        <v>220</v>
      </c>
      <c r="G122" cm="1">
        <f t="array" ref="G122">Food_Orders[[#This Row],[Quantity_Orderd]]*_xlfn.XLOOKUP(Food_Orders[[#This Row],[Food_ID]],Food_Catalog[[#All],[Food_ID]],Food_Catalog[[#All],[Price_Per_Unit]],0,0)</f>
        <v>2200</v>
      </c>
      <c r="H122" cm="1">
        <f t="array" ref="H122">Food_Orders[[#This Row],[Quantity_Orderd]]*_xlfn.XLOOKUP(Food_Orders[[#This Row],[Food_ID]],Food_Catalog[[#All],[Food_ID]],Food_Catalog[[#All],[Client_Price_Per_Unit]],0,0)</f>
        <v>2640</v>
      </c>
      <c r="I122">
        <f>Food_Orders[[#This Row],[Client_Price]]-Food_Orders[[#This Row],[Cost]]</f>
        <v>440</v>
      </c>
    </row>
    <row r="123" spans="1:9" x14ac:dyDescent="0.25">
      <c r="A123">
        <v>4</v>
      </c>
      <c r="B123" t="s">
        <v>124</v>
      </c>
      <c r="C123" t="s">
        <v>119</v>
      </c>
      <c r="D123" t="s">
        <v>125</v>
      </c>
      <c r="E123" t="s">
        <v>126</v>
      </c>
      <c r="F123" cm="1">
        <f t="array" ref="F123">_xlfn.XLOOKUP(Food_Orders[[#This Row],[Event_No]],Event_Master[[#All],[Event_No]],Event_Master[[#All],[Guest_Count]],,0)</f>
        <v>220</v>
      </c>
      <c r="G123" cm="1">
        <f t="array" ref="G123">Food_Orders[[#This Row],[Quantity_Orderd]]*_xlfn.XLOOKUP(Food_Orders[[#This Row],[Food_ID]],Food_Catalog[[#All],[Food_ID]],Food_Catalog[[#All],[Price_Per_Unit]],0,0)</f>
        <v>4400</v>
      </c>
      <c r="H123" cm="1">
        <f t="array" ref="H123">Food_Orders[[#This Row],[Quantity_Orderd]]*_xlfn.XLOOKUP(Food_Orders[[#This Row],[Food_ID]],Food_Catalog[[#All],[Food_ID]],Food_Catalog[[#All],[Client_Price_Per_Unit]],0,0)</f>
        <v>5280</v>
      </c>
      <c r="I123">
        <f>Food_Orders[[#This Row],[Client_Price]]-Food_Orders[[#This Row],[Cost]]</f>
        <v>880</v>
      </c>
    </row>
    <row r="124" spans="1:9" x14ac:dyDescent="0.25">
      <c r="A124">
        <v>4</v>
      </c>
      <c r="B124" t="s">
        <v>127</v>
      </c>
      <c r="C124" t="s">
        <v>119</v>
      </c>
      <c r="D124" t="s">
        <v>128</v>
      </c>
      <c r="E124" t="s">
        <v>107</v>
      </c>
      <c r="F124" cm="1">
        <f t="array" ref="F124">_xlfn.XLOOKUP(Food_Orders[[#This Row],[Event_No]],Event_Master[[#All],[Event_No]],Event_Master[[#All],[Guest_Count]],,0)</f>
        <v>220</v>
      </c>
      <c r="G124" cm="1">
        <f t="array" ref="G124">Food_Orders[[#This Row],[Quantity_Orderd]]*_xlfn.XLOOKUP(Food_Orders[[#This Row],[Food_ID]],Food_Catalog[[#All],[Food_ID]],Food_Catalog[[#All],[Price_Per_Unit]],0,0)</f>
        <v>4400</v>
      </c>
      <c r="H124" cm="1">
        <f t="array" ref="H124">Food_Orders[[#This Row],[Quantity_Orderd]]*_xlfn.XLOOKUP(Food_Orders[[#This Row],[Food_ID]],Food_Catalog[[#All],[Food_ID]],Food_Catalog[[#All],[Client_Price_Per_Unit]],0,0)</f>
        <v>5280</v>
      </c>
      <c r="I124">
        <f>Food_Orders[[#This Row],[Client_Price]]-Food_Orders[[#This Row],[Cost]]</f>
        <v>880</v>
      </c>
    </row>
    <row r="125" spans="1:9" x14ac:dyDescent="0.25">
      <c r="A125">
        <v>5</v>
      </c>
      <c r="B125" t="s">
        <v>63</v>
      </c>
      <c r="C125" t="s">
        <v>61</v>
      </c>
      <c r="D125" t="s">
        <v>64</v>
      </c>
      <c r="E125" t="s">
        <v>10</v>
      </c>
      <c r="F125" cm="1">
        <f t="array" ref="F125">_xlfn.XLOOKUP(Food_Orders[[#This Row],[Event_No]],Event_Master[[#All],[Event_No]],Event_Master[[#All],[Guest_Count]],,0)</f>
        <v>150</v>
      </c>
      <c r="G125" cm="1">
        <f t="array" ref="G125">Food_Orders[[#This Row],[Quantity_Orderd]]*_xlfn.XLOOKUP(Food_Orders[[#This Row],[Food_ID]],Food_Catalog[[#All],[Food_ID]],Food_Catalog[[#All],[Price_Per_Unit]],0,0)</f>
        <v>4500</v>
      </c>
      <c r="H125" cm="1">
        <f t="array" ref="H125">Food_Orders[[#This Row],[Quantity_Orderd]]*_xlfn.XLOOKUP(Food_Orders[[#This Row],[Food_ID]],Food_Catalog[[#All],[Food_ID]],Food_Catalog[[#All],[Client_Price_Per_Unit]],0,0)</f>
        <v>5400</v>
      </c>
      <c r="I125">
        <f>Food_Orders[[#This Row],[Client_Price]]-Food_Orders[[#This Row],[Cost]]</f>
        <v>900</v>
      </c>
    </row>
    <row r="126" spans="1:9" x14ac:dyDescent="0.25">
      <c r="A126">
        <v>5</v>
      </c>
      <c r="B126" t="s">
        <v>71</v>
      </c>
      <c r="C126" t="s">
        <v>61</v>
      </c>
      <c r="D126" t="s">
        <v>72</v>
      </c>
      <c r="E126" t="s">
        <v>10</v>
      </c>
      <c r="F126" cm="1">
        <f t="array" ref="F126">_xlfn.XLOOKUP(Food_Orders[[#This Row],[Event_No]],Event_Master[[#All],[Event_No]],Event_Master[[#All],[Guest_Count]],,0)</f>
        <v>150</v>
      </c>
      <c r="G126" cm="1">
        <f t="array" ref="G126">Food_Orders[[#This Row],[Quantity_Orderd]]*_xlfn.XLOOKUP(Food_Orders[[#This Row],[Food_ID]],Food_Catalog[[#All],[Food_ID]],Food_Catalog[[#All],[Price_Per_Unit]],0,0)</f>
        <v>3750</v>
      </c>
      <c r="H126" cm="1">
        <f t="array" ref="H126">Food_Orders[[#This Row],[Quantity_Orderd]]*_xlfn.XLOOKUP(Food_Orders[[#This Row],[Food_ID]],Food_Catalog[[#All],[Food_ID]],Food_Catalog[[#All],[Client_Price_Per_Unit]],0,0)</f>
        <v>4500</v>
      </c>
      <c r="I126">
        <f>Food_Orders[[#This Row],[Client_Price]]-Food_Orders[[#This Row],[Cost]]</f>
        <v>750</v>
      </c>
    </row>
    <row r="127" spans="1:9" x14ac:dyDescent="0.25">
      <c r="A127">
        <v>5</v>
      </c>
      <c r="B127" t="s">
        <v>60</v>
      </c>
      <c r="C127" t="s">
        <v>61</v>
      </c>
      <c r="D127" t="s">
        <v>62</v>
      </c>
      <c r="E127" t="s">
        <v>10</v>
      </c>
      <c r="F127" cm="1">
        <f t="array" ref="F127">_xlfn.XLOOKUP(Food_Orders[[#This Row],[Event_No]],Event_Master[[#All],[Event_No]],Event_Master[[#All],[Guest_Count]],,0)</f>
        <v>150</v>
      </c>
      <c r="G127" cm="1">
        <f t="array" ref="G127">Food_Orders[[#This Row],[Quantity_Orderd]]*_xlfn.XLOOKUP(Food_Orders[[#This Row],[Food_ID]],Food_Catalog[[#All],[Food_ID]],Food_Catalog[[#All],[Price_Per_Unit]],0,0)</f>
        <v>3000</v>
      </c>
      <c r="H127" cm="1">
        <f t="array" ref="H127">Food_Orders[[#This Row],[Quantity_Orderd]]*_xlfn.XLOOKUP(Food_Orders[[#This Row],[Food_ID]],Food_Catalog[[#All],[Food_ID]],Food_Catalog[[#All],[Client_Price_Per_Unit]],0,0)</f>
        <v>3600</v>
      </c>
      <c r="I127">
        <f>Food_Orders[[#This Row],[Client_Price]]-Food_Orders[[#This Row],[Cost]]</f>
        <v>600</v>
      </c>
    </row>
    <row r="128" spans="1:9" x14ac:dyDescent="0.25">
      <c r="A128">
        <v>5</v>
      </c>
      <c r="B128" t="s">
        <v>69</v>
      </c>
      <c r="C128" t="s">
        <v>61</v>
      </c>
      <c r="D128" t="s">
        <v>70</v>
      </c>
      <c r="E128" t="s">
        <v>10</v>
      </c>
      <c r="F128" cm="1">
        <f t="array" ref="F128">_xlfn.XLOOKUP(Food_Orders[[#This Row],[Event_No]],Event_Master[[#All],[Event_No]],Event_Master[[#All],[Guest_Count]],,0)</f>
        <v>150</v>
      </c>
      <c r="G128" cm="1">
        <f t="array" ref="G128">Food_Orders[[#This Row],[Quantity_Orderd]]*_xlfn.XLOOKUP(Food_Orders[[#This Row],[Food_ID]],Food_Catalog[[#All],[Food_ID]],Food_Catalog[[#All],[Price_Per_Unit]],0,0)</f>
        <v>7500</v>
      </c>
      <c r="H128" cm="1">
        <f t="array" ref="H128">Food_Orders[[#This Row],[Quantity_Orderd]]*_xlfn.XLOOKUP(Food_Orders[[#This Row],[Food_ID]],Food_Catalog[[#All],[Food_ID]],Food_Catalog[[#All],[Client_Price_Per_Unit]],0,0)</f>
        <v>9000</v>
      </c>
      <c r="I128">
        <f>Food_Orders[[#This Row],[Client_Price]]-Food_Orders[[#This Row],[Cost]]</f>
        <v>1500</v>
      </c>
    </row>
    <row r="129" spans="1:9" x14ac:dyDescent="0.25">
      <c r="A129">
        <v>5</v>
      </c>
      <c r="B129" t="s">
        <v>13</v>
      </c>
      <c r="C129" t="s">
        <v>8</v>
      </c>
      <c r="D129" t="s">
        <v>14</v>
      </c>
      <c r="E129" t="s">
        <v>10</v>
      </c>
      <c r="F129" cm="1">
        <f t="array" ref="F129">_xlfn.XLOOKUP(Food_Orders[[#This Row],[Event_No]],Event_Master[[#All],[Event_No]],Event_Master[[#All],[Guest_Count]],,0)</f>
        <v>150</v>
      </c>
      <c r="G129" cm="1">
        <f t="array" ref="G129">Food_Orders[[#This Row],[Quantity_Orderd]]*_xlfn.XLOOKUP(Food_Orders[[#This Row],[Food_ID]],Food_Catalog[[#All],[Food_ID]],Food_Catalog[[#All],[Price_Per_Unit]],0,0)</f>
        <v>5250</v>
      </c>
      <c r="H129" cm="1">
        <f t="array" ref="H129">Food_Orders[[#This Row],[Quantity_Orderd]]*_xlfn.XLOOKUP(Food_Orders[[#This Row],[Food_ID]],Food_Catalog[[#All],[Food_ID]],Food_Catalog[[#All],[Client_Price_Per_Unit]],0,0)</f>
        <v>6300</v>
      </c>
      <c r="I129">
        <f>Food_Orders[[#This Row],[Client_Price]]-Food_Orders[[#This Row],[Cost]]</f>
        <v>1050</v>
      </c>
    </row>
    <row r="130" spans="1:9" x14ac:dyDescent="0.25">
      <c r="A130">
        <v>5</v>
      </c>
      <c r="B130" t="s">
        <v>27</v>
      </c>
      <c r="C130" t="s">
        <v>8</v>
      </c>
      <c r="D130" t="s">
        <v>28</v>
      </c>
      <c r="E130" t="s">
        <v>10</v>
      </c>
      <c r="F130" cm="1">
        <f t="array" ref="F130">_xlfn.XLOOKUP(Food_Orders[[#This Row],[Event_No]],Event_Master[[#All],[Event_No]],Event_Master[[#All],[Guest_Count]],,0)</f>
        <v>150</v>
      </c>
      <c r="G130" cm="1">
        <f t="array" ref="G130">Food_Orders[[#This Row],[Quantity_Orderd]]*_xlfn.XLOOKUP(Food_Orders[[#This Row],[Food_ID]],Food_Catalog[[#All],[Food_ID]],Food_Catalog[[#All],[Price_Per_Unit]],0,0)</f>
        <v>6000</v>
      </c>
      <c r="H130" cm="1">
        <f t="array" ref="H130">Food_Orders[[#This Row],[Quantity_Orderd]]*_xlfn.XLOOKUP(Food_Orders[[#This Row],[Food_ID]],Food_Catalog[[#All],[Food_ID]],Food_Catalog[[#All],[Client_Price_Per_Unit]],0,0)</f>
        <v>7200</v>
      </c>
      <c r="I130">
        <f>Food_Orders[[#This Row],[Client_Price]]-Food_Orders[[#This Row],[Cost]]</f>
        <v>1200</v>
      </c>
    </row>
    <row r="131" spans="1:9" x14ac:dyDescent="0.25">
      <c r="A131">
        <v>5</v>
      </c>
      <c r="B131" t="s">
        <v>31</v>
      </c>
      <c r="C131" t="s">
        <v>8</v>
      </c>
      <c r="D131" t="s">
        <v>32</v>
      </c>
      <c r="E131" t="s">
        <v>10</v>
      </c>
      <c r="F131" cm="1">
        <f t="array" ref="F131">_xlfn.XLOOKUP(Food_Orders[[#This Row],[Event_No]],Event_Master[[#All],[Event_No]],Event_Master[[#All],[Guest_Count]],,0)</f>
        <v>150</v>
      </c>
      <c r="G131" cm="1">
        <f t="array" ref="G131">Food_Orders[[#This Row],[Quantity_Orderd]]*_xlfn.XLOOKUP(Food_Orders[[#This Row],[Food_ID]],Food_Catalog[[#All],[Food_ID]],Food_Catalog[[#All],[Price_Per_Unit]],0,0)</f>
        <v>4500</v>
      </c>
      <c r="H131" cm="1">
        <f t="array" ref="H131">Food_Orders[[#This Row],[Quantity_Orderd]]*_xlfn.XLOOKUP(Food_Orders[[#This Row],[Food_ID]],Food_Catalog[[#All],[Food_ID]],Food_Catalog[[#All],[Client_Price_Per_Unit]],0,0)</f>
        <v>5400</v>
      </c>
      <c r="I131">
        <f>Food_Orders[[#This Row],[Client_Price]]-Food_Orders[[#This Row],[Cost]]</f>
        <v>900</v>
      </c>
    </row>
    <row r="132" spans="1:9" x14ac:dyDescent="0.25">
      <c r="A132">
        <v>5</v>
      </c>
      <c r="B132" t="s">
        <v>29</v>
      </c>
      <c r="C132" t="s">
        <v>8</v>
      </c>
      <c r="D132" t="s">
        <v>30</v>
      </c>
      <c r="E132" t="s">
        <v>10</v>
      </c>
      <c r="F132" cm="1">
        <f t="array" ref="F132">_xlfn.XLOOKUP(Food_Orders[[#This Row],[Event_No]],Event_Master[[#All],[Event_No]],Event_Master[[#All],[Guest_Count]],,0)</f>
        <v>150</v>
      </c>
      <c r="G132" cm="1">
        <f t="array" ref="G132">Food_Orders[[#This Row],[Quantity_Orderd]]*_xlfn.XLOOKUP(Food_Orders[[#This Row],[Food_ID]],Food_Catalog[[#All],[Food_ID]],Food_Catalog[[#All],[Price_Per_Unit]],0,0)</f>
        <v>4500</v>
      </c>
      <c r="H132" cm="1">
        <f t="array" ref="H132">Food_Orders[[#This Row],[Quantity_Orderd]]*_xlfn.XLOOKUP(Food_Orders[[#This Row],[Food_ID]],Food_Catalog[[#All],[Food_ID]],Food_Catalog[[#All],[Client_Price_Per_Unit]],0,0)</f>
        <v>5400</v>
      </c>
      <c r="I132">
        <f>Food_Orders[[#This Row],[Client_Price]]-Food_Orders[[#This Row],[Cost]]</f>
        <v>900</v>
      </c>
    </row>
    <row r="133" spans="1:9" x14ac:dyDescent="0.25">
      <c r="A133">
        <v>5</v>
      </c>
      <c r="B133" t="s">
        <v>37</v>
      </c>
      <c r="C133" t="s">
        <v>8</v>
      </c>
      <c r="D133" t="s">
        <v>38</v>
      </c>
      <c r="E133" t="s">
        <v>10</v>
      </c>
      <c r="F133" cm="1">
        <f t="array" ref="F133">_xlfn.XLOOKUP(Food_Orders[[#This Row],[Event_No]],Event_Master[[#All],[Event_No]],Event_Master[[#All],[Guest_Count]],,0)</f>
        <v>150</v>
      </c>
      <c r="G133" cm="1">
        <f t="array" ref="G133">Food_Orders[[#This Row],[Quantity_Orderd]]*_xlfn.XLOOKUP(Food_Orders[[#This Row],[Food_ID]],Food_Catalog[[#All],[Food_ID]],Food_Catalog[[#All],[Price_Per_Unit]],0,0)</f>
        <v>3750</v>
      </c>
      <c r="H133" cm="1">
        <f t="array" ref="H133">Food_Orders[[#This Row],[Quantity_Orderd]]*_xlfn.XLOOKUP(Food_Orders[[#This Row],[Food_ID]],Food_Catalog[[#All],[Food_ID]],Food_Catalog[[#All],[Client_Price_Per_Unit]],0,0)</f>
        <v>4500</v>
      </c>
      <c r="I133">
        <f>Food_Orders[[#This Row],[Client_Price]]-Food_Orders[[#This Row],[Cost]]</f>
        <v>750</v>
      </c>
    </row>
    <row r="134" spans="1:9" x14ac:dyDescent="0.25">
      <c r="A134">
        <v>5</v>
      </c>
      <c r="B134" t="s">
        <v>39</v>
      </c>
      <c r="C134" t="s">
        <v>40</v>
      </c>
      <c r="D134" t="s">
        <v>41</v>
      </c>
      <c r="E134" t="s">
        <v>10</v>
      </c>
      <c r="F134" cm="1">
        <f t="array" ref="F134">_xlfn.XLOOKUP(Food_Orders[[#This Row],[Event_No]],Event_Master[[#All],[Event_No]],Event_Master[[#All],[Guest_Count]],,0)</f>
        <v>150</v>
      </c>
      <c r="G134" cm="1">
        <f t="array" ref="G134">Food_Orders[[#This Row],[Quantity_Orderd]]*_xlfn.XLOOKUP(Food_Orders[[#This Row],[Food_ID]],Food_Catalog[[#All],[Food_ID]],Food_Catalog[[#All],[Price_Per_Unit]],0,0)</f>
        <v>9000</v>
      </c>
      <c r="H134" cm="1">
        <f t="array" ref="H134">Food_Orders[[#This Row],[Quantity_Orderd]]*_xlfn.XLOOKUP(Food_Orders[[#This Row],[Food_ID]],Food_Catalog[[#All],[Food_ID]],Food_Catalog[[#All],[Client_Price_Per_Unit]],0,0)</f>
        <v>10800</v>
      </c>
      <c r="I134">
        <f>Food_Orders[[#This Row],[Client_Price]]-Food_Orders[[#This Row],[Cost]]</f>
        <v>1800</v>
      </c>
    </row>
    <row r="135" spans="1:9" x14ac:dyDescent="0.25">
      <c r="A135">
        <v>5</v>
      </c>
      <c r="B135" t="s">
        <v>42</v>
      </c>
      <c r="C135" t="s">
        <v>40</v>
      </c>
      <c r="D135" t="s">
        <v>43</v>
      </c>
      <c r="E135" t="s">
        <v>10</v>
      </c>
      <c r="F135" cm="1">
        <f t="array" ref="F135">_xlfn.XLOOKUP(Food_Orders[[#This Row],[Event_No]],Event_Master[[#All],[Event_No]],Event_Master[[#All],[Guest_Count]],,0)</f>
        <v>150</v>
      </c>
      <c r="G135" cm="1">
        <f t="array" ref="G135">Food_Orders[[#This Row],[Quantity_Orderd]]*_xlfn.XLOOKUP(Food_Orders[[#This Row],[Food_ID]],Food_Catalog[[#All],[Food_ID]],Food_Catalog[[#All],[Price_Per_Unit]],0,0)</f>
        <v>10500</v>
      </c>
      <c r="H135" cm="1">
        <f t="array" ref="H135">Food_Orders[[#This Row],[Quantity_Orderd]]*_xlfn.XLOOKUP(Food_Orders[[#This Row],[Food_ID]],Food_Catalog[[#All],[Food_ID]],Food_Catalog[[#All],[Client_Price_Per_Unit]],0,0)</f>
        <v>12600</v>
      </c>
      <c r="I135">
        <f>Food_Orders[[#This Row],[Client_Price]]-Food_Orders[[#This Row],[Cost]]</f>
        <v>2100</v>
      </c>
    </row>
    <row r="136" spans="1:9" x14ac:dyDescent="0.25">
      <c r="A136">
        <v>5</v>
      </c>
      <c r="B136" t="s">
        <v>58</v>
      </c>
      <c r="C136" t="s">
        <v>40</v>
      </c>
      <c r="D136" t="s">
        <v>59</v>
      </c>
      <c r="E136" t="s">
        <v>10</v>
      </c>
      <c r="F136" cm="1">
        <f t="array" ref="F136">_xlfn.XLOOKUP(Food_Orders[[#This Row],[Event_No]],Event_Master[[#All],[Event_No]],Event_Master[[#All],[Guest_Count]],,0)</f>
        <v>150</v>
      </c>
      <c r="G136" cm="1">
        <f t="array" ref="G136">Food_Orders[[#This Row],[Quantity_Orderd]]*_xlfn.XLOOKUP(Food_Orders[[#This Row],[Food_ID]],Food_Catalog[[#All],[Food_ID]],Food_Catalog[[#All],[Price_Per_Unit]],0,0)</f>
        <v>13500</v>
      </c>
      <c r="H136" cm="1">
        <f t="array" ref="H136">Food_Orders[[#This Row],[Quantity_Orderd]]*_xlfn.XLOOKUP(Food_Orders[[#This Row],[Food_ID]],Food_Catalog[[#All],[Food_ID]],Food_Catalog[[#All],[Client_Price_Per_Unit]],0,0)</f>
        <v>16200</v>
      </c>
      <c r="I136">
        <f>Food_Orders[[#This Row],[Client_Price]]-Food_Orders[[#This Row],[Cost]]</f>
        <v>2700</v>
      </c>
    </row>
    <row r="137" spans="1:9" x14ac:dyDescent="0.25">
      <c r="A137">
        <v>5</v>
      </c>
      <c r="B137" t="s">
        <v>46</v>
      </c>
      <c r="C137" t="s">
        <v>40</v>
      </c>
      <c r="D137" t="s">
        <v>47</v>
      </c>
      <c r="E137" t="s">
        <v>10</v>
      </c>
      <c r="F137" cm="1">
        <f t="array" ref="F137">_xlfn.XLOOKUP(Food_Orders[[#This Row],[Event_No]],Event_Master[[#All],[Event_No]],Event_Master[[#All],[Guest_Count]],,0)</f>
        <v>150</v>
      </c>
      <c r="G137" cm="1">
        <f t="array" ref="G137">Food_Orders[[#This Row],[Quantity_Orderd]]*_xlfn.XLOOKUP(Food_Orders[[#This Row],[Food_ID]],Food_Catalog[[#All],[Food_ID]],Food_Catalog[[#All],[Price_Per_Unit]],0,0)</f>
        <v>13500</v>
      </c>
      <c r="H137" cm="1">
        <f t="array" ref="H137">Food_Orders[[#This Row],[Quantity_Orderd]]*_xlfn.XLOOKUP(Food_Orders[[#This Row],[Food_ID]],Food_Catalog[[#All],[Food_ID]],Food_Catalog[[#All],[Client_Price_Per_Unit]],0,0)</f>
        <v>16200</v>
      </c>
      <c r="I137">
        <f>Food_Orders[[#This Row],[Client_Price]]-Food_Orders[[#This Row],[Cost]]</f>
        <v>2700</v>
      </c>
    </row>
    <row r="138" spans="1:9" x14ac:dyDescent="0.25">
      <c r="A138">
        <v>5</v>
      </c>
      <c r="B138" t="s">
        <v>50</v>
      </c>
      <c r="C138" t="s">
        <v>40</v>
      </c>
      <c r="D138" t="s">
        <v>51</v>
      </c>
      <c r="E138" t="s">
        <v>10</v>
      </c>
      <c r="F138" cm="1">
        <f t="array" ref="F138">_xlfn.XLOOKUP(Food_Orders[[#This Row],[Event_No]],Event_Master[[#All],[Event_No]],Event_Master[[#All],[Guest_Count]],,0)</f>
        <v>150</v>
      </c>
      <c r="G138" cm="1">
        <f t="array" ref="G138">Food_Orders[[#This Row],[Quantity_Orderd]]*_xlfn.XLOOKUP(Food_Orders[[#This Row],[Food_ID]],Food_Catalog[[#All],[Food_ID]],Food_Catalog[[#All],[Price_Per_Unit]],0,0)</f>
        <v>12000</v>
      </c>
      <c r="H138" cm="1">
        <f t="array" ref="H138">Food_Orders[[#This Row],[Quantity_Orderd]]*_xlfn.XLOOKUP(Food_Orders[[#This Row],[Food_ID]],Food_Catalog[[#All],[Food_ID]],Food_Catalog[[#All],[Client_Price_Per_Unit]],0,0)</f>
        <v>14400</v>
      </c>
      <c r="I138">
        <f>Food_Orders[[#This Row],[Client_Price]]-Food_Orders[[#This Row],[Cost]]</f>
        <v>2400</v>
      </c>
    </row>
    <row r="139" spans="1:9" x14ac:dyDescent="0.25">
      <c r="A139">
        <v>5</v>
      </c>
      <c r="B139" t="s">
        <v>82</v>
      </c>
      <c r="C139" t="s">
        <v>83</v>
      </c>
      <c r="D139" t="s">
        <v>84</v>
      </c>
      <c r="E139" t="s">
        <v>85</v>
      </c>
      <c r="F139" cm="1">
        <f t="array" ref="F139">_xlfn.XLOOKUP(Food_Orders[[#This Row],[Event_No]],Event_Master[[#All],[Event_No]],Event_Master[[#All],[Guest_Count]],,0)</f>
        <v>150</v>
      </c>
      <c r="G139" cm="1">
        <f t="array" ref="G139">Food_Orders[[#This Row],[Quantity_Orderd]]*_xlfn.XLOOKUP(Food_Orders[[#This Row],[Food_ID]],Food_Catalog[[#All],[Food_ID]],Food_Catalog[[#All],[Price_Per_Unit]],0,0)</f>
        <v>3000</v>
      </c>
      <c r="H139" cm="1">
        <f t="array" ref="H139">Food_Orders[[#This Row],[Quantity_Orderd]]*_xlfn.XLOOKUP(Food_Orders[[#This Row],[Food_ID]],Food_Catalog[[#All],[Food_ID]],Food_Catalog[[#All],[Client_Price_Per_Unit]],0,0)</f>
        <v>3600</v>
      </c>
      <c r="I139">
        <f>Food_Orders[[#This Row],[Client_Price]]-Food_Orders[[#This Row],[Cost]]</f>
        <v>600</v>
      </c>
    </row>
    <row r="140" spans="1:9" x14ac:dyDescent="0.25">
      <c r="A140">
        <v>5</v>
      </c>
      <c r="B140" t="s">
        <v>86</v>
      </c>
      <c r="C140" t="s">
        <v>83</v>
      </c>
      <c r="D140" t="s">
        <v>87</v>
      </c>
      <c r="E140" t="s">
        <v>85</v>
      </c>
      <c r="F140" cm="1">
        <f t="array" ref="F140">_xlfn.XLOOKUP(Food_Orders[[#This Row],[Event_No]],Event_Master[[#All],[Event_No]],Event_Master[[#All],[Guest_Count]],,0)</f>
        <v>150</v>
      </c>
      <c r="G140" cm="1">
        <f t="array" ref="G140">Food_Orders[[#This Row],[Quantity_Orderd]]*_xlfn.XLOOKUP(Food_Orders[[#This Row],[Food_ID]],Food_Catalog[[#All],[Food_ID]],Food_Catalog[[#All],[Price_Per_Unit]],0,0)</f>
        <v>3000</v>
      </c>
      <c r="H140" cm="1">
        <f t="array" ref="H140">Food_Orders[[#This Row],[Quantity_Orderd]]*_xlfn.XLOOKUP(Food_Orders[[#This Row],[Food_ID]],Food_Catalog[[#All],[Food_ID]],Food_Catalog[[#All],[Client_Price_Per_Unit]],0,0)</f>
        <v>3600</v>
      </c>
      <c r="I140">
        <f>Food_Orders[[#This Row],[Client_Price]]-Food_Orders[[#This Row],[Cost]]</f>
        <v>600</v>
      </c>
    </row>
    <row r="141" spans="1:9" x14ac:dyDescent="0.25">
      <c r="A141">
        <v>5</v>
      </c>
      <c r="B141" t="s">
        <v>96</v>
      </c>
      <c r="C141" t="s">
        <v>83</v>
      </c>
      <c r="D141" t="s">
        <v>97</v>
      </c>
      <c r="E141" t="s">
        <v>79</v>
      </c>
      <c r="F141" cm="1">
        <f t="array" ref="F141">_xlfn.XLOOKUP(Food_Orders[[#This Row],[Event_No]],Event_Master[[#All],[Event_No]],Event_Master[[#All],[Guest_Count]],,0)</f>
        <v>150</v>
      </c>
      <c r="G141" cm="1">
        <f t="array" ref="G141">Food_Orders[[#This Row],[Quantity_Orderd]]*_xlfn.XLOOKUP(Food_Orders[[#This Row],[Food_ID]],Food_Catalog[[#All],[Food_ID]],Food_Catalog[[#All],[Price_Per_Unit]],0,0)</f>
        <v>4500</v>
      </c>
      <c r="H141" cm="1">
        <f t="array" ref="H141">Food_Orders[[#This Row],[Quantity_Orderd]]*_xlfn.XLOOKUP(Food_Orders[[#This Row],[Food_ID]],Food_Catalog[[#All],[Food_ID]],Food_Catalog[[#All],[Client_Price_Per_Unit]],0,0)</f>
        <v>5400</v>
      </c>
      <c r="I141">
        <f>Food_Orders[[#This Row],[Client_Price]]-Food_Orders[[#This Row],[Cost]]</f>
        <v>900</v>
      </c>
    </row>
    <row r="142" spans="1:9" x14ac:dyDescent="0.25">
      <c r="A142">
        <v>5</v>
      </c>
      <c r="B142" t="s">
        <v>92</v>
      </c>
      <c r="C142" t="s">
        <v>83</v>
      </c>
      <c r="D142" t="s">
        <v>93</v>
      </c>
      <c r="E142" t="s">
        <v>85</v>
      </c>
      <c r="F142" cm="1">
        <f t="array" ref="F142">_xlfn.XLOOKUP(Food_Orders[[#This Row],[Event_No]],Event_Master[[#All],[Event_No]],Event_Master[[#All],[Guest_Count]],,0)</f>
        <v>150</v>
      </c>
      <c r="G142" cm="1">
        <f t="array" ref="G142">Food_Orders[[#This Row],[Quantity_Orderd]]*_xlfn.XLOOKUP(Food_Orders[[#This Row],[Food_ID]],Food_Catalog[[#All],[Food_ID]],Food_Catalog[[#All],[Price_Per_Unit]],0,0)</f>
        <v>2250</v>
      </c>
      <c r="H142" cm="1">
        <f t="array" ref="H142">Food_Orders[[#This Row],[Quantity_Orderd]]*_xlfn.XLOOKUP(Food_Orders[[#This Row],[Food_ID]],Food_Catalog[[#All],[Food_ID]],Food_Catalog[[#All],[Client_Price_Per_Unit]],0,0)</f>
        <v>2700</v>
      </c>
      <c r="I142">
        <f>Food_Orders[[#This Row],[Client_Price]]-Food_Orders[[#This Row],[Cost]]</f>
        <v>450</v>
      </c>
    </row>
    <row r="143" spans="1:9" x14ac:dyDescent="0.25">
      <c r="A143">
        <v>5</v>
      </c>
      <c r="B143" t="s">
        <v>98</v>
      </c>
      <c r="C143" t="s">
        <v>83</v>
      </c>
      <c r="D143" t="s">
        <v>99</v>
      </c>
      <c r="E143" t="s">
        <v>85</v>
      </c>
      <c r="F143" cm="1">
        <f t="array" ref="F143">_xlfn.XLOOKUP(Food_Orders[[#This Row],[Event_No]],Event_Master[[#All],[Event_No]],Event_Master[[#All],[Guest_Count]],,0)</f>
        <v>150</v>
      </c>
      <c r="G143" cm="1">
        <f t="array" ref="G143">Food_Orders[[#This Row],[Quantity_Orderd]]*_xlfn.XLOOKUP(Food_Orders[[#This Row],[Food_ID]],Food_Catalog[[#All],[Food_ID]],Food_Catalog[[#All],[Price_Per_Unit]],0,0)</f>
        <v>2250</v>
      </c>
      <c r="H143" cm="1">
        <f t="array" ref="H143">Food_Orders[[#This Row],[Quantity_Orderd]]*_xlfn.XLOOKUP(Food_Orders[[#This Row],[Food_ID]],Food_Catalog[[#All],[Food_ID]],Food_Catalog[[#All],[Client_Price_Per_Unit]],0,0)</f>
        <v>2700</v>
      </c>
      <c r="I143">
        <f>Food_Orders[[#This Row],[Client_Price]]-Food_Orders[[#This Row],[Cost]]</f>
        <v>450</v>
      </c>
    </row>
    <row r="144" spans="1:9" x14ac:dyDescent="0.25">
      <c r="A144">
        <v>5</v>
      </c>
      <c r="B144" t="s">
        <v>104</v>
      </c>
      <c r="C144" t="s">
        <v>105</v>
      </c>
      <c r="D144" t="s">
        <v>106</v>
      </c>
      <c r="E144" t="s">
        <v>107</v>
      </c>
      <c r="F144" cm="1">
        <f t="array" ref="F144">_xlfn.XLOOKUP(Food_Orders[[#This Row],[Event_No]],Event_Master[[#All],[Event_No]],Event_Master[[#All],[Guest_Count]],,0)</f>
        <v>150</v>
      </c>
      <c r="G144" cm="1">
        <f t="array" ref="G144">Food_Orders[[#This Row],[Quantity_Orderd]]*_xlfn.XLOOKUP(Food_Orders[[#This Row],[Food_ID]],Food_Catalog[[#All],[Food_ID]],Food_Catalog[[#All],[Price_Per_Unit]],0,0)</f>
        <v>1500</v>
      </c>
      <c r="H144" cm="1">
        <f t="array" ref="H144">Food_Orders[[#This Row],[Quantity_Orderd]]*_xlfn.XLOOKUP(Food_Orders[[#This Row],[Food_ID]],Food_Catalog[[#All],[Food_ID]],Food_Catalog[[#All],[Client_Price_Per_Unit]],0,0)</f>
        <v>1800</v>
      </c>
      <c r="I144">
        <f>Food_Orders[[#This Row],[Client_Price]]-Food_Orders[[#This Row],[Cost]]</f>
        <v>300</v>
      </c>
    </row>
    <row r="145" spans="1:9" x14ac:dyDescent="0.25">
      <c r="A145">
        <v>5</v>
      </c>
      <c r="B145" t="s">
        <v>108</v>
      </c>
      <c r="C145" t="s">
        <v>105</v>
      </c>
      <c r="D145" t="s">
        <v>109</v>
      </c>
      <c r="E145" t="s">
        <v>107</v>
      </c>
      <c r="F145" cm="1">
        <f t="array" ref="F145">_xlfn.XLOOKUP(Food_Orders[[#This Row],[Event_No]],Event_Master[[#All],[Event_No]],Event_Master[[#All],[Guest_Count]],,0)</f>
        <v>150</v>
      </c>
      <c r="G145" cm="1">
        <f t="array" ref="G145">Food_Orders[[#This Row],[Quantity_Orderd]]*_xlfn.XLOOKUP(Food_Orders[[#This Row],[Food_ID]],Food_Catalog[[#All],[Food_ID]],Food_Catalog[[#All],[Price_Per_Unit]],0,0)</f>
        <v>2250</v>
      </c>
      <c r="H145" cm="1">
        <f t="array" ref="H145">Food_Orders[[#This Row],[Quantity_Orderd]]*_xlfn.XLOOKUP(Food_Orders[[#This Row],[Food_ID]],Food_Catalog[[#All],[Food_ID]],Food_Catalog[[#All],[Client_Price_Per_Unit]],0,0)</f>
        <v>2700</v>
      </c>
      <c r="I145">
        <f>Food_Orders[[#This Row],[Client_Price]]-Food_Orders[[#This Row],[Cost]]</f>
        <v>450</v>
      </c>
    </row>
    <row r="146" spans="1:9" x14ac:dyDescent="0.25">
      <c r="A146">
        <v>5</v>
      </c>
      <c r="B146" t="s">
        <v>118</v>
      </c>
      <c r="C146" t="s">
        <v>119</v>
      </c>
      <c r="D146" t="s">
        <v>120</v>
      </c>
      <c r="E146" t="s">
        <v>112</v>
      </c>
      <c r="F146" cm="1">
        <f t="array" ref="F146">_xlfn.XLOOKUP(Food_Orders[[#This Row],[Event_No]],Event_Master[[#All],[Event_No]],Event_Master[[#All],[Guest_Count]],,0)</f>
        <v>150</v>
      </c>
      <c r="G146" cm="1">
        <f t="array" ref="G146">Food_Orders[[#This Row],[Quantity_Orderd]]*_xlfn.XLOOKUP(Food_Orders[[#This Row],[Food_ID]],Food_Catalog[[#All],[Food_ID]],Food_Catalog[[#All],[Price_Per_Unit]],0,0)</f>
        <v>1500</v>
      </c>
      <c r="H146" cm="1">
        <f t="array" ref="H146">Food_Orders[[#This Row],[Quantity_Orderd]]*_xlfn.XLOOKUP(Food_Orders[[#This Row],[Food_ID]],Food_Catalog[[#All],[Food_ID]],Food_Catalog[[#All],[Client_Price_Per_Unit]],0,0)</f>
        <v>1800</v>
      </c>
      <c r="I146">
        <f>Food_Orders[[#This Row],[Client_Price]]-Food_Orders[[#This Row],[Cost]]</f>
        <v>300</v>
      </c>
    </row>
    <row r="147" spans="1:9" x14ac:dyDescent="0.25">
      <c r="A147">
        <v>5</v>
      </c>
      <c r="B147" t="s">
        <v>129</v>
      </c>
      <c r="C147" t="s">
        <v>119</v>
      </c>
      <c r="D147" t="s">
        <v>130</v>
      </c>
      <c r="E147" t="s">
        <v>112</v>
      </c>
      <c r="F147" cm="1">
        <f t="array" ref="F147">_xlfn.XLOOKUP(Food_Orders[[#This Row],[Event_No]],Event_Master[[#All],[Event_No]],Event_Master[[#All],[Guest_Count]],,0)</f>
        <v>150</v>
      </c>
      <c r="G147" cm="1">
        <f t="array" ref="G147">Food_Orders[[#This Row],[Quantity_Orderd]]*_xlfn.XLOOKUP(Food_Orders[[#This Row],[Food_ID]],Food_Catalog[[#All],[Food_ID]],Food_Catalog[[#All],[Price_Per_Unit]],0,0)</f>
        <v>1500</v>
      </c>
      <c r="H147" cm="1">
        <f t="array" ref="H147">Food_Orders[[#This Row],[Quantity_Orderd]]*_xlfn.XLOOKUP(Food_Orders[[#This Row],[Food_ID]],Food_Catalog[[#All],[Food_ID]],Food_Catalog[[#All],[Client_Price_Per_Unit]],0,0)</f>
        <v>1800</v>
      </c>
      <c r="I147">
        <f>Food_Orders[[#This Row],[Client_Price]]-Food_Orders[[#This Row],[Cost]]</f>
        <v>300</v>
      </c>
    </row>
    <row r="148" spans="1:9" x14ac:dyDescent="0.25">
      <c r="A148">
        <v>5</v>
      </c>
      <c r="B148" t="s">
        <v>124</v>
      </c>
      <c r="C148" t="s">
        <v>119</v>
      </c>
      <c r="D148" t="s">
        <v>125</v>
      </c>
      <c r="E148" t="s">
        <v>126</v>
      </c>
      <c r="F148" cm="1">
        <f t="array" ref="F148">_xlfn.XLOOKUP(Food_Orders[[#This Row],[Event_No]],Event_Master[[#All],[Event_No]],Event_Master[[#All],[Guest_Count]],,0)</f>
        <v>150</v>
      </c>
      <c r="G148" cm="1">
        <f t="array" ref="G148">Food_Orders[[#This Row],[Quantity_Orderd]]*_xlfn.XLOOKUP(Food_Orders[[#This Row],[Food_ID]],Food_Catalog[[#All],[Food_ID]],Food_Catalog[[#All],[Price_Per_Unit]],0,0)</f>
        <v>3000</v>
      </c>
      <c r="H148" cm="1">
        <f t="array" ref="H148">Food_Orders[[#This Row],[Quantity_Orderd]]*_xlfn.XLOOKUP(Food_Orders[[#This Row],[Food_ID]],Food_Catalog[[#All],[Food_ID]],Food_Catalog[[#All],[Client_Price_Per_Unit]],0,0)</f>
        <v>3600</v>
      </c>
      <c r="I148">
        <f>Food_Orders[[#This Row],[Client_Price]]-Food_Orders[[#This Row],[Cost]]</f>
        <v>600</v>
      </c>
    </row>
    <row r="149" spans="1:9" x14ac:dyDescent="0.25">
      <c r="A149">
        <v>5</v>
      </c>
      <c r="B149" t="s">
        <v>127</v>
      </c>
      <c r="C149" t="s">
        <v>119</v>
      </c>
      <c r="D149" t="s">
        <v>128</v>
      </c>
      <c r="E149" t="s">
        <v>107</v>
      </c>
      <c r="F149" cm="1">
        <f t="array" ref="F149">_xlfn.XLOOKUP(Food_Orders[[#This Row],[Event_No]],Event_Master[[#All],[Event_No]],Event_Master[[#All],[Guest_Count]],,0)</f>
        <v>150</v>
      </c>
      <c r="G149" cm="1">
        <f t="array" ref="G149">Food_Orders[[#This Row],[Quantity_Orderd]]*_xlfn.XLOOKUP(Food_Orders[[#This Row],[Food_ID]],Food_Catalog[[#All],[Food_ID]],Food_Catalog[[#All],[Price_Per_Unit]],0,0)</f>
        <v>3000</v>
      </c>
      <c r="H149" cm="1">
        <f t="array" ref="H149">Food_Orders[[#This Row],[Quantity_Orderd]]*_xlfn.XLOOKUP(Food_Orders[[#This Row],[Food_ID]],Food_Catalog[[#All],[Food_ID]],Food_Catalog[[#All],[Client_Price_Per_Unit]],0,0)</f>
        <v>3600</v>
      </c>
      <c r="I149">
        <f>Food_Orders[[#This Row],[Client_Price]]-Food_Orders[[#This Row],[Cost]]</f>
        <v>600</v>
      </c>
    </row>
    <row r="150" spans="1:9" x14ac:dyDescent="0.25">
      <c r="A150">
        <v>6</v>
      </c>
      <c r="B150" t="s">
        <v>60</v>
      </c>
      <c r="C150" t="s">
        <v>61</v>
      </c>
      <c r="D150" t="s">
        <v>62</v>
      </c>
      <c r="E150" t="s">
        <v>10</v>
      </c>
      <c r="F150" cm="1">
        <f t="array" ref="F150">_xlfn.XLOOKUP(Food_Orders[[#This Row],[Event_No]],Event_Master[[#All],[Event_No]],Event_Master[[#All],[Guest_Count]],,0)</f>
        <v>130</v>
      </c>
      <c r="G150" cm="1">
        <f t="array" ref="G150">Food_Orders[[#This Row],[Quantity_Orderd]]*_xlfn.XLOOKUP(Food_Orders[[#This Row],[Food_ID]],Food_Catalog[[#All],[Food_ID]],Food_Catalog[[#All],[Price_Per_Unit]],0,0)</f>
        <v>2600</v>
      </c>
      <c r="H150" cm="1">
        <f t="array" ref="H150">Food_Orders[[#This Row],[Quantity_Orderd]]*_xlfn.XLOOKUP(Food_Orders[[#This Row],[Food_ID]],Food_Catalog[[#All],[Food_ID]],Food_Catalog[[#All],[Client_Price_Per_Unit]],0,0)</f>
        <v>3120</v>
      </c>
      <c r="I150">
        <f>Food_Orders[[#This Row],[Client_Price]]-Food_Orders[[#This Row],[Cost]]</f>
        <v>520</v>
      </c>
    </row>
    <row r="151" spans="1:9" x14ac:dyDescent="0.25">
      <c r="A151">
        <v>6</v>
      </c>
      <c r="B151" t="s">
        <v>63</v>
      </c>
      <c r="C151" t="s">
        <v>61</v>
      </c>
      <c r="D151" t="s">
        <v>64</v>
      </c>
      <c r="E151" t="s">
        <v>10</v>
      </c>
      <c r="F151" cm="1">
        <f t="array" ref="F151">_xlfn.XLOOKUP(Food_Orders[[#This Row],[Event_No]],Event_Master[[#All],[Event_No]],Event_Master[[#All],[Guest_Count]],,0)</f>
        <v>130</v>
      </c>
      <c r="G151" cm="1">
        <f t="array" ref="G151">Food_Orders[[#This Row],[Quantity_Orderd]]*_xlfn.XLOOKUP(Food_Orders[[#This Row],[Food_ID]],Food_Catalog[[#All],[Food_ID]],Food_Catalog[[#All],[Price_Per_Unit]],0,0)</f>
        <v>3900</v>
      </c>
      <c r="H151" cm="1">
        <f t="array" ref="H151">Food_Orders[[#This Row],[Quantity_Orderd]]*_xlfn.XLOOKUP(Food_Orders[[#This Row],[Food_ID]],Food_Catalog[[#All],[Food_ID]],Food_Catalog[[#All],[Client_Price_Per_Unit]],0,0)</f>
        <v>4680</v>
      </c>
      <c r="I151">
        <f>Food_Orders[[#This Row],[Client_Price]]-Food_Orders[[#This Row],[Cost]]</f>
        <v>780</v>
      </c>
    </row>
    <row r="152" spans="1:9" x14ac:dyDescent="0.25">
      <c r="A152">
        <v>6</v>
      </c>
      <c r="B152" t="s">
        <v>71</v>
      </c>
      <c r="C152" t="s">
        <v>61</v>
      </c>
      <c r="D152" t="s">
        <v>72</v>
      </c>
      <c r="E152" t="s">
        <v>10</v>
      </c>
      <c r="F152" cm="1">
        <f t="array" ref="F152">_xlfn.XLOOKUP(Food_Orders[[#This Row],[Event_No]],Event_Master[[#All],[Event_No]],Event_Master[[#All],[Guest_Count]],,0)</f>
        <v>130</v>
      </c>
      <c r="G152" cm="1">
        <f t="array" ref="G152">Food_Orders[[#This Row],[Quantity_Orderd]]*_xlfn.XLOOKUP(Food_Orders[[#This Row],[Food_ID]],Food_Catalog[[#All],[Food_ID]],Food_Catalog[[#All],[Price_Per_Unit]],0,0)</f>
        <v>3250</v>
      </c>
      <c r="H152" cm="1">
        <f t="array" ref="H152">Food_Orders[[#This Row],[Quantity_Orderd]]*_xlfn.XLOOKUP(Food_Orders[[#This Row],[Food_ID]],Food_Catalog[[#All],[Food_ID]],Food_Catalog[[#All],[Client_Price_Per_Unit]],0,0)</f>
        <v>3900</v>
      </c>
      <c r="I152">
        <f>Food_Orders[[#This Row],[Client_Price]]-Food_Orders[[#This Row],[Cost]]</f>
        <v>650</v>
      </c>
    </row>
    <row r="153" spans="1:9" x14ac:dyDescent="0.25">
      <c r="A153">
        <v>6</v>
      </c>
      <c r="B153" t="s">
        <v>73</v>
      </c>
      <c r="C153" t="s">
        <v>61</v>
      </c>
      <c r="D153" t="s">
        <v>74</v>
      </c>
      <c r="E153" t="s">
        <v>10</v>
      </c>
      <c r="F153" cm="1">
        <f t="array" ref="F153">_xlfn.XLOOKUP(Food_Orders[[#This Row],[Event_No]],Event_Master[[#All],[Event_No]],Event_Master[[#All],[Guest_Count]],,0)</f>
        <v>130</v>
      </c>
      <c r="G153" cm="1">
        <f t="array" ref="G153">Food_Orders[[#This Row],[Quantity_Orderd]]*_xlfn.XLOOKUP(Food_Orders[[#This Row],[Food_ID]],Food_Catalog[[#All],[Food_ID]],Food_Catalog[[#All],[Price_Per_Unit]],0,0)</f>
        <v>5200</v>
      </c>
      <c r="H153" cm="1">
        <f t="array" ref="H153">Food_Orders[[#This Row],[Quantity_Orderd]]*_xlfn.XLOOKUP(Food_Orders[[#This Row],[Food_ID]],Food_Catalog[[#All],[Food_ID]],Food_Catalog[[#All],[Client_Price_Per_Unit]],0,0)</f>
        <v>6240</v>
      </c>
      <c r="I153">
        <f>Food_Orders[[#This Row],[Client_Price]]-Food_Orders[[#This Row],[Cost]]</f>
        <v>1040</v>
      </c>
    </row>
    <row r="154" spans="1:9" x14ac:dyDescent="0.25">
      <c r="A154">
        <v>6</v>
      </c>
      <c r="B154" t="s">
        <v>75</v>
      </c>
      <c r="C154" t="s">
        <v>61</v>
      </c>
      <c r="D154" t="s">
        <v>76</v>
      </c>
      <c r="E154" t="s">
        <v>10</v>
      </c>
      <c r="F154" cm="1">
        <f t="array" ref="F154">_xlfn.XLOOKUP(Food_Orders[[#This Row],[Event_No]],Event_Master[[#All],[Event_No]],Event_Master[[#All],[Guest_Count]],,0)</f>
        <v>130</v>
      </c>
      <c r="G154" cm="1">
        <f t="array" ref="G154">Food_Orders[[#This Row],[Quantity_Orderd]]*_xlfn.XLOOKUP(Food_Orders[[#This Row],[Food_ID]],Food_Catalog[[#All],[Food_ID]],Food_Catalog[[#All],[Price_Per_Unit]],0,0)</f>
        <v>5200</v>
      </c>
      <c r="H154" cm="1">
        <f t="array" ref="H154">Food_Orders[[#This Row],[Quantity_Orderd]]*_xlfn.XLOOKUP(Food_Orders[[#This Row],[Food_ID]],Food_Catalog[[#All],[Food_ID]],Food_Catalog[[#All],[Client_Price_Per_Unit]],0,0)</f>
        <v>6240</v>
      </c>
      <c r="I154">
        <f>Food_Orders[[#This Row],[Client_Price]]-Food_Orders[[#This Row],[Cost]]</f>
        <v>1040</v>
      </c>
    </row>
    <row r="155" spans="1:9" x14ac:dyDescent="0.25">
      <c r="A155">
        <v>6</v>
      </c>
      <c r="B155" t="s">
        <v>69</v>
      </c>
      <c r="C155" t="s">
        <v>61</v>
      </c>
      <c r="D155" t="s">
        <v>70</v>
      </c>
      <c r="E155" t="s">
        <v>10</v>
      </c>
      <c r="F155" cm="1">
        <f t="array" ref="F155">_xlfn.XLOOKUP(Food_Orders[[#This Row],[Event_No]],Event_Master[[#All],[Event_No]],Event_Master[[#All],[Guest_Count]],,0)</f>
        <v>130</v>
      </c>
      <c r="G155" cm="1">
        <f t="array" ref="G155">Food_Orders[[#This Row],[Quantity_Orderd]]*_xlfn.XLOOKUP(Food_Orders[[#This Row],[Food_ID]],Food_Catalog[[#All],[Food_ID]],Food_Catalog[[#All],[Price_Per_Unit]],0,0)</f>
        <v>6500</v>
      </c>
      <c r="H155" cm="1">
        <f t="array" ref="H155">Food_Orders[[#This Row],[Quantity_Orderd]]*_xlfn.XLOOKUP(Food_Orders[[#This Row],[Food_ID]],Food_Catalog[[#All],[Food_ID]],Food_Catalog[[#All],[Client_Price_Per_Unit]],0,0)</f>
        <v>7800</v>
      </c>
      <c r="I155">
        <f>Food_Orders[[#This Row],[Client_Price]]-Food_Orders[[#This Row],[Cost]]</f>
        <v>1300</v>
      </c>
    </row>
    <row r="156" spans="1:9" x14ac:dyDescent="0.25">
      <c r="A156">
        <v>6</v>
      </c>
      <c r="B156" t="s">
        <v>77</v>
      </c>
      <c r="C156" t="s">
        <v>61</v>
      </c>
      <c r="D156" t="s">
        <v>78</v>
      </c>
      <c r="E156" t="s">
        <v>79</v>
      </c>
      <c r="F156" cm="1">
        <f t="array" ref="F156">_xlfn.XLOOKUP(Food_Orders[[#This Row],[Event_No]],Event_Master[[#All],[Event_No]],Event_Master[[#All],[Guest_Count]],,0)</f>
        <v>130</v>
      </c>
      <c r="G156" cm="1">
        <f t="array" ref="G156">Food_Orders[[#This Row],[Quantity_Orderd]]*_xlfn.XLOOKUP(Food_Orders[[#This Row],[Food_ID]],Food_Catalog[[#All],[Food_ID]],Food_Catalog[[#All],[Price_Per_Unit]],0,0)</f>
        <v>4550</v>
      </c>
      <c r="H156" cm="1">
        <f t="array" ref="H156">Food_Orders[[#This Row],[Quantity_Orderd]]*_xlfn.XLOOKUP(Food_Orders[[#This Row],[Food_ID]],Food_Catalog[[#All],[Food_ID]],Food_Catalog[[#All],[Client_Price_Per_Unit]],0,0)</f>
        <v>5460</v>
      </c>
      <c r="I156">
        <f>Food_Orders[[#This Row],[Client_Price]]-Food_Orders[[#This Row],[Cost]]</f>
        <v>910</v>
      </c>
    </row>
    <row r="157" spans="1:9" x14ac:dyDescent="0.25">
      <c r="A157">
        <v>6</v>
      </c>
      <c r="B157" t="s">
        <v>7</v>
      </c>
      <c r="C157" t="s">
        <v>8</v>
      </c>
      <c r="D157" t="s">
        <v>9</v>
      </c>
      <c r="E157" t="s">
        <v>10</v>
      </c>
      <c r="F157" cm="1">
        <f t="array" ref="F157">_xlfn.XLOOKUP(Food_Orders[[#This Row],[Event_No]],Event_Master[[#All],[Event_No]],Event_Master[[#All],[Guest_Count]],,0)</f>
        <v>130</v>
      </c>
      <c r="G157" cm="1">
        <f t="array" ref="G157">Food_Orders[[#This Row],[Quantity_Orderd]]*_xlfn.XLOOKUP(Food_Orders[[#This Row],[Food_ID]],Food_Catalog[[#All],[Food_ID]],Food_Catalog[[#All],[Price_Per_Unit]],0,0)</f>
        <v>3250</v>
      </c>
      <c r="H157" cm="1">
        <f t="array" ref="H157">Food_Orders[[#This Row],[Quantity_Orderd]]*_xlfn.XLOOKUP(Food_Orders[[#This Row],[Food_ID]],Food_Catalog[[#All],[Food_ID]],Food_Catalog[[#All],[Client_Price_Per_Unit]],0,0)</f>
        <v>3900</v>
      </c>
      <c r="I157">
        <f>Food_Orders[[#This Row],[Client_Price]]-Food_Orders[[#This Row],[Cost]]</f>
        <v>650</v>
      </c>
    </row>
    <row r="158" spans="1:9" x14ac:dyDescent="0.25">
      <c r="A158">
        <v>6</v>
      </c>
      <c r="B158" t="s">
        <v>13</v>
      </c>
      <c r="C158" t="s">
        <v>8</v>
      </c>
      <c r="D158" t="s">
        <v>14</v>
      </c>
      <c r="E158" t="s">
        <v>10</v>
      </c>
      <c r="F158" cm="1">
        <f t="array" ref="F158">_xlfn.XLOOKUP(Food_Orders[[#This Row],[Event_No]],Event_Master[[#All],[Event_No]],Event_Master[[#All],[Guest_Count]],,0)</f>
        <v>130</v>
      </c>
      <c r="G158" cm="1">
        <f t="array" ref="G158">Food_Orders[[#This Row],[Quantity_Orderd]]*_xlfn.XLOOKUP(Food_Orders[[#This Row],[Food_ID]],Food_Catalog[[#All],[Food_ID]],Food_Catalog[[#All],[Price_Per_Unit]],0,0)</f>
        <v>4550</v>
      </c>
      <c r="H158" cm="1">
        <f t="array" ref="H158">Food_Orders[[#This Row],[Quantity_Orderd]]*_xlfn.XLOOKUP(Food_Orders[[#This Row],[Food_ID]],Food_Catalog[[#All],[Food_ID]],Food_Catalog[[#All],[Client_Price_Per_Unit]],0,0)</f>
        <v>5460</v>
      </c>
      <c r="I158">
        <f>Food_Orders[[#This Row],[Client_Price]]-Food_Orders[[#This Row],[Cost]]</f>
        <v>910</v>
      </c>
    </row>
    <row r="159" spans="1:9" x14ac:dyDescent="0.25">
      <c r="A159">
        <v>6</v>
      </c>
      <c r="B159" t="s">
        <v>27</v>
      </c>
      <c r="C159" t="s">
        <v>8</v>
      </c>
      <c r="D159" t="s">
        <v>28</v>
      </c>
      <c r="E159" t="s">
        <v>10</v>
      </c>
      <c r="F159" cm="1">
        <f t="array" ref="F159">_xlfn.XLOOKUP(Food_Orders[[#This Row],[Event_No]],Event_Master[[#All],[Event_No]],Event_Master[[#All],[Guest_Count]],,0)</f>
        <v>130</v>
      </c>
      <c r="G159" cm="1">
        <f t="array" ref="G159">Food_Orders[[#This Row],[Quantity_Orderd]]*_xlfn.XLOOKUP(Food_Orders[[#This Row],[Food_ID]],Food_Catalog[[#All],[Food_ID]],Food_Catalog[[#All],[Price_Per_Unit]],0,0)</f>
        <v>5200</v>
      </c>
      <c r="H159" cm="1">
        <f t="array" ref="H159">Food_Orders[[#This Row],[Quantity_Orderd]]*_xlfn.XLOOKUP(Food_Orders[[#This Row],[Food_ID]],Food_Catalog[[#All],[Food_ID]],Food_Catalog[[#All],[Client_Price_Per_Unit]],0,0)</f>
        <v>6240</v>
      </c>
      <c r="I159">
        <f>Food_Orders[[#This Row],[Client_Price]]-Food_Orders[[#This Row],[Cost]]</f>
        <v>1040</v>
      </c>
    </row>
    <row r="160" spans="1:9" x14ac:dyDescent="0.25">
      <c r="A160">
        <v>6</v>
      </c>
      <c r="B160" t="s">
        <v>31</v>
      </c>
      <c r="C160" t="s">
        <v>8</v>
      </c>
      <c r="D160" t="s">
        <v>32</v>
      </c>
      <c r="E160" t="s">
        <v>10</v>
      </c>
      <c r="F160" cm="1">
        <f t="array" ref="F160">_xlfn.XLOOKUP(Food_Orders[[#This Row],[Event_No]],Event_Master[[#All],[Event_No]],Event_Master[[#All],[Guest_Count]],,0)</f>
        <v>130</v>
      </c>
      <c r="G160" cm="1">
        <f t="array" ref="G160">Food_Orders[[#This Row],[Quantity_Orderd]]*_xlfn.XLOOKUP(Food_Orders[[#This Row],[Food_ID]],Food_Catalog[[#All],[Food_ID]],Food_Catalog[[#All],[Price_Per_Unit]],0,0)</f>
        <v>3900</v>
      </c>
      <c r="H160" cm="1">
        <f t="array" ref="H160">Food_Orders[[#This Row],[Quantity_Orderd]]*_xlfn.XLOOKUP(Food_Orders[[#This Row],[Food_ID]],Food_Catalog[[#All],[Food_ID]],Food_Catalog[[#All],[Client_Price_Per_Unit]],0,0)</f>
        <v>4680</v>
      </c>
      <c r="I160">
        <f>Food_Orders[[#This Row],[Client_Price]]-Food_Orders[[#This Row],[Cost]]</f>
        <v>780</v>
      </c>
    </row>
    <row r="161" spans="1:9" x14ac:dyDescent="0.25">
      <c r="A161">
        <v>6</v>
      </c>
      <c r="B161" t="s">
        <v>33</v>
      </c>
      <c r="C161" t="s">
        <v>8</v>
      </c>
      <c r="D161" t="s">
        <v>34</v>
      </c>
      <c r="E161" t="s">
        <v>10</v>
      </c>
      <c r="F161" cm="1">
        <f t="array" ref="F161">_xlfn.XLOOKUP(Food_Orders[[#This Row],[Event_No]],Event_Master[[#All],[Event_No]],Event_Master[[#All],[Guest_Count]],,0)</f>
        <v>130</v>
      </c>
      <c r="G161" cm="1">
        <f t="array" ref="G161">Food_Orders[[#This Row],[Quantity_Orderd]]*_xlfn.XLOOKUP(Food_Orders[[#This Row],[Food_ID]],Food_Catalog[[#All],[Food_ID]],Food_Catalog[[#All],[Price_Per_Unit]],0,0)</f>
        <v>3900</v>
      </c>
      <c r="H161" cm="1">
        <f t="array" ref="H161">Food_Orders[[#This Row],[Quantity_Orderd]]*_xlfn.XLOOKUP(Food_Orders[[#This Row],[Food_ID]],Food_Catalog[[#All],[Food_ID]],Food_Catalog[[#All],[Client_Price_Per_Unit]],0,0)</f>
        <v>4680</v>
      </c>
      <c r="I161">
        <f>Food_Orders[[#This Row],[Client_Price]]-Food_Orders[[#This Row],[Cost]]</f>
        <v>780</v>
      </c>
    </row>
    <row r="162" spans="1:9" x14ac:dyDescent="0.25">
      <c r="A162">
        <v>6</v>
      </c>
      <c r="B162" t="s">
        <v>17</v>
      </c>
      <c r="C162" t="s">
        <v>8</v>
      </c>
      <c r="D162" t="s">
        <v>18</v>
      </c>
      <c r="E162" t="s">
        <v>10</v>
      </c>
      <c r="F162" cm="1">
        <f t="array" ref="F162">_xlfn.XLOOKUP(Food_Orders[[#This Row],[Event_No]],Event_Master[[#All],[Event_No]],Event_Master[[#All],[Guest_Count]],,0)</f>
        <v>130</v>
      </c>
      <c r="G162" cm="1">
        <f t="array" ref="G162">Food_Orders[[#This Row],[Quantity_Orderd]]*_xlfn.XLOOKUP(Food_Orders[[#This Row],[Food_ID]],Food_Catalog[[#All],[Food_ID]],Food_Catalog[[#All],[Price_Per_Unit]],0,0)</f>
        <v>5200</v>
      </c>
      <c r="H162" cm="1">
        <f t="array" ref="H162">Food_Orders[[#This Row],[Quantity_Orderd]]*_xlfn.XLOOKUP(Food_Orders[[#This Row],[Food_ID]],Food_Catalog[[#All],[Food_ID]],Food_Catalog[[#All],[Client_Price_Per_Unit]],0,0)</f>
        <v>6240</v>
      </c>
      <c r="I162">
        <f>Food_Orders[[#This Row],[Client_Price]]-Food_Orders[[#This Row],[Cost]]</f>
        <v>1040</v>
      </c>
    </row>
    <row r="163" spans="1:9" x14ac:dyDescent="0.25">
      <c r="A163">
        <v>6</v>
      </c>
      <c r="B163" t="s">
        <v>29</v>
      </c>
      <c r="C163" t="s">
        <v>8</v>
      </c>
      <c r="D163" t="s">
        <v>30</v>
      </c>
      <c r="E163" t="s">
        <v>10</v>
      </c>
      <c r="F163" cm="1">
        <f t="array" ref="F163">_xlfn.XLOOKUP(Food_Orders[[#This Row],[Event_No]],Event_Master[[#All],[Event_No]],Event_Master[[#All],[Guest_Count]],,0)</f>
        <v>130</v>
      </c>
      <c r="G163" cm="1">
        <f t="array" ref="G163">Food_Orders[[#This Row],[Quantity_Orderd]]*_xlfn.XLOOKUP(Food_Orders[[#This Row],[Food_ID]],Food_Catalog[[#All],[Food_ID]],Food_Catalog[[#All],[Price_Per_Unit]],0,0)</f>
        <v>3900</v>
      </c>
      <c r="H163" cm="1">
        <f t="array" ref="H163">Food_Orders[[#This Row],[Quantity_Orderd]]*_xlfn.XLOOKUP(Food_Orders[[#This Row],[Food_ID]],Food_Catalog[[#All],[Food_ID]],Food_Catalog[[#All],[Client_Price_Per_Unit]],0,0)</f>
        <v>4680</v>
      </c>
      <c r="I163">
        <f>Food_Orders[[#This Row],[Client_Price]]-Food_Orders[[#This Row],[Cost]]</f>
        <v>780</v>
      </c>
    </row>
    <row r="164" spans="1:9" x14ac:dyDescent="0.25">
      <c r="A164">
        <v>6</v>
      </c>
      <c r="B164" t="s">
        <v>37</v>
      </c>
      <c r="C164" t="s">
        <v>8</v>
      </c>
      <c r="D164" t="s">
        <v>38</v>
      </c>
      <c r="E164" t="s">
        <v>10</v>
      </c>
      <c r="F164" cm="1">
        <f t="array" ref="F164">_xlfn.XLOOKUP(Food_Orders[[#This Row],[Event_No]],Event_Master[[#All],[Event_No]],Event_Master[[#All],[Guest_Count]],,0)</f>
        <v>130</v>
      </c>
      <c r="G164" cm="1">
        <f t="array" ref="G164">Food_Orders[[#This Row],[Quantity_Orderd]]*_xlfn.XLOOKUP(Food_Orders[[#This Row],[Food_ID]],Food_Catalog[[#All],[Food_ID]],Food_Catalog[[#All],[Price_Per_Unit]],0,0)</f>
        <v>3250</v>
      </c>
      <c r="H164" cm="1">
        <f t="array" ref="H164">Food_Orders[[#This Row],[Quantity_Orderd]]*_xlfn.XLOOKUP(Food_Orders[[#This Row],[Food_ID]],Food_Catalog[[#All],[Food_ID]],Food_Catalog[[#All],[Client_Price_Per_Unit]],0,0)</f>
        <v>3900</v>
      </c>
      <c r="I164">
        <f>Food_Orders[[#This Row],[Client_Price]]-Food_Orders[[#This Row],[Cost]]</f>
        <v>650</v>
      </c>
    </row>
    <row r="165" spans="1:9" x14ac:dyDescent="0.25">
      <c r="A165">
        <v>6</v>
      </c>
      <c r="B165" t="s">
        <v>82</v>
      </c>
      <c r="C165" t="s">
        <v>83</v>
      </c>
      <c r="D165" t="s">
        <v>84</v>
      </c>
      <c r="E165" t="s">
        <v>85</v>
      </c>
      <c r="F165" cm="1">
        <f t="array" ref="F165">_xlfn.XLOOKUP(Food_Orders[[#This Row],[Event_No]],Event_Master[[#All],[Event_No]],Event_Master[[#All],[Guest_Count]],,0)</f>
        <v>130</v>
      </c>
      <c r="G165" cm="1">
        <f t="array" ref="G165">Food_Orders[[#This Row],[Quantity_Orderd]]*_xlfn.XLOOKUP(Food_Orders[[#This Row],[Food_ID]],Food_Catalog[[#All],[Food_ID]],Food_Catalog[[#All],[Price_Per_Unit]],0,0)</f>
        <v>2600</v>
      </c>
      <c r="H165" cm="1">
        <f t="array" ref="H165">Food_Orders[[#This Row],[Quantity_Orderd]]*_xlfn.XLOOKUP(Food_Orders[[#This Row],[Food_ID]],Food_Catalog[[#All],[Food_ID]],Food_Catalog[[#All],[Client_Price_Per_Unit]],0,0)</f>
        <v>3120</v>
      </c>
      <c r="I165">
        <f>Food_Orders[[#This Row],[Client_Price]]-Food_Orders[[#This Row],[Cost]]</f>
        <v>520</v>
      </c>
    </row>
    <row r="166" spans="1:9" x14ac:dyDescent="0.25">
      <c r="A166">
        <v>6</v>
      </c>
      <c r="B166" t="s">
        <v>86</v>
      </c>
      <c r="C166" t="s">
        <v>83</v>
      </c>
      <c r="D166" t="s">
        <v>87</v>
      </c>
      <c r="E166" t="s">
        <v>85</v>
      </c>
      <c r="F166" cm="1">
        <f t="array" ref="F166">_xlfn.XLOOKUP(Food_Orders[[#This Row],[Event_No]],Event_Master[[#All],[Event_No]],Event_Master[[#All],[Guest_Count]],,0)</f>
        <v>130</v>
      </c>
      <c r="G166" cm="1">
        <f t="array" ref="G166">Food_Orders[[#This Row],[Quantity_Orderd]]*_xlfn.XLOOKUP(Food_Orders[[#This Row],[Food_ID]],Food_Catalog[[#All],[Food_ID]],Food_Catalog[[#All],[Price_Per_Unit]],0,0)</f>
        <v>2600</v>
      </c>
      <c r="H166" cm="1">
        <f t="array" ref="H166">Food_Orders[[#This Row],[Quantity_Orderd]]*_xlfn.XLOOKUP(Food_Orders[[#This Row],[Food_ID]],Food_Catalog[[#All],[Food_ID]],Food_Catalog[[#All],[Client_Price_Per_Unit]],0,0)</f>
        <v>3120</v>
      </c>
      <c r="I166">
        <f>Food_Orders[[#This Row],[Client_Price]]-Food_Orders[[#This Row],[Cost]]</f>
        <v>520</v>
      </c>
    </row>
    <row r="167" spans="1:9" x14ac:dyDescent="0.25">
      <c r="A167">
        <v>6</v>
      </c>
      <c r="B167" t="s">
        <v>96</v>
      </c>
      <c r="C167" t="s">
        <v>83</v>
      </c>
      <c r="D167" t="s">
        <v>97</v>
      </c>
      <c r="E167" t="s">
        <v>79</v>
      </c>
      <c r="F167" cm="1">
        <f t="array" ref="F167">_xlfn.XLOOKUP(Food_Orders[[#This Row],[Event_No]],Event_Master[[#All],[Event_No]],Event_Master[[#All],[Guest_Count]],,0)</f>
        <v>130</v>
      </c>
      <c r="G167" cm="1">
        <f t="array" ref="G167">Food_Orders[[#This Row],[Quantity_Orderd]]*_xlfn.XLOOKUP(Food_Orders[[#This Row],[Food_ID]],Food_Catalog[[#All],[Food_ID]],Food_Catalog[[#All],[Price_Per_Unit]],0,0)</f>
        <v>3900</v>
      </c>
      <c r="H167" cm="1">
        <f t="array" ref="H167">Food_Orders[[#This Row],[Quantity_Orderd]]*_xlfn.XLOOKUP(Food_Orders[[#This Row],[Food_ID]],Food_Catalog[[#All],[Food_ID]],Food_Catalog[[#All],[Client_Price_Per_Unit]],0,0)</f>
        <v>4680</v>
      </c>
      <c r="I167">
        <f>Food_Orders[[#This Row],[Client_Price]]-Food_Orders[[#This Row],[Cost]]</f>
        <v>780</v>
      </c>
    </row>
    <row r="168" spans="1:9" x14ac:dyDescent="0.25">
      <c r="A168">
        <v>6</v>
      </c>
      <c r="B168" t="s">
        <v>88</v>
      </c>
      <c r="C168" t="s">
        <v>83</v>
      </c>
      <c r="D168" t="s">
        <v>89</v>
      </c>
      <c r="E168" t="s">
        <v>85</v>
      </c>
      <c r="F168" cm="1">
        <f t="array" ref="F168">_xlfn.XLOOKUP(Food_Orders[[#This Row],[Event_No]],Event_Master[[#All],[Event_No]],Event_Master[[#All],[Guest_Count]],,0)</f>
        <v>130</v>
      </c>
      <c r="G168" cm="1">
        <f t="array" ref="G168">Food_Orders[[#This Row],[Quantity_Orderd]]*_xlfn.XLOOKUP(Food_Orders[[#This Row],[Food_ID]],Food_Catalog[[#All],[Food_ID]],Food_Catalog[[#All],[Price_Per_Unit]],0,0)</f>
        <v>1950</v>
      </c>
      <c r="H168" cm="1">
        <f t="array" ref="H168">Food_Orders[[#This Row],[Quantity_Orderd]]*_xlfn.XLOOKUP(Food_Orders[[#This Row],[Food_ID]],Food_Catalog[[#All],[Food_ID]],Food_Catalog[[#All],[Client_Price_Per_Unit]],0,0)</f>
        <v>2340</v>
      </c>
      <c r="I168">
        <f>Food_Orders[[#This Row],[Client_Price]]-Food_Orders[[#This Row],[Cost]]</f>
        <v>390</v>
      </c>
    </row>
    <row r="169" spans="1:9" x14ac:dyDescent="0.25">
      <c r="A169">
        <v>6</v>
      </c>
      <c r="B169" t="s">
        <v>92</v>
      </c>
      <c r="C169" t="s">
        <v>83</v>
      </c>
      <c r="D169" t="s">
        <v>93</v>
      </c>
      <c r="E169" t="s">
        <v>85</v>
      </c>
      <c r="F169" cm="1">
        <f t="array" ref="F169">_xlfn.XLOOKUP(Food_Orders[[#This Row],[Event_No]],Event_Master[[#All],[Event_No]],Event_Master[[#All],[Guest_Count]],,0)</f>
        <v>130</v>
      </c>
      <c r="G169" cm="1">
        <f t="array" ref="G169">Food_Orders[[#This Row],[Quantity_Orderd]]*_xlfn.XLOOKUP(Food_Orders[[#This Row],[Food_ID]],Food_Catalog[[#All],[Food_ID]],Food_Catalog[[#All],[Price_Per_Unit]],0,0)</f>
        <v>1950</v>
      </c>
      <c r="H169" cm="1">
        <f t="array" ref="H169">Food_Orders[[#This Row],[Quantity_Orderd]]*_xlfn.XLOOKUP(Food_Orders[[#This Row],[Food_ID]],Food_Catalog[[#All],[Food_ID]],Food_Catalog[[#All],[Client_Price_Per_Unit]],0,0)</f>
        <v>2340</v>
      </c>
      <c r="I169">
        <f>Food_Orders[[#This Row],[Client_Price]]-Food_Orders[[#This Row],[Cost]]</f>
        <v>390</v>
      </c>
    </row>
    <row r="170" spans="1:9" x14ac:dyDescent="0.25">
      <c r="A170">
        <v>6</v>
      </c>
      <c r="B170" t="s">
        <v>98</v>
      </c>
      <c r="C170" t="s">
        <v>83</v>
      </c>
      <c r="D170" t="s">
        <v>99</v>
      </c>
      <c r="E170" t="s">
        <v>85</v>
      </c>
      <c r="F170" cm="1">
        <f t="array" ref="F170">_xlfn.XLOOKUP(Food_Orders[[#This Row],[Event_No]],Event_Master[[#All],[Event_No]],Event_Master[[#All],[Guest_Count]],,0)</f>
        <v>130</v>
      </c>
      <c r="G170" cm="1">
        <f t="array" ref="G170">Food_Orders[[#This Row],[Quantity_Orderd]]*_xlfn.XLOOKUP(Food_Orders[[#This Row],[Food_ID]],Food_Catalog[[#All],[Food_ID]],Food_Catalog[[#All],[Price_Per_Unit]],0,0)</f>
        <v>1950</v>
      </c>
      <c r="H170" cm="1">
        <f t="array" ref="H170">Food_Orders[[#This Row],[Quantity_Orderd]]*_xlfn.XLOOKUP(Food_Orders[[#This Row],[Food_ID]],Food_Catalog[[#All],[Food_ID]],Food_Catalog[[#All],[Client_Price_Per_Unit]],0,0)</f>
        <v>2340</v>
      </c>
      <c r="I170">
        <f>Food_Orders[[#This Row],[Client_Price]]-Food_Orders[[#This Row],[Cost]]</f>
        <v>390</v>
      </c>
    </row>
    <row r="171" spans="1:9" x14ac:dyDescent="0.25">
      <c r="A171">
        <v>6</v>
      </c>
      <c r="B171" t="s">
        <v>104</v>
      </c>
      <c r="C171" t="s">
        <v>105</v>
      </c>
      <c r="D171" t="s">
        <v>106</v>
      </c>
      <c r="E171" t="s">
        <v>107</v>
      </c>
      <c r="F171" cm="1">
        <f t="array" ref="F171">_xlfn.XLOOKUP(Food_Orders[[#This Row],[Event_No]],Event_Master[[#All],[Event_No]],Event_Master[[#All],[Guest_Count]],,0)</f>
        <v>130</v>
      </c>
      <c r="G171" cm="1">
        <f t="array" ref="G171">Food_Orders[[#This Row],[Quantity_Orderd]]*_xlfn.XLOOKUP(Food_Orders[[#This Row],[Food_ID]],Food_Catalog[[#All],[Food_ID]],Food_Catalog[[#All],[Price_Per_Unit]],0,0)</f>
        <v>1300</v>
      </c>
      <c r="H171" cm="1">
        <f t="array" ref="H171">Food_Orders[[#This Row],[Quantity_Orderd]]*_xlfn.XLOOKUP(Food_Orders[[#This Row],[Food_ID]],Food_Catalog[[#All],[Food_ID]],Food_Catalog[[#All],[Client_Price_Per_Unit]],0,0)</f>
        <v>1560</v>
      </c>
      <c r="I171">
        <f>Food_Orders[[#This Row],[Client_Price]]-Food_Orders[[#This Row],[Cost]]</f>
        <v>260</v>
      </c>
    </row>
    <row r="172" spans="1:9" x14ac:dyDescent="0.25">
      <c r="A172">
        <v>6</v>
      </c>
      <c r="B172" t="s">
        <v>108</v>
      </c>
      <c r="C172" t="s">
        <v>105</v>
      </c>
      <c r="D172" t="s">
        <v>109</v>
      </c>
      <c r="E172" t="s">
        <v>107</v>
      </c>
      <c r="F172" cm="1">
        <f t="array" ref="F172">_xlfn.XLOOKUP(Food_Orders[[#This Row],[Event_No]],Event_Master[[#All],[Event_No]],Event_Master[[#All],[Guest_Count]],,0)</f>
        <v>130</v>
      </c>
      <c r="G172" cm="1">
        <f t="array" ref="G172">Food_Orders[[#This Row],[Quantity_Orderd]]*_xlfn.XLOOKUP(Food_Orders[[#This Row],[Food_ID]],Food_Catalog[[#All],[Food_ID]],Food_Catalog[[#All],[Price_Per_Unit]],0,0)</f>
        <v>1950</v>
      </c>
      <c r="H172" cm="1">
        <f t="array" ref="H172">Food_Orders[[#This Row],[Quantity_Orderd]]*_xlfn.XLOOKUP(Food_Orders[[#This Row],[Food_ID]],Food_Catalog[[#All],[Food_ID]],Food_Catalog[[#All],[Client_Price_Per_Unit]],0,0)</f>
        <v>2340</v>
      </c>
      <c r="I172">
        <f>Food_Orders[[#This Row],[Client_Price]]-Food_Orders[[#This Row],[Cost]]</f>
        <v>390</v>
      </c>
    </row>
    <row r="173" spans="1:9" x14ac:dyDescent="0.25">
      <c r="A173">
        <v>6</v>
      </c>
      <c r="B173" t="s">
        <v>118</v>
      </c>
      <c r="C173" t="s">
        <v>119</v>
      </c>
      <c r="D173" t="s">
        <v>120</v>
      </c>
      <c r="E173" t="s">
        <v>112</v>
      </c>
      <c r="F173" cm="1">
        <f t="array" ref="F173">_xlfn.XLOOKUP(Food_Orders[[#This Row],[Event_No]],Event_Master[[#All],[Event_No]],Event_Master[[#All],[Guest_Count]],,0)</f>
        <v>130</v>
      </c>
      <c r="G173" cm="1">
        <f t="array" ref="G173">Food_Orders[[#This Row],[Quantity_Orderd]]*_xlfn.XLOOKUP(Food_Orders[[#This Row],[Food_ID]],Food_Catalog[[#All],[Food_ID]],Food_Catalog[[#All],[Price_Per_Unit]],0,0)</f>
        <v>1300</v>
      </c>
      <c r="H173" cm="1">
        <f t="array" ref="H173">Food_Orders[[#This Row],[Quantity_Orderd]]*_xlfn.XLOOKUP(Food_Orders[[#This Row],[Food_ID]],Food_Catalog[[#All],[Food_ID]],Food_Catalog[[#All],[Client_Price_Per_Unit]],0,0)</f>
        <v>1560</v>
      </c>
      <c r="I173">
        <f>Food_Orders[[#This Row],[Client_Price]]-Food_Orders[[#This Row],[Cost]]</f>
        <v>260</v>
      </c>
    </row>
    <row r="174" spans="1:9" x14ac:dyDescent="0.25">
      <c r="A174">
        <v>6</v>
      </c>
      <c r="B174" t="s">
        <v>129</v>
      </c>
      <c r="C174" t="s">
        <v>119</v>
      </c>
      <c r="D174" t="s">
        <v>130</v>
      </c>
      <c r="E174" t="s">
        <v>112</v>
      </c>
      <c r="F174" cm="1">
        <f t="array" ref="F174">_xlfn.XLOOKUP(Food_Orders[[#This Row],[Event_No]],Event_Master[[#All],[Event_No]],Event_Master[[#All],[Guest_Count]],,0)</f>
        <v>130</v>
      </c>
      <c r="G174" cm="1">
        <f t="array" ref="G174">Food_Orders[[#This Row],[Quantity_Orderd]]*_xlfn.XLOOKUP(Food_Orders[[#This Row],[Food_ID]],Food_Catalog[[#All],[Food_ID]],Food_Catalog[[#All],[Price_Per_Unit]],0,0)</f>
        <v>1300</v>
      </c>
      <c r="H174" cm="1">
        <f t="array" ref="H174">Food_Orders[[#This Row],[Quantity_Orderd]]*_xlfn.XLOOKUP(Food_Orders[[#This Row],[Food_ID]],Food_Catalog[[#All],[Food_ID]],Food_Catalog[[#All],[Client_Price_Per_Unit]],0,0)</f>
        <v>1560</v>
      </c>
      <c r="I174">
        <f>Food_Orders[[#This Row],[Client_Price]]-Food_Orders[[#This Row],[Cost]]</f>
        <v>260</v>
      </c>
    </row>
    <row r="175" spans="1:9" x14ac:dyDescent="0.25">
      <c r="A175">
        <v>6</v>
      </c>
      <c r="B175" t="s">
        <v>127</v>
      </c>
      <c r="C175" t="s">
        <v>119</v>
      </c>
      <c r="D175" t="s">
        <v>128</v>
      </c>
      <c r="E175" t="s">
        <v>107</v>
      </c>
      <c r="F175" cm="1">
        <f t="array" ref="F175">_xlfn.XLOOKUP(Food_Orders[[#This Row],[Event_No]],Event_Master[[#All],[Event_No]],Event_Master[[#All],[Guest_Count]],,0)</f>
        <v>130</v>
      </c>
      <c r="G175" cm="1">
        <f t="array" ref="G175">Food_Orders[[#This Row],[Quantity_Orderd]]*_xlfn.XLOOKUP(Food_Orders[[#This Row],[Food_ID]],Food_Catalog[[#All],[Food_ID]],Food_Catalog[[#All],[Price_Per_Unit]],0,0)</f>
        <v>2600</v>
      </c>
      <c r="H175" cm="1">
        <f t="array" ref="H175">Food_Orders[[#This Row],[Quantity_Orderd]]*_xlfn.XLOOKUP(Food_Orders[[#This Row],[Food_ID]],Food_Catalog[[#All],[Food_ID]],Food_Catalog[[#All],[Client_Price_Per_Unit]],0,0)</f>
        <v>3120</v>
      </c>
      <c r="I175">
        <f>Food_Orders[[#This Row],[Client_Price]]-Food_Orders[[#This Row],[Cost]]</f>
        <v>520</v>
      </c>
    </row>
    <row r="176" spans="1:9" x14ac:dyDescent="0.25">
      <c r="A176">
        <v>6</v>
      </c>
      <c r="B176" t="s">
        <v>124</v>
      </c>
      <c r="C176" t="s">
        <v>119</v>
      </c>
      <c r="D176" t="s">
        <v>125</v>
      </c>
      <c r="E176" t="s">
        <v>126</v>
      </c>
      <c r="F176" cm="1">
        <f t="array" ref="F176">_xlfn.XLOOKUP(Food_Orders[[#This Row],[Event_No]],Event_Master[[#All],[Event_No]],Event_Master[[#All],[Guest_Count]],,0)</f>
        <v>130</v>
      </c>
      <c r="G176" cm="1">
        <f t="array" ref="G176">Food_Orders[[#This Row],[Quantity_Orderd]]*_xlfn.XLOOKUP(Food_Orders[[#This Row],[Food_ID]],Food_Catalog[[#All],[Food_ID]],Food_Catalog[[#All],[Price_Per_Unit]],0,0)</f>
        <v>2600</v>
      </c>
      <c r="H176" cm="1">
        <f t="array" ref="H176">Food_Orders[[#This Row],[Quantity_Orderd]]*_xlfn.XLOOKUP(Food_Orders[[#This Row],[Food_ID]],Food_Catalog[[#All],[Food_ID]],Food_Catalog[[#All],[Client_Price_Per_Unit]],0,0)</f>
        <v>3120</v>
      </c>
      <c r="I176">
        <f>Food_Orders[[#This Row],[Client_Price]]-Food_Orders[[#This Row],[Cost]]</f>
        <v>520</v>
      </c>
    </row>
    <row r="177" spans="1:9" x14ac:dyDescent="0.25">
      <c r="A177">
        <v>6</v>
      </c>
      <c r="B177" t="s">
        <v>121</v>
      </c>
      <c r="C177" t="s">
        <v>119</v>
      </c>
      <c r="D177" t="s">
        <v>122</v>
      </c>
      <c r="E177" t="s">
        <v>123</v>
      </c>
      <c r="F177" cm="1">
        <f t="array" ref="F177">_xlfn.XLOOKUP(Food_Orders[[#This Row],[Event_No]],Event_Master[[#All],[Event_No]],Event_Master[[#All],[Guest_Count]],,0)</f>
        <v>130</v>
      </c>
      <c r="G177" cm="1">
        <f t="array" ref="G177">Food_Orders[[#This Row],[Quantity_Orderd]]*_xlfn.XLOOKUP(Food_Orders[[#This Row],[Food_ID]],Food_Catalog[[#All],[Food_ID]],Food_Catalog[[#All],[Price_Per_Unit]],0,0)</f>
        <v>1300</v>
      </c>
      <c r="H177" cm="1">
        <f t="array" ref="H177">Food_Orders[[#This Row],[Quantity_Orderd]]*_xlfn.XLOOKUP(Food_Orders[[#This Row],[Food_ID]],Food_Catalog[[#All],[Food_ID]],Food_Catalog[[#All],[Client_Price_Per_Unit]],0,0)</f>
        <v>1560</v>
      </c>
      <c r="I177">
        <f>Food_Orders[[#This Row],[Client_Price]]-Food_Orders[[#This Row],[Cost]]</f>
        <v>260</v>
      </c>
    </row>
    <row r="178" spans="1:9" x14ac:dyDescent="0.25">
      <c r="A178">
        <v>7</v>
      </c>
      <c r="B178" t="s">
        <v>60</v>
      </c>
      <c r="C178" t="s">
        <v>61</v>
      </c>
      <c r="D178" t="s">
        <v>62</v>
      </c>
      <c r="E178" t="s">
        <v>10</v>
      </c>
      <c r="F178" cm="1">
        <f t="array" ref="F178">_xlfn.XLOOKUP(Food_Orders[[#This Row],[Event_No]],Event_Master[[#All],[Event_No]],Event_Master[[#All],[Guest_Count]],,0)</f>
        <v>250</v>
      </c>
      <c r="G178" cm="1">
        <f t="array" ref="G178">Food_Orders[[#This Row],[Quantity_Orderd]]*_xlfn.XLOOKUP(Food_Orders[[#This Row],[Food_ID]],Food_Catalog[[#All],[Food_ID]],Food_Catalog[[#All],[Price_Per_Unit]],0,0)</f>
        <v>5000</v>
      </c>
      <c r="H178" cm="1">
        <f t="array" ref="H178">Food_Orders[[#This Row],[Quantity_Orderd]]*_xlfn.XLOOKUP(Food_Orders[[#This Row],[Food_ID]],Food_Catalog[[#All],[Food_ID]],Food_Catalog[[#All],[Client_Price_Per_Unit]],0,0)</f>
        <v>6000</v>
      </c>
      <c r="I178">
        <f>Food_Orders[[#This Row],[Client_Price]]-Food_Orders[[#This Row],[Cost]]</f>
        <v>1000</v>
      </c>
    </row>
    <row r="179" spans="1:9" x14ac:dyDescent="0.25">
      <c r="A179">
        <v>7</v>
      </c>
      <c r="B179" t="s">
        <v>63</v>
      </c>
      <c r="C179" t="s">
        <v>61</v>
      </c>
      <c r="D179" t="s">
        <v>64</v>
      </c>
      <c r="E179" t="s">
        <v>10</v>
      </c>
      <c r="F179" cm="1">
        <f t="array" ref="F179">_xlfn.XLOOKUP(Food_Orders[[#This Row],[Event_No]],Event_Master[[#All],[Event_No]],Event_Master[[#All],[Guest_Count]],,0)</f>
        <v>250</v>
      </c>
      <c r="G179" cm="1">
        <f t="array" ref="G179">Food_Orders[[#This Row],[Quantity_Orderd]]*_xlfn.XLOOKUP(Food_Orders[[#This Row],[Food_ID]],Food_Catalog[[#All],[Food_ID]],Food_Catalog[[#All],[Price_Per_Unit]],0,0)</f>
        <v>7500</v>
      </c>
      <c r="H179" cm="1">
        <f t="array" ref="H179">Food_Orders[[#This Row],[Quantity_Orderd]]*_xlfn.XLOOKUP(Food_Orders[[#This Row],[Food_ID]],Food_Catalog[[#All],[Food_ID]],Food_Catalog[[#All],[Client_Price_Per_Unit]],0,0)</f>
        <v>9000</v>
      </c>
      <c r="I179">
        <f>Food_Orders[[#This Row],[Client_Price]]-Food_Orders[[#This Row],[Cost]]</f>
        <v>1500</v>
      </c>
    </row>
    <row r="180" spans="1:9" x14ac:dyDescent="0.25">
      <c r="A180">
        <v>7</v>
      </c>
      <c r="B180" t="s">
        <v>71</v>
      </c>
      <c r="C180" t="s">
        <v>61</v>
      </c>
      <c r="D180" t="s">
        <v>72</v>
      </c>
      <c r="E180" t="s">
        <v>10</v>
      </c>
      <c r="F180" cm="1">
        <f t="array" ref="F180">_xlfn.XLOOKUP(Food_Orders[[#This Row],[Event_No]],Event_Master[[#All],[Event_No]],Event_Master[[#All],[Guest_Count]],,0)</f>
        <v>250</v>
      </c>
      <c r="G180" cm="1">
        <f t="array" ref="G180">Food_Orders[[#This Row],[Quantity_Orderd]]*_xlfn.XLOOKUP(Food_Orders[[#This Row],[Food_ID]],Food_Catalog[[#All],[Food_ID]],Food_Catalog[[#All],[Price_Per_Unit]],0,0)</f>
        <v>6250</v>
      </c>
      <c r="H180" cm="1">
        <f t="array" ref="H180">Food_Orders[[#This Row],[Quantity_Orderd]]*_xlfn.XLOOKUP(Food_Orders[[#This Row],[Food_ID]],Food_Catalog[[#All],[Food_ID]],Food_Catalog[[#All],[Client_Price_Per_Unit]],0,0)</f>
        <v>7500</v>
      </c>
      <c r="I180">
        <f>Food_Orders[[#This Row],[Client_Price]]-Food_Orders[[#This Row],[Cost]]</f>
        <v>1250</v>
      </c>
    </row>
    <row r="181" spans="1:9" x14ac:dyDescent="0.25">
      <c r="A181">
        <v>7</v>
      </c>
      <c r="B181" t="s">
        <v>73</v>
      </c>
      <c r="C181" t="s">
        <v>61</v>
      </c>
      <c r="D181" t="s">
        <v>74</v>
      </c>
      <c r="E181" t="s">
        <v>10</v>
      </c>
      <c r="F181" cm="1">
        <f t="array" ref="F181">_xlfn.XLOOKUP(Food_Orders[[#This Row],[Event_No]],Event_Master[[#All],[Event_No]],Event_Master[[#All],[Guest_Count]],,0)</f>
        <v>250</v>
      </c>
      <c r="G181" cm="1">
        <f t="array" ref="G181">Food_Orders[[#This Row],[Quantity_Orderd]]*_xlfn.XLOOKUP(Food_Orders[[#This Row],[Food_ID]],Food_Catalog[[#All],[Food_ID]],Food_Catalog[[#All],[Price_Per_Unit]],0,0)</f>
        <v>10000</v>
      </c>
      <c r="H181" cm="1">
        <f t="array" ref="H181">Food_Orders[[#This Row],[Quantity_Orderd]]*_xlfn.XLOOKUP(Food_Orders[[#This Row],[Food_ID]],Food_Catalog[[#All],[Food_ID]],Food_Catalog[[#All],[Client_Price_Per_Unit]],0,0)</f>
        <v>12000</v>
      </c>
      <c r="I181">
        <f>Food_Orders[[#This Row],[Client_Price]]-Food_Orders[[#This Row],[Cost]]</f>
        <v>2000</v>
      </c>
    </row>
    <row r="182" spans="1:9" x14ac:dyDescent="0.25">
      <c r="A182">
        <v>7</v>
      </c>
      <c r="B182" t="s">
        <v>75</v>
      </c>
      <c r="C182" t="s">
        <v>61</v>
      </c>
      <c r="D182" t="s">
        <v>76</v>
      </c>
      <c r="E182" t="s">
        <v>10</v>
      </c>
      <c r="F182" cm="1">
        <f t="array" ref="F182">_xlfn.XLOOKUP(Food_Orders[[#This Row],[Event_No]],Event_Master[[#All],[Event_No]],Event_Master[[#All],[Guest_Count]],,0)</f>
        <v>250</v>
      </c>
      <c r="G182" cm="1">
        <f t="array" ref="G182">Food_Orders[[#This Row],[Quantity_Orderd]]*_xlfn.XLOOKUP(Food_Orders[[#This Row],[Food_ID]],Food_Catalog[[#All],[Food_ID]],Food_Catalog[[#All],[Price_Per_Unit]],0,0)</f>
        <v>10000</v>
      </c>
      <c r="H182" cm="1">
        <f t="array" ref="H182">Food_Orders[[#This Row],[Quantity_Orderd]]*_xlfn.XLOOKUP(Food_Orders[[#This Row],[Food_ID]],Food_Catalog[[#All],[Food_ID]],Food_Catalog[[#All],[Client_Price_Per_Unit]],0,0)</f>
        <v>12000</v>
      </c>
      <c r="I182">
        <f>Food_Orders[[#This Row],[Client_Price]]-Food_Orders[[#This Row],[Cost]]</f>
        <v>2000</v>
      </c>
    </row>
    <row r="183" spans="1:9" x14ac:dyDescent="0.25">
      <c r="A183">
        <v>7</v>
      </c>
      <c r="B183" t="s">
        <v>69</v>
      </c>
      <c r="C183" t="s">
        <v>61</v>
      </c>
      <c r="D183" t="s">
        <v>70</v>
      </c>
      <c r="E183" t="s">
        <v>10</v>
      </c>
      <c r="F183" cm="1">
        <f t="array" ref="F183">_xlfn.XLOOKUP(Food_Orders[[#This Row],[Event_No]],Event_Master[[#All],[Event_No]],Event_Master[[#All],[Guest_Count]],,0)</f>
        <v>250</v>
      </c>
      <c r="G183" cm="1">
        <f t="array" ref="G183">Food_Orders[[#This Row],[Quantity_Orderd]]*_xlfn.XLOOKUP(Food_Orders[[#This Row],[Food_ID]],Food_Catalog[[#All],[Food_ID]],Food_Catalog[[#All],[Price_Per_Unit]],0,0)</f>
        <v>12500</v>
      </c>
      <c r="H183" cm="1">
        <f t="array" ref="H183">Food_Orders[[#This Row],[Quantity_Orderd]]*_xlfn.XLOOKUP(Food_Orders[[#This Row],[Food_ID]],Food_Catalog[[#All],[Food_ID]],Food_Catalog[[#All],[Client_Price_Per_Unit]],0,0)</f>
        <v>15000</v>
      </c>
      <c r="I183">
        <f>Food_Orders[[#This Row],[Client_Price]]-Food_Orders[[#This Row],[Cost]]</f>
        <v>2500</v>
      </c>
    </row>
    <row r="184" spans="1:9" x14ac:dyDescent="0.25">
      <c r="A184">
        <v>7</v>
      </c>
      <c r="B184" t="s">
        <v>58</v>
      </c>
      <c r="C184" t="s">
        <v>40</v>
      </c>
      <c r="D184" t="s">
        <v>59</v>
      </c>
      <c r="E184" t="s">
        <v>10</v>
      </c>
      <c r="F184" cm="1">
        <f t="array" ref="F184">_xlfn.XLOOKUP(Food_Orders[[#This Row],[Event_No]],Event_Master[[#All],[Event_No]],Event_Master[[#All],[Guest_Count]],,0)</f>
        <v>250</v>
      </c>
      <c r="G184" cm="1">
        <f t="array" ref="G184">Food_Orders[[#This Row],[Quantity_Orderd]]*_xlfn.XLOOKUP(Food_Orders[[#This Row],[Food_ID]],Food_Catalog[[#All],[Food_ID]],Food_Catalog[[#All],[Price_Per_Unit]],0,0)</f>
        <v>22500</v>
      </c>
      <c r="H184" cm="1">
        <f t="array" ref="H184">Food_Orders[[#This Row],[Quantity_Orderd]]*_xlfn.XLOOKUP(Food_Orders[[#This Row],[Food_ID]],Food_Catalog[[#All],[Food_ID]],Food_Catalog[[#All],[Client_Price_Per_Unit]],0,0)</f>
        <v>27000</v>
      </c>
      <c r="I184">
        <f>Food_Orders[[#This Row],[Client_Price]]-Food_Orders[[#This Row],[Cost]]</f>
        <v>4500</v>
      </c>
    </row>
    <row r="185" spans="1:9" x14ac:dyDescent="0.25">
      <c r="A185">
        <v>7</v>
      </c>
      <c r="B185" t="s">
        <v>39</v>
      </c>
      <c r="C185" t="s">
        <v>40</v>
      </c>
      <c r="D185" t="s">
        <v>41</v>
      </c>
      <c r="E185" t="s">
        <v>10</v>
      </c>
      <c r="F185" cm="1">
        <f t="array" ref="F185">_xlfn.XLOOKUP(Food_Orders[[#This Row],[Event_No]],Event_Master[[#All],[Event_No]],Event_Master[[#All],[Guest_Count]],,0)</f>
        <v>250</v>
      </c>
      <c r="G185" cm="1">
        <f t="array" ref="G185">Food_Orders[[#This Row],[Quantity_Orderd]]*_xlfn.XLOOKUP(Food_Orders[[#This Row],[Food_ID]],Food_Catalog[[#All],[Food_ID]],Food_Catalog[[#All],[Price_Per_Unit]],0,0)</f>
        <v>15000</v>
      </c>
      <c r="H185" cm="1">
        <f t="array" ref="H185">Food_Orders[[#This Row],[Quantity_Orderd]]*_xlfn.XLOOKUP(Food_Orders[[#This Row],[Food_ID]],Food_Catalog[[#All],[Food_ID]],Food_Catalog[[#All],[Client_Price_Per_Unit]],0,0)</f>
        <v>18000</v>
      </c>
      <c r="I185">
        <f>Food_Orders[[#This Row],[Client_Price]]-Food_Orders[[#This Row],[Cost]]</f>
        <v>3000</v>
      </c>
    </row>
    <row r="186" spans="1:9" x14ac:dyDescent="0.25">
      <c r="A186">
        <v>7</v>
      </c>
      <c r="B186" t="s">
        <v>42</v>
      </c>
      <c r="C186" t="s">
        <v>40</v>
      </c>
      <c r="D186" t="s">
        <v>43</v>
      </c>
      <c r="E186" t="s">
        <v>10</v>
      </c>
      <c r="F186" cm="1">
        <f t="array" ref="F186">_xlfn.XLOOKUP(Food_Orders[[#This Row],[Event_No]],Event_Master[[#All],[Event_No]],Event_Master[[#All],[Guest_Count]],,0)</f>
        <v>250</v>
      </c>
      <c r="G186" cm="1">
        <f t="array" ref="G186">Food_Orders[[#This Row],[Quantity_Orderd]]*_xlfn.XLOOKUP(Food_Orders[[#This Row],[Food_ID]],Food_Catalog[[#All],[Food_ID]],Food_Catalog[[#All],[Price_Per_Unit]],0,0)</f>
        <v>17500</v>
      </c>
      <c r="H186" cm="1">
        <f t="array" ref="H186">Food_Orders[[#This Row],[Quantity_Orderd]]*_xlfn.XLOOKUP(Food_Orders[[#This Row],[Food_ID]],Food_Catalog[[#All],[Food_ID]],Food_Catalog[[#All],[Client_Price_Per_Unit]],0,0)</f>
        <v>21000</v>
      </c>
      <c r="I186">
        <f>Food_Orders[[#This Row],[Client_Price]]-Food_Orders[[#This Row],[Cost]]</f>
        <v>3500</v>
      </c>
    </row>
    <row r="187" spans="1:9" x14ac:dyDescent="0.25">
      <c r="A187">
        <v>7</v>
      </c>
      <c r="B187" t="s">
        <v>46</v>
      </c>
      <c r="C187" t="s">
        <v>40</v>
      </c>
      <c r="D187" t="s">
        <v>47</v>
      </c>
      <c r="E187" t="s">
        <v>10</v>
      </c>
      <c r="F187" cm="1">
        <f t="array" ref="F187">_xlfn.XLOOKUP(Food_Orders[[#This Row],[Event_No]],Event_Master[[#All],[Event_No]],Event_Master[[#All],[Guest_Count]],,0)</f>
        <v>250</v>
      </c>
      <c r="G187" cm="1">
        <f t="array" ref="G187">Food_Orders[[#This Row],[Quantity_Orderd]]*_xlfn.XLOOKUP(Food_Orders[[#This Row],[Food_ID]],Food_Catalog[[#All],[Food_ID]],Food_Catalog[[#All],[Price_Per_Unit]],0,0)</f>
        <v>22500</v>
      </c>
      <c r="H187" cm="1">
        <f t="array" ref="H187">Food_Orders[[#This Row],[Quantity_Orderd]]*_xlfn.XLOOKUP(Food_Orders[[#This Row],[Food_ID]],Food_Catalog[[#All],[Food_ID]],Food_Catalog[[#All],[Client_Price_Per_Unit]],0,0)</f>
        <v>27000</v>
      </c>
      <c r="I187">
        <f>Food_Orders[[#This Row],[Client_Price]]-Food_Orders[[#This Row],[Cost]]</f>
        <v>4500</v>
      </c>
    </row>
    <row r="188" spans="1:9" x14ac:dyDescent="0.25">
      <c r="A188">
        <v>7</v>
      </c>
      <c r="B188" t="s">
        <v>50</v>
      </c>
      <c r="C188" t="s">
        <v>40</v>
      </c>
      <c r="D188" t="s">
        <v>51</v>
      </c>
      <c r="E188" t="s">
        <v>10</v>
      </c>
      <c r="F188" cm="1">
        <f t="array" ref="F188">_xlfn.XLOOKUP(Food_Orders[[#This Row],[Event_No]],Event_Master[[#All],[Event_No]],Event_Master[[#All],[Guest_Count]],,0)</f>
        <v>250</v>
      </c>
      <c r="G188" cm="1">
        <f t="array" ref="G188">Food_Orders[[#This Row],[Quantity_Orderd]]*_xlfn.XLOOKUP(Food_Orders[[#This Row],[Food_ID]],Food_Catalog[[#All],[Food_ID]],Food_Catalog[[#All],[Price_Per_Unit]],0,0)</f>
        <v>20000</v>
      </c>
      <c r="H188" cm="1">
        <f t="array" ref="H188">Food_Orders[[#This Row],[Quantity_Orderd]]*_xlfn.XLOOKUP(Food_Orders[[#This Row],[Food_ID]],Food_Catalog[[#All],[Food_ID]],Food_Catalog[[#All],[Client_Price_Per_Unit]],0,0)</f>
        <v>24000</v>
      </c>
      <c r="I188">
        <f>Food_Orders[[#This Row],[Client_Price]]-Food_Orders[[#This Row],[Cost]]</f>
        <v>4000</v>
      </c>
    </row>
    <row r="189" spans="1:9" x14ac:dyDescent="0.25">
      <c r="A189">
        <v>7</v>
      </c>
      <c r="B189" t="s">
        <v>52</v>
      </c>
      <c r="C189" t="s">
        <v>40</v>
      </c>
      <c r="D189" t="s">
        <v>53</v>
      </c>
      <c r="E189" t="s">
        <v>10</v>
      </c>
      <c r="F189" cm="1">
        <f t="array" ref="F189">_xlfn.XLOOKUP(Food_Orders[[#This Row],[Event_No]],Event_Master[[#All],[Event_No]],Event_Master[[#All],[Guest_Count]],,0)</f>
        <v>250</v>
      </c>
      <c r="G189" cm="1">
        <f t="array" ref="G189">Food_Orders[[#This Row],[Quantity_Orderd]]*_xlfn.XLOOKUP(Food_Orders[[#This Row],[Food_ID]],Food_Catalog[[#All],[Food_ID]],Food_Catalog[[#All],[Price_Per_Unit]],0,0)</f>
        <v>25000</v>
      </c>
      <c r="H189" cm="1">
        <f t="array" ref="H189">Food_Orders[[#This Row],[Quantity_Orderd]]*_xlfn.XLOOKUP(Food_Orders[[#This Row],[Food_ID]],Food_Catalog[[#All],[Food_ID]],Food_Catalog[[#All],[Client_Price_Per_Unit]],0,0)</f>
        <v>30000</v>
      </c>
      <c r="I189">
        <f>Food_Orders[[#This Row],[Client_Price]]-Food_Orders[[#This Row],[Cost]]</f>
        <v>5000</v>
      </c>
    </row>
    <row r="190" spans="1:9" x14ac:dyDescent="0.25">
      <c r="A190">
        <v>7</v>
      </c>
      <c r="B190" t="s">
        <v>27</v>
      </c>
      <c r="C190" t="s">
        <v>8</v>
      </c>
      <c r="D190" t="s">
        <v>28</v>
      </c>
      <c r="E190" t="s">
        <v>10</v>
      </c>
      <c r="F190" cm="1">
        <f t="array" ref="F190">_xlfn.XLOOKUP(Food_Orders[[#This Row],[Event_No]],Event_Master[[#All],[Event_No]],Event_Master[[#All],[Guest_Count]],,0)</f>
        <v>250</v>
      </c>
      <c r="G190" cm="1">
        <f t="array" ref="G190">Food_Orders[[#This Row],[Quantity_Orderd]]*_xlfn.XLOOKUP(Food_Orders[[#This Row],[Food_ID]],Food_Catalog[[#All],[Food_ID]],Food_Catalog[[#All],[Price_Per_Unit]],0,0)</f>
        <v>10000</v>
      </c>
      <c r="H190" cm="1">
        <f t="array" ref="H190">Food_Orders[[#This Row],[Quantity_Orderd]]*_xlfn.XLOOKUP(Food_Orders[[#This Row],[Food_ID]],Food_Catalog[[#All],[Food_ID]],Food_Catalog[[#All],[Client_Price_Per_Unit]],0,0)</f>
        <v>12000</v>
      </c>
      <c r="I190">
        <f>Food_Orders[[#This Row],[Client_Price]]-Food_Orders[[#This Row],[Cost]]</f>
        <v>2000</v>
      </c>
    </row>
    <row r="191" spans="1:9" x14ac:dyDescent="0.25">
      <c r="A191">
        <v>7</v>
      </c>
      <c r="B191" t="s">
        <v>17</v>
      </c>
      <c r="C191" t="s">
        <v>8</v>
      </c>
      <c r="D191" t="s">
        <v>18</v>
      </c>
      <c r="E191" t="s">
        <v>10</v>
      </c>
      <c r="F191" cm="1">
        <f t="array" ref="F191">_xlfn.XLOOKUP(Food_Orders[[#This Row],[Event_No]],Event_Master[[#All],[Event_No]],Event_Master[[#All],[Guest_Count]],,0)</f>
        <v>250</v>
      </c>
      <c r="G191" cm="1">
        <f t="array" ref="G191">Food_Orders[[#This Row],[Quantity_Orderd]]*_xlfn.XLOOKUP(Food_Orders[[#This Row],[Food_ID]],Food_Catalog[[#All],[Food_ID]],Food_Catalog[[#All],[Price_Per_Unit]],0,0)</f>
        <v>10000</v>
      </c>
      <c r="H191" cm="1">
        <f t="array" ref="H191">Food_Orders[[#This Row],[Quantity_Orderd]]*_xlfn.XLOOKUP(Food_Orders[[#This Row],[Food_ID]],Food_Catalog[[#All],[Food_ID]],Food_Catalog[[#All],[Client_Price_Per_Unit]],0,0)</f>
        <v>12000</v>
      </c>
      <c r="I191">
        <f>Food_Orders[[#This Row],[Client_Price]]-Food_Orders[[#This Row],[Cost]]</f>
        <v>2000</v>
      </c>
    </row>
    <row r="192" spans="1:9" x14ac:dyDescent="0.25">
      <c r="A192">
        <v>7</v>
      </c>
      <c r="B192" t="s">
        <v>29</v>
      </c>
      <c r="C192" t="s">
        <v>8</v>
      </c>
      <c r="D192" t="s">
        <v>30</v>
      </c>
      <c r="E192" t="s">
        <v>10</v>
      </c>
      <c r="F192" cm="1">
        <f t="array" ref="F192">_xlfn.XLOOKUP(Food_Orders[[#This Row],[Event_No]],Event_Master[[#All],[Event_No]],Event_Master[[#All],[Guest_Count]],,0)</f>
        <v>250</v>
      </c>
      <c r="G192" cm="1">
        <f t="array" ref="G192">Food_Orders[[#This Row],[Quantity_Orderd]]*_xlfn.XLOOKUP(Food_Orders[[#This Row],[Food_ID]],Food_Catalog[[#All],[Food_ID]],Food_Catalog[[#All],[Price_Per_Unit]],0,0)</f>
        <v>7500</v>
      </c>
      <c r="H192" cm="1">
        <f t="array" ref="H192">Food_Orders[[#This Row],[Quantity_Orderd]]*_xlfn.XLOOKUP(Food_Orders[[#This Row],[Food_ID]],Food_Catalog[[#All],[Food_ID]],Food_Catalog[[#All],[Client_Price_Per_Unit]],0,0)</f>
        <v>9000</v>
      </c>
      <c r="I192">
        <f>Food_Orders[[#This Row],[Client_Price]]-Food_Orders[[#This Row],[Cost]]</f>
        <v>1500</v>
      </c>
    </row>
    <row r="193" spans="1:9" x14ac:dyDescent="0.25">
      <c r="A193">
        <v>7</v>
      </c>
      <c r="B193" t="s">
        <v>37</v>
      </c>
      <c r="C193" t="s">
        <v>8</v>
      </c>
      <c r="D193" t="s">
        <v>38</v>
      </c>
      <c r="E193" t="s">
        <v>10</v>
      </c>
      <c r="F193" cm="1">
        <f t="array" ref="F193">_xlfn.XLOOKUP(Food_Orders[[#This Row],[Event_No]],Event_Master[[#All],[Event_No]],Event_Master[[#All],[Guest_Count]],,0)</f>
        <v>250</v>
      </c>
      <c r="G193" cm="1">
        <f t="array" ref="G193">Food_Orders[[#This Row],[Quantity_Orderd]]*_xlfn.XLOOKUP(Food_Orders[[#This Row],[Food_ID]],Food_Catalog[[#All],[Food_ID]],Food_Catalog[[#All],[Price_Per_Unit]],0,0)</f>
        <v>6250</v>
      </c>
      <c r="H193" cm="1">
        <f t="array" ref="H193">Food_Orders[[#This Row],[Quantity_Orderd]]*_xlfn.XLOOKUP(Food_Orders[[#This Row],[Food_ID]],Food_Catalog[[#All],[Food_ID]],Food_Catalog[[#All],[Client_Price_Per_Unit]],0,0)</f>
        <v>7500</v>
      </c>
      <c r="I193">
        <f>Food_Orders[[#This Row],[Client_Price]]-Food_Orders[[#This Row],[Cost]]</f>
        <v>1250</v>
      </c>
    </row>
    <row r="194" spans="1:9" x14ac:dyDescent="0.25">
      <c r="A194">
        <v>7</v>
      </c>
      <c r="B194" t="s">
        <v>82</v>
      </c>
      <c r="C194" t="s">
        <v>83</v>
      </c>
      <c r="D194" t="s">
        <v>84</v>
      </c>
      <c r="E194" t="s">
        <v>85</v>
      </c>
      <c r="F194" cm="1">
        <f t="array" ref="F194">_xlfn.XLOOKUP(Food_Orders[[#This Row],[Event_No]],Event_Master[[#All],[Event_No]],Event_Master[[#All],[Guest_Count]],,0)</f>
        <v>250</v>
      </c>
      <c r="G194" cm="1">
        <f t="array" ref="G194">Food_Orders[[#This Row],[Quantity_Orderd]]*_xlfn.XLOOKUP(Food_Orders[[#This Row],[Food_ID]],Food_Catalog[[#All],[Food_ID]],Food_Catalog[[#All],[Price_Per_Unit]],0,0)</f>
        <v>5000</v>
      </c>
      <c r="H194" cm="1">
        <f t="array" ref="H194">Food_Orders[[#This Row],[Quantity_Orderd]]*_xlfn.XLOOKUP(Food_Orders[[#This Row],[Food_ID]],Food_Catalog[[#All],[Food_ID]],Food_Catalog[[#All],[Client_Price_Per_Unit]],0,0)</f>
        <v>6000</v>
      </c>
      <c r="I194">
        <f>Food_Orders[[#This Row],[Client_Price]]-Food_Orders[[#This Row],[Cost]]</f>
        <v>1000</v>
      </c>
    </row>
    <row r="195" spans="1:9" x14ac:dyDescent="0.25">
      <c r="A195">
        <v>7</v>
      </c>
      <c r="B195" t="s">
        <v>86</v>
      </c>
      <c r="C195" t="s">
        <v>83</v>
      </c>
      <c r="D195" t="s">
        <v>87</v>
      </c>
      <c r="E195" t="s">
        <v>85</v>
      </c>
      <c r="F195" cm="1">
        <f t="array" ref="F195">_xlfn.XLOOKUP(Food_Orders[[#This Row],[Event_No]],Event_Master[[#All],[Event_No]],Event_Master[[#All],[Guest_Count]],,0)</f>
        <v>250</v>
      </c>
      <c r="G195" cm="1">
        <f t="array" ref="G195">Food_Orders[[#This Row],[Quantity_Orderd]]*_xlfn.XLOOKUP(Food_Orders[[#This Row],[Food_ID]],Food_Catalog[[#All],[Food_ID]],Food_Catalog[[#All],[Price_Per_Unit]],0,0)</f>
        <v>5000</v>
      </c>
      <c r="H195" cm="1">
        <f t="array" ref="H195">Food_Orders[[#This Row],[Quantity_Orderd]]*_xlfn.XLOOKUP(Food_Orders[[#This Row],[Food_ID]],Food_Catalog[[#All],[Food_ID]],Food_Catalog[[#All],[Client_Price_Per_Unit]],0,0)</f>
        <v>6000</v>
      </c>
      <c r="I195">
        <f>Food_Orders[[#This Row],[Client_Price]]-Food_Orders[[#This Row],[Cost]]</f>
        <v>1000</v>
      </c>
    </row>
    <row r="196" spans="1:9" x14ac:dyDescent="0.25">
      <c r="A196">
        <v>7</v>
      </c>
      <c r="B196" t="s">
        <v>96</v>
      </c>
      <c r="C196" t="s">
        <v>83</v>
      </c>
      <c r="D196" t="s">
        <v>97</v>
      </c>
      <c r="E196" t="s">
        <v>79</v>
      </c>
      <c r="F196" cm="1">
        <f t="array" ref="F196">_xlfn.XLOOKUP(Food_Orders[[#This Row],[Event_No]],Event_Master[[#All],[Event_No]],Event_Master[[#All],[Guest_Count]],,0)</f>
        <v>250</v>
      </c>
      <c r="G196" cm="1">
        <f t="array" ref="G196">Food_Orders[[#This Row],[Quantity_Orderd]]*_xlfn.XLOOKUP(Food_Orders[[#This Row],[Food_ID]],Food_Catalog[[#All],[Food_ID]],Food_Catalog[[#All],[Price_Per_Unit]],0,0)</f>
        <v>7500</v>
      </c>
      <c r="H196" cm="1">
        <f t="array" ref="H196">Food_Orders[[#This Row],[Quantity_Orderd]]*_xlfn.XLOOKUP(Food_Orders[[#This Row],[Food_ID]],Food_Catalog[[#All],[Food_ID]],Food_Catalog[[#All],[Client_Price_Per_Unit]],0,0)</f>
        <v>9000</v>
      </c>
      <c r="I196">
        <f>Food_Orders[[#This Row],[Client_Price]]-Food_Orders[[#This Row],[Cost]]</f>
        <v>1500</v>
      </c>
    </row>
    <row r="197" spans="1:9" x14ac:dyDescent="0.25">
      <c r="A197">
        <v>7</v>
      </c>
      <c r="B197" t="s">
        <v>100</v>
      </c>
      <c r="C197" t="s">
        <v>83</v>
      </c>
      <c r="D197" t="s">
        <v>101</v>
      </c>
      <c r="E197" t="s">
        <v>79</v>
      </c>
      <c r="F197" cm="1">
        <f t="array" ref="F197">_xlfn.XLOOKUP(Food_Orders[[#This Row],[Event_No]],Event_Master[[#All],[Event_No]],Event_Master[[#All],[Guest_Count]],,0)</f>
        <v>250</v>
      </c>
      <c r="G197" cm="1">
        <f t="array" ref="G197">Food_Orders[[#This Row],[Quantity_Orderd]]*_xlfn.XLOOKUP(Food_Orders[[#This Row],[Food_ID]],Food_Catalog[[#All],[Food_ID]],Food_Catalog[[#All],[Price_Per_Unit]],0,0)</f>
        <v>8750</v>
      </c>
      <c r="H197" cm="1">
        <f t="array" ref="H197">Food_Orders[[#This Row],[Quantity_Orderd]]*_xlfn.XLOOKUP(Food_Orders[[#This Row],[Food_ID]],Food_Catalog[[#All],[Food_ID]],Food_Catalog[[#All],[Client_Price_Per_Unit]],0,0)</f>
        <v>10500</v>
      </c>
      <c r="I197">
        <f>Food_Orders[[#This Row],[Client_Price]]-Food_Orders[[#This Row],[Cost]]</f>
        <v>1750</v>
      </c>
    </row>
    <row r="198" spans="1:9" x14ac:dyDescent="0.25">
      <c r="A198">
        <v>7</v>
      </c>
      <c r="B198" t="s">
        <v>92</v>
      </c>
      <c r="C198" t="s">
        <v>83</v>
      </c>
      <c r="D198" t="s">
        <v>93</v>
      </c>
      <c r="E198" t="s">
        <v>85</v>
      </c>
      <c r="F198" cm="1">
        <f t="array" ref="F198">_xlfn.XLOOKUP(Food_Orders[[#This Row],[Event_No]],Event_Master[[#All],[Event_No]],Event_Master[[#All],[Guest_Count]],,0)</f>
        <v>250</v>
      </c>
      <c r="G198" cm="1">
        <f t="array" ref="G198">Food_Orders[[#This Row],[Quantity_Orderd]]*_xlfn.XLOOKUP(Food_Orders[[#This Row],[Food_ID]],Food_Catalog[[#All],[Food_ID]],Food_Catalog[[#All],[Price_Per_Unit]],0,0)</f>
        <v>3750</v>
      </c>
      <c r="H198" cm="1">
        <f t="array" ref="H198">Food_Orders[[#This Row],[Quantity_Orderd]]*_xlfn.XLOOKUP(Food_Orders[[#This Row],[Food_ID]],Food_Catalog[[#All],[Food_ID]],Food_Catalog[[#All],[Client_Price_Per_Unit]],0,0)</f>
        <v>4500</v>
      </c>
      <c r="I198">
        <f>Food_Orders[[#This Row],[Client_Price]]-Food_Orders[[#This Row],[Cost]]</f>
        <v>750</v>
      </c>
    </row>
    <row r="199" spans="1:9" x14ac:dyDescent="0.25">
      <c r="A199">
        <v>7</v>
      </c>
      <c r="B199" t="s">
        <v>98</v>
      </c>
      <c r="C199" t="s">
        <v>83</v>
      </c>
      <c r="D199" t="s">
        <v>99</v>
      </c>
      <c r="E199" t="s">
        <v>85</v>
      </c>
      <c r="F199" cm="1">
        <f t="array" ref="F199">_xlfn.XLOOKUP(Food_Orders[[#This Row],[Event_No]],Event_Master[[#All],[Event_No]],Event_Master[[#All],[Guest_Count]],,0)</f>
        <v>250</v>
      </c>
      <c r="G199" cm="1">
        <f t="array" ref="G199">Food_Orders[[#This Row],[Quantity_Orderd]]*_xlfn.XLOOKUP(Food_Orders[[#This Row],[Food_ID]],Food_Catalog[[#All],[Food_ID]],Food_Catalog[[#All],[Price_Per_Unit]],0,0)</f>
        <v>3750</v>
      </c>
      <c r="H199" cm="1">
        <f t="array" ref="H199">Food_Orders[[#This Row],[Quantity_Orderd]]*_xlfn.XLOOKUP(Food_Orders[[#This Row],[Food_ID]],Food_Catalog[[#All],[Food_ID]],Food_Catalog[[#All],[Client_Price_Per_Unit]],0,0)</f>
        <v>4500</v>
      </c>
      <c r="I199">
        <f>Food_Orders[[#This Row],[Client_Price]]-Food_Orders[[#This Row],[Cost]]</f>
        <v>750</v>
      </c>
    </row>
    <row r="200" spans="1:9" x14ac:dyDescent="0.25">
      <c r="A200">
        <v>7</v>
      </c>
      <c r="B200" t="s">
        <v>104</v>
      </c>
      <c r="C200" t="s">
        <v>105</v>
      </c>
      <c r="D200" t="s">
        <v>106</v>
      </c>
      <c r="E200" t="s">
        <v>107</v>
      </c>
      <c r="F200" cm="1">
        <f t="array" ref="F200">_xlfn.XLOOKUP(Food_Orders[[#This Row],[Event_No]],Event_Master[[#All],[Event_No]],Event_Master[[#All],[Guest_Count]],,0)</f>
        <v>250</v>
      </c>
      <c r="G200" cm="1">
        <f t="array" ref="G200">Food_Orders[[#This Row],[Quantity_Orderd]]*_xlfn.XLOOKUP(Food_Orders[[#This Row],[Food_ID]],Food_Catalog[[#All],[Food_ID]],Food_Catalog[[#All],[Price_Per_Unit]],0,0)</f>
        <v>2500</v>
      </c>
      <c r="H200" cm="1">
        <f t="array" ref="H200">Food_Orders[[#This Row],[Quantity_Orderd]]*_xlfn.XLOOKUP(Food_Orders[[#This Row],[Food_ID]],Food_Catalog[[#All],[Food_ID]],Food_Catalog[[#All],[Client_Price_Per_Unit]],0,0)</f>
        <v>3000</v>
      </c>
      <c r="I200">
        <f>Food_Orders[[#This Row],[Client_Price]]-Food_Orders[[#This Row],[Cost]]</f>
        <v>500</v>
      </c>
    </row>
    <row r="201" spans="1:9" x14ac:dyDescent="0.25">
      <c r="A201">
        <v>7</v>
      </c>
      <c r="B201" t="s">
        <v>108</v>
      </c>
      <c r="C201" t="s">
        <v>105</v>
      </c>
      <c r="D201" t="s">
        <v>109</v>
      </c>
      <c r="E201" t="s">
        <v>107</v>
      </c>
      <c r="F201" cm="1">
        <f t="array" ref="F201">_xlfn.XLOOKUP(Food_Orders[[#This Row],[Event_No]],Event_Master[[#All],[Event_No]],Event_Master[[#All],[Guest_Count]],,0)</f>
        <v>250</v>
      </c>
      <c r="G201" cm="1">
        <f t="array" ref="G201">Food_Orders[[#This Row],[Quantity_Orderd]]*_xlfn.XLOOKUP(Food_Orders[[#This Row],[Food_ID]],Food_Catalog[[#All],[Food_ID]],Food_Catalog[[#All],[Price_Per_Unit]],0,0)</f>
        <v>3750</v>
      </c>
      <c r="H201" cm="1">
        <f t="array" ref="H201">Food_Orders[[#This Row],[Quantity_Orderd]]*_xlfn.XLOOKUP(Food_Orders[[#This Row],[Food_ID]],Food_Catalog[[#All],[Food_ID]],Food_Catalog[[#All],[Client_Price_Per_Unit]],0,0)</f>
        <v>4500</v>
      </c>
      <c r="I201">
        <f>Food_Orders[[#This Row],[Client_Price]]-Food_Orders[[#This Row],[Cost]]</f>
        <v>750</v>
      </c>
    </row>
    <row r="202" spans="1:9" x14ac:dyDescent="0.25">
      <c r="A202">
        <v>7</v>
      </c>
      <c r="B202" t="s">
        <v>118</v>
      </c>
      <c r="C202" t="s">
        <v>119</v>
      </c>
      <c r="D202" t="s">
        <v>120</v>
      </c>
      <c r="E202" t="s">
        <v>112</v>
      </c>
      <c r="F202" cm="1">
        <f t="array" ref="F202">_xlfn.XLOOKUP(Food_Orders[[#This Row],[Event_No]],Event_Master[[#All],[Event_No]],Event_Master[[#All],[Guest_Count]],,0)</f>
        <v>250</v>
      </c>
      <c r="G202" cm="1">
        <f t="array" ref="G202">Food_Orders[[#This Row],[Quantity_Orderd]]*_xlfn.XLOOKUP(Food_Orders[[#This Row],[Food_ID]],Food_Catalog[[#All],[Food_ID]],Food_Catalog[[#All],[Price_Per_Unit]],0,0)</f>
        <v>2500</v>
      </c>
      <c r="H202" cm="1">
        <f t="array" ref="H202">Food_Orders[[#This Row],[Quantity_Orderd]]*_xlfn.XLOOKUP(Food_Orders[[#This Row],[Food_ID]],Food_Catalog[[#All],[Food_ID]],Food_Catalog[[#All],[Client_Price_Per_Unit]],0,0)</f>
        <v>3000</v>
      </c>
      <c r="I202">
        <f>Food_Orders[[#This Row],[Client_Price]]-Food_Orders[[#This Row],[Cost]]</f>
        <v>500</v>
      </c>
    </row>
    <row r="203" spans="1:9" x14ac:dyDescent="0.25">
      <c r="A203">
        <v>7</v>
      </c>
      <c r="B203" t="s">
        <v>129</v>
      </c>
      <c r="C203" t="s">
        <v>119</v>
      </c>
      <c r="D203" t="s">
        <v>130</v>
      </c>
      <c r="E203" t="s">
        <v>112</v>
      </c>
      <c r="F203" cm="1">
        <f t="array" ref="F203">_xlfn.XLOOKUP(Food_Orders[[#This Row],[Event_No]],Event_Master[[#All],[Event_No]],Event_Master[[#All],[Guest_Count]],,0)</f>
        <v>250</v>
      </c>
      <c r="G203" cm="1">
        <f t="array" ref="G203">Food_Orders[[#This Row],[Quantity_Orderd]]*_xlfn.XLOOKUP(Food_Orders[[#This Row],[Food_ID]],Food_Catalog[[#All],[Food_ID]],Food_Catalog[[#All],[Price_Per_Unit]],0,0)</f>
        <v>2500</v>
      </c>
      <c r="H203" cm="1">
        <f t="array" ref="H203">Food_Orders[[#This Row],[Quantity_Orderd]]*_xlfn.XLOOKUP(Food_Orders[[#This Row],[Food_ID]],Food_Catalog[[#All],[Food_ID]],Food_Catalog[[#All],[Client_Price_Per_Unit]],0,0)</f>
        <v>3000</v>
      </c>
      <c r="I203">
        <f>Food_Orders[[#This Row],[Client_Price]]-Food_Orders[[#This Row],[Cost]]</f>
        <v>500</v>
      </c>
    </row>
    <row r="204" spans="1:9" x14ac:dyDescent="0.25">
      <c r="A204">
        <v>7</v>
      </c>
      <c r="B204" t="s">
        <v>127</v>
      </c>
      <c r="C204" t="s">
        <v>119</v>
      </c>
      <c r="D204" t="s">
        <v>128</v>
      </c>
      <c r="E204" t="s">
        <v>107</v>
      </c>
      <c r="F204" cm="1">
        <f t="array" ref="F204">_xlfn.XLOOKUP(Food_Orders[[#This Row],[Event_No]],Event_Master[[#All],[Event_No]],Event_Master[[#All],[Guest_Count]],,0)</f>
        <v>250</v>
      </c>
      <c r="G204" cm="1">
        <f t="array" ref="G204">Food_Orders[[#This Row],[Quantity_Orderd]]*_xlfn.XLOOKUP(Food_Orders[[#This Row],[Food_ID]],Food_Catalog[[#All],[Food_ID]],Food_Catalog[[#All],[Price_Per_Unit]],0,0)</f>
        <v>5000</v>
      </c>
      <c r="H204" cm="1">
        <f t="array" ref="H204">Food_Orders[[#This Row],[Quantity_Orderd]]*_xlfn.XLOOKUP(Food_Orders[[#This Row],[Food_ID]],Food_Catalog[[#All],[Food_ID]],Food_Catalog[[#All],[Client_Price_Per_Unit]],0,0)</f>
        <v>6000</v>
      </c>
      <c r="I204">
        <f>Food_Orders[[#This Row],[Client_Price]]-Food_Orders[[#This Row],[Cost]]</f>
        <v>1000</v>
      </c>
    </row>
    <row r="205" spans="1:9" x14ac:dyDescent="0.25">
      <c r="A205">
        <v>7</v>
      </c>
      <c r="B205" t="s">
        <v>124</v>
      </c>
      <c r="C205" t="s">
        <v>119</v>
      </c>
      <c r="D205" t="s">
        <v>125</v>
      </c>
      <c r="E205" t="s">
        <v>126</v>
      </c>
      <c r="F205" cm="1">
        <f t="array" ref="F205">_xlfn.XLOOKUP(Food_Orders[[#This Row],[Event_No]],Event_Master[[#All],[Event_No]],Event_Master[[#All],[Guest_Count]],,0)</f>
        <v>250</v>
      </c>
      <c r="G205" cm="1">
        <f t="array" ref="G205">Food_Orders[[#This Row],[Quantity_Orderd]]*_xlfn.XLOOKUP(Food_Orders[[#This Row],[Food_ID]],Food_Catalog[[#All],[Food_ID]],Food_Catalog[[#All],[Price_Per_Unit]],0,0)</f>
        <v>5000</v>
      </c>
      <c r="H205" cm="1">
        <f t="array" ref="H205">Food_Orders[[#This Row],[Quantity_Orderd]]*_xlfn.XLOOKUP(Food_Orders[[#This Row],[Food_ID]],Food_Catalog[[#All],[Food_ID]],Food_Catalog[[#All],[Client_Price_Per_Unit]],0,0)</f>
        <v>6000</v>
      </c>
      <c r="I205">
        <f>Food_Orders[[#This Row],[Client_Price]]-Food_Orders[[#This Row],[Cost]]</f>
        <v>1000</v>
      </c>
    </row>
    <row r="206" spans="1:9" x14ac:dyDescent="0.25">
      <c r="A206">
        <v>7</v>
      </c>
      <c r="B206" t="s">
        <v>121</v>
      </c>
      <c r="C206" t="s">
        <v>119</v>
      </c>
      <c r="D206" t="s">
        <v>122</v>
      </c>
      <c r="E206" t="s">
        <v>123</v>
      </c>
      <c r="F206" cm="1">
        <f t="array" ref="F206">_xlfn.XLOOKUP(Food_Orders[[#This Row],[Event_No]],Event_Master[[#All],[Event_No]],Event_Master[[#All],[Guest_Count]],,0)</f>
        <v>250</v>
      </c>
      <c r="G206" cm="1">
        <f t="array" ref="G206">Food_Orders[[#This Row],[Quantity_Orderd]]*_xlfn.XLOOKUP(Food_Orders[[#This Row],[Food_ID]],Food_Catalog[[#All],[Food_ID]],Food_Catalog[[#All],[Price_Per_Unit]],0,0)</f>
        <v>2500</v>
      </c>
      <c r="H206" cm="1">
        <f t="array" ref="H206">Food_Orders[[#This Row],[Quantity_Orderd]]*_xlfn.XLOOKUP(Food_Orders[[#This Row],[Food_ID]],Food_Catalog[[#All],[Food_ID]],Food_Catalog[[#All],[Client_Price_Per_Unit]],0,0)</f>
        <v>3000</v>
      </c>
      <c r="I206">
        <f>Food_Orders[[#This Row],[Client_Price]]-Food_Orders[[#This Row],[Cost]]</f>
        <v>500</v>
      </c>
    </row>
    <row r="207" spans="1:9" x14ac:dyDescent="0.25">
      <c r="A207">
        <v>8</v>
      </c>
      <c r="B207" t="s">
        <v>60</v>
      </c>
      <c r="C207" t="s">
        <v>61</v>
      </c>
      <c r="D207" t="s">
        <v>62</v>
      </c>
      <c r="E207" t="s">
        <v>10</v>
      </c>
      <c r="F207" cm="1">
        <f t="array" ref="F207">_xlfn.XLOOKUP(Food_Orders[[#This Row],[Event_No]],Event_Master[[#All],[Event_No]],Event_Master[[#All],[Guest_Count]],,0)</f>
        <v>300</v>
      </c>
      <c r="G207" cm="1">
        <f t="array" ref="G207">Food_Orders[[#This Row],[Quantity_Orderd]]*_xlfn.XLOOKUP(Food_Orders[[#This Row],[Food_ID]],Food_Catalog[[#All],[Food_ID]],Food_Catalog[[#All],[Price_Per_Unit]],0,0)</f>
        <v>6000</v>
      </c>
      <c r="H207" cm="1">
        <f t="array" ref="H207">Food_Orders[[#This Row],[Quantity_Orderd]]*_xlfn.XLOOKUP(Food_Orders[[#This Row],[Food_ID]],Food_Catalog[[#All],[Food_ID]],Food_Catalog[[#All],[Client_Price_Per_Unit]],0,0)</f>
        <v>7200</v>
      </c>
      <c r="I207">
        <f>Food_Orders[[#This Row],[Client_Price]]-Food_Orders[[#This Row],[Cost]]</f>
        <v>1200</v>
      </c>
    </row>
    <row r="208" spans="1:9" x14ac:dyDescent="0.25">
      <c r="A208">
        <v>8</v>
      </c>
      <c r="B208" t="s">
        <v>63</v>
      </c>
      <c r="C208" t="s">
        <v>61</v>
      </c>
      <c r="D208" t="s">
        <v>64</v>
      </c>
      <c r="E208" t="s">
        <v>10</v>
      </c>
      <c r="F208" cm="1">
        <f t="array" ref="F208">_xlfn.XLOOKUP(Food_Orders[[#This Row],[Event_No]],Event_Master[[#All],[Event_No]],Event_Master[[#All],[Guest_Count]],,0)</f>
        <v>300</v>
      </c>
      <c r="G208" cm="1">
        <f t="array" ref="G208">Food_Orders[[#This Row],[Quantity_Orderd]]*_xlfn.XLOOKUP(Food_Orders[[#This Row],[Food_ID]],Food_Catalog[[#All],[Food_ID]],Food_Catalog[[#All],[Price_Per_Unit]],0,0)</f>
        <v>9000</v>
      </c>
      <c r="H208" cm="1">
        <f t="array" ref="H208">Food_Orders[[#This Row],[Quantity_Orderd]]*_xlfn.XLOOKUP(Food_Orders[[#This Row],[Food_ID]],Food_Catalog[[#All],[Food_ID]],Food_Catalog[[#All],[Client_Price_Per_Unit]],0,0)</f>
        <v>10800</v>
      </c>
      <c r="I208">
        <f>Food_Orders[[#This Row],[Client_Price]]-Food_Orders[[#This Row],[Cost]]</f>
        <v>1800</v>
      </c>
    </row>
    <row r="209" spans="1:9" x14ac:dyDescent="0.25">
      <c r="A209">
        <v>8</v>
      </c>
      <c r="B209" t="s">
        <v>71</v>
      </c>
      <c r="C209" t="s">
        <v>61</v>
      </c>
      <c r="D209" t="s">
        <v>72</v>
      </c>
      <c r="E209" t="s">
        <v>10</v>
      </c>
      <c r="F209" cm="1">
        <f t="array" ref="F209">_xlfn.XLOOKUP(Food_Orders[[#This Row],[Event_No]],Event_Master[[#All],[Event_No]],Event_Master[[#All],[Guest_Count]],,0)</f>
        <v>300</v>
      </c>
      <c r="G209" cm="1">
        <f t="array" ref="G209">Food_Orders[[#This Row],[Quantity_Orderd]]*_xlfn.XLOOKUP(Food_Orders[[#This Row],[Food_ID]],Food_Catalog[[#All],[Food_ID]],Food_Catalog[[#All],[Price_Per_Unit]],0,0)</f>
        <v>7500</v>
      </c>
      <c r="H209" cm="1">
        <f t="array" ref="H209">Food_Orders[[#This Row],[Quantity_Orderd]]*_xlfn.XLOOKUP(Food_Orders[[#This Row],[Food_ID]],Food_Catalog[[#All],[Food_ID]],Food_Catalog[[#All],[Client_Price_Per_Unit]],0,0)</f>
        <v>9000</v>
      </c>
      <c r="I209">
        <f>Food_Orders[[#This Row],[Client_Price]]-Food_Orders[[#This Row],[Cost]]</f>
        <v>1500</v>
      </c>
    </row>
    <row r="210" spans="1:9" x14ac:dyDescent="0.25">
      <c r="A210">
        <v>8</v>
      </c>
      <c r="B210" t="s">
        <v>73</v>
      </c>
      <c r="C210" t="s">
        <v>61</v>
      </c>
      <c r="D210" t="s">
        <v>74</v>
      </c>
      <c r="E210" t="s">
        <v>10</v>
      </c>
      <c r="F210" cm="1">
        <f t="array" ref="F210">_xlfn.XLOOKUP(Food_Orders[[#This Row],[Event_No]],Event_Master[[#All],[Event_No]],Event_Master[[#All],[Guest_Count]],,0)</f>
        <v>300</v>
      </c>
      <c r="G210" cm="1">
        <f t="array" ref="G210">Food_Orders[[#This Row],[Quantity_Orderd]]*_xlfn.XLOOKUP(Food_Orders[[#This Row],[Food_ID]],Food_Catalog[[#All],[Food_ID]],Food_Catalog[[#All],[Price_Per_Unit]],0,0)</f>
        <v>12000</v>
      </c>
      <c r="H210" cm="1">
        <f t="array" ref="H210">Food_Orders[[#This Row],[Quantity_Orderd]]*_xlfn.XLOOKUP(Food_Orders[[#This Row],[Food_ID]],Food_Catalog[[#All],[Food_ID]],Food_Catalog[[#All],[Client_Price_Per_Unit]],0,0)</f>
        <v>14400</v>
      </c>
      <c r="I210">
        <f>Food_Orders[[#This Row],[Client_Price]]-Food_Orders[[#This Row],[Cost]]</f>
        <v>2400</v>
      </c>
    </row>
    <row r="211" spans="1:9" x14ac:dyDescent="0.25">
      <c r="A211">
        <v>8</v>
      </c>
      <c r="B211" t="s">
        <v>75</v>
      </c>
      <c r="C211" t="s">
        <v>61</v>
      </c>
      <c r="D211" t="s">
        <v>76</v>
      </c>
      <c r="E211" t="s">
        <v>10</v>
      </c>
      <c r="F211" cm="1">
        <f t="array" ref="F211">_xlfn.XLOOKUP(Food_Orders[[#This Row],[Event_No]],Event_Master[[#All],[Event_No]],Event_Master[[#All],[Guest_Count]],,0)</f>
        <v>300</v>
      </c>
      <c r="G211" cm="1">
        <f t="array" ref="G211">Food_Orders[[#This Row],[Quantity_Orderd]]*_xlfn.XLOOKUP(Food_Orders[[#This Row],[Food_ID]],Food_Catalog[[#All],[Food_ID]],Food_Catalog[[#All],[Price_Per_Unit]],0,0)</f>
        <v>12000</v>
      </c>
      <c r="H211" cm="1">
        <f t="array" ref="H211">Food_Orders[[#This Row],[Quantity_Orderd]]*_xlfn.XLOOKUP(Food_Orders[[#This Row],[Food_ID]],Food_Catalog[[#All],[Food_ID]],Food_Catalog[[#All],[Client_Price_Per_Unit]],0,0)</f>
        <v>14400</v>
      </c>
      <c r="I211">
        <f>Food_Orders[[#This Row],[Client_Price]]-Food_Orders[[#This Row],[Cost]]</f>
        <v>2400</v>
      </c>
    </row>
    <row r="212" spans="1:9" x14ac:dyDescent="0.25">
      <c r="A212">
        <v>8</v>
      </c>
      <c r="B212" t="s">
        <v>69</v>
      </c>
      <c r="C212" t="s">
        <v>61</v>
      </c>
      <c r="D212" t="s">
        <v>70</v>
      </c>
      <c r="E212" t="s">
        <v>10</v>
      </c>
      <c r="F212" cm="1">
        <f t="array" ref="F212">_xlfn.XLOOKUP(Food_Orders[[#This Row],[Event_No]],Event_Master[[#All],[Event_No]],Event_Master[[#All],[Guest_Count]],,0)</f>
        <v>300</v>
      </c>
      <c r="G212" cm="1">
        <f t="array" ref="G212">Food_Orders[[#This Row],[Quantity_Orderd]]*_xlfn.XLOOKUP(Food_Orders[[#This Row],[Food_ID]],Food_Catalog[[#All],[Food_ID]],Food_Catalog[[#All],[Price_Per_Unit]],0,0)</f>
        <v>15000</v>
      </c>
      <c r="H212" cm="1">
        <f t="array" ref="H212">Food_Orders[[#This Row],[Quantity_Orderd]]*_xlfn.XLOOKUP(Food_Orders[[#This Row],[Food_ID]],Food_Catalog[[#All],[Food_ID]],Food_Catalog[[#All],[Client_Price_Per_Unit]],0,0)</f>
        <v>18000</v>
      </c>
      <c r="I212">
        <f>Food_Orders[[#This Row],[Client_Price]]-Food_Orders[[#This Row],[Cost]]</f>
        <v>3000</v>
      </c>
    </row>
    <row r="213" spans="1:9" x14ac:dyDescent="0.25">
      <c r="A213">
        <v>8</v>
      </c>
      <c r="B213" t="s">
        <v>58</v>
      </c>
      <c r="C213" t="s">
        <v>40</v>
      </c>
      <c r="D213" t="s">
        <v>59</v>
      </c>
      <c r="E213" t="s">
        <v>10</v>
      </c>
      <c r="F213" cm="1">
        <f t="array" ref="F213">_xlfn.XLOOKUP(Food_Orders[[#This Row],[Event_No]],Event_Master[[#All],[Event_No]],Event_Master[[#All],[Guest_Count]],,0)</f>
        <v>300</v>
      </c>
      <c r="G213" cm="1">
        <f t="array" ref="G213">Food_Orders[[#This Row],[Quantity_Orderd]]*_xlfn.XLOOKUP(Food_Orders[[#This Row],[Food_ID]],Food_Catalog[[#All],[Food_ID]],Food_Catalog[[#All],[Price_Per_Unit]],0,0)</f>
        <v>27000</v>
      </c>
      <c r="H213" cm="1">
        <f t="array" ref="H213">Food_Orders[[#This Row],[Quantity_Orderd]]*_xlfn.XLOOKUP(Food_Orders[[#This Row],[Food_ID]],Food_Catalog[[#All],[Food_ID]],Food_Catalog[[#All],[Client_Price_Per_Unit]],0,0)</f>
        <v>32400</v>
      </c>
      <c r="I213">
        <f>Food_Orders[[#This Row],[Client_Price]]-Food_Orders[[#This Row],[Cost]]</f>
        <v>5400</v>
      </c>
    </row>
    <row r="214" spans="1:9" x14ac:dyDescent="0.25">
      <c r="A214">
        <v>8</v>
      </c>
      <c r="B214" t="s">
        <v>39</v>
      </c>
      <c r="C214" t="s">
        <v>40</v>
      </c>
      <c r="D214" t="s">
        <v>41</v>
      </c>
      <c r="E214" t="s">
        <v>10</v>
      </c>
      <c r="F214" cm="1">
        <f t="array" ref="F214">_xlfn.XLOOKUP(Food_Orders[[#This Row],[Event_No]],Event_Master[[#All],[Event_No]],Event_Master[[#All],[Guest_Count]],,0)</f>
        <v>300</v>
      </c>
      <c r="G214" cm="1">
        <f t="array" ref="G214">Food_Orders[[#This Row],[Quantity_Orderd]]*_xlfn.XLOOKUP(Food_Orders[[#This Row],[Food_ID]],Food_Catalog[[#All],[Food_ID]],Food_Catalog[[#All],[Price_Per_Unit]],0,0)</f>
        <v>18000</v>
      </c>
      <c r="H214" cm="1">
        <f t="array" ref="H214">Food_Orders[[#This Row],[Quantity_Orderd]]*_xlfn.XLOOKUP(Food_Orders[[#This Row],[Food_ID]],Food_Catalog[[#All],[Food_ID]],Food_Catalog[[#All],[Client_Price_Per_Unit]],0,0)</f>
        <v>21600</v>
      </c>
      <c r="I214">
        <f>Food_Orders[[#This Row],[Client_Price]]-Food_Orders[[#This Row],[Cost]]</f>
        <v>3600</v>
      </c>
    </row>
    <row r="215" spans="1:9" x14ac:dyDescent="0.25">
      <c r="A215">
        <v>8</v>
      </c>
      <c r="B215" t="s">
        <v>42</v>
      </c>
      <c r="C215" t="s">
        <v>40</v>
      </c>
      <c r="D215" t="s">
        <v>43</v>
      </c>
      <c r="E215" t="s">
        <v>10</v>
      </c>
      <c r="F215" cm="1">
        <f t="array" ref="F215">_xlfn.XLOOKUP(Food_Orders[[#This Row],[Event_No]],Event_Master[[#All],[Event_No]],Event_Master[[#All],[Guest_Count]],,0)</f>
        <v>300</v>
      </c>
      <c r="G215" cm="1">
        <f t="array" ref="G215">Food_Orders[[#This Row],[Quantity_Orderd]]*_xlfn.XLOOKUP(Food_Orders[[#This Row],[Food_ID]],Food_Catalog[[#All],[Food_ID]],Food_Catalog[[#All],[Price_Per_Unit]],0,0)</f>
        <v>21000</v>
      </c>
      <c r="H215" cm="1">
        <f t="array" ref="H215">Food_Orders[[#This Row],[Quantity_Orderd]]*_xlfn.XLOOKUP(Food_Orders[[#This Row],[Food_ID]],Food_Catalog[[#All],[Food_ID]],Food_Catalog[[#All],[Client_Price_Per_Unit]],0,0)</f>
        <v>25200</v>
      </c>
      <c r="I215">
        <f>Food_Orders[[#This Row],[Client_Price]]-Food_Orders[[#This Row],[Cost]]</f>
        <v>4200</v>
      </c>
    </row>
    <row r="216" spans="1:9" x14ac:dyDescent="0.25">
      <c r="A216">
        <v>8</v>
      </c>
      <c r="B216" t="s">
        <v>46</v>
      </c>
      <c r="C216" t="s">
        <v>40</v>
      </c>
      <c r="D216" t="s">
        <v>47</v>
      </c>
      <c r="E216" t="s">
        <v>10</v>
      </c>
      <c r="F216" cm="1">
        <f t="array" ref="F216">_xlfn.XLOOKUP(Food_Orders[[#This Row],[Event_No]],Event_Master[[#All],[Event_No]],Event_Master[[#All],[Guest_Count]],,0)</f>
        <v>300</v>
      </c>
      <c r="G216" cm="1">
        <f t="array" ref="G216">Food_Orders[[#This Row],[Quantity_Orderd]]*_xlfn.XLOOKUP(Food_Orders[[#This Row],[Food_ID]],Food_Catalog[[#All],[Food_ID]],Food_Catalog[[#All],[Price_Per_Unit]],0,0)</f>
        <v>27000</v>
      </c>
      <c r="H216" cm="1">
        <f t="array" ref="H216">Food_Orders[[#This Row],[Quantity_Orderd]]*_xlfn.XLOOKUP(Food_Orders[[#This Row],[Food_ID]],Food_Catalog[[#All],[Food_ID]],Food_Catalog[[#All],[Client_Price_Per_Unit]],0,0)</f>
        <v>32400</v>
      </c>
      <c r="I216">
        <f>Food_Orders[[#This Row],[Client_Price]]-Food_Orders[[#This Row],[Cost]]</f>
        <v>5400</v>
      </c>
    </row>
    <row r="217" spans="1:9" x14ac:dyDescent="0.25">
      <c r="A217">
        <v>8</v>
      </c>
      <c r="B217" t="s">
        <v>50</v>
      </c>
      <c r="C217" t="s">
        <v>40</v>
      </c>
      <c r="D217" t="s">
        <v>51</v>
      </c>
      <c r="E217" t="s">
        <v>10</v>
      </c>
      <c r="F217" cm="1">
        <f t="array" ref="F217">_xlfn.XLOOKUP(Food_Orders[[#This Row],[Event_No]],Event_Master[[#All],[Event_No]],Event_Master[[#All],[Guest_Count]],,0)</f>
        <v>300</v>
      </c>
      <c r="G217" cm="1">
        <f t="array" ref="G217">Food_Orders[[#This Row],[Quantity_Orderd]]*_xlfn.XLOOKUP(Food_Orders[[#This Row],[Food_ID]],Food_Catalog[[#All],[Food_ID]],Food_Catalog[[#All],[Price_Per_Unit]],0,0)</f>
        <v>24000</v>
      </c>
      <c r="H217" cm="1">
        <f t="array" ref="H217">Food_Orders[[#This Row],[Quantity_Orderd]]*_xlfn.XLOOKUP(Food_Orders[[#This Row],[Food_ID]],Food_Catalog[[#All],[Food_ID]],Food_Catalog[[#All],[Client_Price_Per_Unit]],0,0)</f>
        <v>28800</v>
      </c>
      <c r="I217">
        <f>Food_Orders[[#This Row],[Client_Price]]-Food_Orders[[#This Row],[Cost]]</f>
        <v>4800</v>
      </c>
    </row>
    <row r="218" spans="1:9" x14ac:dyDescent="0.25">
      <c r="A218">
        <v>8</v>
      </c>
      <c r="B218" t="s">
        <v>52</v>
      </c>
      <c r="C218" t="s">
        <v>40</v>
      </c>
      <c r="D218" t="s">
        <v>53</v>
      </c>
      <c r="E218" t="s">
        <v>10</v>
      </c>
      <c r="F218" cm="1">
        <f t="array" ref="F218">_xlfn.XLOOKUP(Food_Orders[[#This Row],[Event_No]],Event_Master[[#All],[Event_No]],Event_Master[[#All],[Guest_Count]],,0)</f>
        <v>300</v>
      </c>
      <c r="G218" cm="1">
        <f t="array" ref="G218">Food_Orders[[#This Row],[Quantity_Orderd]]*_xlfn.XLOOKUP(Food_Orders[[#This Row],[Food_ID]],Food_Catalog[[#All],[Food_ID]],Food_Catalog[[#All],[Price_Per_Unit]],0,0)</f>
        <v>30000</v>
      </c>
      <c r="H218" cm="1">
        <f t="array" ref="H218">Food_Orders[[#This Row],[Quantity_Orderd]]*_xlfn.XLOOKUP(Food_Orders[[#This Row],[Food_ID]],Food_Catalog[[#All],[Food_ID]],Food_Catalog[[#All],[Client_Price_Per_Unit]],0,0)</f>
        <v>36000</v>
      </c>
      <c r="I218">
        <f>Food_Orders[[#This Row],[Client_Price]]-Food_Orders[[#This Row],[Cost]]</f>
        <v>6000</v>
      </c>
    </row>
    <row r="219" spans="1:9" x14ac:dyDescent="0.25">
      <c r="A219">
        <v>8</v>
      </c>
      <c r="B219" t="s">
        <v>7</v>
      </c>
      <c r="C219" t="s">
        <v>8</v>
      </c>
      <c r="D219" t="s">
        <v>9</v>
      </c>
      <c r="E219" t="s">
        <v>10</v>
      </c>
      <c r="F219" cm="1">
        <f t="array" ref="F219">_xlfn.XLOOKUP(Food_Orders[[#This Row],[Event_No]],Event_Master[[#All],[Event_No]],Event_Master[[#All],[Guest_Count]],,0)</f>
        <v>300</v>
      </c>
      <c r="G219" cm="1">
        <f t="array" ref="G219">Food_Orders[[#This Row],[Quantity_Orderd]]*_xlfn.XLOOKUP(Food_Orders[[#This Row],[Food_ID]],Food_Catalog[[#All],[Food_ID]],Food_Catalog[[#All],[Price_Per_Unit]],0,0)</f>
        <v>7500</v>
      </c>
      <c r="H219" cm="1">
        <f t="array" ref="H219">Food_Orders[[#This Row],[Quantity_Orderd]]*_xlfn.XLOOKUP(Food_Orders[[#This Row],[Food_ID]],Food_Catalog[[#All],[Food_ID]],Food_Catalog[[#All],[Client_Price_Per_Unit]],0,0)</f>
        <v>9000</v>
      </c>
      <c r="I219">
        <f>Food_Orders[[#This Row],[Client_Price]]-Food_Orders[[#This Row],[Cost]]</f>
        <v>1500</v>
      </c>
    </row>
    <row r="220" spans="1:9" x14ac:dyDescent="0.25">
      <c r="A220">
        <v>8</v>
      </c>
      <c r="B220" t="s">
        <v>13</v>
      </c>
      <c r="C220" t="s">
        <v>8</v>
      </c>
      <c r="D220" t="s">
        <v>14</v>
      </c>
      <c r="E220" t="s">
        <v>10</v>
      </c>
      <c r="F220" cm="1">
        <f t="array" ref="F220">_xlfn.XLOOKUP(Food_Orders[[#This Row],[Event_No]],Event_Master[[#All],[Event_No]],Event_Master[[#All],[Guest_Count]],,0)</f>
        <v>300</v>
      </c>
      <c r="G220" cm="1">
        <f t="array" ref="G220">Food_Orders[[#This Row],[Quantity_Orderd]]*_xlfn.XLOOKUP(Food_Orders[[#This Row],[Food_ID]],Food_Catalog[[#All],[Food_ID]],Food_Catalog[[#All],[Price_Per_Unit]],0,0)</f>
        <v>10500</v>
      </c>
      <c r="H220" cm="1">
        <f t="array" ref="H220">Food_Orders[[#This Row],[Quantity_Orderd]]*_xlfn.XLOOKUP(Food_Orders[[#This Row],[Food_ID]],Food_Catalog[[#All],[Food_ID]],Food_Catalog[[#All],[Client_Price_Per_Unit]],0,0)</f>
        <v>12600</v>
      </c>
      <c r="I220">
        <f>Food_Orders[[#This Row],[Client_Price]]-Food_Orders[[#This Row],[Cost]]</f>
        <v>2100</v>
      </c>
    </row>
    <row r="221" spans="1:9" x14ac:dyDescent="0.25">
      <c r="A221">
        <v>8</v>
      </c>
      <c r="B221" t="s">
        <v>27</v>
      </c>
      <c r="C221" t="s">
        <v>8</v>
      </c>
      <c r="D221" t="s">
        <v>28</v>
      </c>
      <c r="E221" t="s">
        <v>10</v>
      </c>
      <c r="F221" cm="1">
        <f t="array" ref="F221">_xlfn.XLOOKUP(Food_Orders[[#This Row],[Event_No]],Event_Master[[#All],[Event_No]],Event_Master[[#All],[Guest_Count]],,0)</f>
        <v>300</v>
      </c>
      <c r="G221" cm="1">
        <f t="array" ref="G221">Food_Orders[[#This Row],[Quantity_Orderd]]*_xlfn.XLOOKUP(Food_Orders[[#This Row],[Food_ID]],Food_Catalog[[#All],[Food_ID]],Food_Catalog[[#All],[Price_Per_Unit]],0,0)</f>
        <v>12000</v>
      </c>
      <c r="H221" cm="1">
        <f t="array" ref="H221">Food_Orders[[#This Row],[Quantity_Orderd]]*_xlfn.XLOOKUP(Food_Orders[[#This Row],[Food_ID]],Food_Catalog[[#All],[Food_ID]],Food_Catalog[[#All],[Client_Price_Per_Unit]],0,0)</f>
        <v>14400</v>
      </c>
      <c r="I221">
        <f>Food_Orders[[#This Row],[Client_Price]]-Food_Orders[[#This Row],[Cost]]</f>
        <v>2400</v>
      </c>
    </row>
    <row r="222" spans="1:9" x14ac:dyDescent="0.25">
      <c r="A222">
        <v>8</v>
      </c>
      <c r="B222" t="s">
        <v>17</v>
      </c>
      <c r="C222" t="s">
        <v>8</v>
      </c>
      <c r="D222" t="s">
        <v>18</v>
      </c>
      <c r="E222" t="s">
        <v>10</v>
      </c>
      <c r="F222" cm="1">
        <f t="array" ref="F222">_xlfn.XLOOKUP(Food_Orders[[#This Row],[Event_No]],Event_Master[[#All],[Event_No]],Event_Master[[#All],[Guest_Count]],,0)</f>
        <v>300</v>
      </c>
      <c r="G222" cm="1">
        <f t="array" ref="G222">Food_Orders[[#This Row],[Quantity_Orderd]]*_xlfn.XLOOKUP(Food_Orders[[#This Row],[Food_ID]],Food_Catalog[[#All],[Food_ID]],Food_Catalog[[#All],[Price_Per_Unit]],0,0)</f>
        <v>12000</v>
      </c>
      <c r="H222" cm="1">
        <f t="array" ref="H222">Food_Orders[[#This Row],[Quantity_Orderd]]*_xlfn.XLOOKUP(Food_Orders[[#This Row],[Food_ID]],Food_Catalog[[#All],[Food_ID]],Food_Catalog[[#All],[Client_Price_Per_Unit]],0,0)</f>
        <v>14400</v>
      </c>
      <c r="I222">
        <f>Food_Orders[[#This Row],[Client_Price]]-Food_Orders[[#This Row],[Cost]]</f>
        <v>2400</v>
      </c>
    </row>
    <row r="223" spans="1:9" x14ac:dyDescent="0.25">
      <c r="A223">
        <v>8</v>
      </c>
      <c r="B223" t="s">
        <v>29</v>
      </c>
      <c r="C223" t="s">
        <v>8</v>
      </c>
      <c r="D223" t="s">
        <v>30</v>
      </c>
      <c r="E223" t="s">
        <v>10</v>
      </c>
      <c r="F223" cm="1">
        <f t="array" ref="F223">_xlfn.XLOOKUP(Food_Orders[[#This Row],[Event_No]],Event_Master[[#All],[Event_No]],Event_Master[[#All],[Guest_Count]],,0)</f>
        <v>300</v>
      </c>
      <c r="G223" cm="1">
        <f t="array" ref="G223">Food_Orders[[#This Row],[Quantity_Orderd]]*_xlfn.XLOOKUP(Food_Orders[[#This Row],[Food_ID]],Food_Catalog[[#All],[Food_ID]],Food_Catalog[[#All],[Price_Per_Unit]],0,0)</f>
        <v>9000</v>
      </c>
      <c r="H223" cm="1">
        <f t="array" ref="H223">Food_Orders[[#This Row],[Quantity_Orderd]]*_xlfn.XLOOKUP(Food_Orders[[#This Row],[Food_ID]],Food_Catalog[[#All],[Food_ID]],Food_Catalog[[#All],[Client_Price_Per_Unit]],0,0)</f>
        <v>10800</v>
      </c>
      <c r="I223">
        <f>Food_Orders[[#This Row],[Client_Price]]-Food_Orders[[#This Row],[Cost]]</f>
        <v>1800</v>
      </c>
    </row>
    <row r="224" spans="1:9" x14ac:dyDescent="0.25">
      <c r="A224">
        <v>8</v>
      </c>
      <c r="B224" t="s">
        <v>37</v>
      </c>
      <c r="C224" t="s">
        <v>8</v>
      </c>
      <c r="D224" t="s">
        <v>38</v>
      </c>
      <c r="E224" t="s">
        <v>10</v>
      </c>
      <c r="F224" cm="1">
        <f t="array" ref="F224">_xlfn.XLOOKUP(Food_Orders[[#This Row],[Event_No]],Event_Master[[#All],[Event_No]],Event_Master[[#All],[Guest_Count]],,0)</f>
        <v>300</v>
      </c>
      <c r="G224" cm="1">
        <f t="array" ref="G224">Food_Orders[[#This Row],[Quantity_Orderd]]*_xlfn.XLOOKUP(Food_Orders[[#This Row],[Food_ID]],Food_Catalog[[#All],[Food_ID]],Food_Catalog[[#All],[Price_Per_Unit]],0,0)</f>
        <v>7500</v>
      </c>
      <c r="H224" cm="1">
        <f t="array" ref="H224">Food_Orders[[#This Row],[Quantity_Orderd]]*_xlfn.XLOOKUP(Food_Orders[[#This Row],[Food_ID]],Food_Catalog[[#All],[Food_ID]],Food_Catalog[[#All],[Client_Price_Per_Unit]],0,0)</f>
        <v>9000</v>
      </c>
      <c r="I224">
        <f>Food_Orders[[#This Row],[Client_Price]]-Food_Orders[[#This Row],[Cost]]</f>
        <v>1500</v>
      </c>
    </row>
    <row r="225" spans="1:9" x14ac:dyDescent="0.25">
      <c r="A225">
        <v>8</v>
      </c>
      <c r="B225" t="s">
        <v>82</v>
      </c>
      <c r="C225" t="s">
        <v>83</v>
      </c>
      <c r="D225" t="s">
        <v>84</v>
      </c>
      <c r="E225" t="s">
        <v>85</v>
      </c>
      <c r="F225" cm="1">
        <f t="array" ref="F225">_xlfn.XLOOKUP(Food_Orders[[#This Row],[Event_No]],Event_Master[[#All],[Event_No]],Event_Master[[#All],[Guest_Count]],,0)</f>
        <v>300</v>
      </c>
      <c r="G225" cm="1">
        <f t="array" ref="G225">Food_Orders[[#This Row],[Quantity_Orderd]]*_xlfn.XLOOKUP(Food_Orders[[#This Row],[Food_ID]],Food_Catalog[[#All],[Food_ID]],Food_Catalog[[#All],[Price_Per_Unit]],0,0)</f>
        <v>6000</v>
      </c>
      <c r="H225" cm="1">
        <f t="array" ref="H225">Food_Orders[[#This Row],[Quantity_Orderd]]*_xlfn.XLOOKUP(Food_Orders[[#This Row],[Food_ID]],Food_Catalog[[#All],[Food_ID]],Food_Catalog[[#All],[Client_Price_Per_Unit]],0,0)</f>
        <v>7200</v>
      </c>
      <c r="I225">
        <f>Food_Orders[[#This Row],[Client_Price]]-Food_Orders[[#This Row],[Cost]]</f>
        <v>1200</v>
      </c>
    </row>
    <row r="226" spans="1:9" x14ac:dyDescent="0.25">
      <c r="A226">
        <v>8</v>
      </c>
      <c r="B226" t="s">
        <v>86</v>
      </c>
      <c r="C226" t="s">
        <v>83</v>
      </c>
      <c r="D226" t="s">
        <v>87</v>
      </c>
      <c r="E226" t="s">
        <v>85</v>
      </c>
      <c r="F226" cm="1">
        <f t="array" ref="F226">_xlfn.XLOOKUP(Food_Orders[[#This Row],[Event_No]],Event_Master[[#All],[Event_No]],Event_Master[[#All],[Guest_Count]],,0)</f>
        <v>300</v>
      </c>
      <c r="G226" cm="1">
        <f t="array" ref="G226">Food_Orders[[#This Row],[Quantity_Orderd]]*_xlfn.XLOOKUP(Food_Orders[[#This Row],[Food_ID]],Food_Catalog[[#All],[Food_ID]],Food_Catalog[[#All],[Price_Per_Unit]],0,0)</f>
        <v>6000</v>
      </c>
      <c r="H226" cm="1">
        <f t="array" ref="H226">Food_Orders[[#This Row],[Quantity_Orderd]]*_xlfn.XLOOKUP(Food_Orders[[#This Row],[Food_ID]],Food_Catalog[[#All],[Food_ID]],Food_Catalog[[#All],[Client_Price_Per_Unit]],0,0)</f>
        <v>7200</v>
      </c>
      <c r="I226">
        <f>Food_Orders[[#This Row],[Client_Price]]-Food_Orders[[#This Row],[Cost]]</f>
        <v>1200</v>
      </c>
    </row>
    <row r="227" spans="1:9" x14ac:dyDescent="0.25">
      <c r="A227">
        <v>8</v>
      </c>
      <c r="B227" t="s">
        <v>96</v>
      </c>
      <c r="C227" t="s">
        <v>83</v>
      </c>
      <c r="D227" t="s">
        <v>97</v>
      </c>
      <c r="E227" t="s">
        <v>79</v>
      </c>
      <c r="F227" cm="1">
        <f t="array" ref="F227">_xlfn.XLOOKUP(Food_Orders[[#This Row],[Event_No]],Event_Master[[#All],[Event_No]],Event_Master[[#All],[Guest_Count]],,0)</f>
        <v>300</v>
      </c>
      <c r="G227" cm="1">
        <f t="array" ref="G227">Food_Orders[[#This Row],[Quantity_Orderd]]*_xlfn.XLOOKUP(Food_Orders[[#This Row],[Food_ID]],Food_Catalog[[#All],[Food_ID]],Food_Catalog[[#All],[Price_Per_Unit]],0,0)</f>
        <v>9000</v>
      </c>
      <c r="H227" cm="1">
        <f t="array" ref="H227">Food_Orders[[#This Row],[Quantity_Orderd]]*_xlfn.XLOOKUP(Food_Orders[[#This Row],[Food_ID]],Food_Catalog[[#All],[Food_ID]],Food_Catalog[[#All],[Client_Price_Per_Unit]],0,0)</f>
        <v>10800</v>
      </c>
      <c r="I227">
        <f>Food_Orders[[#This Row],[Client_Price]]-Food_Orders[[#This Row],[Cost]]</f>
        <v>1800</v>
      </c>
    </row>
    <row r="228" spans="1:9" x14ac:dyDescent="0.25">
      <c r="A228">
        <v>8</v>
      </c>
      <c r="B228" t="s">
        <v>100</v>
      </c>
      <c r="C228" t="s">
        <v>83</v>
      </c>
      <c r="D228" t="s">
        <v>101</v>
      </c>
      <c r="E228" t="s">
        <v>79</v>
      </c>
      <c r="F228" cm="1">
        <f t="array" ref="F228">_xlfn.XLOOKUP(Food_Orders[[#This Row],[Event_No]],Event_Master[[#All],[Event_No]],Event_Master[[#All],[Guest_Count]],,0)</f>
        <v>300</v>
      </c>
      <c r="G228" cm="1">
        <f t="array" ref="G228">Food_Orders[[#This Row],[Quantity_Orderd]]*_xlfn.XLOOKUP(Food_Orders[[#This Row],[Food_ID]],Food_Catalog[[#All],[Food_ID]],Food_Catalog[[#All],[Price_Per_Unit]],0,0)</f>
        <v>10500</v>
      </c>
      <c r="H228" cm="1">
        <f t="array" ref="H228">Food_Orders[[#This Row],[Quantity_Orderd]]*_xlfn.XLOOKUP(Food_Orders[[#This Row],[Food_ID]],Food_Catalog[[#All],[Food_ID]],Food_Catalog[[#All],[Client_Price_Per_Unit]],0,0)</f>
        <v>12600</v>
      </c>
      <c r="I228">
        <f>Food_Orders[[#This Row],[Client_Price]]-Food_Orders[[#This Row],[Cost]]</f>
        <v>2100</v>
      </c>
    </row>
    <row r="229" spans="1:9" x14ac:dyDescent="0.25">
      <c r="A229">
        <v>8</v>
      </c>
      <c r="B229" t="s">
        <v>88</v>
      </c>
      <c r="C229" t="s">
        <v>83</v>
      </c>
      <c r="D229" t="s">
        <v>89</v>
      </c>
      <c r="E229" t="s">
        <v>85</v>
      </c>
      <c r="F229" cm="1">
        <f t="array" ref="F229">_xlfn.XLOOKUP(Food_Orders[[#This Row],[Event_No]],Event_Master[[#All],[Event_No]],Event_Master[[#All],[Guest_Count]],,0)</f>
        <v>300</v>
      </c>
      <c r="G229" cm="1">
        <f t="array" ref="G229">Food_Orders[[#This Row],[Quantity_Orderd]]*_xlfn.XLOOKUP(Food_Orders[[#This Row],[Food_ID]],Food_Catalog[[#All],[Food_ID]],Food_Catalog[[#All],[Price_Per_Unit]],0,0)</f>
        <v>4500</v>
      </c>
      <c r="H229" cm="1">
        <f t="array" ref="H229">Food_Orders[[#This Row],[Quantity_Orderd]]*_xlfn.XLOOKUP(Food_Orders[[#This Row],[Food_ID]],Food_Catalog[[#All],[Food_ID]],Food_Catalog[[#All],[Client_Price_Per_Unit]],0,0)</f>
        <v>5400</v>
      </c>
      <c r="I229">
        <f>Food_Orders[[#This Row],[Client_Price]]-Food_Orders[[#This Row],[Cost]]</f>
        <v>900</v>
      </c>
    </row>
    <row r="230" spans="1:9" x14ac:dyDescent="0.25">
      <c r="A230">
        <v>8</v>
      </c>
      <c r="B230" t="s">
        <v>92</v>
      </c>
      <c r="C230" t="s">
        <v>83</v>
      </c>
      <c r="D230" t="s">
        <v>93</v>
      </c>
      <c r="E230" t="s">
        <v>85</v>
      </c>
      <c r="F230" cm="1">
        <f t="array" ref="F230">_xlfn.XLOOKUP(Food_Orders[[#This Row],[Event_No]],Event_Master[[#All],[Event_No]],Event_Master[[#All],[Guest_Count]],,0)</f>
        <v>300</v>
      </c>
      <c r="G230" cm="1">
        <f t="array" ref="G230">Food_Orders[[#This Row],[Quantity_Orderd]]*_xlfn.XLOOKUP(Food_Orders[[#This Row],[Food_ID]],Food_Catalog[[#All],[Food_ID]],Food_Catalog[[#All],[Price_Per_Unit]],0,0)</f>
        <v>4500</v>
      </c>
      <c r="H230" cm="1">
        <f t="array" ref="H230">Food_Orders[[#This Row],[Quantity_Orderd]]*_xlfn.XLOOKUP(Food_Orders[[#This Row],[Food_ID]],Food_Catalog[[#All],[Food_ID]],Food_Catalog[[#All],[Client_Price_Per_Unit]],0,0)</f>
        <v>5400</v>
      </c>
      <c r="I230">
        <f>Food_Orders[[#This Row],[Client_Price]]-Food_Orders[[#This Row],[Cost]]</f>
        <v>900</v>
      </c>
    </row>
    <row r="231" spans="1:9" x14ac:dyDescent="0.25">
      <c r="A231">
        <v>8</v>
      </c>
      <c r="B231" t="s">
        <v>98</v>
      </c>
      <c r="C231" t="s">
        <v>83</v>
      </c>
      <c r="D231" t="s">
        <v>99</v>
      </c>
      <c r="E231" t="s">
        <v>85</v>
      </c>
      <c r="F231" cm="1">
        <f t="array" ref="F231">_xlfn.XLOOKUP(Food_Orders[[#This Row],[Event_No]],Event_Master[[#All],[Event_No]],Event_Master[[#All],[Guest_Count]],,0)</f>
        <v>300</v>
      </c>
      <c r="G231" cm="1">
        <f t="array" ref="G231">Food_Orders[[#This Row],[Quantity_Orderd]]*_xlfn.XLOOKUP(Food_Orders[[#This Row],[Food_ID]],Food_Catalog[[#All],[Food_ID]],Food_Catalog[[#All],[Price_Per_Unit]],0,0)</f>
        <v>4500</v>
      </c>
      <c r="H231" cm="1">
        <f t="array" ref="H231">Food_Orders[[#This Row],[Quantity_Orderd]]*_xlfn.XLOOKUP(Food_Orders[[#This Row],[Food_ID]],Food_Catalog[[#All],[Food_ID]],Food_Catalog[[#All],[Client_Price_Per_Unit]],0,0)</f>
        <v>5400</v>
      </c>
      <c r="I231">
        <f>Food_Orders[[#This Row],[Client_Price]]-Food_Orders[[#This Row],[Cost]]</f>
        <v>900</v>
      </c>
    </row>
    <row r="232" spans="1:9" x14ac:dyDescent="0.25">
      <c r="A232">
        <v>8</v>
      </c>
      <c r="B232" t="s">
        <v>104</v>
      </c>
      <c r="C232" t="s">
        <v>105</v>
      </c>
      <c r="D232" t="s">
        <v>106</v>
      </c>
      <c r="E232" t="s">
        <v>107</v>
      </c>
      <c r="F232" cm="1">
        <f t="array" ref="F232">_xlfn.XLOOKUP(Food_Orders[[#This Row],[Event_No]],Event_Master[[#All],[Event_No]],Event_Master[[#All],[Guest_Count]],,0)</f>
        <v>300</v>
      </c>
      <c r="G232" cm="1">
        <f t="array" ref="G232">Food_Orders[[#This Row],[Quantity_Orderd]]*_xlfn.XLOOKUP(Food_Orders[[#This Row],[Food_ID]],Food_Catalog[[#All],[Food_ID]],Food_Catalog[[#All],[Price_Per_Unit]],0,0)</f>
        <v>3000</v>
      </c>
      <c r="H232" cm="1">
        <f t="array" ref="H232">Food_Orders[[#This Row],[Quantity_Orderd]]*_xlfn.XLOOKUP(Food_Orders[[#This Row],[Food_ID]],Food_Catalog[[#All],[Food_ID]],Food_Catalog[[#All],[Client_Price_Per_Unit]],0,0)</f>
        <v>3600</v>
      </c>
      <c r="I232">
        <f>Food_Orders[[#This Row],[Client_Price]]-Food_Orders[[#This Row],[Cost]]</f>
        <v>600</v>
      </c>
    </row>
    <row r="233" spans="1:9" x14ac:dyDescent="0.25">
      <c r="A233">
        <v>8</v>
      </c>
      <c r="B233" t="s">
        <v>108</v>
      </c>
      <c r="C233" t="s">
        <v>105</v>
      </c>
      <c r="D233" t="s">
        <v>109</v>
      </c>
      <c r="E233" t="s">
        <v>107</v>
      </c>
      <c r="F233" cm="1">
        <f t="array" ref="F233">_xlfn.XLOOKUP(Food_Orders[[#This Row],[Event_No]],Event_Master[[#All],[Event_No]],Event_Master[[#All],[Guest_Count]],,0)</f>
        <v>300</v>
      </c>
      <c r="G233" cm="1">
        <f t="array" ref="G233">Food_Orders[[#This Row],[Quantity_Orderd]]*_xlfn.XLOOKUP(Food_Orders[[#This Row],[Food_ID]],Food_Catalog[[#All],[Food_ID]],Food_Catalog[[#All],[Price_Per_Unit]],0,0)</f>
        <v>4500</v>
      </c>
      <c r="H233" cm="1">
        <f t="array" ref="H233">Food_Orders[[#This Row],[Quantity_Orderd]]*_xlfn.XLOOKUP(Food_Orders[[#This Row],[Food_ID]],Food_Catalog[[#All],[Food_ID]],Food_Catalog[[#All],[Client_Price_Per_Unit]],0,0)</f>
        <v>5400</v>
      </c>
      <c r="I233">
        <f>Food_Orders[[#This Row],[Client_Price]]-Food_Orders[[#This Row],[Cost]]</f>
        <v>900</v>
      </c>
    </row>
    <row r="234" spans="1:9" x14ac:dyDescent="0.25">
      <c r="A234">
        <v>8</v>
      </c>
      <c r="B234" t="s">
        <v>118</v>
      </c>
      <c r="C234" t="s">
        <v>119</v>
      </c>
      <c r="D234" t="s">
        <v>120</v>
      </c>
      <c r="E234" t="s">
        <v>112</v>
      </c>
      <c r="F234" cm="1">
        <f t="array" ref="F234">_xlfn.XLOOKUP(Food_Orders[[#This Row],[Event_No]],Event_Master[[#All],[Event_No]],Event_Master[[#All],[Guest_Count]],,0)</f>
        <v>300</v>
      </c>
      <c r="G234" cm="1">
        <f t="array" ref="G234">Food_Orders[[#This Row],[Quantity_Orderd]]*_xlfn.XLOOKUP(Food_Orders[[#This Row],[Food_ID]],Food_Catalog[[#All],[Food_ID]],Food_Catalog[[#All],[Price_Per_Unit]],0,0)</f>
        <v>3000</v>
      </c>
      <c r="H234" cm="1">
        <f t="array" ref="H234">Food_Orders[[#This Row],[Quantity_Orderd]]*_xlfn.XLOOKUP(Food_Orders[[#This Row],[Food_ID]],Food_Catalog[[#All],[Food_ID]],Food_Catalog[[#All],[Client_Price_Per_Unit]],0,0)</f>
        <v>3600</v>
      </c>
      <c r="I234">
        <f>Food_Orders[[#This Row],[Client_Price]]-Food_Orders[[#This Row],[Cost]]</f>
        <v>600</v>
      </c>
    </row>
    <row r="235" spans="1:9" x14ac:dyDescent="0.25">
      <c r="A235">
        <v>8</v>
      </c>
      <c r="B235" t="s">
        <v>129</v>
      </c>
      <c r="C235" t="s">
        <v>119</v>
      </c>
      <c r="D235" t="s">
        <v>130</v>
      </c>
      <c r="E235" t="s">
        <v>112</v>
      </c>
      <c r="F235" cm="1">
        <f t="array" ref="F235">_xlfn.XLOOKUP(Food_Orders[[#This Row],[Event_No]],Event_Master[[#All],[Event_No]],Event_Master[[#All],[Guest_Count]],,0)</f>
        <v>300</v>
      </c>
      <c r="G235" cm="1">
        <f t="array" ref="G235">Food_Orders[[#This Row],[Quantity_Orderd]]*_xlfn.XLOOKUP(Food_Orders[[#This Row],[Food_ID]],Food_Catalog[[#All],[Food_ID]],Food_Catalog[[#All],[Price_Per_Unit]],0,0)</f>
        <v>3000</v>
      </c>
      <c r="H235" cm="1">
        <f t="array" ref="H235">Food_Orders[[#This Row],[Quantity_Orderd]]*_xlfn.XLOOKUP(Food_Orders[[#This Row],[Food_ID]],Food_Catalog[[#All],[Food_ID]],Food_Catalog[[#All],[Client_Price_Per_Unit]],0,0)</f>
        <v>3600</v>
      </c>
      <c r="I235">
        <f>Food_Orders[[#This Row],[Client_Price]]-Food_Orders[[#This Row],[Cost]]</f>
        <v>600</v>
      </c>
    </row>
    <row r="236" spans="1:9" x14ac:dyDescent="0.25">
      <c r="A236">
        <v>8</v>
      </c>
      <c r="B236" t="s">
        <v>127</v>
      </c>
      <c r="C236" t="s">
        <v>119</v>
      </c>
      <c r="D236" t="s">
        <v>128</v>
      </c>
      <c r="E236" t="s">
        <v>107</v>
      </c>
      <c r="F236" cm="1">
        <f t="array" ref="F236">_xlfn.XLOOKUP(Food_Orders[[#This Row],[Event_No]],Event_Master[[#All],[Event_No]],Event_Master[[#All],[Guest_Count]],,0)</f>
        <v>300</v>
      </c>
      <c r="G236" cm="1">
        <f t="array" ref="G236">Food_Orders[[#This Row],[Quantity_Orderd]]*_xlfn.XLOOKUP(Food_Orders[[#This Row],[Food_ID]],Food_Catalog[[#All],[Food_ID]],Food_Catalog[[#All],[Price_Per_Unit]],0,0)</f>
        <v>6000</v>
      </c>
      <c r="H236" cm="1">
        <f t="array" ref="H236">Food_Orders[[#This Row],[Quantity_Orderd]]*_xlfn.XLOOKUP(Food_Orders[[#This Row],[Food_ID]],Food_Catalog[[#All],[Food_ID]],Food_Catalog[[#All],[Client_Price_Per_Unit]],0,0)</f>
        <v>7200</v>
      </c>
      <c r="I236">
        <f>Food_Orders[[#This Row],[Client_Price]]-Food_Orders[[#This Row],[Cost]]</f>
        <v>1200</v>
      </c>
    </row>
    <row r="237" spans="1:9" x14ac:dyDescent="0.25">
      <c r="A237">
        <v>8</v>
      </c>
      <c r="B237" t="s">
        <v>124</v>
      </c>
      <c r="C237" t="s">
        <v>119</v>
      </c>
      <c r="D237" t="s">
        <v>125</v>
      </c>
      <c r="E237" t="s">
        <v>126</v>
      </c>
      <c r="F237" cm="1">
        <f t="array" ref="F237">_xlfn.XLOOKUP(Food_Orders[[#This Row],[Event_No]],Event_Master[[#All],[Event_No]],Event_Master[[#All],[Guest_Count]],,0)</f>
        <v>300</v>
      </c>
      <c r="G237" cm="1">
        <f t="array" ref="G237">Food_Orders[[#This Row],[Quantity_Orderd]]*_xlfn.XLOOKUP(Food_Orders[[#This Row],[Food_ID]],Food_Catalog[[#All],[Food_ID]],Food_Catalog[[#All],[Price_Per_Unit]],0,0)</f>
        <v>6000</v>
      </c>
      <c r="H237" cm="1">
        <f t="array" ref="H237">Food_Orders[[#This Row],[Quantity_Orderd]]*_xlfn.XLOOKUP(Food_Orders[[#This Row],[Food_ID]],Food_Catalog[[#All],[Food_ID]],Food_Catalog[[#All],[Client_Price_Per_Unit]],0,0)</f>
        <v>7200</v>
      </c>
      <c r="I237">
        <f>Food_Orders[[#This Row],[Client_Price]]-Food_Orders[[#This Row],[Cost]]</f>
        <v>1200</v>
      </c>
    </row>
    <row r="238" spans="1:9" x14ac:dyDescent="0.25">
      <c r="A238">
        <v>8</v>
      </c>
      <c r="B238" t="s">
        <v>121</v>
      </c>
      <c r="C238" t="s">
        <v>119</v>
      </c>
      <c r="D238" t="s">
        <v>122</v>
      </c>
      <c r="E238" t="s">
        <v>123</v>
      </c>
      <c r="F238" cm="1">
        <f t="array" ref="F238">_xlfn.XLOOKUP(Food_Orders[[#This Row],[Event_No]],Event_Master[[#All],[Event_No]],Event_Master[[#All],[Guest_Count]],,0)</f>
        <v>300</v>
      </c>
      <c r="G238" cm="1">
        <f t="array" ref="G238">Food_Orders[[#This Row],[Quantity_Orderd]]*_xlfn.XLOOKUP(Food_Orders[[#This Row],[Food_ID]],Food_Catalog[[#All],[Food_ID]],Food_Catalog[[#All],[Price_Per_Unit]],0,0)</f>
        <v>3000</v>
      </c>
      <c r="H238" cm="1">
        <f t="array" ref="H238">Food_Orders[[#This Row],[Quantity_Orderd]]*_xlfn.XLOOKUP(Food_Orders[[#This Row],[Food_ID]],Food_Catalog[[#All],[Food_ID]],Food_Catalog[[#All],[Client_Price_Per_Unit]],0,0)</f>
        <v>3600</v>
      </c>
      <c r="I238">
        <f>Food_Orders[[#This Row],[Client_Price]]-Food_Orders[[#This Row],[Cost]]</f>
        <v>600</v>
      </c>
    </row>
    <row r="239" spans="1:9" x14ac:dyDescent="0.25">
      <c r="A239">
        <v>9</v>
      </c>
      <c r="B239" t="s">
        <v>60</v>
      </c>
      <c r="C239" t="s">
        <v>61</v>
      </c>
      <c r="D239" t="s">
        <v>62</v>
      </c>
      <c r="E239" t="s">
        <v>10</v>
      </c>
      <c r="F239" cm="1">
        <f t="array" ref="F239">_xlfn.XLOOKUP(Food_Orders[[#This Row],[Event_No]],Event_Master[[#All],[Event_No]],Event_Master[[#All],[Guest_Count]],,0)</f>
        <v>180</v>
      </c>
      <c r="G239" cm="1">
        <f t="array" ref="G239">Food_Orders[[#This Row],[Quantity_Orderd]]*_xlfn.XLOOKUP(Food_Orders[[#This Row],[Food_ID]],Food_Catalog[[#All],[Food_ID]],Food_Catalog[[#All],[Price_Per_Unit]],0,0)</f>
        <v>3600</v>
      </c>
      <c r="H239" cm="1">
        <f t="array" ref="H239">Food_Orders[[#This Row],[Quantity_Orderd]]*_xlfn.XLOOKUP(Food_Orders[[#This Row],[Food_ID]],Food_Catalog[[#All],[Food_ID]],Food_Catalog[[#All],[Client_Price_Per_Unit]],0,0)</f>
        <v>4320</v>
      </c>
      <c r="I239">
        <f>Food_Orders[[#This Row],[Client_Price]]-Food_Orders[[#This Row],[Cost]]</f>
        <v>720</v>
      </c>
    </row>
    <row r="240" spans="1:9" x14ac:dyDescent="0.25">
      <c r="A240">
        <v>9</v>
      </c>
      <c r="B240" t="s">
        <v>63</v>
      </c>
      <c r="C240" t="s">
        <v>61</v>
      </c>
      <c r="D240" t="s">
        <v>64</v>
      </c>
      <c r="E240" t="s">
        <v>10</v>
      </c>
      <c r="F240" cm="1">
        <f t="array" ref="F240">_xlfn.XLOOKUP(Food_Orders[[#This Row],[Event_No]],Event_Master[[#All],[Event_No]],Event_Master[[#All],[Guest_Count]],,0)</f>
        <v>180</v>
      </c>
      <c r="G240" cm="1">
        <f t="array" ref="G240">Food_Orders[[#This Row],[Quantity_Orderd]]*_xlfn.XLOOKUP(Food_Orders[[#This Row],[Food_ID]],Food_Catalog[[#All],[Food_ID]],Food_Catalog[[#All],[Price_Per_Unit]],0,0)</f>
        <v>5400</v>
      </c>
      <c r="H240" cm="1">
        <f t="array" ref="H240">Food_Orders[[#This Row],[Quantity_Orderd]]*_xlfn.XLOOKUP(Food_Orders[[#This Row],[Food_ID]],Food_Catalog[[#All],[Food_ID]],Food_Catalog[[#All],[Client_Price_Per_Unit]],0,0)</f>
        <v>6480</v>
      </c>
      <c r="I240">
        <f>Food_Orders[[#This Row],[Client_Price]]-Food_Orders[[#This Row],[Cost]]</f>
        <v>1080</v>
      </c>
    </row>
    <row r="241" spans="1:9" x14ac:dyDescent="0.25">
      <c r="A241">
        <v>9</v>
      </c>
      <c r="B241" t="s">
        <v>71</v>
      </c>
      <c r="C241" t="s">
        <v>61</v>
      </c>
      <c r="D241" t="s">
        <v>72</v>
      </c>
      <c r="E241" t="s">
        <v>10</v>
      </c>
      <c r="F241" cm="1">
        <f t="array" ref="F241">_xlfn.XLOOKUP(Food_Orders[[#This Row],[Event_No]],Event_Master[[#All],[Event_No]],Event_Master[[#All],[Guest_Count]],,0)</f>
        <v>180</v>
      </c>
      <c r="G241" cm="1">
        <f t="array" ref="G241">Food_Orders[[#This Row],[Quantity_Orderd]]*_xlfn.XLOOKUP(Food_Orders[[#This Row],[Food_ID]],Food_Catalog[[#All],[Food_ID]],Food_Catalog[[#All],[Price_Per_Unit]],0,0)</f>
        <v>4500</v>
      </c>
      <c r="H241" cm="1">
        <f t="array" ref="H241">Food_Orders[[#This Row],[Quantity_Orderd]]*_xlfn.XLOOKUP(Food_Orders[[#This Row],[Food_ID]],Food_Catalog[[#All],[Food_ID]],Food_Catalog[[#All],[Client_Price_Per_Unit]],0,0)</f>
        <v>5400</v>
      </c>
      <c r="I241">
        <f>Food_Orders[[#This Row],[Client_Price]]-Food_Orders[[#This Row],[Cost]]</f>
        <v>900</v>
      </c>
    </row>
    <row r="242" spans="1:9" x14ac:dyDescent="0.25">
      <c r="A242">
        <v>9</v>
      </c>
      <c r="B242" t="s">
        <v>80</v>
      </c>
      <c r="C242" t="s">
        <v>61</v>
      </c>
      <c r="D242" t="s">
        <v>81</v>
      </c>
      <c r="E242" t="s">
        <v>10</v>
      </c>
      <c r="F242" cm="1">
        <f t="array" ref="F242">_xlfn.XLOOKUP(Food_Orders[[#This Row],[Event_No]],Event_Master[[#All],[Event_No]],Event_Master[[#All],[Guest_Count]],,0)</f>
        <v>180</v>
      </c>
      <c r="G242" cm="1">
        <f t="array" ref="G242">Food_Orders[[#This Row],[Quantity_Orderd]]*_xlfn.XLOOKUP(Food_Orders[[#This Row],[Food_ID]],Food_Catalog[[#All],[Food_ID]],Food_Catalog[[#All],[Price_Per_Unit]],0,0)</f>
        <v>5400</v>
      </c>
      <c r="H242" cm="1">
        <f t="array" ref="H242">Food_Orders[[#This Row],[Quantity_Orderd]]*_xlfn.XLOOKUP(Food_Orders[[#This Row],[Food_ID]],Food_Catalog[[#All],[Food_ID]],Food_Catalog[[#All],[Client_Price_Per_Unit]],0,0)</f>
        <v>6480</v>
      </c>
      <c r="I242">
        <f>Food_Orders[[#This Row],[Client_Price]]-Food_Orders[[#This Row],[Cost]]</f>
        <v>1080</v>
      </c>
    </row>
    <row r="243" spans="1:9" x14ac:dyDescent="0.25">
      <c r="A243">
        <v>9</v>
      </c>
      <c r="B243" t="s">
        <v>73</v>
      </c>
      <c r="C243" t="s">
        <v>61</v>
      </c>
      <c r="D243" t="s">
        <v>74</v>
      </c>
      <c r="E243" t="s">
        <v>10</v>
      </c>
      <c r="F243" cm="1">
        <f t="array" ref="F243">_xlfn.XLOOKUP(Food_Orders[[#This Row],[Event_No]],Event_Master[[#All],[Event_No]],Event_Master[[#All],[Guest_Count]],,0)</f>
        <v>180</v>
      </c>
      <c r="G243" cm="1">
        <f t="array" ref="G243">Food_Orders[[#This Row],[Quantity_Orderd]]*_xlfn.XLOOKUP(Food_Orders[[#This Row],[Food_ID]],Food_Catalog[[#All],[Food_ID]],Food_Catalog[[#All],[Price_Per_Unit]],0,0)</f>
        <v>7200</v>
      </c>
      <c r="H243" cm="1">
        <f t="array" ref="H243">Food_Orders[[#This Row],[Quantity_Orderd]]*_xlfn.XLOOKUP(Food_Orders[[#This Row],[Food_ID]],Food_Catalog[[#All],[Food_ID]],Food_Catalog[[#All],[Client_Price_Per_Unit]],0,0)</f>
        <v>8640</v>
      </c>
      <c r="I243">
        <f>Food_Orders[[#This Row],[Client_Price]]-Food_Orders[[#This Row],[Cost]]</f>
        <v>1440</v>
      </c>
    </row>
    <row r="244" spans="1:9" x14ac:dyDescent="0.25">
      <c r="A244">
        <v>9</v>
      </c>
      <c r="B244" t="s">
        <v>75</v>
      </c>
      <c r="C244" t="s">
        <v>61</v>
      </c>
      <c r="D244" t="s">
        <v>76</v>
      </c>
      <c r="E244" t="s">
        <v>10</v>
      </c>
      <c r="F244" cm="1">
        <f t="array" ref="F244">_xlfn.XLOOKUP(Food_Orders[[#This Row],[Event_No]],Event_Master[[#All],[Event_No]],Event_Master[[#All],[Guest_Count]],,0)</f>
        <v>180</v>
      </c>
      <c r="G244" cm="1">
        <f t="array" ref="G244">Food_Orders[[#This Row],[Quantity_Orderd]]*_xlfn.XLOOKUP(Food_Orders[[#This Row],[Food_ID]],Food_Catalog[[#All],[Food_ID]],Food_Catalog[[#All],[Price_Per_Unit]],0,0)</f>
        <v>7200</v>
      </c>
      <c r="H244" cm="1">
        <f t="array" ref="H244">Food_Orders[[#This Row],[Quantity_Orderd]]*_xlfn.XLOOKUP(Food_Orders[[#This Row],[Food_ID]],Food_Catalog[[#All],[Food_ID]],Food_Catalog[[#All],[Client_Price_Per_Unit]],0,0)</f>
        <v>8640</v>
      </c>
      <c r="I244">
        <f>Food_Orders[[#This Row],[Client_Price]]-Food_Orders[[#This Row],[Cost]]</f>
        <v>1440</v>
      </c>
    </row>
    <row r="245" spans="1:9" x14ac:dyDescent="0.25">
      <c r="A245">
        <v>9</v>
      </c>
      <c r="B245" t="s">
        <v>69</v>
      </c>
      <c r="C245" t="s">
        <v>61</v>
      </c>
      <c r="D245" t="s">
        <v>70</v>
      </c>
      <c r="E245" t="s">
        <v>10</v>
      </c>
      <c r="F245" cm="1">
        <f t="array" ref="F245">_xlfn.XLOOKUP(Food_Orders[[#This Row],[Event_No]],Event_Master[[#All],[Event_No]],Event_Master[[#All],[Guest_Count]],,0)</f>
        <v>180</v>
      </c>
      <c r="G245" cm="1">
        <f t="array" ref="G245">Food_Orders[[#This Row],[Quantity_Orderd]]*_xlfn.XLOOKUP(Food_Orders[[#This Row],[Food_ID]],Food_Catalog[[#All],[Food_ID]],Food_Catalog[[#All],[Price_Per_Unit]],0,0)</f>
        <v>9000</v>
      </c>
      <c r="H245" cm="1">
        <f t="array" ref="H245">Food_Orders[[#This Row],[Quantity_Orderd]]*_xlfn.XLOOKUP(Food_Orders[[#This Row],[Food_ID]],Food_Catalog[[#All],[Food_ID]],Food_Catalog[[#All],[Client_Price_Per_Unit]],0,0)</f>
        <v>10800</v>
      </c>
      <c r="I245">
        <f>Food_Orders[[#This Row],[Client_Price]]-Food_Orders[[#This Row],[Cost]]</f>
        <v>1800</v>
      </c>
    </row>
    <row r="246" spans="1:9" x14ac:dyDescent="0.25">
      <c r="A246">
        <v>9</v>
      </c>
      <c r="B246" t="s">
        <v>77</v>
      </c>
      <c r="C246" t="s">
        <v>61</v>
      </c>
      <c r="D246" t="s">
        <v>78</v>
      </c>
      <c r="E246" t="s">
        <v>79</v>
      </c>
      <c r="F246" cm="1">
        <f t="array" ref="F246">_xlfn.XLOOKUP(Food_Orders[[#This Row],[Event_No]],Event_Master[[#All],[Event_No]],Event_Master[[#All],[Guest_Count]],,0)</f>
        <v>180</v>
      </c>
      <c r="G246" cm="1">
        <f t="array" ref="G246">Food_Orders[[#This Row],[Quantity_Orderd]]*_xlfn.XLOOKUP(Food_Orders[[#This Row],[Food_ID]],Food_Catalog[[#All],[Food_ID]],Food_Catalog[[#All],[Price_Per_Unit]],0,0)</f>
        <v>6300</v>
      </c>
      <c r="H246" cm="1">
        <f t="array" ref="H246">Food_Orders[[#This Row],[Quantity_Orderd]]*_xlfn.XLOOKUP(Food_Orders[[#This Row],[Food_ID]],Food_Catalog[[#All],[Food_ID]],Food_Catalog[[#All],[Client_Price_Per_Unit]],0,0)</f>
        <v>7560</v>
      </c>
      <c r="I246">
        <f>Food_Orders[[#This Row],[Client_Price]]-Food_Orders[[#This Row],[Cost]]</f>
        <v>1260</v>
      </c>
    </row>
    <row r="247" spans="1:9" x14ac:dyDescent="0.25">
      <c r="A247">
        <v>9</v>
      </c>
      <c r="B247" t="s">
        <v>7</v>
      </c>
      <c r="C247" t="s">
        <v>8</v>
      </c>
      <c r="D247" t="s">
        <v>9</v>
      </c>
      <c r="E247" t="s">
        <v>10</v>
      </c>
      <c r="F247" cm="1">
        <f t="array" ref="F247">_xlfn.XLOOKUP(Food_Orders[[#This Row],[Event_No]],Event_Master[[#All],[Event_No]],Event_Master[[#All],[Guest_Count]],,0)</f>
        <v>180</v>
      </c>
      <c r="G247" cm="1">
        <f t="array" ref="G247">Food_Orders[[#This Row],[Quantity_Orderd]]*_xlfn.XLOOKUP(Food_Orders[[#This Row],[Food_ID]],Food_Catalog[[#All],[Food_ID]],Food_Catalog[[#All],[Price_Per_Unit]],0,0)</f>
        <v>4500</v>
      </c>
      <c r="H247" cm="1">
        <f t="array" ref="H247">Food_Orders[[#This Row],[Quantity_Orderd]]*_xlfn.XLOOKUP(Food_Orders[[#This Row],[Food_ID]],Food_Catalog[[#All],[Food_ID]],Food_Catalog[[#All],[Client_Price_Per_Unit]],0,0)</f>
        <v>5400</v>
      </c>
      <c r="I247">
        <f>Food_Orders[[#This Row],[Client_Price]]-Food_Orders[[#This Row],[Cost]]</f>
        <v>900</v>
      </c>
    </row>
    <row r="248" spans="1:9" x14ac:dyDescent="0.25">
      <c r="A248">
        <v>9</v>
      </c>
      <c r="B248" t="s">
        <v>13</v>
      </c>
      <c r="C248" t="s">
        <v>8</v>
      </c>
      <c r="D248" t="s">
        <v>14</v>
      </c>
      <c r="E248" t="s">
        <v>10</v>
      </c>
      <c r="F248" cm="1">
        <f t="array" ref="F248">_xlfn.XLOOKUP(Food_Orders[[#This Row],[Event_No]],Event_Master[[#All],[Event_No]],Event_Master[[#All],[Guest_Count]],,0)</f>
        <v>180</v>
      </c>
      <c r="G248" cm="1">
        <f t="array" ref="G248">Food_Orders[[#This Row],[Quantity_Orderd]]*_xlfn.XLOOKUP(Food_Orders[[#This Row],[Food_ID]],Food_Catalog[[#All],[Food_ID]],Food_Catalog[[#All],[Price_Per_Unit]],0,0)</f>
        <v>6300</v>
      </c>
      <c r="H248" cm="1">
        <f t="array" ref="H248">Food_Orders[[#This Row],[Quantity_Orderd]]*_xlfn.XLOOKUP(Food_Orders[[#This Row],[Food_ID]],Food_Catalog[[#All],[Food_ID]],Food_Catalog[[#All],[Client_Price_Per_Unit]],0,0)</f>
        <v>7560</v>
      </c>
      <c r="I248">
        <f>Food_Orders[[#This Row],[Client_Price]]-Food_Orders[[#This Row],[Cost]]</f>
        <v>1260</v>
      </c>
    </row>
    <row r="249" spans="1:9" x14ac:dyDescent="0.25">
      <c r="A249">
        <v>9</v>
      </c>
      <c r="B249" t="s">
        <v>35</v>
      </c>
      <c r="C249" t="s">
        <v>8</v>
      </c>
      <c r="D249" t="s">
        <v>36</v>
      </c>
      <c r="E249" t="s">
        <v>10</v>
      </c>
      <c r="F249" cm="1">
        <f t="array" ref="F249">_xlfn.XLOOKUP(Food_Orders[[#This Row],[Event_No]],Event_Master[[#All],[Event_No]],Event_Master[[#All],[Guest_Count]],,0)</f>
        <v>180</v>
      </c>
      <c r="G249" cm="1">
        <f t="array" ref="G249">Food_Orders[[#This Row],[Quantity_Orderd]]*_xlfn.XLOOKUP(Food_Orders[[#This Row],[Food_ID]],Food_Catalog[[#All],[Food_ID]],Food_Catalog[[#All],[Price_Per_Unit]],0,0)</f>
        <v>5400</v>
      </c>
      <c r="H249" cm="1">
        <f t="array" ref="H249">Food_Orders[[#This Row],[Quantity_Orderd]]*_xlfn.XLOOKUP(Food_Orders[[#This Row],[Food_ID]],Food_Catalog[[#All],[Food_ID]],Food_Catalog[[#All],[Client_Price_Per_Unit]],0,0)</f>
        <v>6480</v>
      </c>
      <c r="I249">
        <f>Food_Orders[[#This Row],[Client_Price]]-Food_Orders[[#This Row],[Cost]]</f>
        <v>1080</v>
      </c>
    </row>
    <row r="250" spans="1:9" x14ac:dyDescent="0.25">
      <c r="A250">
        <v>9</v>
      </c>
      <c r="B250" t="s">
        <v>27</v>
      </c>
      <c r="C250" t="s">
        <v>8</v>
      </c>
      <c r="D250" t="s">
        <v>28</v>
      </c>
      <c r="E250" t="s">
        <v>10</v>
      </c>
      <c r="F250" cm="1">
        <f t="array" ref="F250">_xlfn.XLOOKUP(Food_Orders[[#This Row],[Event_No]],Event_Master[[#All],[Event_No]],Event_Master[[#All],[Guest_Count]],,0)</f>
        <v>180</v>
      </c>
      <c r="G250" cm="1">
        <f t="array" ref="G250">Food_Orders[[#This Row],[Quantity_Orderd]]*_xlfn.XLOOKUP(Food_Orders[[#This Row],[Food_ID]],Food_Catalog[[#All],[Food_ID]],Food_Catalog[[#All],[Price_Per_Unit]],0,0)</f>
        <v>7200</v>
      </c>
      <c r="H250" cm="1">
        <f t="array" ref="H250">Food_Orders[[#This Row],[Quantity_Orderd]]*_xlfn.XLOOKUP(Food_Orders[[#This Row],[Food_ID]],Food_Catalog[[#All],[Food_ID]],Food_Catalog[[#All],[Client_Price_Per_Unit]],0,0)</f>
        <v>8640</v>
      </c>
      <c r="I250">
        <f>Food_Orders[[#This Row],[Client_Price]]-Food_Orders[[#This Row],[Cost]]</f>
        <v>1440</v>
      </c>
    </row>
    <row r="251" spans="1:9" x14ac:dyDescent="0.25">
      <c r="A251">
        <v>9</v>
      </c>
      <c r="B251" t="s">
        <v>31</v>
      </c>
      <c r="C251" t="s">
        <v>8</v>
      </c>
      <c r="D251" t="s">
        <v>32</v>
      </c>
      <c r="E251" t="s">
        <v>10</v>
      </c>
      <c r="F251" cm="1">
        <f t="array" ref="F251">_xlfn.XLOOKUP(Food_Orders[[#This Row],[Event_No]],Event_Master[[#All],[Event_No]],Event_Master[[#All],[Guest_Count]],,0)</f>
        <v>180</v>
      </c>
      <c r="G251" cm="1">
        <f t="array" ref="G251">Food_Orders[[#This Row],[Quantity_Orderd]]*_xlfn.XLOOKUP(Food_Orders[[#This Row],[Food_ID]],Food_Catalog[[#All],[Food_ID]],Food_Catalog[[#All],[Price_Per_Unit]],0,0)</f>
        <v>5400</v>
      </c>
      <c r="H251" cm="1">
        <f t="array" ref="H251">Food_Orders[[#This Row],[Quantity_Orderd]]*_xlfn.XLOOKUP(Food_Orders[[#This Row],[Food_ID]],Food_Catalog[[#All],[Food_ID]],Food_Catalog[[#All],[Client_Price_Per_Unit]],0,0)</f>
        <v>6480</v>
      </c>
      <c r="I251">
        <f>Food_Orders[[#This Row],[Client_Price]]-Food_Orders[[#This Row],[Cost]]</f>
        <v>1080</v>
      </c>
    </row>
    <row r="252" spans="1:9" x14ac:dyDescent="0.25">
      <c r="A252">
        <v>9</v>
      </c>
      <c r="B252" t="s">
        <v>33</v>
      </c>
      <c r="C252" t="s">
        <v>8</v>
      </c>
      <c r="D252" t="s">
        <v>34</v>
      </c>
      <c r="E252" t="s">
        <v>10</v>
      </c>
      <c r="F252" cm="1">
        <f t="array" ref="F252">_xlfn.XLOOKUP(Food_Orders[[#This Row],[Event_No]],Event_Master[[#All],[Event_No]],Event_Master[[#All],[Guest_Count]],,0)</f>
        <v>180</v>
      </c>
      <c r="G252" cm="1">
        <f t="array" ref="G252">Food_Orders[[#This Row],[Quantity_Orderd]]*_xlfn.XLOOKUP(Food_Orders[[#This Row],[Food_ID]],Food_Catalog[[#All],[Food_ID]],Food_Catalog[[#All],[Price_Per_Unit]],0,0)</f>
        <v>5400</v>
      </c>
      <c r="H252" cm="1">
        <f t="array" ref="H252">Food_Orders[[#This Row],[Quantity_Orderd]]*_xlfn.XLOOKUP(Food_Orders[[#This Row],[Food_ID]],Food_Catalog[[#All],[Food_ID]],Food_Catalog[[#All],[Client_Price_Per_Unit]],0,0)</f>
        <v>6480</v>
      </c>
      <c r="I252">
        <f>Food_Orders[[#This Row],[Client_Price]]-Food_Orders[[#This Row],[Cost]]</f>
        <v>1080</v>
      </c>
    </row>
    <row r="253" spans="1:9" x14ac:dyDescent="0.25">
      <c r="A253">
        <v>9</v>
      </c>
      <c r="B253" t="s">
        <v>17</v>
      </c>
      <c r="C253" t="s">
        <v>8</v>
      </c>
      <c r="D253" t="s">
        <v>18</v>
      </c>
      <c r="E253" t="s">
        <v>10</v>
      </c>
      <c r="F253" cm="1">
        <f t="array" ref="F253">_xlfn.XLOOKUP(Food_Orders[[#This Row],[Event_No]],Event_Master[[#All],[Event_No]],Event_Master[[#All],[Guest_Count]],,0)</f>
        <v>180</v>
      </c>
      <c r="G253" cm="1">
        <f t="array" ref="G253">Food_Orders[[#This Row],[Quantity_Orderd]]*_xlfn.XLOOKUP(Food_Orders[[#This Row],[Food_ID]],Food_Catalog[[#All],[Food_ID]],Food_Catalog[[#All],[Price_Per_Unit]],0,0)</f>
        <v>7200</v>
      </c>
      <c r="H253" cm="1">
        <f t="array" ref="H253">Food_Orders[[#This Row],[Quantity_Orderd]]*_xlfn.XLOOKUP(Food_Orders[[#This Row],[Food_ID]],Food_Catalog[[#All],[Food_ID]],Food_Catalog[[#All],[Client_Price_Per_Unit]],0,0)</f>
        <v>8640</v>
      </c>
      <c r="I253">
        <f>Food_Orders[[#This Row],[Client_Price]]-Food_Orders[[#This Row],[Cost]]</f>
        <v>1440</v>
      </c>
    </row>
    <row r="254" spans="1:9" x14ac:dyDescent="0.25">
      <c r="A254">
        <v>9</v>
      </c>
      <c r="B254" t="s">
        <v>29</v>
      </c>
      <c r="C254" t="s">
        <v>8</v>
      </c>
      <c r="D254" t="s">
        <v>30</v>
      </c>
      <c r="E254" t="s">
        <v>10</v>
      </c>
      <c r="F254" cm="1">
        <f t="array" ref="F254">_xlfn.XLOOKUP(Food_Orders[[#This Row],[Event_No]],Event_Master[[#All],[Event_No]],Event_Master[[#All],[Guest_Count]],,0)</f>
        <v>180</v>
      </c>
      <c r="G254" cm="1">
        <f t="array" ref="G254">Food_Orders[[#This Row],[Quantity_Orderd]]*_xlfn.XLOOKUP(Food_Orders[[#This Row],[Food_ID]],Food_Catalog[[#All],[Food_ID]],Food_Catalog[[#All],[Price_Per_Unit]],0,0)</f>
        <v>5400</v>
      </c>
      <c r="H254" cm="1">
        <f t="array" ref="H254">Food_Orders[[#This Row],[Quantity_Orderd]]*_xlfn.XLOOKUP(Food_Orders[[#This Row],[Food_ID]],Food_Catalog[[#All],[Food_ID]],Food_Catalog[[#All],[Client_Price_Per_Unit]],0,0)</f>
        <v>6480</v>
      </c>
      <c r="I254">
        <f>Food_Orders[[#This Row],[Client_Price]]-Food_Orders[[#This Row],[Cost]]</f>
        <v>1080</v>
      </c>
    </row>
    <row r="255" spans="1:9" x14ac:dyDescent="0.25">
      <c r="A255">
        <v>9</v>
      </c>
      <c r="B255" t="s">
        <v>37</v>
      </c>
      <c r="C255" t="s">
        <v>8</v>
      </c>
      <c r="D255" t="s">
        <v>38</v>
      </c>
      <c r="E255" t="s">
        <v>10</v>
      </c>
      <c r="F255" cm="1">
        <f t="array" ref="F255">_xlfn.XLOOKUP(Food_Orders[[#This Row],[Event_No]],Event_Master[[#All],[Event_No]],Event_Master[[#All],[Guest_Count]],,0)</f>
        <v>180</v>
      </c>
      <c r="G255" cm="1">
        <f t="array" ref="G255">Food_Orders[[#This Row],[Quantity_Orderd]]*_xlfn.XLOOKUP(Food_Orders[[#This Row],[Food_ID]],Food_Catalog[[#All],[Food_ID]],Food_Catalog[[#All],[Price_Per_Unit]],0,0)</f>
        <v>4500</v>
      </c>
      <c r="H255" cm="1">
        <f t="array" ref="H255">Food_Orders[[#This Row],[Quantity_Orderd]]*_xlfn.XLOOKUP(Food_Orders[[#This Row],[Food_ID]],Food_Catalog[[#All],[Food_ID]],Food_Catalog[[#All],[Client_Price_Per_Unit]],0,0)</f>
        <v>5400</v>
      </c>
      <c r="I255">
        <f>Food_Orders[[#This Row],[Client_Price]]-Food_Orders[[#This Row],[Cost]]</f>
        <v>900</v>
      </c>
    </row>
    <row r="256" spans="1:9" x14ac:dyDescent="0.25">
      <c r="A256">
        <v>9</v>
      </c>
      <c r="B256" t="s">
        <v>39</v>
      </c>
      <c r="C256" t="s">
        <v>40</v>
      </c>
      <c r="D256" t="s">
        <v>41</v>
      </c>
      <c r="E256" t="s">
        <v>10</v>
      </c>
      <c r="F256" cm="1">
        <f t="array" ref="F256">_xlfn.XLOOKUP(Food_Orders[[#This Row],[Event_No]],Event_Master[[#All],[Event_No]],Event_Master[[#All],[Guest_Count]],,0)</f>
        <v>180</v>
      </c>
      <c r="G256" cm="1">
        <f t="array" ref="G256">Food_Orders[[#This Row],[Quantity_Orderd]]*_xlfn.XLOOKUP(Food_Orders[[#This Row],[Food_ID]],Food_Catalog[[#All],[Food_ID]],Food_Catalog[[#All],[Price_Per_Unit]],0,0)</f>
        <v>10800</v>
      </c>
      <c r="H256" cm="1">
        <f t="array" ref="H256">Food_Orders[[#This Row],[Quantity_Orderd]]*_xlfn.XLOOKUP(Food_Orders[[#This Row],[Food_ID]],Food_Catalog[[#All],[Food_ID]],Food_Catalog[[#All],[Client_Price_Per_Unit]],0,0)</f>
        <v>12960</v>
      </c>
      <c r="I256">
        <f>Food_Orders[[#This Row],[Client_Price]]-Food_Orders[[#This Row],[Cost]]</f>
        <v>2160</v>
      </c>
    </row>
    <row r="257" spans="1:9" x14ac:dyDescent="0.25">
      <c r="A257">
        <v>9</v>
      </c>
      <c r="B257" t="s">
        <v>42</v>
      </c>
      <c r="C257" t="s">
        <v>40</v>
      </c>
      <c r="D257" t="s">
        <v>43</v>
      </c>
      <c r="E257" t="s">
        <v>10</v>
      </c>
      <c r="F257" cm="1">
        <f t="array" ref="F257">_xlfn.XLOOKUP(Food_Orders[[#This Row],[Event_No]],Event_Master[[#All],[Event_No]],Event_Master[[#All],[Guest_Count]],,0)</f>
        <v>180</v>
      </c>
      <c r="G257" cm="1">
        <f t="array" ref="G257">Food_Orders[[#This Row],[Quantity_Orderd]]*_xlfn.XLOOKUP(Food_Orders[[#This Row],[Food_ID]],Food_Catalog[[#All],[Food_ID]],Food_Catalog[[#All],[Price_Per_Unit]],0,0)</f>
        <v>12600</v>
      </c>
      <c r="H257" cm="1">
        <f t="array" ref="H257">Food_Orders[[#This Row],[Quantity_Orderd]]*_xlfn.XLOOKUP(Food_Orders[[#This Row],[Food_ID]],Food_Catalog[[#All],[Food_ID]],Food_Catalog[[#All],[Client_Price_Per_Unit]],0,0)</f>
        <v>15120</v>
      </c>
      <c r="I257">
        <f>Food_Orders[[#This Row],[Client_Price]]-Food_Orders[[#This Row],[Cost]]</f>
        <v>2520</v>
      </c>
    </row>
    <row r="258" spans="1:9" x14ac:dyDescent="0.25">
      <c r="A258">
        <v>9</v>
      </c>
      <c r="B258" t="s">
        <v>58</v>
      </c>
      <c r="C258" t="s">
        <v>40</v>
      </c>
      <c r="D258" t="s">
        <v>59</v>
      </c>
      <c r="E258" t="s">
        <v>10</v>
      </c>
      <c r="F258" cm="1">
        <f t="array" ref="F258">_xlfn.XLOOKUP(Food_Orders[[#This Row],[Event_No]],Event_Master[[#All],[Event_No]],Event_Master[[#All],[Guest_Count]],,0)</f>
        <v>180</v>
      </c>
      <c r="G258" cm="1">
        <f t="array" ref="G258">Food_Orders[[#This Row],[Quantity_Orderd]]*_xlfn.XLOOKUP(Food_Orders[[#This Row],[Food_ID]],Food_Catalog[[#All],[Food_ID]],Food_Catalog[[#All],[Price_Per_Unit]],0,0)</f>
        <v>16200</v>
      </c>
      <c r="H258" cm="1">
        <f t="array" ref="H258">Food_Orders[[#This Row],[Quantity_Orderd]]*_xlfn.XLOOKUP(Food_Orders[[#This Row],[Food_ID]],Food_Catalog[[#All],[Food_ID]],Food_Catalog[[#All],[Client_Price_Per_Unit]],0,0)</f>
        <v>19440</v>
      </c>
      <c r="I258">
        <f>Food_Orders[[#This Row],[Client_Price]]-Food_Orders[[#This Row],[Cost]]</f>
        <v>3240</v>
      </c>
    </row>
    <row r="259" spans="1:9" x14ac:dyDescent="0.25">
      <c r="A259">
        <v>9</v>
      </c>
      <c r="B259" t="s">
        <v>46</v>
      </c>
      <c r="C259" t="s">
        <v>40</v>
      </c>
      <c r="D259" t="s">
        <v>47</v>
      </c>
      <c r="E259" t="s">
        <v>10</v>
      </c>
      <c r="F259" cm="1">
        <f t="array" ref="F259">_xlfn.XLOOKUP(Food_Orders[[#This Row],[Event_No]],Event_Master[[#All],[Event_No]],Event_Master[[#All],[Guest_Count]],,0)</f>
        <v>180</v>
      </c>
      <c r="G259" cm="1">
        <f t="array" ref="G259">Food_Orders[[#This Row],[Quantity_Orderd]]*_xlfn.XLOOKUP(Food_Orders[[#This Row],[Food_ID]],Food_Catalog[[#All],[Food_ID]],Food_Catalog[[#All],[Price_Per_Unit]],0,0)</f>
        <v>16200</v>
      </c>
      <c r="H259" cm="1">
        <f t="array" ref="H259">Food_Orders[[#This Row],[Quantity_Orderd]]*_xlfn.XLOOKUP(Food_Orders[[#This Row],[Food_ID]],Food_Catalog[[#All],[Food_ID]],Food_Catalog[[#All],[Client_Price_Per_Unit]],0,0)</f>
        <v>19440</v>
      </c>
      <c r="I259">
        <f>Food_Orders[[#This Row],[Client_Price]]-Food_Orders[[#This Row],[Cost]]</f>
        <v>3240</v>
      </c>
    </row>
    <row r="260" spans="1:9" x14ac:dyDescent="0.25">
      <c r="A260">
        <v>9</v>
      </c>
      <c r="B260" t="s">
        <v>50</v>
      </c>
      <c r="C260" t="s">
        <v>40</v>
      </c>
      <c r="D260" t="s">
        <v>51</v>
      </c>
      <c r="E260" t="s">
        <v>10</v>
      </c>
      <c r="F260" cm="1">
        <f t="array" ref="F260">_xlfn.XLOOKUP(Food_Orders[[#This Row],[Event_No]],Event_Master[[#All],[Event_No]],Event_Master[[#All],[Guest_Count]],,0)</f>
        <v>180</v>
      </c>
      <c r="G260" cm="1">
        <f t="array" ref="G260">Food_Orders[[#This Row],[Quantity_Orderd]]*_xlfn.XLOOKUP(Food_Orders[[#This Row],[Food_ID]],Food_Catalog[[#All],[Food_ID]],Food_Catalog[[#All],[Price_Per_Unit]],0,0)</f>
        <v>14400</v>
      </c>
      <c r="H260" cm="1">
        <f t="array" ref="H260">Food_Orders[[#This Row],[Quantity_Orderd]]*_xlfn.XLOOKUP(Food_Orders[[#This Row],[Food_ID]],Food_Catalog[[#All],[Food_ID]],Food_Catalog[[#All],[Client_Price_Per_Unit]],0,0)</f>
        <v>17280</v>
      </c>
      <c r="I260">
        <f>Food_Orders[[#This Row],[Client_Price]]-Food_Orders[[#This Row],[Cost]]</f>
        <v>2880</v>
      </c>
    </row>
    <row r="261" spans="1:9" x14ac:dyDescent="0.25">
      <c r="A261">
        <v>9</v>
      </c>
      <c r="B261" t="s">
        <v>82</v>
      </c>
      <c r="C261" t="s">
        <v>83</v>
      </c>
      <c r="D261" t="s">
        <v>84</v>
      </c>
      <c r="E261" t="s">
        <v>85</v>
      </c>
      <c r="F261" cm="1">
        <f t="array" ref="F261">_xlfn.XLOOKUP(Food_Orders[[#This Row],[Event_No]],Event_Master[[#All],[Event_No]],Event_Master[[#All],[Guest_Count]],,0)</f>
        <v>180</v>
      </c>
      <c r="G261" cm="1">
        <f t="array" ref="G261">Food_Orders[[#This Row],[Quantity_Orderd]]*_xlfn.XLOOKUP(Food_Orders[[#This Row],[Food_ID]],Food_Catalog[[#All],[Food_ID]],Food_Catalog[[#All],[Price_Per_Unit]],0,0)</f>
        <v>3600</v>
      </c>
      <c r="H261" cm="1">
        <f t="array" ref="H261">Food_Orders[[#This Row],[Quantity_Orderd]]*_xlfn.XLOOKUP(Food_Orders[[#This Row],[Food_ID]],Food_Catalog[[#All],[Food_ID]],Food_Catalog[[#All],[Client_Price_Per_Unit]],0,0)</f>
        <v>4320</v>
      </c>
      <c r="I261">
        <f>Food_Orders[[#This Row],[Client_Price]]-Food_Orders[[#This Row],[Cost]]</f>
        <v>720</v>
      </c>
    </row>
    <row r="262" spans="1:9" x14ac:dyDescent="0.25">
      <c r="A262">
        <v>9</v>
      </c>
      <c r="B262" t="s">
        <v>86</v>
      </c>
      <c r="C262" t="s">
        <v>83</v>
      </c>
      <c r="D262" t="s">
        <v>87</v>
      </c>
      <c r="E262" t="s">
        <v>85</v>
      </c>
      <c r="F262" cm="1">
        <f t="array" ref="F262">_xlfn.XLOOKUP(Food_Orders[[#This Row],[Event_No]],Event_Master[[#All],[Event_No]],Event_Master[[#All],[Guest_Count]],,0)</f>
        <v>180</v>
      </c>
      <c r="G262" cm="1">
        <f t="array" ref="G262">Food_Orders[[#This Row],[Quantity_Orderd]]*_xlfn.XLOOKUP(Food_Orders[[#This Row],[Food_ID]],Food_Catalog[[#All],[Food_ID]],Food_Catalog[[#All],[Price_Per_Unit]],0,0)</f>
        <v>3600</v>
      </c>
      <c r="H262" cm="1">
        <f t="array" ref="H262">Food_Orders[[#This Row],[Quantity_Orderd]]*_xlfn.XLOOKUP(Food_Orders[[#This Row],[Food_ID]],Food_Catalog[[#All],[Food_ID]],Food_Catalog[[#All],[Client_Price_Per_Unit]],0,0)</f>
        <v>4320</v>
      </c>
      <c r="I262">
        <f>Food_Orders[[#This Row],[Client_Price]]-Food_Orders[[#This Row],[Cost]]</f>
        <v>720</v>
      </c>
    </row>
    <row r="263" spans="1:9" x14ac:dyDescent="0.25">
      <c r="A263">
        <v>9</v>
      </c>
      <c r="B263" t="s">
        <v>96</v>
      </c>
      <c r="C263" t="s">
        <v>83</v>
      </c>
      <c r="D263" t="s">
        <v>97</v>
      </c>
      <c r="E263" t="s">
        <v>79</v>
      </c>
      <c r="F263" cm="1">
        <f t="array" ref="F263">_xlfn.XLOOKUP(Food_Orders[[#This Row],[Event_No]],Event_Master[[#All],[Event_No]],Event_Master[[#All],[Guest_Count]],,0)</f>
        <v>180</v>
      </c>
      <c r="G263" cm="1">
        <f t="array" ref="G263">Food_Orders[[#This Row],[Quantity_Orderd]]*_xlfn.XLOOKUP(Food_Orders[[#This Row],[Food_ID]],Food_Catalog[[#All],[Food_ID]],Food_Catalog[[#All],[Price_Per_Unit]],0,0)</f>
        <v>5400</v>
      </c>
      <c r="H263" cm="1">
        <f t="array" ref="H263">Food_Orders[[#This Row],[Quantity_Orderd]]*_xlfn.XLOOKUP(Food_Orders[[#This Row],[Food_ID]],Food_Catalog[[#All],[Food_ID]],Food_Catalog[[#All],[Client_Price_Per_Unit]],0,0)</f>
        <v>6480</v>
      </c>
      <c r="I263">
        <f>Food_Orders[[#This Row],[Client_Price]]-Food_Orders[[#This Row],[Cost]]</f>
        <v>1080</v>
      </c>
    </row>
    <row r="264" spans="1:9" x14ac:dyDescent="0.25">
      <c r="A264">
        <v>9</v>
      </c>
      <c r="B264" t="s">
        <v>88</v>
      </c>
      <c r="C264" t="s">
        <v>83</v>
      </c>
      <c r="D264" t="s">
        <v>89</v>
      </c>
      <c r="E264" t="s">
        <v>85</v>
      </c>
      <c r="F264" cm="1">
        <f t="array" ref="F264">_xlfn.XLOOKUP(Food_Orders[[#This Row],[Event_No]],Event_Master[[#All],[Event_No]],Event_Master[[#All],[Guest_Count]],,0)</f>
        <v>180</v>
      </c>
      <c r="G264" cm="1">
        <f t="array" ref="G264">Food_Orders[[#This Row],[Quantity_Orderd]]*_xlfn.XLOOKUP(Food_Orders[[#This Row],[Food_ID]],Food_Catalog[[#All],[Food_ID]],Food_Catalog[[#All],[Price_Per_Unit]],0,0)</f>
        <v>2700</v>
      </c>
      <c r="H264" cm="1">
        <f t="array" ref="H264">Food_Orders[[#This Row],[Quantity_Orderd]]*_xlfn.XLOOKUP(Food_Orders[[#This Row],[Food_ID]],Food_Catalog[[#All],[Food_ID]],Food_Catalog[[#All],[Client_Price_Per_Unit]],0,0)</f>
        <v>3240</v>
      </c>
      <c r="I264">
        <f>Food_Orders[[#This Row],[Client_Price]]-Food_Orders[[#This Row],[Cost]]</f>
        <v>540</v>
      </c>
    </row>
    <row r="265" spans="1:9" x14ac:dyDescent="0.25">
      <c r="A265">
        <v>9</v>
      </c>
      <c r="B265" t="s">
        <v>92</v>
      </c>
      <c r="C265" t="s">
        <v>83</v>
      </c>
      <c r="D265" t="s">
        <v>93</v>
      </c>
      <c r="E265" t="s">
        <v>85</v>
      </c>
      <c r="F265" cm="1">
        <f t="array" ref="F265">_xlfn.XLOOKUP(Food_Orders[[#This Row],[Event_No]],Event_Master[[#All],[Event_No]],Event_Master[[#All],[Guest_Count]],,0)</f>
        <v>180</v>
      </c>
      <c r="G265" cm="1">
        <f t="array" ref="G265">Food_Orders[[#This Row],[Quantity_Orderd]]*_xlfn.XLOOKUP(Food_Orders[[#This Row],[Food_ID]],Food_Catalog[[#All],[Food_ID]],Food_Catalog[[#All],[Price_Per_Unit]],0,0)</f>
        <v>2700</v>
      </c>
      <c r="H265" cm="1">
        <f t="array" ref="H265">Food_Orders[[#This Row],[Quantity_Orderd]]*_xlfn.XLOOKUP(Food_Orders[[#This Row],[Food_ID]],Food_Catalog[[#All],[Food_ID]],Food_Catalog[[#All],[Client_Price_Per_Unit]],0,0)</f>
        <v>3240</v>
      </c>
      <c r="I265">
        <f>Food_Orders[[#This Row],[Client_Price]]-Food_Orders[[#This Row],[Cost]]</f>
        <v>540</v>
      </c>
    </row>
    <row r="266" spans="1:9" x14ac:dyDescent="0.25">
      <c r="A266">
        <v>9</v>
      </c>
      <c r="B266" t="s">
        <v>98</v>
      </c>
      <c r="C266" t="s">
        <v>83</v>
      </c>
      <c r="D266" t="s">
        <v>99</v>
      </c>
      <c r="E266" t="s">
        <v>85</v>
      </c>
      <c r="F266" cm="1">
        <f t="array" ref="F266">_xlfn.XLOOKUP(Food_Orders[[#This Row],[Event_No]],Event_Master[[#All],[Event_No]],Event_Master[[#All],[Guest_Count]],,0)</f>
        <v>180</v>
      </c>
      <c r="G266" cm="1">
        <f t="array" ref="G266">Food_Orders[[#This Row],[Quantity_Orderd]]*_xlfn.XLOOKUP(Food_Orders[[#This Row],[Food_ID]],Food_Catalog[[#All],[Food_ID]],Food_Catalog[[#All],[Price_Per_Unit]],0,0)</f>
        <v>2700</v>
      </c>
      <c r="H266" cm="1">
        <f t="array" ref="H266">Food_Orders[[#This Row],[Quantity_Orderd]]*_xlfn.XLOOKUP(Food_Orders[[#This Row],[Food_ID]],Food_Catalog[[#All],[Food_ID]],Food_Catalog[[#All],[Client_Price_Per_Unit]],0,0)</f>
        <v>3240</v>
      </c>
      <c r="I266">
        <f>Food_Orders[[#This Row],[Client_Price]]-Food_Orders[[#This Row],[Cost]]</f>
        <v>540</v>
      </c>
    </row>
    <row r="267" spans="1:9" x14ac:dyDescent="0.25">
      <c r="A267">
        <v>9</v>
      </c>
      <c r="B267" t="s">
        <v>104</v>
      </c>
      <c r="C267" t="s">
        <v>105</v>
      </c>
      <c r="D267" t="s">
        <v>106</v>
      </c>
      <c r="E267" t="s">
        <v>107</v>
      </c>
      <c r="F267" cm="1">
        <f t="array" ref="F267">_xlfn.XLOOKUP(Food_Orders[[#This Row],[Event_No]],Event_Master[[#All],[Event_No]],Event_Master[[#All],[Guest_Count]],,0)</f>
        <v>180</v>
      </c>
      <c r="G267" cm="1">
        <f t="array" ref="G267">Food_Orders[[#This Row],[Quantity_Orderd]]*_xlfn.XLOOKUP(Food_Orders[[#This Row],[Food_ID]],Food_Catalog[[#All],[Food_ID]],Food_Catalog[[#All],[Price_Per_Unit]],0,0)</f>
        <v>1800</v>
      </c>
      <c r="H267" cm="1">
        <f t="array" ref="H267">Food_Orders[[#This Row],[Quantity_Orderd]]*_xlfn.XLOOKUP(Food_Orders[[#This Row],[Food_ID]],Food_Catalog[[#All],[Food_ID]],Food_Catalog[[#All],[Client_Price_Per_Unit]],0,0)</f>
        <v>2160</v>
      </c>
      <c r="I267">
        <f>Food_Orders[[#This Row],[Client_Price]]-Food_Orders[[#This Row],[Cost]]</f>
        <v>360</v>
      </c>
    </row>
    <row r="268" spans="1:9" x14ac:dyDescent="0.25">
      <c r="A268">
        <v>9</v>
      </c>
      <c r="B268" t="s">
        <v>108</v>
      </c>
      <c r="C268" t="s">
        <v>105</v>
      </c>
      <c r="D268" t="s">
        <v>109</v>
      </c>
      <c r="E268" t="s">
        <v>107</v>
      </c>
      <c r="F268" cm="1">
        <f t="array" ref="F268">_xlfn.XLOOKUP(Food_Orders[[#This Row],[Event_No]],Event_Master[[#All],[Event_No]],Event_Master[[#All],[Guest_Count]],,0)</f>
        <v>180</v>
      </c>
      <c r="G268" cm="1">
        <f t="array" ref="G268">Food_Orders[[#This Row],[Quantity_Orderd]]*_xlfn.XLOOKUP(Food_Orders[[#This Row],[Food_ID]],Food_Catalog[[#All],[Food_ID]],Food_Catalog[[#All],[Price_Per_Unit]],0,0)</f>
        <v>2700</v>
      </c>
      <c r="H268" cm="1">
        <f t="array" ref="H268">Food_Orders[[#This Row],[Quantity_Orderd]]*_xlfn.XLOOKUP(Food_Orders[[#This Row],[Food_ID]],Food_Catalog[[#All],[Food_ID]],Food_Catalog[[#All],[Client_Price_Per_Unit]],0,0)</f>
        <v>3240</v>
      </c>
      <c r="I268">
        <f>Food_Orders[[#This Row],[Client_Price]]-Food_Orders[[#This Row],[Cost]]</f>
        <v>540</v>
      </c>
    </row>
    <row r="269" spans="1:9" x14ac:dyDescent="0.25">
      <c r="A269">
        <v>9</v>
      </c>
      <c r="B269" t="s">
        <v>118</v>
      </c>
      <c r="C269" t="s">
        <v>119</v>
      </c>
      <c r="D269" t="s">
        <v>120</v>
      </c>
      <c r="E269" t="s">
        <v>112</v>
      </c>
      <c r="F269" cm="1">
        <f t="array" ref="F269">_xlfn.XLOOKUP(Food_Orders[[#This Row],[Event_No]],Event_Master[[#All],[Event_No]],Event_Master[[#All],[Guest_Count]],,0)</f>
        <v>180</v>
      </c>
      <c r="G269" cm="1">
        <f t="array" ref="G269">Food_Orders[[#This Row],[Quantity_Orderd]]*_xlfn.XLOOKUP(Food_Orders[[#This Row],[Food_ID]],Food_Catalog[[#All],[Food_ID]],Food_Catalog[[#All],[Price_Per_Unit]],0,0)</f>
        <v>1800</v>
      </c>
      <c r="H269" cm="1">
        <f t="array" ref="H269">Food_Orders[[#This Row],[Quantity_Orderd]]*_xlfn.XLOOKUP(Food_Orders[[#This Row],[Food_ID]],Food_Catalog[[#All],[Food_ID]],Food_Catalog[[#All],[Client_Price_Per_Unit]],0,0)</f>
        <v>2160</v>
      </c>
      <c r="I269">
        <f>Food_Orders[[#This Row],[Client_Price]]-Food_Orders[[#This Row],[Cost]]</f>
        <v>360</v>
      </c>
    </row>
    <row r="270" spans="1:9" x14ac:dyDescent="0.25">
      <c r="A270">
        <v>9</v>
      </c>
      <c r="B270" t="s">
        <v>129</v>
      </c>
      <c r="C270" t="s">
        <v>119</v>
      </c>
      <c r="D270" t="s">
        <v>130</v>
      </c>
      <c r="E270" t="s">
        <v>112</v>
      </c>
      <c r="F270" cm="1">
        <f t="array" ref="F270">_xlfn.XLOOKUP(Food_Orders[[#This Row],[Event_No]],Event_Master[[#All],[Event_No]],Event_Master[[#All],[Guest_Count]],,0)</f>
        <v>180</v>
      </c>
      <c r="G270" cm="1">
        <f t="array" ref="G270">Food_Orders[[#This Row],[Quantity_Orderd]]*_xlfn.XLOOKUP(Food_Orders[[#This Row],[Food_ID]],Food_Catalog[[#All],[Food_ID]],Food_Catalog[[#All],[Price_Per_Unit]],0,0)</f>
        <v>1800</v>
      </c>
      <c r="H270" cm="1">
        <f t="array" ref="H270">Food_Orders[[#This Row],[Quantity_Orderd]]*_xlfn.XLOOKUP(Food_Orders[[#This Row],[Food_ID]],Food_Catalog[[#All],[Food_ID]],Food_Catalog[[#All],[Client_Price_Per_Unit]],0,0)</f>
        <v>2160</v>
      </c>
      <c r="I270">
        <f>Food_Orders[[#This Row],[Client_Price]]-Food_Orders[[#This Row],[Cost]]</f>
        <v>360</v>
      </c>
    </row>
    <row r="271" spans="1:9" x14ac:dyDescent="0.25">
      <c r="A271">
        <v>9</v>
      </c>
      <c r="B271" t="s">
        <v>127</v>
      </c>
      <c r="C271" t="s">
        <v>119</v>
      </c>
      <c r="D271" t="s">
        <v>128</v>
      </c>
      <c r="E271" t="s">
        <v>107</v>
      </c>
      <c r="F271" cm="1">
        <f t="array" ref="F271">_xlfn.XLOOKUP(Food_Orders[[#This Row],[Event_No]],Event_Master[[#All],[Event_No]],Event_Master[[#All],[Guest_Count]],,0)</f>
        <v>180</v>
      </c>
      <c r="G271" cm="1">
        <f t="array" ref="G271">Food_Orders[[#This Row],[Quantity_Orderd]]*_xlfn.XLOOKUP(Food_Orders[[#This Row],[Food_ID]],Food_Catalog[[#All],[Food_ID]],Food_Catalog[[#All],[Price_Per_Unit]],0,0)</f>
        <v>3600</v>
      </c>
      <c r="H271" cm="1">
        <f t="array" ref="H271">Food_Orders[[#This Row],[Quantity_Orderd]]*_xlfn.XLOOKUP(Food_Orders[[#This Row],[Food_ID]],Food_Catalog[[#All],[Food_ID]],Food_Catalog[[#All],[Client_Price_Per_Unit]],0,0)</f>
        <v>4320</v>
      </c>
      <c r="I271">
        <f>Food_Orders[[#This Row],[Client_Price]]-Food_Orders[[#This Row],[Cost]]</f>
        <v>720</v>
      </c>
    </row>
    <row r="272" spans="1:9" x14ac:dyDescent="0.25">
      <c r="A272">
        <v>10</v>
      </c>
      <c r="B272" t="s">
        <v>60</v>
      </c>
      <c r="C272" t="s">
        <v>61</v>
      </c>
      <c r="D272" t="s">
        <v>62</v>
      </c>
      <c r="E272" t="s">
        <v>10</v>
      </c>
      <c r="F272" cm="1">
        <f t="array" ref="F272">_xlfn.XLOOKUP(Food_Orders[[#This Row],[Event_No]],Event_Master[[#All],[Event_No]],Event_Master[[#All],[Guest_Count]],,0)</f>
        <v>90</v>
      </c>
      <c r="G272" cm="1">
        <f t="array" ref="G272">Food_Orders[[#This Row],[Quantity_Orderd]]*_xlfn.XLOOKUP(Food_Orders[[#This Row],[Food_ID]],Food_Catalog[[#All],[Food_ID]],Food_Catalog[[#All],[Price_Per_Unit]],0,0)</f>
        <v>1800</v>
      </c>
      <c r="H272" cm="1">
        <f t="array" ref="H272">Food_Orders[[#This Row],[Quantity_Orderd]]*_xlfn.XLOOKUP(Food_Orders[[#This Row],[Food_ID]],Food_Catalog[[#All],[Food_ID]],Food_Catalog[[#All],[Client_Price_Per_Unit]],0,0)</f>
        <v>2160</v>
      </c>
      <c r="I272">
        <f>Food_Orders[[#This Row],[Client_Price]]-Food_Orders[[#This Row],[Cost]]</f>
        <v>360</v>
      </c>
    </row>
    <row r="273" spans="1:9" x14ac:dyDescent="0.25">
      <c r="A273">
        <v>10</v>
      </c>
      <c r="B273" t="s">
        <v>63</v>
      </c>
      <c r="C273" t="s">
        <v>61</v>
      </c>
      <c r="D273" t="s">
        <v>64</v>
      </c>
      <c r="E273" t="s">
        <v>10</v>
      </c>
      <c r="F273" cm="1">
        <f t="array" ref="F273">_xlfn.XLOOKUP(Food_Orders[[#This Row],[Event_No]],Event_Master[[#All],[Event_No]],Event_Master[[#All],[Guest_Count]],,0)</f>
        <v>90</v>
      </c>
      <c r="G273" cm="1">
        <f t="array" ref="G273">Food_Orders[[#This Row],[Quantity_Orderd]]*_xlfn.XLOOKUP(Food_Orders[[#This Row],[Food_ID]],Food_Catalog[[#All],[Food_ID]],Food_Catalog[[#All],[Price_Per_Unit]],0,0)</f>
        <v>2700</v>
      </c>
      <c r="H273" cm="1">
        <f t="array" ref="H273">Food_Orders[[#This Row],[Quantity_Orderd]]*_xlfn.XLOOKUP(Food_Orders[[#This Row],[Food_ID]],Food_Catalog[[#All],[Food_ID]],Food_Catalog[[#All],[Client_Price_Per_Unit]],0,0)</f>
        <v>3240</v>
      </c>
      <c r="I273">
        <f>Food_Orders[[#This Row],[Client_Price]]-Food_Orders[[#This Row],[Cost]]</f>
        <v>540</v>
      </c>
    </row>
    <row r="274" spans="1:9" x14ac:dyDescent="0.25">
      <c r="A274">
        <v>10</v>
      </c>
      <c r="B274" t="s">
        <v>71</v>
      </c>
      <c r="C274" t="s">
        <v>61</v>
      </c>
      <c r="D274" t="s">
        <v>72</v>
      </c>
      <c r="E274" t="s">
        <v>10</v>
      </c>
      <c r="F274" cm="1">
        <f t="array" ref="F274">_xlfn.XLOOKUP(Food_Orders[[#This Row],[Event_No]],Event_Master[[#All],[Event_No]],Event_Master[[#All],[Guest_Count]],,0)</f>
        <v>90</v>
      </c>
      <c r="G274" cm="1">
        <f t="array" ref="G274">Food_Orders[[#This Row],[Quantity_Orderd]]*_xlfn.XLOOKUP(Food_Orders[[#This Row],[Food_ID]],Food_Catalog[[#All],[Food_ID]],Food_Catalog[[#All],[Price_Per_Unit]],0,0)</f>
        <v>2250</v>
      </c>
      <c r="H274" cm="1">
        <f t="array" ref="H274">Food_Orders[[#This Row],[Quantity_Orderd]]*_xlfn.XLOOKUP(Food_Orders[[#This Row],[Food_ID]],Food_Catalog[[#All],[Food_ID]],Food_Catalog[[#All],[Client_Price_Per_Unit]],0,0)</f>
        <v>2700</v>
      </c>
      <c r="I274">
        <f>Food_Orders[[#This Row],[Client_Price]]-Food_Orders[[#This Row],[Cost]]</f>
        <v>450</v>
      </c>
    </row>
    <row r="275" spans="1:9" x14ac:dyDescent="0.25">
      <c r="A275">
        <v>10</v>
      </c>
      <c r="B275" t="s">
        <v>73</v>
      </c>
      <c r="C275" t="s">
        <v>61</v>
      </c>
      <c r="D275" t="s">
        <v>74</v>
      </c>
      <c r="E275" t="s">
        <v>10</v>
      </c>
      <c r="F275" cm="1">
        <f t="array" ref="F275">_xlfn.XLOOKUP(Food_Orders[[#This Row],[Event_No]],Event_Master[[#All],[Event_No]],Event_Master[[#All],[Guest_Count]],,0)</f>
        <v>90</v>
      </c>
      <c r="G275" cm="1">
        <f t="array" ref="G275">Food_Orders[[#This Row],[Quantity_Orderd]]*_xlfn.XLOOKUP(Food_Orders[[#This Row],[Food_ID]],Food_Catalog[[#All],[Food_ID]],Food_Catalog[[#All],[Price_Per_Unit]],0,0)</f>
        <v>3600</v>
      </c>
      <c r="H275" cm="1">
        <f t="array" ref="H275">Food_Orders[[#This Row],[Quantity_Orderd]]*_xlfn.XLOOKUP(Food_Orders[[#This Row],[Food_ID]],Food_Catalog[[#All],[Food_ID]],Food_Catalog[[#All],[Client_Price_Per_Unit]],0,0)</f>
        <v>4320</v>
      </c>
      <c r="I275">
        <f>Food_Orders[[#This Row],[Client_Price]]-Food_Orders[[#This Row],[Cost]]</f>
        <v>720</v>
      </c>
    </row>
    <row r="276" spans="1:9" x14ac:dyDescent="0.25">
      <c r="A276">
        <v>10</v>
      </c>
      <c r="B276" t="s">
        <v>75</v>
      </c>
      <c r="C276" t="s">
        <v>61</v>
      </c>
      <c r="D276" t="s">
        <v>76</v>
      </c>
      <c r="E276" t="s">
        <v>10</v>
      </c>
      <c r="F276" cm="1">
        <f t="array" ref="F276">_xlfn.XLOOKUP(Food_Orders[[#This Row],[Event_No]],Event_Master[[#All],[Event_No]],Event_Master[[#All],[Guest_Count]],,0)</f>
        <v>90</v>
      </c>
      <c r="G276" cm="1">
        <f t="array" ref="G276">Food_Orders[[#This Row],[Quantity_Orderd]]*_xlfn.XLOOKUP(Food_Orders[[#This Row],[Food_ID]],Food_Catalog[[#All],[Food_ID]],Food_Catalog[[#All],[Price_Per_Unit]],0,0)</f>
        <v>3600</v>
      </c>
      <c r="H276" cm="1">
        <f t="array" ref="H276">Food_Orders[[#This Row],[Quantity_Orderd]]*_xlfn.XLOOKUP(Food_Orders[[#This Row],[Food_ID]],Food_Catalog[[#All],[Food_ID]],Food_Catalog[[#All],[Client_Price_Per_Unit]],0,0)</f>
        <v>4320</v>
      </c>
      <c r="I276">
        <f>Food_Orders[[#This Row],[Client_Price]]-Food_Orders[[#This Row],[Cost]]</f>
        <v>720</v>
      </c>
    </row>
    <row r="277" spans="1:9" x14ac:dyDescent="0.25">
      <c r="A277">
        <v>10</v>
      </c>
      <c r="B277" t="s">
        <v>69</v>
      </c>
      <c r="C277" t="s">
        <v>61</v>
      </c>
      <c r="D277" t="s">
        <v>70</v>
      </c>
      <c r="E277" t="s">
        <v>10</v>
      </c>
      <c r="F277" cm="1">
        <f t="array" ref="F277">_xlfn.XLOOKUP(Food_Orders[[#This Row],[Event_No]],Event_Master[[#All],[Event_No]],Event_Master[[#All],[Guest_Count]],,0)</f>
        <v>90</v>
      </c>
      <c r="G277" cm="1">
        <f t="array" ref="G277">Food_Orders[[#This Row],[Quantity_Orderd]]*_xlfn.XLOOKUP(Food_Orders[[#This Row],[Food_ID]],Food_Catalog[[#All],[Food_ID]],Food_Catalog[[#All],[Price_Per_Unit]],0,0)</f>
        <v>4500</v>
      </c>
      <c r="H277" cm="1">
        <f t="array" ref="H277">Food_Orders[[#This Row],[Quantity_Orderd]]*_xlfn.XLOOKUP(Food_Orders[[#This Row],[Food_ID]],Food_Catalog[[#All],[Food_ID]],Food_Catalog[[#All],[Client_Price_Per_Unit]],0,0)</f>
        <v>5400</v>
      </c>
      <c r="I277">
        <f>Food_Orders[[#This Row],[Client_Price]]-Food_Orders[[#This Row],[Cost]]</f>
        <v>900</v>
      </c>
    </row>
    <row r="278" spans="1:9" x14ac:dyDescent="0.25">
      <c r="A278">
        <v>10</v>
      </c>
      <c r="B278" t="s">
        <v>67</v>
      </c>
      <c r="C278" t="s">
        <v>61</v>
      </c>
      <c r="D278" t="s">
        <v>68</v>
      </c>
      <c r="E278" t="s">
        <v>10</v>
      </c>
      <c r="F278" cm="1">
        <f t="array" ref="F278">_xlfn.XLOOKUP(Food_Orders[[#This Row],[Event_No]],Event_Master[[#All],[Event_No]],Event_Master[[#All],[Guest_Count]],,0)</f>
        <v>90</v>
      </c>
      <c r="G278" cm="1">
        <f t="array" ref="G278">Food_Orders[[#This Row],[Quantity_Orderd]]*_xlfn.XLOOKUP(Food_Orders[[#This Row],[Food_ID]],Food_Catalog[[#All],[Food_ID]],Food_Catalog[[#All],[Price_Per_Unit]],0,0)</f>
        <v>2700</v>
      </c>
      <c r="H278" cm="1">
        <f t="array" ref="H278">Food_Orders[[#This Row],[Quantity_Orderd]]*_xlfn.XLOOKUP(Food_Orders[[#This Row],[Food_ID]],Food_Catalog[[#All],[Food_ID]],Food_Catalog[[#All],[Client_Price_Per_Unit]],0,0)</f>
        <v>3240</v>
      </c>
      <c r="I278">
        <f>Food_Orders[[#This Row],[Client_Price]]-Food_Orders[[#This Row],[Cost]]</f>
        <v>540</v>
      </c>
    </row>
    <row r="279" spans="1:9" x14ac:dyDescent="0.25">
      <c r="A279">
        <v>10</v>
      </c>
      <c r="B279" t="s">
        <v>7</v>
      </c>
      <c r="C279" t="s">
        <v>8</v>
      </c>
      <c r="D279" t="s">
        <v>9</v>
      </c>
      <c r="E279" t="s">
        <v>10</v>
      </c>
      <c r="F279" cm="1">
        <f t="array" ref="F279">_xlfn.XLOOKUP(Food_Orders[[#This Row],[Event_No]],Event_Master[[#All],[Event_No]],Event_Master[[#All],[Guest_Count]],,0)</f>
        <v>90</v>
      </c>
      <c r="G279" cm="1">
        <f t="array" ref="G279">Food_Orders[[#This Row],[Quantity_Orderd]]*_xlfn.XLOOKUP(Food_Orders[[#This Row],[Food_ID]],Food_Catalog[[#All],[Food_ID]],Food_Catalog[[#All],[Price_Per_Unit]],0,0)</f>
        <v>2250</v>
      </c>
      <c r="H279" cm="1">
        <f t="array" ref="H279">Food_Orders[[#This Row],[Quantity_Orderd]]*_xlfn.XLOOKUP(Food_Orders[[#This Row],[Food_ID]],Food_Catalog[[#All],[Food_ID]],Food_Catalog[[#All],[Client_Price_Per_Unit]],0,0)</f>
        <v>2700</v>
      </c>
      <c r="I279">
        <f>Food_Orders[[#This Row],[Client_Price]]-Food_Orders[[#This Row],[Cost]]</f>
        <v>450</v>
      </c>
    </row>
    <row r="280" spans="1:9" x14ac:dyDescent="0.25">
      <c r="A280">
        <v>10</v>
      </c>
      <c r="B280" t="s">
        <v>13</v>
      </c>
      <c r="C280" t="s">
        <v>8</v>
      </c>
      <c r="D280" t="s">
        <v>14</v>
      </c>
      <c r="E280" t="s">
        <v>10</v>
      </c>
      <c r="F280" cm="1">
        <f t="array" ref="F280">_xlfn.XLOOKUP(Food_Orders[[#This Row],[Event_No]],Event_Master[[#All],[Event_No]],Event_Master[[#All],[Guest_Count]],,0)</f>
        <v>90</v>
      </c>
      <c r="G280" cm="1">
        <f t="array" ref="G280">Food_Orders[[#This Row],[Quantity_Orderd]]*_xlfn.XLOOKUP(Food_Orders[[#This Row],[Food_ID]],Food_Catalog[[#All],[Food_ID]],Food_Catalog[[#All],[Price_Per_Unit]],0,0)</f>
        <v>3150</v>
      </c>
      <c r="H280" cm="1">
        <f t="array" ref="H280">Food_Orders[[#This Row],[Quantity_Orderd]]*_xlfn.XLOOKUP(Food_Orders[[#This Row],[Food_ID]],Food_Catalog[[#All],[Food_ID]],Food_Catalog[[#All],[Client_Price_Per_Unit]],0,0)</f>
        <v>3780</v>
      </c>
      <c r="I280">
        <f>Food_Orders[[#This Row],[Client_Price]]-Food_Orders[[#This Row],[Cost]]</f>
        <v>630</v>
      </c>
    </row>
    <row r="281" spans="1:9" x14ac:dyDescent="0.25">
      <c r="A281">
        <v>10</v>
      </c>
      <c r="B281" t="s">
        <v>27</v>
      </c>
      <c r="C281" t="s">
        <v>8</v>
      </c>
      <c r="D281" t="s">
        <v>28</v>
      </c>
      <c r="E281" t="s">
        <v>10</v>
      </c>
      <c r="F281" cm="1">
        <f t="array" ref="F281">_xlfn.XLOOKUP(Food_Orders[[#This Row],[Event_No]],Event_Master[[#All],[Event_No]],Event_Master[[#All],[Guest_Count]],,0)</f>
        <v>90</v>
      </c>
      <c r="G281" cm="1">
        <f t="array" ref="G281">Food_Orders[[#This Row],[Quantity_Orderd]]*_xlfn.XLOOKUP(Food_Orders[[#This Row],[Food_ID]],Food_Catalog[[#All],[Food_ID]],Food_Catalog[[#All],[Price_Per_Unit]],0,0)</f>
        <v>3600</v>
      </c>
      <c r="H281" cm="1">
        <f t="array" ref="H281">Food_Orders[[#This Row],[Quantity_Orderd]]*_xlfn.XLOOKUP(Food_Orders[[#This Row],[Food_ID]],Food_Catalog[[#All],[Food_ID]],Food_Catalog[[#All],[Client_Price_Per_Unit]],0,0)</f>
        <v>4320</v>
      </c>
      <c r="I281">
        <f>Food_Orders[[#This Row],[Client_Price]]-Food_Orders[[#This Row],[Cost]]</f>
        <v>720</v>
      </c>
    </row>
    <row r="282" spans="1:9" x14ac:dyDescent="0.25">
      <c r="A282">
        <v>10</v>
      </c>
      <c r="B282" t="s">
        <v>31</v>
      </c>
      <c r="C282" t="s">
        <v>8</v>
      </c>
      <c r="D282" t="s">
        <v>32</v>
      </c>
      <c r="E282" t="s">
        <v>10</v>
      </c>
      <c r="F282" cm="1">
        <f t="array" ref="F282">_xlfn.XLOOKUP(Food_Orders[[#This Row],[Event_No]],Event_Master[[#All],[Event_No]],Event_Master[[#All],[Guest_Count]],,0)</f>
        <v>90</v>
      </c>
      <c r="G282" cm="1">
        <f t="array" ref="G282">Food_Orders[[#This Row],[Quantity_Orderd]]*_xlfn.XLOOKUP(Food_Orders[[#This Row],[Food_ID]],Food_Catalog[[#All],[Food_ID]],Food_Catalog[[#All],[Price_Per_Unit]],0,0)</f>
        <v>2700</v>
      </c>
      <c r="H282" cm="1">
        <f t="array" ref="H282">Food_Orders[[#This Row],[Quantity_Orderd]]*_xlfn.XLOOKUP(Food_Orders[[#This Row],[Food_ID]],Food_Catalog[[#All],[Food_ID]],Food_Catalog[[#All],[Client_Price_Per_Unit]],0,0)</f>
        <v>3240</v>
      </c>
      <c r="I282">
        <f>Food_Orders[[#This Row],[Client_Price]]-Food_Orders[[#This Row],[Cost]]</f>
        <v>540</v>
      </c>
    </row>
    <row r="283" spans="1:9" x14ac:dyDescent="0.25">
      <c r="A283">
        <v>10</v>
      </c>
      <c r="B283" t="s">
        <v>29</v>
      </c>
      <c r="C283" t="s">
        <v>8</v>
      </c>
      <c r="D283" t="s">
        <v>30</v>
      </c>
      <c r="E283" t="s">
        <v>10</v>
      </c>
      <c r="F283" cm="1">
        <f t="array" ref="F283">_xlfn.XLOOKUP(Food_Orders[[#This Row],[Event_No]],Event_Master[[#All],[Event_No]],Event_Master[[#All],[Guest_Count]],,0)</f>
        <v>90</v>
      </c>
      <c r="G283" cm="1">
        <f t="array" ref="G283">Food_Orders[[#This Row],[Quantity_Orderd]]*_xlfn.XLOOKUP(Food_Orders[[#This Row],[Food_ID]],Food_Catalog[[#All],[Food_ID]],Food_Catalog[[#All],[Price_Per_Unit]],0,0)</f>
        <v>2700</v>
      </c>
      <c r="H283" cm="1">
        <f t="array" ref="H283">Food_Orders[[#This Row],[Quantity_Orderd]]*_xlfn.XLOOKUP(Food_Orders[[#This Row],[Food_ID]],Food_Catalog[[#All],[Food_ID]],Food_Catalog[[#All],[Client_Price_Per_Unit]],0,0)</f>
        <v>3240</v>
      </c>
      <c r="I283">
        <f>Food_Orders[[#This Row],[Client_Price]]-Food_Orders[[#This Row],[Cost]]</f>
        <v>540</v>
      </c>
    </row>
    <row r="284" spans="1:9" x14ac:dyDescent="0.25">
      <c r="A284">
        <v>10</v>
      </c>
      <c r="B284" t="s">
        <v>37</v>
      </c>
      <c r="C284" t="s">
        <v>8</v>
      </c>
      <c r="D284" t="s">
        <v>38</v>
      </c>
      <c r="E284" t="s">
        <v>10</v>
      </c>
      <c r="F284" cm="1">
        <f t="array" ref="F284">_xlfn.XLOOKUP(Food_Orders[[#This Row],[Event_No]],Event_Master[[#All],[Event_No]],Event_Master[[#All],[Guest_Count]],,0)</f>
        <v>90</v>
      </c>
      <c r="G284" cm="1">
        <f t="array" ref="G284">Food_Orders[[#This Row],[Quantity_Orderd]]*_xlfn.XLOOKUP(Food_Orders[[#This Row],[Food_ID]],Food_Catalog[[#All],[Food_ID]],Food_Catalog[[#All],[Price_Per_Unit]],0,0)</f>
        <v>2250</v>
      </c>
      <c r="H284" cm="1">
        <f t="array" ref="H284">Food_Orders[[#This Row],[Quantity_Orderd]]*_xlfn.XLOOKUP(Food_Orders[[#This Row],[Food_ID]],Food_Catalog[[#All],[Food_ID]],Food_Catalog[[#All],[Client_Price_Per_Unit]],0,0)</f>
        <v>2700</v>
      </c>
      <c r="I284">
        <f>Food_Orders[[#This Row],[Client_Price]]-Food_Orders[[#This Row],[Cost]]</f>
        <v>450</v>
      </c>
    </row>
    <row r="285" spans="1:9" x14ac:dyDescent="0.25">
      <c r="A285">
        <v>10</v>
      </c>
      <c r="B285" t="s">
        <v>39</v>
      </c>
      <c r="C285" t="s">
        <v>40</v>
      </c>
      <c r="D285" t="s">
        <v>41</v>
      </c>
      <c r="E285" t="s">
        <v>10</v>
      </c>
      <c r="F285" cm="1">
        <f t="array" ref="F285">_xlfn.XLOOKUP(Food_Orders[[#This Row],[Event_No]],Event_Master[[#All],[Event_No]],Event_Master[[#All],[Guest_Count]],,0)</f>
        <v>90</v>
      </c>
      <c r="G285" cm="1">
        <f t="array" ref="G285">Food_Orders[[#This Row],[Quantity_Orderd]]*_xlfn.XLOOKUP(Food_Orders[[#This Row],[Food_ID]],Food_Catalog[[#All],[Food_ID]],Food_Catalog[[#All],[Price_Per_Unit]],0,0)</f>
        <v>5400</v>
      </c>
      <c r="H285" cm="1">
        <f t="array" ref="H285">Food_Orders[[#This Row],[Quantity_Orderd]]*_xlfn.XLOOKUP(Food_Orders[[#This Row],[Food_ID]],Food_Catalog[[#All],[Food_ID]],Food_Catalog[[#All],[Client_Price_Per_Unit]],0,0)</f>
        <v>6480</v>
      </c>
      <c r="I285">
        <f>Food_Orders[[#This Row],[Client_Price]]-Food_Orders[[#This Row],[Cost]]</f>
        <v>1080</v>
      </c>
    </row>
    <row r="286" spans="1:9" x14ac:dyDescent="0.25">
      <c r="A286">
        <v>10</v>
      </c>
      <c r="B286" t="s">
        <v>42</v>
      </c>
      <c r="C286" t="s">
        <v>40</v>
      </c>
      <c r="D286" t="s">
        <v>43</v>
      </c>
      <c r="E286" t="s">
        <v>10</v>
      </c>
      <c r="F286" cm="1">
        <f t="array" ref="F286">_xlfn.XLOOKUP(Food_Orders[[#This Row],[Event_No]],Event_Master[[#All],[Event_No]],Event_Master[[#All],[Guest_Count]],,0)</f>
        <v>90</v>
      </c>
      <c r="G286" cm="1">
        <f t="array" ref="G286">Food_Orders[[#This Row],[Quantity_Orderd]]*_xlfn.XLOOKUP(Food_Orders[[#This Row],[Food_ID]],Food_Catalog[[#All],[Food_ID]],Food_Catalog[[#All],[Price_Per_Unit]],0,0)</f>
        <v>6300</v>
      </c>
      <c r="H286" cm="1">
        <f t="array" ref="H286">Food_Orders[[#This Row],[Quantity_Orderd]]*_xlfn.XLOOKUP(Food_Orders[[#This Row],[Food_ID]],Food_Catalog[[#All],[Food_ID]],Food_Catalog[[#All],[Client_Price_Per_Unit]],0,0)</f>
        <v>7560</v>
      </c>
      <c r="I286">
        <f>Food_Orders[[#This Row],[Client_Price]]-Food_Orders[[#This Row],[Cost]]</f>
        <v>1260</v>
      </c>
    </row>
    <row r="287" spans="1:9" x14ac:dyDescent="0.25">
      <c r="A287">
        <v>10</v>
      </c>
      <c r="B287" t="s">
        <v>58</v>
      </c>
      <c r="C287" t="s">
        <v>40</v>
      </c>
      <c r="D287" t="s">
        <v>59</v>
      </c>
      <c r="E287" t="s">
        <v>10</v>
      </c>
      <c r="F287" cm="1">
        <f t="array" ref="F287">_xlfn.XLOOKUP(Food_Orders[[#This Row],[Event_No]],Event_Master[[#All],[Event_No]],Event_Master[[#All],[Guest_Count]],,0)</f>
        <v>90</v>
      </c>
      <c r="G287" cm="1">
        <f t="array" ref="G287">Food_Orders[[#This Row],[Quantity_Orderd]]*_xlfn.XLOOKUP(Food_Orders[[#This Row],[Food_ID]],Food_Catalog[[#All],[Food_ID]],Food_Catalog[[#All],[Price_Per_Unit]],0,0)</f>
        <v>8100</v>
      </c>
      <c r="H287" cm="1">
        <f t="array" ref="H287">Food_Orders[[#This Row],[Quantity_Orderd]]*_xlfn.XLOOKUP(Food_Orders[[#This Row],[Food_ID]],Food_Catalog[[#All],[Food_ID]],Food_Catalog[[#All],[Client_Price_Per_Unit]],0,0)</f>
        <v>9720</v>
      </c>
      <c r="I287">
        <f>Food_Orders[[#This Row],[Client_Price]]-Food_Orders[[#This Row],[Cost]]</f>
        <v>1620</v>
      </c>
    </row>
    <row r="288" spans="1:9" x14ac:dyDescent="0.25">
      <c r="A288">
        <v>10</v>
      </c>
      <c r="B288" t="s">
        <v>46</v>
      </c>
      <c r="C288" t="s">
        <v>40</v>
      </c>
      <c r="D288" t="s">
        <v>47</v>
      </c>
      <c r="E288" t="s">
        <v>10</v>
      </c>
      <c r="F288" cm="1">
        <f t="array" ref="F288">_xlfn.XLOOKUP(Food_Orders[[#This Row],[Event_No]],Event_Master[[#All],[Event_No]],Event_Master[[#All],[Guest_Count]],,0)</f>
        <v>90</v>
      </c>
      <c r="G288" cm="1">
        <f t="array" ref="G288">Food_Orders[[#This Row],[Quantity_Orderd]]*_xlfn.XLOOKUP(Food_Orders[[#This Row],[Food_ID]],Food_Catalog[[#All],[Food_ID]],Food_Catalog[[#All],[Price_Per_Unit]],0,0)</f>
        <v>8100</v>
      </c>
      <c r="H288" cm="1">
        <f t="array" ref="H288">Food_Orders[[#This Row],[Quantity_Orderd]]*_xlfn.XLOOKUP(Food_Orders[[#This Row],[Food_ID]],Food_Catalog[[#All],[Food_ID]],Food_Catalog[[#All],[Client_Price_Per_Unit]],0,0)</f>
        <v>9720</v>
      </c>
      <c r="I288">
        <f>Food_Orders[[#This Row],[Client_Price]]-Food_Orders[[#This Row],[Cost]]</f>
        <v>1620</v>
      </c>
    </row>
    <row r="289" spans="1:9" x14ac:dyDescent="0.25">
      <c r="A289">
        <v>10</v>
      </c>
      <c r="B289" t="s">
        <v>50</v>
      </c>
      <c r="C289" t="s">
        <v>40</v>
      </c>
      <c r="D289" t="s">
        <v>51</v>
      </c>
      <c r="E289" t="s">
        <v>10</v>
      </c>
      <c r="F289" cm="1">
        <f t="array" ref="F289">_xlfn.XLOOKUP(Food_Orders[[#This Row],[Event_No]],Event_Master[[#All],[Event_No]],Event_Master[[#All],[Guest_Count]],,0)</f>
        <v>90</v>
      </c>
      <c r="G289" cm="1">
        <f t="array" ref="G289">Food_Orders[[#This Row],[Quantity_Orderd]]*_xlfn.XLOOKUP(Food_Orders[[#This Row],[Food_ID]],Food_Catalog[[#All],[Food_ID]],Food_Catalog[[#All],[Price_Per_Unit]],0,0)</f>
        <v>7200</v>
      </c>
      <c r="H289" cm="1">
        <f t="array" ref="H289">Food_Orders[[#This Row],[Quantity_Orderd]]*_xlfn.XLOOKUP(Food_Orders[[#This Row],[Food_ID]],Food_Catalog[[#All],[Food_ID]],Food_Catalog[[#All],[Client_Price_Per_Unit]],0,0)</f>
        <v>8640</v>
      </c>
      <c r="I289">
        <f>Food_Orders[[#This Row],[Client_Price]]-Food_Orders[[#This Row],[Cost]]</f>
        <v>1440</v>
      </c>
    </row>
    <row r="290" spans="1:9" x14ac:dyDescent="0.25">
      <c r="A290">
        <v>10</v>
      </c>
      <c r="B290" t="s">
        <v>82</v>
      </c>
      <c r="C290" t="s">
        <v>83</v>
      </c>
      <c r="D290" t="s">
        <v>84</v>
      </c>
      <c r="E290" t="s">
        <v>85</v>
      </c>
      <c r="F290" cm="1">
        <f t="array" ref="F290">_xlfn.XLOOKUP(Food_Orders[[#This Row],[Event_No]],Event_Master[[#All],[Event_No]],Event_Master[[#All],[Guest_Count]],,0)</f>
        <v>90</v>
      </c>
      <c r="G290" cm="1">
        <f t="array" ref="G290">Food_Orders[[#This Row],[Quantity_Orderd]]*_xlfn.XLOOKUP(Food_Orders[[#This Row],[Food_ID]],Food_Catalog[[#All],[Food_ID]],Food_Catalog[[#All],[Price_Per_Unit]],0,0)</f>
        <v>1800</v>
      </c>
      <c r="H290" cm="1">
        <f t="array" ref="H290">Food_Orders[[#This Row],[Quantity_Orderd]]*_xlfn.XLOOKUP(Food_Orders[[#This Row],[Food_ID]],Food_Catalog[[#All],[Food_ID]],Food_Catalog[[#All],[Client_Price_Per_Unit]],0,0)</f>
        <v>2160</v>
      </c>
      <c r="I290">
        <f>Food_Orders[[#This Row],[Client_Price]]-Food_Orders[[#This Row],[Cost]]</f>
        <v>360</v>
      </c>
    </row>
    <row r="291" spans="1:9" x14ac:dyDescent="0.25">
      <c r="A291">
        <v>10</v>
      </c>
      <c r="B291" t="s">
        <v>86</v>
      </c>
      <c r="C291" t="s">
        <v>83</v>
      </c>
      <c r="D291" t="s">
        <v>87</v>
      </c>
      <c r="E291" t="s">
        <v>85</v>
      </c>
      <c r="F291" cm="1">
        <f t="array" ref="F291">_xlfn.XLOOKUP(Food_Orders[[#This Row],[Event_No]],Event_Master[[#All],[Event_No]],Event_Master[[#All],[Guest_Count]],,0)</f>
        <v>90</v>
      </c>
      <c r="G291" cm="1">
        <f t="array" ref="G291">Food_Orders[[#This Row],[Quantity_Orderd]]*_xlfn.XLOOKUP(Food_Orders[[#This Row],[Food_ID]],Food_Catalog[[#All],[Food_ID]],Food_Catalog[[#All],[Price_Per_Unit]],0,0)</f>
        <v>1800</v>
      </c>
      <c r="H291" cm="1">
        <f t="array" ref="H291">Food_Orders[[#This Row],[Quantity_Orderd]]*_xlfn.XLOOKUP(Food_Orders[[#This Row],[Food_ID]],Food_Catalog[[#All],[Food_ID]],Food_Catalog[[#All],[Client_Price_Per_Unit]],0,0)</f>
        <v>2160</v>
      </c>
      <c r="I291">
        <f>Food_Orders[[#This Row],[Client_Price]]-Food_Orders[[#This Row],[Cost]]</f>
        <v>360</v>
      </c>
    </row>
    <row r="292" spans="1:9" x14ac:dyDescent="0.25">
      <c r="A292">
        <v>10</v>
      </c>
      <c r="B292" t="s">
        <v>96</v>
      </c>
      <c r="C292" t="s">
        <v>83</v>
      </c>
      <c r="D292" t="s">
        <v>97</v>
      </c>
      <c r="E292" t="s">
        <v>79</v>
      </c>
      <c r="F292" cm="1">
        <f t="array" ref="F292">_xlfn.XLOOKUP(Food_Orders[[#This Row],[Event_No]],Event_Master[[#All],[Event_No]],Event_Master[[#All],[Guest_Count]],,0)</f>
        <v>90</v>
      </c>
      <c r="G292" cm="1">
        <f t="array" ref="G292">Food_Orders[[#This Row],[Quantity_Orderd]]*_xlfn.XLOOKUP(Food_Orders[[#This Row],[Food_ID]],Food_Catalog[[#All],[Food_ID]],Food_Catalog[[#All],[Price_Per_Unit]],0,0)</f>
        <v>2700</v>
      </c>
      <c r="H292" cm="1">
        <f t="array" ref="H292">Food_Orders[[#This Row],[Quantity_Orderd]]*_xlfn.XLOOKUP(Food_Orders[[#This Row],[Food_ID]],Food_Catalog[[#All],[Food_ID]],Food_Catalog[[#All],[Client_Price_Per_Unit]],0,0)</f>
        <v>3240</v>
      </c>
      <c r="I292">
        <f>Food_Orders[[#This Row],[Client_Price]]-Food_Orders[[#This Row],[Cost]]</f>
        <v>540</v>
      </c>
    </row>
    <row r="293" spans="1:9" x14ac:dyDescent="0.25">
      <c r="A293">
        <v>10</v>
      </c>
      <c r="B293" t="s">
        <v>92</v>
      </c>
      <c r="C293" t="s">
        <v>83</v>
      </c>
      <c r="D293" t="s">
        <v>93</v>
      </c>
      <c r="E293" t="s">
        <v>85</v>
      </c>
      <c r="F293" cm="1">
        <f t="array" ref="F293">_xlfn.XLOOKUP(Food_Orders[[#This Row],[Event_No]],Event_Master[[#All],[Event_No]],Event_Master[[#All],[Guest_Count]],,0)</f>
        <v>90</v>
      </c>
      <c r="G293" cm="1">
        <f t="array" ref="G293">Food_Orders[[#This Row],[Quantity_Orderd]]*_xlfn.XLOOKUP(Food_Orders[[#This Row],[Food_ID]],Food_Catalog[[#All],[Food_ID]],Food_Catalog[[#All],[Price_Per_Unit]],0,0)</f>
        <v>1350</v>
      </c>
      <c r="H293" cm="1">
        <f t="array" ref="H293">Food_Orders[[#This Row],[Quantity_Orderd]]*_xlfn.XLOOKUP(Food_Orders[[#This Row],[Food_ID]],Food_Catalog[[#All],[Food_ID]],Food_Catalog[[#All],[Client_Price_Per_Unit]],0,0)</f>
        <v>1620</v>
      </c>
      <c r="I293">
        <f>Food_Orders[[#This Row],[Client_Price]]-Food_Orders[[#This Row],[Cost]]</f>
        <v>270</v>
      </c>
    </row>
    <row r="294" spans="1:9" x14ac:dyDescent="0.25">
      <c r="A294">
        <v>10</v>
      </c>
      <c r="B294" t="s">
        <v>98</v>
      </c>
      <c r="C294" t="s">
        <v>83</v>
      </c>
      <c r="D294" t="s">
        <v>99</v>
      </c>
      <c r="E294" t="s">
        <v>85</v>
      </c>
      <c r="F294" cm="1">
        <f t="array" ref="F294">_xlfn.XLOOKUP(Food_Orders[[#This Row],[Event_No]],Event_Master[[#All],[Event_No]],Event_Master[[#All],[Guest_Count]],,0)</f>
        <v>90</v>
      </c>
      <c r="G294" cm="1">
        <f t="array" ref="G294">Food_Orders[[#This Row],[Quantity_Orderd]]*_xlfn.XLOOKUP(Food_Orders[[#This Row],[Food_ID]],Food_Catalog[[#All],[Food_ID]],Food_Catalog[[#All],[Price_Per_Unit]],0,0)</f>
        <v>1350</v>
      </c>
      <c r="H294" cm="1">
        <f t="array" ref="H294">Food_Orders[[#This Row],[Quantity_Orderd]]*_xlfn.XLOOKUP(Food_Orders[[#This Row],[Food_ID]],Food_Catalog[[#All],[Food_ID]],Food_Catalog[[#All],[Client_Price_Per_Unit]],0,0)</f>
        <v>1620</v>
      </c>
      <c r="I294">
        <f>Food_Orders[[#This Row],[Client_Price]]-Food_Orders[[#This Row],[Cost]]</f>
        <v>270</v>
      </c>
    </row>
    <row r="295" spans="1:9" x14ac:dyDescent="0.25">
      <c r="A295">
        <v>10</v>
      </c>
      <c r="B295" t="s">
        <v>104</v>
      </c>
      <c r="C295" t="s">
        <v>105</v>
      </c>
      <c r="D295" t="s">
        <v>106</v>
      </c>
      <c r="E295" t="s">
        <v>107</v>
      </c>
      <c r="F295" cm="1">
        <f t="array" ref="F295">_xlfn.XLOOKUP(Food_Orders[[#This Row],[Event_No]],Event_Master[[#All],[Event_No]],Event_Master[[#All],[Guest_Count]],,0)</f>
        <v>90</v>
      </c>
      <c r="G295" cm="1">
        <f t="array" ref="G295">Food_Orders[[#This Row],[Quantity_Orderd]]*_xlfn.XLOOKUP(Food_Orders[[#This Row],[Food_ID]],Food_Catalog[[#All],[Food_ID]],Food_Catalog[[#All],[Price_Per_Unit]],0,0)</f>
        <v>900</v>
      </c>
      <c r="H295" cm="1">
        <f t="array" ref="H295">Food_Orders[[#This Row],[Quantity_Orderd]]*_xlfn.XLOOKUP(Food_Orders[[#This Row],[Food_ID]],Food_Catalog[[#All],[Food_ID]],Food_Catalog[[#All],[Client_Price_Per_Unit]],0,0)</f>
        <v>1080</v>
      </c>
      <c r="I295">
        <f>Food_Orders[[#This Row],[Client_Price]]-Food_Orders[[#This Row],[Cost]]</f>
        <v>180</v>
      </c>
    </row>
    <row r="296" spans="1:9" x14ac:dyDescent="0.25">
      <c r="A296">
        <v>10</v>
      </c>
      <c r="B296" t="s">
        <v>108</v>
      </c>
      <c r="C296" t="s">
        <v>105</v>
      </c>
      <c r="D296" t="s">
        <v>109</v>
      </c>
      <c r="E296" t="s">
        <v>107</v>
      </c>
      <c r="F296" cm="1">
        <f t="array" ref="F296">_xlfn.XLOOKUP(Food_Orders[[#This Row],[Event_No]],Event_Master[[#All],[Event_No]],Event_Master[[#All],[Guest_Count]],,0)</f>
        <v>90</v>
      </c>
      <c r="G296" cm="1">
        <f t="array" ref="G296">Food_Orders[[#This Row],[Quantity_Orderd]]*_xlfn.XLOOKUP(Food_Orders[[#This Row],[Food_ID]],Food_Catalog[[#All],[Food_ID]],Food_Catalog[[#All],[Price_Per_Unit]],0,0)</f>
        <v>1350</v>
      </c>
      <c r="H296" cm="1">
        <f t="array" ref="H296">Food_Orders[[#This Row],[Quantity_Orderd]]*_xlfn.XLOOKUP(Food_Orders[[#This Row],[Food_ID]],Food_Catalog[[#All],[Food_ID]],Food_Catalog[[#All],[Client_Price_Per_Unit]],0,0)</f>
        <v>1620</v>
      </c>
      <c r="I296">
        <f>Food_Orders[[#This Row],[Client_Price]]-Food_Orders[[#This Row],[Cost]]</f>
        <v>270</v>
      </c>
    </row>
    <row r="297" spans="1:9" x14ac:dyDescent="0.25">
      <c r="A297">
        <v>10</v>
      </c>
      <c r="B297" t="s">
        <v>118</v>
      </c>
      <c r="C297" t="s">
        <v>119</v>
      </c>
      <c r="D297" t="s">
        <v>120</v>
      </c>
      <c r="E297" t="s">
        <v>112</v>
      </c>
      <c r="F297" cm="1">
        <f t="array" ref="F297">_xlfn.XLOOKUP(Food_Orders[[#This Row],[Event_No]],Event_Master[[#All],[Event_No]],Event_Master[[#All],[Guest_Count]],,0)</f>
        <v>90</v>
      </c>
      <c r="G297" cm="1">
        <f t="array" ref="G297">Food_Orders[[#This Row],[Quantity_Orderd]]*_xlfn.XLOOKUP(Food_Orders[[#This Row],[Food_ID]],Food_Catalog[[#All],[Food_ID]],Food_Catalog[[#All],[Price_Per_Unit]],0,0)</f>
        <v>900</v>
      </c>
      <c r="H297" cm="1">
        <f t="array" ref="H297">Food_Orders[[#This Row],[Quantity_Orderd]]*_xlfn.XLOOKUP(Food_Orders[[#This Row],[Food_ID]],Food_Catalog[[#All],[Food_ID]],Food_Catalog[[#All],[Client_Price_Per_Unit]],0,0)</f>
        <v>1080</v>
      </c>
      <c r="I297">
        <f>Food_Orders[[#This Row],[Client_Price]]-Food_Orders[[#This Row],[Cost]]</f>
        <v>180</v>
      </c>
    </row>
    <row r="298" spans="1:9" x14ac:dyDescent="0.25">
      <c r="A298">
        <v>10</v>
      </c>
      <c r="B298" t="s">
        <v>129</v>
      </c>
      <c r="C298" t="s">
        <v>119</v>
      </c>
      <c r="D298" t="s">
        <v>130</v>
      </c>
      <c r="E298" t="s">
        <v>112</v>
      </c>
      <c r="F298" cm="1">
        <f t="array" ref="F298">_xlfn.XLOOKUP(Food_Orders[[#This Row],[Event_No]],Event_Master[[#All],[Event_No]],Event_Master[[#All],[Guest_Count]],,0)</f>
        <v>90</v>
      </c>
      <c r="G298" cm="1">
        <f t="array" ref="G298">Food_Orders[[#This Row],[Quantity_Orderd]]*_xlfn.XLOOKUP(Food_Orders[[#This Row],[Food_ID]],Food_Catalog[[#All],[Food_ID]],Food_Catalog[[#All],[Price_Per_Unit]],0,0)</f>
        <v>900</v>
      </c>
      <c r="H298" cm="1">
        <f t="array" ref="H298">Food_Orders[[#This Row],[Quantity_Orderd]]*_xlfn.XLOOKUP(Food_Orders[[#This Row],[Food_ID]],Food_Catalog[[#All],[Food_ID]],Food_Catalog[[#All],[Client_Price_Per_Unit]],0,0)</f>
        <v>1080</v>
      </c>
      <c r="I298">
        <f>Food_Orders[[#This Row],[Client_Price]]-Food_Orders[[#This Row],[Cost]]</f>
        <v>180</v>
      </c>
    </row>
    <row r="299" spans="1:9" x14ac:dyDescent="0.25">
      <c r="A299">
        <v>10</v>
      </c>
      <c r="B299" t="s">
        <v>124</v>
      </c>
      <c r="C299" t="s">
        <v>119</v>
      </c>
      <c r="D299" t="s">
        <v>125</v>
      </c>
      <c r="E299" t="s">
        <v>126</v>
      </c>
      <c r="F299" cm="1">
        <f t="array" ref="F299">_xlfn.XLOOKUP(Food_Orders[[#This Row],[Event_No]],Event_Master[[#All],[Event_No]],Event_Master[[#All],[Guest_Count]],,0)</f>
        <v>90</v>
      </c>
      <c r="G299" cm="1">
        <f t="array" ref="G299">Food_Orders[[#This Row],[Quantity_Orderd]]*_xlfn.XLOOKUP(Food_Orders[[#This Row],[Food_ID]],Food_Catalog[[#All],[Food_ID]],Food_Catalog[[#All],[Price_Per_Unit]],0,0)</f>
        <v>1800</v>
      </c>
      <c r="H299" cm="1">
        <f t="array" ref="H299">Food_Orders[[#This Row],[Quantity_Orderd]]*_xlfn.XLOOKUP(Food_Orders[[#This Row],[Food_ID]],Food_Catalog[[#All],[Food_ID]],Food_Catalog[[#All],[Client_Price_Per_Unit]],0,0)</f>
        <v>2160</v>
      </c>
      <c r="I299">
        <f>Food_Orders[[#This Row],[Client_Price]]-Food_Orders[[#This Row],[Cost]]</f>
        <v>360</v>
      </c>
    </row>
    <row r="300" spans="1:9" x14ac:dyDescent="0.25">
      <c r="A300">
        <v>10</v>
      </c>
      <c r="B300" t="s">
        <v>127</v>
      </c>
      <c r="C300" t="s">
        <v>119</v>
      </c>
      <c r="D300" t="s">
        <v>128</v>
      </c>
      <c r="E300" t="s">
        <v>107</v>
      </c>
      <c r="F300" cm="1">
        <f t="array" ref="F300">_xlfn.XLOOKUP(Food_Orders[[#This Row],[Event_No]],Event_Master[[#All],[Event_No]],Event_Master[[#All],[Guest_Count]],,0)</f>
        <v>90</v>
      </c>
      <c r="G300" cm="1">
        <f t="array" ref="G300">Food_Orders[[#This Row],[Quantity_Orderd]]*_xlfn.XLOOKUP(Food_Orders[[#This Row],[Food_ID]],Food_Catalog[[#All],[Food_ID]],Food_Catalog[[#All],[Price_Per_Unit]],0,0)</f>
        <v>1800</v>
      </c>
      <c r="H300" cm="1">
        <f t="array" ref="H300">Food_Orders[[#This Row],[Quantity_Orderd]]*_xlfn.XLOOKUP(Food_Orders[[#This Row],[Food_ID]],Food_Catalog[[#All],[Food_ID]],Food_Catalog[[#All],[Client_Price_Per_Unit]],0,0)</f>
        <v>2160</v>
      </c>
      <c r="I300">
        <f>Food_Orders[[#This Row],[Client_Price]]-Food_Orders[[#This Row],[Cost]]</f>
        <v>360</v>
      </c>
    </row>
    <row r="301" spans="1:9" x14ac:dyDescent="0.25">
      <c r="A301">
        <v>11</v>
      </c>
      <c r="B301" t="s">
        <v>63</v>
      </c>
      <c r="C301" t="s">
        <v>61</v>
      </c>
      <c r="D301" t="s">
        <v>64</v>
      </c>
      <c r="E301" t="s">
        <v>10</v>
      </c>
      <c r="F301" cm="1">
        <f t="array" ref="F301">_xlfn.XLOOKUP(Food_Orders[[#This Row],[Event_No]],Event_Master[[#All],[Event_No]],Event_Master[[#All],[Guest_Count]],,0)</f>
        <v>350</v>
      </c>
      <c r="G301" cm="1">
        <f t="array" ref="G301">Food_Orders[[#This Row],[Quantity_Orderd]]*_xlfn.XLOOKUP(Food_Orders[[#This Row],[Food_ID]],Food_Catalog[[#All],[Food_ID]],Food_Catalog[[#All],[Price_Per_Unit]],0,0)</f>
        <v>10500</v>
      </c>
      <c r="H301" cm="1">
        <f t="array" ref="H301">Food_Orders[[#This Row],[Quantity_Orderd]]*_xlfn.XLOOKUP(Food_Orders[[#This Row],[Food_ID]],Food_Catalog[[#All],[Food_ID]],Food_Catalog[[#All],[Client_Price_Per_Unit]],0,0)</f>
        <v>12600</v>
      </c>
      <c r="I301">
        <f>Food_Orders[[#This Row],[Client_Price]]-Food_Orders[[#This Row],[Cost]]</f>
        <v>2100</v>
      </c>
    </row>
    <row r="302" spans="1:9" x14ac:dyDescent="0.25">
      <c r="A302">
        <v>11</v>
      </c>
      <c r="B302" t="s">
        <v>71</v>
      </c>
      <c r="C302" t="s">
        <v>61</v>
      </c>
      <c r="D302" t="s">
        <v>72</v>
      </c>
      <c r="E302" t="s">
        <v>10</v>
      </c>
      <c r="F302" cm="1">
        <f t="array" ref="F302">_xlfn.XLOOKUP(Food_Orders[[#This Row],[Event_No]],Event_Master[[#All],[Event_No]],Event_Master[[#All],[Guest_Count]],,0)</f>
        <v>350</v>
      </c>
      <c r="G302" cm="1">
        <f t="array" ref="G302">Food_Orders[[#This Row],[Quantity_Orderd]]*_xlfn.XLOOKUP(Food_Orders[[#This Row],[Food_ID]],Food_Catalog[[#All],[Food_ID]],Food_Catalog[[#All],[Price_Per_Unit]],0,0)</f>
        <v>8750</v>
      </c>
      <c r="H302" cm="1">
        <f t="array" ref="H302">Food_Orders[[#This Row],[Quantity_Orderd]]*_xlfn.XLOOKUP(Food_Orders[[#This Row],[Food_ID]],Food_Catalog[[#All],[Food_ID]],Food_Catalog[[#All],[Client_Price_Per_Unit]],0,0)</f>
        <v>10500</v>
      </c>
      <c r="I302">
        <f>Food_Orders[[#This Row],[Client_Price]]-Food_Orders[[#This Row],[Cost]]</f>
        <v>1750</v>
      </c>
    </row>
    <row r="303" spans="1:9" x14ac:dyDescent="0.25">
      <c r="A303">
        <v>11</v>
      </c>
      <c r="B303" t="s">
        <v>77</v>
      </c>
      <c r="C303" t="s">
        <v>61</v>
      </c>
      <c r="D303" t="s">
        <v>78</v>
      </c>
      <c r="E303" t="s">
        <v>79</v>
      </c>
      <c r="F303" cm="1">
        <f t="array" ref="F303">_xlfn.XLOOKUP(Food_Orders[[#This Row],[Event_No]],Event_Master[[#All],[Event_No]],Event_Master[[#All],[Guest_Count]],,0)</f>
        <v>350</v>
      </c>
      <c r="G303" cm="1">
        <f t="array" ref="G303">Food_Orders[[#This Row],[Quantity_Orderd]]*_xlfn.XLOOKUP(Food_Orders[[#This Row],[Food_ID]],Food_Catalog[[#All],[Food_ID]],Food_Catalog[[#All],[Price_Per_Unit]],0,0)</f>
        <v>12250</v>
      </c>
      <c r="H303" cm="1">
        <f t="array" ref="H303">Food_Orders[[#This Row],[Quantity_Orderd]]*_xlfn.XLOOKUP(Food_Orders[[#This Row],[Food_ID]],Food_Catalog[[#All],[Food_ID]],Food_Catalog[[#All],[Client_Price_Per_Unit]],0,0)</f>
        <v>14700</v>
      </c>
      <c r="I303">
        <f>Food_Orders[[#This Row],[Client_Price]]-Food_Orders[[#This Row],[Cost]]</f>
        <v>2450</v>
      </c>
    </row>
    <row r="304" spans="1:9" x14ac:dyDescent="0.25">
      <c r="A304">
        <v>11</v>
      </c>
      <c r="B304" t="s">
        <v>7</v>
      </c>
      <c r="C304" t="s">
        <v>8</v>
      </c>
      <c r="D304" t="s">
        <v>9</v>
      </c>
      <c r="E304" t="s">
        <v>10</v>
      </c>
      <c r="F304" cm="1">
        <f t="array" ref="F304">_xlfn.XLOOKUP(Food_Orders[[#This Row],[Event_No]],Event_Master[[#All],[Event_No]],Event_Master[[#All],[Guest_Count]],,0)</f>
        <v>350</v>
      </c>
      <c r="G304" cm="1">
        <f t="array" ref="G304">Food_Orders[[#This Row],[Quantity_Orderd]]*_xlfn.XLOOKUP(Food_Orders[[#This Row],[Food_ID]],Food_Catalog[[#All],[Food_ID]],Food_Catalog[[#All],[Price_Per_Unit]],0,0)</f>
        <v>8750</v>
      </c>
      <c r="H304" cm="1">
        <f t="array" ref="H304">Food_Orders[[#This Row],[Quantity_Orderd]]*_xlfn.XLOOKUP(Food_Orders[[#This Row],[Food_ID]],Food_Catalog[[#All],[Food_ID]],Food_Catalog[[#All],[Client_Price_Per_Unit]],0,0)</f>
        <v>10500</v>
      </c>
      <c r="I304">
        <f>Food_Orders[[#This Row],[Client_Price]]-Food_Orders[[#This Row],[Cost]]</f>
        <v>1750</v>
      </c>
    </row>
    <row r="305" spans="1:9" x14ac:dyDescent="0.25">
      <c r="A305">
        <v>11</v>
      </c>
      <c r="B305" t="s">
        <v>13</v>
      </c>
      <c r="C305" t="s">
        <v>8</v>
      </c>
      <c r="D305" t="s">
        <v>14</v>
      </c>
      <c r="E305" t="s">
        <v>10</v>
      </c>
      <c r="F305" cm="1">
        <f t="array" ref="F305">_xlfn.XLOOKUP(Food_Orders[[#This Row],[Event_No]],Event_Master[[#All],[Event_No]],Event_Master[[#All],[Guest_Count]],,0)</f>
        <v>350</v>
      </c>
      <c r="G305" cm="1">
        <f t="array" ref="G305">Food_Orders[[#This Row],[Quantity_Orderd]]*_xlfn.XLOOKUP(Food_Orders[[#This Row],[Food_ID]],Food_Catalog[[#All],[Food_ID]],Food_Catalog[[#All],[Price_Per_Unit]],0,0)</f>
        <v>12250</v>
      </c>
      <c r="H305" cm="1">
        <f t="array" ref="H305">Food_Orders[[#This Row],[Quantity_Orderd]]*_xlfn.XLOOKUP(Food_Orders[[#This Row],[Food_ID]],Food_Catalog[[#All],[Food_ID]],Food_Catalog[[#All],[Client_Price_Per_Unit]],0,0)</f>
        <v>14700</v>
      </c>
      <c r="I305">
        <f>Food_Orders[[#This Row],[Client_Price]]-Food_Orders[[#This Row],[Cost]]</f>
        <v>2450</v>
      </c>
    </row>
    <row r="306" spans="1:9" x14ac:dyDescent="0.25">
      <c r="A306">
        <v>11</v>
      </c>
      <c r="B306" t="s">
        <v>31</v>
      </c>
      <c r="C306" t="s">
        <v>8</v>
      </c>
      <c r="D306" t="s">
        <v>32</v>
      </c>
      <c r="E306" t="s">
        <v>10</v>
      </c>
      <c r="F306" cm="1">
        <f t="array" ref="F306">_xlfn.XLOOKUP(Food_Orders[[#This Row],[Event_No]],Event_Master[[#All],[Event_No]],Event_Master[[#All],[Guest_Count]],,0)</f>
        <v>350</v>
      </c>
      <c r="G306" cm="1">
        <f t="array" ref="G306">Food_Orders[[#This Row],[Quantity_Orderd]]*_xlfn.XLOOKUP(Food_Orders[[#This Row],[Food_ID]],Food_Catalog[[#All],[Food_ID]],Food_Catalog[[#All],[Price_Per_Unit]],0,0)</f>
        <v>10500</v>
      </c>
      <c r="H306" cm="1">
        <f t="array" ref="H306">Food_Orders[[#This Row],[Quantity_Orderd]]*_xlfn.XLOOKUP(Food_Orders[[#This Row],[Food_ID]],Food_Catalog[[#All],[Food_ID]],Food_Catalog[[#All],[Client_Price_Per_Unit]],0,0)</f>
        <v>12600</v>
      </c>
      <c r="I306">
        <f>Food_Orders[[#This Row],[Client_Price]]-Food_Orders[[#This Row],[Cost]]</f>
        <v>2100</v>
      </c>
    </row>
    <row r="307" spans="1:9" x14ac:dyDescent="0.25">
      <c r="A307">
        <v>11</v>
      </c>
      <c r="B307" t="s">
        <v>29</v>
      </c>
      <c r="C307" t="s">
        <v>8</v>
      </c>
      <c r="D307" t="s">
        <v>30</v>
      </c>
      <c r="E307" t="s">
        <v>10</v>
      </c>
      <c r="F307" cm="1">
        <f t="array" ref="F307">_xlfn.XLOOKUP(Food_Orders[[#This Row],[Event_No]],Event_Master[[#All],[Event_No]],Event_Master[[#All],[Guest_Count]],,0)</f>
        <v>350</v>
      </c>
      <c r="G307" cm="1">
        <f t="array" ref="G307">Food_Orders[[#This Row],[Quantity_Orderd]]*_xlfn.XLOOKUP(Food_Orders[[#This Row],[Food_ID]],Food_Catalog[[#All],[Food_ID]],Food_Catalog[[#All],[Price_Per_Unit]],0,0)</f>
        <v>10500</v>
      </c>
      <c r="H307" cm="1">
        <f t="array" ref="H307">Food_Orders[[#This Row],[Quantity_Orderd]]*_xlfn.XLOOKUP(Food_Orders[[#This Row],[Food_ID]],Food_Catalog[[#All],[Food_ID]],Food_Catalog[[#All],[Client_Price_Per_Unit]],0,0)</f>
        <v>12600</v>
      </c>
      <c r="I307">
        <f>Food_Orders[[#This Row],[Client_Price]]-Food_Orders[[#This Row],[Cost]]</f>
        <v>2100</v>
      </c>
    </row>
    <row r="308" spans="1:9" x14ac:dyDescent="0.25">
      <c r="A308">
        <v>11</v>
      </c>
      <c r="B308" t="s">
        <v>37</v>
      </c>
      <c r="C308" t="s">
        <v>8</v>
      </c>
      <c r="D308" t="s">
        <v>38</v>
      </c>
      <c r="E308" t="s">
        <v>10</v>
      </c>
      <c r="F308" cm="1">
        <f t="array" ref="F308">_xlfn.XLOOKUP(Food_Orders[[#This Row],[Event_No]],Event_Master[[#All],[Event_No]],Event_Master[[#All],[Guest_Count]],,0)</f>
        <v>350</v>
      </c>
      <c r="G308" cm="1">
        <f t="array" ref="G308">Food_Orders[[#This Row],[Quantity_Orderd]]*_xlfn.XLOOKUP(Food_Orders[[#This Row],[Food_ID]],Food_Catalog[[#All],[Food_ID]],Food_Catalog[[#All],[Price_Per_Unit]],0,0)</f>
        <v>8750</v>
      </c>
      <c r="H308" cm="1">
        <f t="array" ref="H308">Food_Orders[[#This Row],[Quantity_Orderd]]*_xlfn.XLOOKUP(Food_Orders[[#This Row],[Food_ID]],Food_Catalog[[#All],[Food_ID]],Food_Catalog[[#All],[Client_Price_Per_Unit]],0,0)</f>
        <v>10500</v>
      </c>
      <c r="I308">
        <f>Food_Orders[[#This Row],[Client_Price]]-Food_Orders[[#This Row],[Cost]]</f>
        <v>1750</v>
      </c>
    </row>
    <row r="309" spans="1:9" x14ac:dyDescent="0.25">
      <c r="A309">
        <v>11</v>
      </c>
      <c r="B309" t="s">
        <v>82</v>
      </c>
      <c r="C309" t="s">
        <v>83</v>
      </c>
      <c r="D309" t="s">
        <v>84</v>
      </c>
      <c r="E309" t="s">
        <v>85</v>
      </c>
      <c r="F309" cm="1">
        <f t="array" ref="F309">_xlfn.XLOOKUP(Food_Orders[[#This Row],[Event_No]],Event_Master[[#All],[Event_No]],Event_Master[[#All],[Guest_Count]],,0)</f>
        <v>350</v>
      </c>
      <c r="G309" cm="1">
        <f t="array" ref="G309">Food_Orders[[#This Row],[Quantity_Orderd]]*_xlfn.XLOOKUP(Food_Orders[[#This Row],[Food_ID]],Food_Catalog[[#All],[Food_ID]],Food_Catalog[[#All],[Price_Per_Unit]],0,0)</f>
        <v>7000</v>
      </c>
      <c r="H309" cm="1">
        <f t="array" ref="H309">Food_Orders[[#This Row],[Quantity_Orderd]]*_xlfn.XLOOKUP(Food_Orders[[#This Row],[Food_ID]],Food_Catalog[[#All],[Food_ID]],Food_Catalog[[#All],[Client_Price_Per_Unit]],0,0)</f>
        <v>8400</v>
      </c>
      <c r="I309">
        <f>Food_Orders[[#This Row],[Client_Price]]-Food_Orders[[#This Row],[Cost]]</f>
        <v>1400</v>
      </c>
    </row>
    <row r="310" spans="1:9" x14ac:dyDescent="0.25">
      <c r="A310">
        <v>11</v>
      </c>
      <c r="B310" t="s">
        <v>86</v>
      </c>
      <c r="C310" t="s">
        <v>83</v>
      </c>
      <c r="D310" t="s">
        <v>87</v>
      </c>
      <c r="E310" t="s">
        <v>85</v>
      </c>
      <c r="F310" cm="1">
        <f t="array" ref="F310">_xlfn.XLOOKUP(Food_Orders[[#This Row],[Event_No]],Event_Master[[#All],[Event_No]],Event_Master[[#All],[Guest_Count]],,0)</f>
        <v>350</v>
      </c>
      <c r="G310" cm="1">
        <f t="array" ref="G310">Food_Orders[[#This Row],[Quantity_Orderd]]*_xlfn.XLOOKUP(Food_Orders[[#This Row],[Food_ID]],Food_Catalog[[#All],[Food_ID]],Food_Catalog[[#All],[Price_Per_Unit]],0,0)</f>
        <v>7000</v>
      </c>
      <c r="H310" cm="1">
        <f t="array" ref="H310">Food_Orders[[#This Row],[Quantity_Orderd]]*_xlfn.XLOOKUP(Food_Orders[[#This Row],[Food_ID]],Food_Catalog[[#All],[Food_ID]],Food_Catalog[[#All],[Client_Price_Per_Unit]],0,0)</f>
        <v>8400</v>
      </c>
      <c r="I310">
        <f>Food_Orders[[#This Row],[Client_Price]]-Food_Orders[[#This Row],[Cost]]</f>
        <v>1400</v>
      </c>
    </row>
    <row r="311" spans="1:9" x14ac:dyDescent="0.25">
      <c r="A311">
        <v>11</v>
      </c>
      <c r="B311" t="s">
        <v>96</v>
      </c>
      <c r="C311" t="s">
        <v>83</v>
      </c>
      <c r="D311" t="s">
        <v>97</v>
      </c>
      <c r="E311" t="s">
        <v>79</v>
      </c>
      <c r="F311" cm="1">
        <f t="array" ref="F311">_xlfn.XLOOKUP(Food_Orders[[#This Row],[Event_No]],Event_Master[[#All],[Event_No]],Event_Master[[#All],[Guest_Count]],,0)</f>
        <v>350</v>
      </c>
      <c r="G311" cm="1">
        <f t="array" ref="G311">Food_Orders[[#This Row],[Quantity_Orderd]]*_xlfn.XLOOKUP(Food_Orders[[#This Row],[Food_ID]],Food_Catalog[[#All],[Food_ID]],Food_Catalog[[#All],[Price_Per_Unit]],0,0)</f>
        <v>10500</v>
      </c>
      <c r="H311" cm="1">
        <f t="array" ref="H311">Food_Orders[[#This Row],[Quantity_Orderd]]*_xlfn.XLOOKUP(Food_Orders[[#This Row],[Food_ID]],Food_Catalog[[#All],[Food_ID]],Food_Catalog[[#All],[Client_Price_Per_Unit]],0,0)</f>
        <v>12600</v>
      </c>
      <c r="I311">
        <f>Food_Orders[[#This Row],[Client_Price]]-Food_Orders[[#This Row],[Cost]]</f>
        <v>2100</v>
      </c>
    </row>
    <row r="312" spans="1:9" x14ac:dyDescent="0.25">
      <c r="A312">
        <v>11</v>
      </c>
      <c r="B312" t="s">
        <v>104</v>
      </c>
      <c r="C312" t="s">
        <v>105</v>
      </c>
      <c r="D312" t="s">
        <v>106</v>
      </c>
      <c r="E312" t="s">
        <v>107</v>
      </c>
      <c r="F312" cm="1">
        <f t="array" ref="F312">_xlfn.XLOOKUP(Food_Orders[[#This Row],[Event_No]],Event_Master[[#All],[Event_No]],Event_Master[[#All],[Guest_Count]],,0)</f>
        <v>350</v>
      </c>
      <c r="G312" cm="1">
        <f t="array" ref="G312">Food_Orders[[#This Row],[Quantity_Orderd]]*_xlfn.XLOOKUP(Food_Orders[[#This Row],[Food_ID]],Food_Catalog[[#All],[Food_ID]],Food_Catalog[[#All],[Price_Per_Unit]],0,0)</f>
        <v>3500</v>
      </c>
      <c r="H312" cm="1">
        <f t="array" ref="H312">Food_Orders[[#This Row],[Quantity_Orderd]]*_xlfn.XLOOKUP(Food_Orders[[#This Row],[Food_ID]],Food_Catalog[[#All],[Food_ID]],Food_Catalog[[#All],[Client_Price_Per_Unit]],0,0)</f>
        <v>4200</v>
      </c>
      <c r="I312">
        <f>Food_Orders[[#This Row],[Client_Price]]-Food_Orders[[#This Row],[Cost]]</f>
        <v>700</v>
      </c>
    </row>
    <row r="313" spans="1:9" x14ac:dyDescent="0.25">
      <c r="A313">
        <v>11</v>
      </c>
      <c r="B313" t="s">
        <v>118</v>
      </c>
      <c r="C313" t="s">
        <v>119</v>
      </c>
      <c r="D313" t="s">
        <v>120</v>
      </c>
      <c r="E313" t="s">
        <v>112</v>
      </c>
      <c r="F313" cm="1">
        <f t="array" ref="F313">_xlfn.XLOOKUP(Food_Orders[[#This Row],[Event_No]],Event_Master[[#All],[Event_No]],Event_Master[[#All],[Guest_Count]],,0)</f>
        <v>350</v>
      </c>
      <c r="G313" cm="1">
        <f t="array" ref="G313">Food_Orders[[#This Row],[Quantity_Orderd]]*_xlfn.XLOOKUP(Food_Orders[[#This Row],[Food_ID]],Food_Catalog[[#All],[Food_ID]],Food_Catalog[[#All],[Price_Per_Unit]],0,0)</f>
        <v>3500</v>
      </c>
      <c r="H313" cm="1">
        <f t="array" ref="H313">Food_Orders[[#This Row],[Quantity_Orderd]]*_xlfn.XLOOKUP(Food_Orders[[#This Row],[Food_ID]],Food_Catalog[[#All],[Food_ID]],Food_Catalog[[#All],[Client_Price_Per_Unit]],0,0)</f>
        <v>4200</v>
      </c>
      <c r="I313">
        <f>Food_Orders[[#This Row],[Client_Price]]-Food_Orders[[#This Row],[Cost]]</f>
        <v>700</v>
      </c>
    </row>
    <row r="314" spans="1:9" x14ac:dyDescent="0.25">
      <c r="A314">
        <v>11</v>
      </c>
      <c r="B314" t="s">
        <v>129</v>
      </c>
      <c r="C314" t="s">
        <v>119</v>
      </c>
      <c r="D314" t="s">
        <v>130</v>
      </c>
      <c r="E314" t="s">
        <v>112</v>
      </c>
      <c r="F314" cm="1">
        <f t="array" ref="F314">_xlfn.XLOOKUP(Food_Orders[[#This Row],[Event_No]],Event_Master[[#All],[Event_No]],Event_Master[[#All],[Guest_Count]],,0)</f>
        <v>350</v>
      </c>
      <c r="G314" cm="1">
        <f t="array" ref="G314">Food_Orders[[#This Row],[Quantity_Orderd]]*_xlfn.XLOOKUP(Food_Orders[[#This Row],[Food_ID]],Food_Catalog[[#All],[Food_ID]],Food_Catalog[[#All],[Price_Per_Unit]],0,0)</f>
        <v>3500</v>
      </c>
      <c r="H314" cm="1">
        <f t="array" ref="H314">Food_Orders[[#This Row],[Quantity_Orderd]]*_xlfn.XLOOKUP(Food_Orders[[#This Row],[Food_ID]],Food_Catalog[[#All],[Food_ID]],Food_Catalog[[#All],[Client_Price_Per_Unit]],0,0)</f>
        <v>4200</v>
      </c>
      <c r="I314">
        <f>Food_Orders[[#This Row],[Client_Price]]-Food_Orders[[#This Row],[Cost]]</f>
        <v>700</v>
      </c>
    </row>
    <row r="315" spans="1:9" x14ac:dyDescent="0.25">
      <c r="A315">
        <v>12</v>
      </c>
      <c r="B315" t="s">
        <v>118</v>
      </c>
      <c r="C315" t="s">
        <v>119</v>
      </c>
      <c r="D315" t="s">
        <v>120</v>
      </c>
      <c r="E315" t="s">
        <v>112</v>
      </c>
      <c r="F315" cm="1">
        <f t="array" ref="F315">_xlfn.XLOOKUP(Food_Orders[[#This Row],[Event_No]],Event_Master[[#All],[Event_No]],Event_Master[[#All],[Guest_Count]],,0)</f>
        <v>500</v>
      </c>
      <c r="G315" cm="1">
        <f t="array" ref="G315">Food_Orders[[#This Row],[Quantity_Orderd]]*_xlfn.XLOOKUP(Food_Orders[[#This Row],[Food_ID]],Food_Catalog[[#All],[Food_ID]],Food_Catalog[[#All],[Price_Per_Unit]],0,0)</f>
        <v>5000</v>
      </c>
      <c r="H315" cm="1">
        <f t="array" ref="H315">Food_Orders[[#This Row],[Quantity_Orderd]]*_xlfn.XLOOKUP(Food_Orders[[#This Row],[Food_ID]],Food_Catalog[[#All],[Food_ID]],Food_Catalog[[#All],[Client_Price_Per_Unit]],0,0)</f>
        <v>6000</v>
      </c>
      <c r="I315">
        <f>Food_Orders[[#This Row],[Client_Price]]-Food_Orders[[#This Row],[Cost]]</f>
        <v>1000</v>
      </c>
    </row>
    <row r="316" spans="1:9" x14ac:dyDescent="0.25">
      <c r="A316">
        <v>12</v>
      </c>
      <c r="B316" t="s">
        <v>129</v>
      </c>
      <c r="C316" t="s">
        <v>119</v>
      </c>
      <c r="D316" t="s">
        <v>130</v>
      </c>
      <c r="E316" t="s">
        <v>112</v>
      </c>
      <c r="F316" cm="1">
        <f t="array" ref="F316">_xlfn.XLOOKUP(Food_Orders[[#This Row],[Event_No]],Event_Master[[#All],[Event_No]],Event_Master[[#All],[Guest_Count]],,0)</f>
        <v>500</v>
      </c>
      <c r="G316" cm="1">
        <f t="array" ref="G316">Food_Orders[[#This Row],[Quantity_Orderd]]*_xlfn.XLOOKUP(Food_Orders[[#This Row],[Food_ID]],Food_Catalog[[#All],[Food_ID]],Food_Catalog[[#All],[Price_Per_Unit]],0,0)</f>
        <v>5000</v>
      </c>
      <c r="H316" cm="1">
        <f t="array" ref="H316">Food_Orders[[#This Row],[Quantity_Orderd]]*_xlfn.XLOOKUP(Food_Orders[[#This Row],[Food_ID]],Food_Catalog[[#All],[Food_ID]],Food_Catalog[[#All],[Client_Price_Per_Unit]],0,0)</f>
        <v>6000</v>
      </c>
      <c r="I316">
        <f>Food_Orders[[#This Row],[Client_Price]]-Food_Orders[[#This Row],[Cost]]</f>
        <v>1000</v>
      </c>
    </row>
    <row r="317" spans="1:9" x14ac:dyDescent="0.25">
      <c r="A317">
        <v>12</v>
      </c>
      <c r="B317" t="s">
        <v>104</v>
      </c>
      <c r="C317" t="s">
        <v>105</v>
      </c>
      <c r="D317" t="s">
        <v>106</v>
      </c>
      <c r="E317" t="s">
        <v>107</v>
      </c>
      <c r="F317" cm="1">
        <f t="array" ref="F317">_xlfn.XLOOKUP(Food_Orders[[#This Row],[Event_No]],Event_Master[[#All],[Event_No]],Event_Master[[#All],[Guest_Count]],,0)</f>
        <v>500</v>
      </c>
      <c r="G317" cm="1">
        <f t="array" ref="G317">Food_Orders[[#This Row],[Quantity_Orderd]]*_xlfn.XLOOKUP(Food_Orders[[#This Row],[Food_ID]],Food_Catalog[[#All],[Food_ID]],Food_Catalog[[#All],[Price_Per_Unit]],0,0)</f>
        <v>5000</v>
      </c>
      <c r="H317" cm="1">
        <f t="array" ref="H317">Food_Orders[[#This Row],[Quantity_Orderd]]*_xlfn.XLOOKUP(Food_Orders[[#This Row],[Food_ID]],Food_Catalog[[#All],[Food_ID]],Food_Catalog[[#All],[Client_Price_Per_Unit]],0,0)</f>
        <v>6000</v>
      </c>
      <c r="I317">
        <f>Food_Orders[[#This Row],[Client_Price]]-Food_Orders[[#This Row],[Cost]]</f>
        <v>1000</v>
      </c>
    </row>
    <row r="318" spans="1:9" x14ac:dyDescent="0.25">
      <c r="A318">
        <v>12</v>
      </c>
      <c r="B318" t="s">
        <v>108</v>
      </c>
      <c r="C318" t="s">
        <v>105</v>
      </c>
      <c r="D318" t="s">
        <v>109</v>
      </c>
      <c r="E318" t="s">
        <v>107</v>
      </c>
      <c r="F318" cm="1">
        <f t="array" ref="F318">_xlfn.XLOOKUP(Food_Orders[[#This Row],[Event_No]],Event_Master[[#All],[Event_No]],Event_Master[[#All],[Guest_Count]],,0)</f>
        <v>500</v>
      </c>
      <c r="G318" cm="1">
        <f t="array" ref="G318">Food_Orders[[#This Row],[Quantity_Orderd]]*_xlfn.XLOOKUP(Food_Orders[[#This Row],[Food_ID]],Food_Catalog[[#All],[Food_ID]],Food_Catalog[[#All],[Price_Per_Unit]],0,0)</f>
        <v>7500</v>
      </c>
      <c r="H318" cm="1">
        <f t="array" ref="H318">Food_Orders[[#This Row],[Quantity_Orderd]]*_xlfn.XLOOKUP(Food_Orders[[#This Row],[Food_ID]],Food_Catalog[[#All],[Food_ID]],Food_Catalog[[#All],[Client_Price_Per_Unit]],0,0)</f>
        <v>9000</v>
      </c>
      <c r="I318">
        <f>Food_Orders[[#This Row],[Client_Price]]-Food_Orders[[#This Row],[Cost]]</f>
        <v>1500</v>
      </c>
    </row>
    <row r="319" spans="1:9" x14ac:dyDescent="0.25">
      <c r="A319">
        <v>12</v>
      </c>
      <c r="B319" t="s">
        <v>127</v>
      </c>
      <c r="C319" t="s">
        <v>119</v>
      </c>
      <c r="D319" t="s">
        <v>128</v>
      </c>
      <c r="E319" t="s">
        <v>107</v>
      </c>
      <c r="F319" cm="1">
        <f t="array" ref="F319">_xlfn.XLOOKUP(Food_Orders[[#This Row],[Event_No]],Event_Master[[#All],[Event_No]],Event_Master[[#All],[Guest_Count]],,0)</f>
        <v>500</v>
      </c>
      <c r="G319" cm="1">
        <f t="array" ref="G319">Food_Orders[[#This Row],[Quantity_Orderd]]*_xlfn.XLOOKUP(Food_Orders[[#This Row],[Food_ID]],Food_Catalog[[#All],[Food_ID]],Food_Catalog[[#All],[Price_Per_Unit]],0,0)</f>
        <v>10000</v>
      </c>
      <c r="H319" cm="1">
        <f t="array" ref="H319">Food_Orders[[#This Row],[Quantity_Orderd]]*_xlfn.XLOOKUP(Food_Orders[[#This Row],[Food_ID]],Food_Catalog[[#All],[Food_ID]],Food_Catalog[[#All],[Client_Price_Per_Unit]],0,0)</f>
        <v>12000</v>
      </c>
      <c r="I319">
        <f>Food_Orders[[#This Row],[Client_Price]]-Food_Orders[[#This Row],[Cost]]</f>
        <v>2000</v>
      </c>
    </row>
    <row r="320" spans="1:9" x14ac:dyDescent="0.25">
      <c r="A320">
        <v>12</v>
      </c>
      <c r="B320" t="s">
        <v>124</v>
      </c>
      <c r="C320" t="s">
        <v>119</v>
      </c>
      <c r="D320" t="s">
        <v>125</v>
      </c>
      <c r="E320" t="s">
        <v>126</v>
      </c>
      <c r="F320" cm="1">
        <f t="array" ref="F320">_xlfn.XLOOKUP(Food_Orders[[#This Row],[Event_No]],Event_Master[[#All],[Event_No]],Event_Master[[#All],[Guest_Count]],,0)</f>
        <v>500</v>
      </c>
      <c r="G320" cm="1">
        <f t="array" ref="G320">Food_Orders[[#This Row],[Quantity_Orderd]]*_xlfn.XLOOKUP(Food_Orders[[#This Row],[Food_ID]],Food_Catalog[[#All],[Food_ID]],Food_Catalog[[#All],[Price_Per_Unit]],0,0)</f>
        <v>10000</v>
      </c>
      <c r="H320" cm="1">
        <f t="array" ref="H320">Food_Orders[[#This Row],[Quantity_Orderd]]*_xlfn.XLOOKUP(Food_Orders[[#This Row],[Food_ID]],Food_Catalog[[#All],[Food_ID]],Food_Catalog[[#All],[Client_Price_Per_Unit]],0,0)</f>
        <v>12000</v>
      </c>
      <c r="I320">
        <f>Food_Orders[[#This Row],[Client_Price]]-Food_Orders[[#This Row],[Cost]]</f>
        <v>2000</v>
      </c>
    </row>
    <row r="321" spans="1:9" x14ac:dyDescent="0.25">
      <c r="A321">
        <v>12</v>
      </c>
      <c r="B321" t="s">
        <v>121</v>
      </c>
      <c r="C321" t="s">
        <v>119</v>
      </c>
      <c r="D321" t="s">
        <v>122</v>
      </c>
      <c r="E321" t="s">
        <v>123</v>
      </c>
      <c r="F321" cm="1">
        <f t="array" ref="F321">_xlfn.XLOOKUP(Food_Orders[[#This Row],[Event_No]],Event_Master[[#All],[Event_No]],Event_Master[[#All],[Guest_Count]],,0)</f>
        <v>500</v>
      </c>
      <c r="G321" cm="1">
        <f t="array" ref="G321">Food_Orders[[#This Row],[Quantity_Orderd]]*_xlfn.XLOOKUP(Food_Orders[[#This Row],[Food_ID]],Food_Catalog[[#All],[Food_ID]],Food_Catalog[[#All],[Price_Per_Unit]],0,0)</f>
        <v>5000</v>
      </c>
      <c r="H321" cm="1">
        <f t="array" ref="H321">Food_Orders[[#This Row],[Quantity_Orderd]]*_xlfn.XLOOKUP(Food_Orders[[#This Row],[Food_ID]],Food_Catalog[[#All],[Food_ID]],Food_Catalog[[#All],[Client_Price_Per_Unit]],0,0)</f>
        <v>6000</v>
      </c>
      <c r="I321">
        <f>Food_Orders[[#This Row],[Client_Price]]-Food_Orders[[#This Row],[Cost]]</f>
        <v>1000</v>
      </c>
    </row>
    <row r="322" spans="1:9" x14ac:dyDescent="0.25">
      <c r="A322">
        <v>12</v>
      </c>
      <c r="B322" t="s">
        <v>63</v>
      </c>
      <c r="C322" t="s">
        <v>61</v>
      </c>
      <c r="D322" t="s">
        <v>64</v>
      </c>
      <c r="E322" t="s">
        <v>10</v>
      </c>
      <c r="F322" cm="1">
        <f t="array" ref="F322">_xlfn.XLOOKUP(Food_Orders[[#This Row],[Event_No]],Event_Master[[#All],[Event_No]],Event_Master[[#All],[Guest_Count]],,0)</f>
        <v>500</v>
      </c>
      <c r="G322" cm="1">
        <f t="array" ref="G322">Food_Orders[[#This Row],[Quantity_Orderd]]*_xlfn.XLOOKUP(Food_Orders[[#This Row],[Food_ID]],Food_Catalog[[#All],[Food_ID]],Food_Catalog[[#All],[Price_Per_Unit]],0,0)</f>
        <v>15000</v>
      </c>
      <c r="H322" cm="1">
        <f t="array" ref="H322">Food_Orders[[#This Row],[Quantity_Orderd]]*_xlfn.XLOOKUP(Food_Orders[[#This Row],[Food_ID]],Food_Catalog[[#All],[Food_ID]],Food_Catalog[[#All],[Client_Price_Per_Unit]],0,0)</f>
        <v>18000</v>
      </c>
      <c r="I322">
        <f>Food_Orders[[#This Row],[Client_Price]]-Food_Orders[[#This Row],[Cost]]</f>
        <v>3000</v>
      </c>
    </row>
    <row r="323" spans="1:9" x14ac:dyDescent="0.25">
      <c r="A323">
        <v>12</v>
      </c>
      <c r="B323" t="s">
        <v>71</v>
      </c>
      <c r="C323" t="s">
        <v>61</v>
      </c>
      <c r="D323" t="s">
        <v>72</v>
      </c>
      <c r="E323" t="s">
        <v>10</v>
      </c>
      <c r="F323" cm="1">
        <f t="array" ref="F323">_xlfn.XLOOKUP(Food_Orders[[#This Row],[Event_No]],Event_Master[[#All],[Event_No]],Event_Master[[#All],[Guest_Count]],,0)</f>
        <v>500</v>
      </c>
      <c r="G323" cm="1">
        <f t="array" ref="G323">Food_Orders[[#This Row],[Quantity_Orderd]]*_xlfn.XLOOKUP(Food_Orders[[#This Row],[Food_ID]],Food_Catalog[[#All],[Food_ID]],Food_Catalog[[#All],[Price_Per_Unit]],0,0)</f>
        <v>12500</v>
      </c>
      <c r="H323" cm="1">
        <f t="array" ref="H323">Food_Orders[[#This Row],[Quantity_Orderd]]*_xlfn.XLOOKUP(Food_Orders[[#This Row],[Food_ID]],Food_Catalog[[#All],[Food_ID]],Food_Catalog[[#All],[Client_Price_Per_Unit]],0,0)</f>
        <v>15000</v>
      </c>
      <c r="I323">
        <f>Food_Orders[[#This Row],[Client_Price]]-Food_Orders[[#This Row],[Cost]]</f>
        <v>2500</v>
      </c>
    </row>
    <row r="324" spans="1:9" x14ac:dyDescent="0.25">
      <c r="A324">
        <v>12</v>
      </c>
      <c r="B324" t="s">
        <v>73</v>
      </c>
      <c r="C324" t="s">
        <v>61</v>
      </c>
      <c r="D324" t="s">
        <v>74</v>
      </c>
      <c r="E324" t="s">
        <v>10</v>
      </c>
      <c r="F324" cm="1">
        <f t="array" ref="F324">_xlfn.XLOOKUP(Food_Orders[[#This Row],[Event_No]],Event_Master[[#All],[Event_No]],Event_Master[[#All],[Guest_Count]],,0)</f>
        <v>500</v>
      </c>
      <c r="G324" cm="1">
        <f t="array" ref="G324">Food_Orders[[#This Row],[Quantity_Orderd]]*_xlfn.XLOOKUP(Food_Orders[[#This Row],[Food_ID]],Food_Catalog[[#All],[Food_ID]],Food_Catalog[[#All],[Price_Per_Unit]],0,0)</f>
        <v>20000</v>
      </c>
      <c r="H324" cm="1">
        <f t="array" ref="H324">Food_Orders[[#This Row],[Quantity_Orderd]]*_xlfn.XLOOKUP(Food_Orders[[#This Row],[Food_ID]],Food_Catalog[[#All],[Food_ID]],Food_Catalog[[#All],[Client_Price_Per_Unit]],0,0)</f>
        <v>24000</v>
      </c>
      <c r="I324">
        <f>Food_Orders[[#This Row],[Client_Price]]-Food_Orders[[#This Row],[Cost]]</f>
        <v>4000</v>
      </c>
    </row>
    <row r="325" spans="1:9" x14ac:dyDescent="0.25">
      <c r="A325">
        <v>12</v>
      </c>
      <c r="B325" t="s">
        <v>75</v>
      </c>
      <c r="C325" t="s">
        <v>61</v>
      </c>
      <c r="D325" t="s">
        <v>76</v>
      </c>
      <c r="E325" t="s">
        <v>10</v>
      </c>
      <c r="F325" cm="1">
        <f t="array" ref="F325">_xlfn.XLOOKUP(Food_Orders[[#This Row],[Event_No]],Event_Master[[#All],[Event_No]],Event_Master[[#All],[Guest_Count]],,0)</f>
        <v>500</v>
      </c>
      <c r="G325" cm="1">
        <f t="array" ref="G325">Food_Orders[[#This Row],[Quantity_Orderd]]*_xlfn.XLOOKUP(Food_Orders[[#This Row],[Food_ID]],Food_Catalog[[#All],[Food_ID]],Food_Catalog[[#All],[Price_Per_Unit]],0,0)</f>
        <v>20000</v>
      </c>
      <c r="H325" cm="1">
        <f t="array" ref="H325">Food_Orders[[#This Row],[Quantity_Orderd]]*_xlfn.XLOOKUP(Food_Orders[[#This Row],[Food_ID]],Food_Catalog[[#All],[Food_ID]],Food_Catalog[[#All],[Client_Price_Per_Unit]],0,0)</f>
        <v>24000</v>
      </c>
      <c r="I325">
        <f>Food_Orders[[#This Row],[Client_Price]]-Food_Orders[[#This Row],[Cost]]</f>
        <v>4000</v>
      </c>
    </row>
    <row r="326" spans="1:9" x14ac:dyDescent="0.25">
      <c r="A326">
        <v>12</v>
      </c>
      <c r="B326" t="s">
        <v>69</v>
      </c>
      <c r="C326" t="s">
        <v>61</v>
      </c>
      <c r="D326" t="s">
        <v>70</v>
      </c>
      <c r="E326" t="s">
        <v>10</v>
      </c>
      <c r="F326" cm="1">
        <f t="array" ref="F326">_xlfn.XLOOKUP(Food_Orders[[#This Row],[Event_No]],Event_Master[[#All],[Event_No]],Event_Master[[#All],[Guest_Count]],,0)</f>
        <v>500</v>
      </c>
      <c r="G326" cm="1">
        <f t="array" ref="G326">Food_Orders[[#This Row],[Quantity_Orderd]]*_xlfn.XLOOKUP(Food_Orders[[#This Row],[Food_ID]],Food_Catalog[[#All],[Food_ID]],Food_Catalog[[#All],[Price_Per_Unit]],0,0)</f>
        <v>25000</v>
      </c>
      <c r="H326" cm="1">
        <f t="array" ref="H326">Food_Orders[[#This Row],[Quantity_Orderd]]*_xlfn.XLOOKUP(Food_Orders[[#This Row],[Food_ID]],Food_Catalog[[#All],[Food_ID]],Food_Catalog[[#All],[Client_Price_Per_Unit]],0,0)</f>
        <v>30000</v>
      </c>
      <c r="I326">
        <f>Food_Orders[[#This Row],[Client_Price]]-Food_Orders[[#This Row],[Cost]]</f>
        <v>5000</v>
      </c>
    </row>
    <row r="327" spans="1:9" x14ac:dyDescent="0.25">
      <c r="A327">
        <v>12</v>
      </c>
      <c r="B327" t="s">
        <v>67</v>
      </c>
      <c r="C327" t="s">
        <v>61</v>
      </c>
      <c r="D327" t="s">
        <v>68</v>
      </c>
      <c r="E327" t="s">
        <v>10</v>
      </c>
      <c r="F327" cm="1">
        <f t="array" ref="F327">_xlfn.XLOOKUP(Food_Orders[[#This Row],[Event_No]],Event_Master[[#All],[Event_No]],Event_Master[[#All],[Guest_Count]],,0)</f>
        <v>500</v>
      </c>
      <c r="G327" cm="1">
        <f t="array" ref="G327">Food_Orders[[#This Row],[Quantity_Orderd]]*_xlfn.XLOOKUP(Food_Orders[[#This Row],[Food_ID]],Food_Catalog[[#All],[Food_ID]],Food_Catalog[[#All],[Price_Per_Unit]],0,0)</f>
        <v>15000</v>
      </c>
      <c r="H327" cm="1">
        <f t="array" ref="H327">Food_Orders[[#This Row],[Quantity_Orderd]]*_xlfn.XLOOKUP(Food_Orders[[#This Row],[Food_ID]],Food_Catalog[[#All],[Food_ID]],Food_Catalog[[#All],[Client_Price_Per_Unit]],0,0)</f>
        <v>18000</v>
      </c>
      <c r="I327">
        <f>Food_Orders[[#This Row],[Client_Price]]-Food_Orders[[#This Row],[Cost]]</f>
        <v>3000</v>
      </c>
    </row>
    <row r="328" spans="1:9" x14ac:dyDescent="0.25">
      <c r="A328">
        <v>12</v>
      </c>
      <c r="B328" t="s">
        <v>7</v>
      </c>
      <c r="C328" t="s">
        <v>8</v>
      </c>
      <c r="D328" t="s">
        <v>9</v>
      </c>
      <c r="E328" t="s">
        <v>10</v>
      </c>
      <c r="F328" cm="1">
        <f t="array" ref="F328">_xlfn.XLOOKUP(Food_Orders[[#This Row],[Event_No]],Event_Master[[#All],[Event_No]],Event_Master[[#All],[Guest_Count]],,0)</f>
        <v>500</v>
      </c>
      <c r="G328" cm="1">
        <f t="array" ref="G328">Food_Orders[[#This Row],[Quantity_Orderd]]*_xlfn.XLOOKUP(Food_Orders[[#This Row],[Food_ID]],Food_Catalog[[#All],[Food_ID]],Food_Catalog[[#All],[Price_Per_Unit]],0,0)</f>
        <v>12500</v>
      </c>
      <c r="H328" cm="1">
        <f t="array" ref="H328">Food_Orders[[#This Row],[Quantity_Orderd]]*_xlfn.XLOOKUP(Food_Orders[[#This Row],[Food_ID]],Food_Catalog[[#All],[Food_ID]],Food_Catalog[[#All],[Client_Price_Per_Unit]],0,0)</f>
        <v>15000</v>
      </c>
      <c r="I328">
        <f>Food_Orders[[#This Row],[Client_Price]]-Food_Orders[[#This Row],[Cost]]</f>
        <v>2500</v>
      </c>
    </row>
    <row r="329" spans="1:9" x14ac:dyDescent="0.25">
      <c r="A329">
        <v>12</v>
      </c>
      <c r="B329" t="s">
        <v>27</v>
      </c>
      <c r="C329" t="s">
        <v>8</v>
      </c>
      <c r="D329" t="s">
        <v>28</v>
      </c>
      <c r="E329" t="s">
        <v>10</v>
      </c>
      <c r="F329" cm="1">
        <f t="array" ref="F329">_xlfn.XLOOKUP(Food_Orders[[#This Row],[Event_No]],Event_Master[[#All],[Event_No]],Event_Master[[#All],[Guest_Count]],,0)</f>
        <v>500</v>
      </c>
      <c r="G329" cm="1">
        <f t="array" ref="G329">Food_Orders[[#This Row],[Quantity_Orderd]]*_xlfn.XLOOKUP(Food_Orders[[#This Row],[Food_ID]],Food_Catalog[[#All],[Food_ID]],Food_Catalog[[#All],[Price_Per_Unit]],0,0)</f>
        <v>20000</v>
      </c>
      <c r="H329" cm="1">
        <f t="array" ref="H329">Food_Orders[[#This Row],[Quantity_Orderd]]*_xlfn.XLOOKUP(Food_Orders[[#This Row],[Food_ID]],Food_Catalog[[#All],[Food_ID]],Food_Catalog[[#All],[Client_Price_Per_Unit]],0,0)</f>
        <v>24000</v>
      </c>
      <c r="I329">
        <f>Food_Orders[[#This Row],[Client_Price]]-Food_Orders[[#This Row],[Cost]]</f>
        <v>4000</v>
      </c>
    </row>
    <row r="330" spans="1:9" x14ac:dyDescent="0.25">
      <c r="A330">
        <v>12</v>
      </c>
      <c r="B330" t="s">
        <v>29</v>
      </c>
      <c r="C330" t="s">
        <v>8</v>
      </c>
      <c r="D330" t="s">
        <v>30</v>
      </c>
      <c r="E330" t="s">
        <v>10</v>
      </c>
      <c r="F330" cm="1">
        <f t="array" ref="F330">_xlfn.XLOOKUP(Food_Orders[[#This Row],[Event_No]],Event_Master[[#All],[Event_No]],Event_Master[[#All],[Guest_Count]],,0)</f>
        <v>500</v>
      </c>
      <c r="G330" cm="1">
        <f t="array" ref="G330">Food_Orders[[#This Row],[Quantity_Orderd]]*_xlfn.XLOOKUP(Food_Orders[[#This Row],[Food_ID]],Food_Catalog[[#All],[Food_ID]],Food_Catalog[[#All],[Price_Per_Unit]],0,0)</f>
        <v>15000</v>
      </c>
      <c r="H330" cm="1">
        <f t="array" ref="H330">Food_Orders[[#This Row],[Quantity_Orderd]]*_xlfn.XLOOKUP(Food_Orders[[#This Row],[Food_ID]],Food_Catalog[[#All],[Food_ID]],Food_Catalog[[#All],[Client_Price_Per_Unit]],0,0)</f>
        <v>18000</v>
      </c>
      <c r="I330">
        <f>Food_Orders[[#This Row],[Client_Price]]-Food_Orders[[#This Row],[Cost]]</f>
        <v>3000</v>
      </c>
    </row>
    <row r="331" spans="1:9" x14ac:dyDescent="0.25">
      <c r="A331">
        <v>12</v>
      </c>
      <c r="B331" t="s">
        <v>37</v>
      </c>
      <c r="C331" t="s">
        <v>8</v>
      </c>
      <c r="D331" t="s">
        <v>38</v>
      </c>
      <c r="E331" t="s">
        <v>10</v>
      </c>
      <c r="F331" cm="1">
        <f t="array" ref="F331">_xlfn.XLOOKUP(Food_Orders[[#This Row],[Event_No]],Event_Master[[#All],[Event_No]],Event_Master[[#All],[Guest_Count]],,0)</f>
        <v>500</v>
      </c>
      <c r="G331" cm="1">
        <f t="array" ref="G331">Food_Orders[[#This Row],[Quantity_Orderd]]*_xlfn.XLOOKUP(Food_Orders[[#This Row],[Food_ID]],Food_Catalog[[#All],[Food_ID]],Food_Catalog[[#All],[Price_Per_Unit]],0,0)</f>
        <v>12500</v>
      </c>
      <c r="H331" cm="1">
        <f t="array" ref="H331">Food_Orders[[#This Row],[Quantity_Orderd]]*_xlfn.XLOOKUP(Food_Orders[[#This Row],[Food_ID]],Food_Catalog[[#All],[Food_ID]],Food_Catalog[[#All],[Client_Price_Per_Unit]],0,0)</f>
        <v>15000</v>
      </c>
      <c r="I331">
        <f>Food_Orders[[#This Row],[Client_Price]]-Food_Orders[[#This Row],[Cost]]</f>
        <v>2500</v>
      </c>
    </row>
    <row r="332" spans="1:9" x14ac:dyDescent="0.25">
      <c r="A332">
        <v>12</v>
      </c>
      <c r="B332" t="s">
        <v>39</v>
      </c>
      <c r="C332" t="s">
        <v>40</v>
      </c>
      <c r="D332" t="s">
        <v>41</v>
      </c>
      <c r="E332" t="s">
        <v>10</v>
      </c>
      <c r="F332" cm="1">
        <f t="array" ref="F332">_xlfn.XLOOKUP(Food_Orders[[#This Row],[Event_No]],Event_Master[[#All],[Event_No]],Event_Master[[#All],[Guest_Count]],,0)</f>
        <v>500</v>
      </c>
      <c r="G332" cm="1">
        <f t="array" ref="G332">Food_Orders[[#This Row],[Quantity_Orderd]]*_xlfn.XLOOKUP(Food_Orders[[#This Row],[Food_ID]],Food_Catalog[[#All],[Food_ID]],Food_Catalog[[#All],[Price_Per_Unit]],0,0)</f>
        <v>30000</v>
      </c>
      <c r="H332" cm="1">
        <f t="array" ref="H332">Food_Orders[[#This Row],[Quantity_Orderd]]*_xlfn.XLOOKUP(Food_Orders[[#This Row],[Food_ID]],Food_Catalog[[#All],[Food_ID]],Food_Catalog[[#All],[Client_Price_Per_Unit]],0,0)</f>
        <v>36000</v>
      </c>
      <c r="I332">
        <f>Food_Orders[[#This Row],[Client_Price]]-Food_Orders[[#This Row],[Cost]]</f>
        <v>6000</v>
      </c>
    </row>
    <row r="333" spans="1:9" x14ac:dyDescent="0.25">
      <c r="A333">
        <v>12</v>
      </c>
      <c r="B333" t="s">
        <v>42</v>
      </c>
      <c r="C333" t="s">
        <v>40</v>
      </c>
      <c r="D333" t="s">
        <v>43</v>
      </c>
      <c r="E333" t="s">
        <v>10</v>
      </c>
      <c r="F333" cm="1">
        <f t="array" ref="F333">_xlfn.XLOOKUP(Food_Orders[[#This Row],[Event_No]],Event_Master[[#All],[Event_No]],Event_Master[[#All],[Guest_Count]],,0)</f>
        <v>500</v>
      </c>
      <c r="G333" cm="1">
        <f t="array" ref="G333">Food_Orders[[#This Row],[Quantity_Orderd]]*_xlfn.XLOOKUP(Food_Orders[[#This Row],[Food_ID]],Food_Catalog[[#All],[Food_ID]],Food_Catalog[[#All],[Price_Per_Unit]],0,0)</f>
        <v>35000</v>
      </c>
      <c r="H333" cm="1">
        <f t="array" ref="H333">Food_Orders[[#This Row],[Quantity_Orderd]]*_xlfn.XLOOKUP(Food_Orders[[#This Row],[Food_ID]],Food_Catalog[[#All],[Food_ID]],Food_Catalog[[#All],[Client_Price_Per_Unit]],0,0)</f>
        <v>42000</v>
      </c>
      <c r="I333">
        <f>Food_Orders[[#This Row],[Client_Price]]-Food_Orders[[#This Row],[Cost]]</f>
        <v>7000</v>
      </c>
    </row>
    <row r="334" spans="1:9" x14ac:dyDescent="0.25">
      <c r="A334">
        <v>12</v>
      </c>
      <c r="B334" t="s">
        <v>58</v>
      </c>
      <c r="C334" t="s">
        <v>40</v>
      </c>
      <c r="D334" t="s">
        <v>59</v>
      </c>
      <c r="E334" t="s">
        <v>10</v>
      </c>
      <c r="F334" cm="1">
        <f t="array" ref="F334">_xlfn.XLOOKUP(Food_Orders[[#This Row],[Event_No]],Event_Master[[#All],[Event_No]],Event_Master[[#All],[Guest_Count]],,0)</f>
        <v>500</v>
      </c>
      <c r="G334" cm="1">
        <f t="array" ref="G334">Food_Orders[[#This Row],[Quantity_Orderd]]*_xlfn.XLOOKUP(Food_Orders[[#This Row],[Food_ID]],Food_Catalog[[#All],[Food_ID]],Food_Catalog[[#All],[Price_Per_Unit]],0,0)</f>
        <v>45000</v>
      </c>
      <c r="H334" cm="1">
        <f t="array" ref="H334">Food_Orders[[#This Row],[Quantity_Orderd]]*_xlfn.XLOOKUP(Food_Orders[[#This Row],[Food_ID]],Food_Catalog[[#All],[Food_ID]],Food_Catalog[[#All],[Client_Price_Per_Unit]],0,0)</f>
        <v>54000</v>
      </c>
      <c r="I334">
        <f>Food_Orders[[#This Row],[Client_Price]]-Food_Orders[[#This Row],[Cost]]</f>
        <v>9000</v>
      </c>
    </row>
    <row r="335" spans="1:9" x14ac:dyDescent="0.25">
      <c r="A335">
        <v>12</v>
      </c>
      <c r="B335" t="s">
        <v>46</v>
      </c>
      <c r="C335" t="s">
        <v>40</v>
      </c>
      <c r="D335" t="s">
        <v>47</v>
      </c>
      <c r="E335" t="s">
        <v>10</v>
      </c>
      <c r="F335" cm="1">
        <f t="array" ref="F335">_xlfn.XLOOKUP(Food_Orders[[#This Row],[Event_No]],Event_Master[[#All],[Event_No]],Event_Master[[#All],[Guest_Count]],,0)</f>
        <v>500</v>
      </c>
      <c r="G335" cm="1">
        <f t="array" ref="G335">Food_Orders[[#This Row],[Quantity_Orderd]]*_xlfn.XLOOKUP(Food_Orders[[#This Row],[Food_ID]],Food_Catalog[[#All],[Food_ID]],Food_Catalog[[#All],[Price_Per_Unit]],0,0)</f>
        <v>45000</v>
      </c>
      <c r="H335" cm="1">
        <f t="array" ref="H335">Food_Orders[[#This Row],[Quantity_Orderd]]*_xlfn.XLOOKUP(Food_Orders[[#This Row],[Food_ID]],Food_Catalog[[#All],[Food_ID]],Food_Catalog[[#All],[Client_Price_Per_Unit]],0,0)</f>
        <v>54000</v>
      </c>
      <c r="I335">
        <f>Food_Orders[[#This Row],[Client_Price]]-Food_Orders[[#This Row],[Cost]]</f>
        <v>9000</v>
      </c>
    </row>
    <row r="336" spans="1:9" x14ac:dyDescent="0.25">
      <c r="A336">
        <v>12</v>
      </c>
      <c r="B336" t="s">
        <v>50</v>
      </c>
      <c r="C336" t="s">
        <v>40</v>
      </c>
      <c r="D336" t="s">
        <v>51</v>
      </c>
      <c r="E336" t="s">
        <v>10</v>
      </c>
      <c r="F336" cm="1">
        <f t="array" ref="F336">_xlfn.XLOOKUP(Food_Orders[[#This Row],[Event_No]],Event_Master[[#All],[Event_No]],Event_Master[[#All],[Guest_Count]],,0)</f>
        <v>500</v>
      </c>
      <c r="G336" cm="1">
        <f t="array" ref="G336">Food_Orders[[#This Row],[Quantity_Orderd]]*_xlfn.XLOOKUP(Food_Orders[[#This Row],[Food_ID]],Food_Catalog[[#All],[Food_ID]],Food_Catalog[[#All],[Price_Per_Unit]],0,0)</f>
        <v>40000</v>
      </c>
      <c r="H336" cm="1">
        <f t="array" ref="H336">Food_Orders[[#This Row],[Quantity_Orderd]]*_xlfn.XLOOKUP(Food_Orders[[#This Row],[Food_ID]],Food_Catalog[[#All],[Food_ID]],Food_Catalog[[#All],[Client_Price_Per_Unit]],0,0)</f>
        <v>48000</v>
      </c>
      <c r="I336">
        <f>Food_Orders[[#This Row],[Client_Price]]-Food_Orders[[#This Row],[Cost]]</f>
        <v>8000</v>
      </c>
    </row>
    <row r="337" spans="1:9" x14ac:dyDescent="0.25">
      <c r="A337">
        <v>12</v>
      </c>
      <c r="B337" t="s">
        <v>82</v>
      </c>
      <c r="C337" t="s">
        <v>83</v>
      </c>
      <c r="D337" t="s">
        <v>84</v>
      </c>
      <c r="E337" t="s">
        <v>85</v>
      </c>
      <c r="F337" cm="1">
        <f t="array" ref="F337">_xlfn.XLOOKUP(Food_Orders[[#This Row],[Event_No]],Event_Master[[#All],[Event_No]],Event_Master[[#All],[Guest_Count]],,0)</f>
        <v>500</v>
      </c>
      <c r="G337" cm="1">
        <f t="array" ref="G337">Food_Orders[[#This Row],[Quantity_Orderd]]*_xlfn.XLOOKUP(Food_Orders[[#This Row],[Food_ID]],Food_Catalog[[#All],[Food_ID]],Food_Catalog[[#All],[Price_Per_Unit]],0,0)</f>
        <v>10000</v>
      </c>
      <c r="H337" cm="1">
        <f t="array" ref="H337">Food_Orders[[#This Row],[Quantity_Orderd]]*_xlfn.XLOOKUP(Food_Orders[[#This Row],[Food_ID]],Food_Catalog[[#All],[Food_ID]],Food_Catalog[[#All],[Client_Price_Per_Unit]],0,0)</f>
        <v>12000</v>
      </c>
      <c r="I337">
        <f>Food_Orders[[#This Row],[Client_Price]]-Food_Orders[[#This Row],[Cost]]</f>
        <v>2000</v>
      </c>
    </row>
    <row r="338" spans="1:9" x14ac:dyDescent="0.25">
      <c r="A338">
        <v>12</v>
      </c>
      <c r="B338" t="s">
        <v>86</v>
      </c>
      <c r="C338" t="s">
        <v>83</v>
      </c>
      <c r="D338" t="s">
        <v>87</v>
      </c>
      <c r="E338" t="s">
        <v>85</v>
      </c>
      <c r="F338" cm="1">
        <f t="array" ref="F338">_xlfn.XLOOKUP(Food_Orders[[#This Row],[Event_No]],Event_Master[[#All],[Event_No]],Event_Master[[#All],[Guest_Count]],,0)</f>
        <v>500</v>
      </c>
      <c r="G338" cm="1">
        <f t="array" ref="G338">Food_Orders[[#This Row],[Quantity_Orderd]]*_xlfn.XLOOKUP(Food_Orders[[#This Row],[Food_ID]],Food_Catalog[[#All],[Food_ID]],Food_Catalog[[#All],[Price_Per_Unit]],0,0)</f>
        <v>10000</v>
      </c>
      <c r="H338" cm="1">
        <f t="array" ref="H338">Food_Orders[[#This Row],[Quantity_Orderd]]*_xlfn.XLOOKUP(Food_Orders[[#This Row],[Food_ID]],Food_Catalog[[#All],[Food_ID]],Food_Catalog[[#All],[Client_Price_Per_Unit]],0,0)</f>
        <v>12000</v>
      </c>
      <c r="I338">
        <f>Food_Orders[[#This Row],[Client_Price]]-Food_Orders[[#This Row],[Cost]]</f>
        <v>2000</v>
      </c>
    </row>
    <row r="339" spans="1:9" x14ac:dyDescent="0.25">
      <c r="A339">
        <v>12</v>
      </c>
      <c r="B339" t="s">
        <v>96</v>
      </c>
      <c r="C339" t="s">
        <v>83</v>
      </c>
      <c r="D339" t="s">
        <v>97</v>
      </c>
      <c r="E339" t="s">
        <v>79</v>
      </c>
      <c r="F339" cm="1">
        <f t="array" ref="F339">_xlfn.XLOOKUP(Food_Orders[[#This Row],[Event_No]],Event_Master[[#All],[Event_No]],Event_Master[[#All],[Guest_Count]],,0)</f>
        <v>500</v>
      </c>
      <c r="G339" cm="1">
        <f t="array" ref="G339">Food_Orders[[#This Row],[Quantity_Orderd]]*_xlfn.XLOOKUP(Food_Orders[[#This Row],[Food_ID]],Food_Catalog[[#All],[Food_ID]],Food_Catalog[[#All],[Price_Per_Unit]],0,0)</f>
        <v>15000</v>
      </c>
      <c r="H339" cm="1">
        <f t="array" ref="H339">Food_Orders[[#This Row],[Quantity_Orderd]]*_xlfn.XLOOKUP(Food_Orders[[#This Row],[Food_ID]],Food_Catalog[[#All],[Food_ID]],Food_Catalog[[#All],[Client_Price_Per_Unit]],0,0)</f>
        <v>18000</v>
      </c>
      <c r="I339">
        <f>Food_Orders[[#This Row],[Client_Price]]-Food_Orders[[#This Row],[Cost]]</f>
        <v>3000</v>
      </c>
    </row>
    <row r="340" spans="1:9" x14ac:dyDescent="0.25">
      <c r="A340">
        <v>12</v>
      </c>
      <c r="B340" t="s">
        <v>88</v>
      </c>
      <c r="C340" t="s">
        <v>83</v>
      </c>
      <c r="D340" t="s">
        <v>89</v>
      </c>
      <c r="E340" t="s">
        <v>85</v>
      </c>
      <c r="F340" cm="1">
        <f t="array" ref="F340">_xlfn.XLOOKUP(Food_Orders[[#This Row],[Event_No]],Event_Master[[#All],[Event_No]],Event_Master[[#All],[Guest_Count]],,0)</f>
        <v>500</v>
      </c>
      <c r="G340" cm="1">
        <f t="array" ref="G340">Food_Orders[[#This Row],[Quantity_Orderd]]*_xlfn.XLOOKUP(Food_Orders[[#This Row],[Food_ID]],Food_Catalog[[#All],[Food_ID]],Food_Catalog[[#All],[Price_Per_Unit]],0,0)</f>
        <v>7500</v>
      </c>
      <c r="H340" cm="1">
        <f t="array" ref="H340">Food_Orders[[#This Row],[Quantity_Orderd]]*_xlfn.XLOOKUP(Food_Orders[[#This Row],[Food_ID]],Food_Catalog[[#All],[Food_ID]],Food_Catalog[[#All],[Client_Price_Per_Unit]],0,0)</f>
        <v>9000</v>
      </c>
      <c r="I340">
        <f>Food_Orders[[#This Row],[Client_Price]]-Food_Orders[[#This Row],[Cost]]</f>
        <v>1500</v>
      </c>
    </row>
    <row r="341" spans="1:9" x14ac:dyDescent="0.25">
      <c r="A341">
        <v>12</v>
      </c>
      <c r="B341" t="s">
        <v>92</v>
      </c>
      <c r="C341" t="s">
        <v>83</v>
      </c>
      <c r="D341" t="s">
        <v>93</v>
      </c>
      <c r="E341" t="s">
        <v>85</v>
      </c>
      <c r="F341" cm="1">
        <f t="array" ref="F341">_xlfn.XLOOKUP(Food_Orders[[#This Row],[Event_No]],Event_Master[[#All],[Event_No]],Event_Master[[#All],[Guest_Count]],,0)</f>
        <v>500</v>
      </c>
      <c r="G341" cm="1">
        <f t="array" ref="G341">Food_Orders[[#This Row],[Quantity_Orderd]]*_xlfn.XLOOKUP(Food_Orders[[#This Row],[Food_ID]],Food_Catalog[[#All],[Food_ID]],Food_Catalog[[#All],[Price_Per_Unit]],0,0)</f>
        <v>7500</v>
      </c>
      <c r="H341" cm="1">
        <f t="array" ref="H341">Food_Orders[[#This Row],[Quantity_Orderd]]*_xlfn.XLOOKUP(Food_Orders[[#This Row],[Food_ID]],Food_Catalog[[#All],[Food_ID]],Food_Catalog[[#All],[Client_Price_Per_Unit]],0,0)</f>
        <v>9000</v>
      </c>
      <c r="I341">
        <f>Food_Orders[[#This Row],[Client_Price]]-Food_Orders[[#This Row],[Cost]]</f>
        <v>1500</v>
      </c>
    </row>
    <row r="342" spans="1:9" x14ac:dyDescent="0.25">
      <c r="A342">
        <v>12</v>
      </c>
      <c r="B342" t="s">
        <v>98</v>
      </c>
      <c r="C342" t="s">
        <v>83</v>
      </c>
      <c r="D342" t="s">
        <v>99</v>
      </c>
      <c r="E342" t="s">
        <v>85</v>
      </c>
      <c r="F342" cm="1">
        <f t="array" ref="F342">_xlfn.XLOOKUP(Food_Orders[[#This Row],[Event_No]],Event_Master[[#All],[Event_No]],Event_Master[[#All],[Guest_Count]],,0)</f>
        <v>500</v>
      </c>
      <c r="G342" cm="1">
        <f t="array" ref="G342">Food_Orders[[#This Row],[Quantity_Orderd]]*_xlfn.XLOOKUP(Food_Orders[[#This Row],[Food_ID]],Food_Catalog[[#All],[Food_ID]],Food_Catalog[[#All],[Price_Per_Unit]],0,0)</f>
        <v>7500</v>
      </c>
      <c r="H342" cm="1">
        <f t="array" ref="H342">Food_Orders[[#This Row],[Quantity_Orderd]]*_xlfn.XLOOKUP(Food_Orders[[#This Row],[Food_ID]],Food_Catalog[[#All],[Food_ID]],Food_Catalog[[#All],[Client_Price_Per_Unit]],0,0)</f>
        <v>9000</v>
      </c>
      <c r="I342">
        <f>Food_Orders[[#This Row],[Client_Price]]-Food_Orders[[#This Row],[Cost]]</f>
        <v>1500</v>
      </c>
    </row>
    <row r="343" spans="1:9" x14ac:dyDescent="0.25">
      <c r="A343">
        <v>12</v>
      </c>
      <c r="B343" t="s">
        <v>100</v>
      </c>
      <c r="C343" t="s">
        <v>83</v>
      </c>
      <c r="D343" t="s">
        <v>101</v>
      </c>
      <c r="E343" t="s">
        <v>79</v>
      </c>
      <c r="F343" cm="1">
        <f t="array" ref="F343">_xlfn.XLOOKUP(Food_Orders[[#This Row],[Event_No]],Event_Master[[#All],[Event_No]],Event_Master[[#All],[Guest_Count]],,0)</f>
        <v>500</v>
      </c>
      <c r="G343" cm="1">
        <f t="array" ref="G343">Food_Orders[[#This Row],[Quantity_Orderd]]*_xlfn.XLOOKUP(Food_Orders[[#This Row],[Food_ID]],Food_Catalog[[#All],[Food_ID]],Food_Catalog[[#All],[Price_Per_Unit]],0,0)</f>
        <v>17500</v>
      </c>
      <c r="H343" cm="1">
        <f t="array" ref="H343">Food_Orders[[#This Row],[Quantity_Orderd]]*_xlfn.XLOOKUP(Food_Orders[[#This Row],[Food_ID]],Food_Catalog[[#All],[Food_ID]],Food_Catalog[[#All],[Client_Price_Per_Unit]],0,0)</f>
        <v>21000</v>
      </c>
      <c r="I343">
        <f>Food_Orders[[#This Row],[Client_Price]]-Food_Orders[[#This Row],[Cost]]</f>
        <v>3500</v>
      </c>
    </row>
    <row r="344" spans="1:9" x14ac:dyDescent="0.25">
      <c r="A344">
        <v>13</v>
      </c>
      <c r="B344" t="s">
        <v>118</v>
      </c>
      <c r="C344" t="s">
        <v>119</v>
      </c>
      <c r="D344" t="s">
        <v>120</v>
      </c>
      <c r="E344" t="s">
        <v>112</v>
      </c>
      <c r="F344" cm="1">
        <f t="array" ref="F344">_xlfn.XLOOKUP(Food_Orders[[#This Row],[Event_No]],Event_Master[[#All],[Event_No]],Event_Master[[#All],[Guest_Count]],,0)</f>
        <v>450</v>
      </c>
      <c r="G344" cm="1">
        <f t="array" ref="G344">Food_Orders[[#This Row],[Quantity_Orderd]]*_xlfn.XLOOKUP(Food_Orders[[#This Row],[Food_ID]],Food_Catalog[[#All],[Food_ID]],Food_Catalog[[#All],[Price_Per_Unit]],0,0)</f>
        <v>4500</v>
      </c>
      <c r="H344" cm="1">
        <f t="array" ref="H344">Food_Orders[[#This Row],[Quantity_Orderd]]*_xlfn.XLOOKUP(Food_Orders[[#This Row],[Food_ID]],Food_Catalog[[#All],[Food_ID]],Food_Catalog[[#All],[Client_Price_Per_Unit]],0,0)</f>
        <v>5400</v>
      </c>
      <c r="I344">
        <f>Food_Orders[[#This Row],[Client_Price]]-Food_Orders[[#This Row],[Cost]]</f>
        <v>900</v>
      </c>
    </row>
    <row r="345" spans="1:9" x14ac:dyDescent="0.25">
      <c r="A345">
        <v>13</v>
      </c>
      <c r="B345" t="s">
        <v>129</v>
      </c>
      <c r="C345" t="s">
        <v>119</v>
      </c>
      <c r="D345" t="s">
        <v>130</v>
      </c>
      <c r="E345" t="s">
        <v>112</v>
      </c>
      <c r="F345" cm="1">
        <f t="array" ref="F345">_xlfn.XLOOKUP(Food_Orders[[#This Row],[Event_No]],Event_Master[[#All],[Event_No]],Event_Master[[#All],[Guest_Count]],,0)</f>
        <v>450</v>
      </c>
      <c r="G345" cm="1">
        <f t="array" ref="G345">Food_Orders[[#This Row],[Quantity_Orderd]]*_xlfn.XLOOKUP(Food_Orders[[#This Row],[Food_ID]],Food_Catalog[[#All],[Food_ID]],Food_Catalog[[#All],[Price_Per_Unit]],0,0)</f>
        <v>4500</v>
      </c>
      <c r="H345" cm="1">
        <f t="array" ref="H345">Food_Orders[[#This Row],[Quantity_Orderd]]*_xlfn.XLOOKUP(Food_Orders[[#This Row],[Food_ID]],Food_Catalog[[#All],[Food_ID]],Food_Catalog[[#All],[Client_Price_Per_Unit]],0,0)</f>
        <v>5400</v>
      </c>
      <c r="I345">
        <f>Food_Orders[[#This Row],[Client_Price]]-Food_Orders[[#This Row],[Cost]]</f>
        <v>900</v>
      </c>
    </row>
    <row r="346" spans="1:9" x14ac:dyDescent="0.25">
      <c r="A346">
        <v>13</v>
      </c>
      <c r="B346" t="s">
        <v>104</v>
      </c>
      <c r="C346" t="s">
        <v>105</v>
      </c>
      <c r="D346" t="s">
        <v>106</v>
      </c>
      <c r="E346" t="s">
        <v>107</v>
      </c>
      <c r="F346" cm="1">
        <f t="array" ref="F346">_xlfn.XLOOKUP(Food_Orders[[#This Row],[Event_No]],Event_Master[[#All],[Event_No]],Event_Master[[#All],[Guest_Count]],,0)</f>
        <v>450</v>
      </c>
      <c r="G346" cm="1">
        <f t="array" ref="G346">Food_Orders[[#This Row],[Quantity_Orderd]]*_xlfn.XLOOKUP(Food_Orders[[#This Row],[Food_ID]],Food_Catalog[[#All],[Food_ID]],Food_Catalog[[#All],[Price_Per_Unit]],0,0)</f>
        <v>4500</v>
      </c>
      <c r="H346" cm="1">
        <f t="array" ref="H346">Food_Orders[[#This Row],[Quantity_Orderd]]*_xlfn.XLOOKUP(Food_Orders[[#This Row],[Food_ID]],Food_Catalog[[#All],[Food_ID]],Food_Catalog[[#All],[Client_Price_Per_Unit]],0,0)</f>
        <v>5400</v>
      </c>
      <c r="I346">
        <f>Food_Orders[[#This Row],[Client_Price]]-Food_Orders[[#This Row],[Cost]]</f>
        <v>900</v>
      </c>
    </row>
    <row r="347" spans="1:9" x14ac:dyDescent="0.25">
      <c r="A347">
        <v>13</v>
      </c>
      <c r="B347" t="s">
        <v>108</v>
      </c>
      <c r="C347" t="s">
        <v>105</v>
      </c>
      <c r="D347" t="s">
        <v>109</v>
      </c>
      <c r="E347" t="s">
        <v>107</v>
      </c>
      <c r="F347" cm="1">
        <f t="array" ref="F347">_xlfn.XLOOKUP(Food_Orders[[#This Row],[Event_No]],Event_Master[[#All],[Event_No]],Event_Master[[#All],[Guest_Count]],,0)</f>
        <v>450</v>
      </c>
      <c r="G347" cm="1">
        <f t="array" ref="G347">Food_Orders[[#This Row],[Quantity_Orderd]]*_xlfn.XLOOKUP(Food_Orders[[#This Row],[Food_ID]],Food_Catalog[[#All],[Food_ID]],Food_Catalog[[#All],[Price_Per_Unit]],0,0)</f>
        <v>6750</v>
      </c>
      <c r="H347" cm="1">
        <f t="array" ref="H347">Food_Orders[[#This Row],[Quantity_Orderd]]*_xlfn.XLOOKUP(Food_Orders[[#This Row],[Food_ID]],Food_Catalog[[#All],[Food_ID]],Food_Catalog[[#All],[Client_Price_Per_Unit]],0,0)</f>
        <v>8100</v>
      </c>
      <c r="I347">
        <f>Food_Orders[[#This Row],[Client_Price]]-Food_Orders[[#This Row],[Cost]]</f>
        <v>1350</v>
      </c>
    </row>
    <row r="348" spans="1:9" x14ac:dyDescent="0.25">
      <c r="A348">
        <v>13</v>
      </c>
      <c r="B348" t="s">
        <v>127</v>
      </c>
      <c r="C348" t="s">
        <v>119</v>
      </c>
      <c r="D348" t="s">
        <v>128</v>
      </c>
      <c r="E348" t="s">
        <v>107</v>
      </c>
      <c r="F348" cm="1">
        <f t="array" ref="F348">_xlfn.XLOOKUP(Food_Orders[[#This Row],[Event_No]],Event_Master[[#All],[Event_No]],Event_Master[[#All],[Guest_Count]],,0)</f>
        <v>450</v>
      </c>
      <c r="G348" cm="1">
        <f t="array" ref="G348">Food_Orders[[#This Row],[Quantity_Orderd]]*_xlfn.XLOOKUP(Food_Orders[[#This Row],[Food_ID]],Food_Catalog[[#All],[Food_ID]],Food_Catalog[[#All],[Price_Per_Unit]],0,0)</f>
        <v>9000</v>
      </c>
      <c r="H348" cm="1">
        <f t="array" ref="H348">Food_Orders[[#This Row],[Quantity_Orderd]]*_xlfn.XLOOKUP(Food_Orders[[#This Row],[Food_ID]],Food_Catalog[[#All],[Food_ID]],Food_Catalog[[#All],[Client_Price_Per_Unit]],0,0)</f>
        <v>10800</v>
      </c>
      <c r="I348">
        <f>Food_Orders[[#This Row],[Client_Price]]-Food_Orders[[#This Row],[Cost]]</f>
        <v>1800</v>
      </c>
    </row>
    <row r="349" spans="1:9" x14ac:dyDescent="0.25">
      <c r="A349">
        <v>13</v>
      </c>
      <c r="B349" t="s">
        <v>124</v>
      </c>
      <c r="C349" t="s">
        <v>119</v>
      </c>
      <c r="D349" t="s">
        <v>125</v>
      </c>
      <c r="E349" t="s">
        <v>126</v>
      </c>
      <c r="F349" cm="1">
        <f t="array" ref="F349">_xlfn.XLOOKUP(Food_Orders[[#This Row],[Event_No]],Event_Master[[#All],[Event_No]],Event_Master[[#All],[Guest_Count]],,0)</f>
        <v>450</v>
      </c>
      <c r="G349" cm="1">
        <f t="array" ref="G349">Food_Orders[[#This Row],[Quantity_Orderd]]*_xlfn.XLOOKUP(Food_Orders[[#This Row],[Food_ID]],Food_Catalog[[#All],[Food_ID]],Food_Catalog[[#All],[Price_Per_Unit]],0,0)</f>
        <v>9000</v>
      </c>
      <c r="H349" cm="1">
        <f t="array" ref="H349">Food_Orders[[#This Row],[Quantity_Orderd]]*_xlfn.XLOOKUP(Food_Orders[[#This Row],[Food_ID]],Food_Catalog[[#All],[Food_ID]],Food_Catalog[[#All],[Client_Price_Per_Unit]],0,0)</f>
        <v>10800</v>
      </c>
      <c r="I349">
        <f>Food_Orders[[#This Row],[Client_Price]]-Food_Orders[[#This Row],[Cost]]</f>
        <v>1800</v>
      </c>
    </row>
    <row r="350" spans="1:9" x14ac:dyDescent="0.25">
      <c r="A350">
        <v>13</v>
      </c>
      <c r="B350" t="s">
        <v>121</v>
      </c>
      <c r="C350" t="s">
        <v>119</v>
      </c>
      <c r="D350" t="s">
        <v>122</v>
      </c>
      <c r="E350" t="s">
        <v>123</v>
      </c>
      <c r="F350" cm="1">
        <f t="array" ref="F350">_xlfn.XLOOKUP(Food_Orders[[#This Row],[Event_No]],Event_Master[[#All],[Event_No]],Event_Master[[#All],[Guest_Count]],,0)</f>
        <v>450</v>
      </c>
      <c r="G350" cm="1">
        <f t="array" ref="G350">Food_Orders[[#This Row],[Quantity_Orderd]]*_xlfn.XLOOKUP(Food_Orders[[#This Row],[Food_ID]],Food_Catalog[[#All],[Food_ID]],Food_Catalog[[#All],[Price_Per_Unit]],0,0)</f>
        <v>4500</v>
      </c>
      <c r="H350" cm="1">
        <f t="array" ref="H350">Food_Orders[[#This Row],[Quantity_Orderd]]*_xlfn.XLOOKUP(Food_Orders[[#This Row],[Food_ID]],Food_Catalog[[#All],[Food_ID]],Food_Catalog[[#All],[Client_Price_Per_Unit]],0,0)</f>
        <v>5400</v>
      </c>
      <c r="I350">
        <f>Food_Orders[[#This Row],[Client_Price]]-Food_Orders[[#This Row],[Cost]]</f>
        <v>900</v>
      </c>
    </row>
    <row r="351" spans="1:9" x14ac:dyDescent="0.25">
      <c r="A351">
        <v>13</v>
      </c>
      <c r="B351" t="s">
        <v>63</v>
      </c>
      <c r="C351" t="s">
        <v>61</v>
      </c>
      <c r="D351" t="s">
        <v>64</v>
      </c>
      <c r="E351" t="s">
        <v>10</v>
      </c>
      <c r="F351" cm="1">
        <f t="array" ref="F351">_xlfn.XLOOKUP(Food_Orders[[#This Row],[Event_No]],Event_Master[[#All],[Event_No]],Event_Master[[#All],[Guest_Count]],,0)</f>
        <v>450</v>
      </c>
      <c r="G351" cm="1">
        <f t="array" ref="G351">Food_Orders[[#This Row],[Quantity_Orderd]]*_xlfn.XLOOKUP(Food_Orders[[#This Row],[Food_ID]],Food_Catalog[[#All],[Food_ID]],Food_Catalog[[#All],[Price_Per_Unit]],0,0)</f>
        <v>13500</v>
      </c>
      <c r="H351" cm="1">
        <f t="array" ref="H351">Food_Orders[[#This Row],[Quantity_Orderd]]*_xlfn.XLOOKUP(Food_Orders[[#This Row],[Food_ID]],Food_Catalog[[#All],[Food_ID]],Food_Catalog[[#All],[Client_Price_Per_Unit]],0,0)</f>
        <v>16200</v>
      </c>
      <c r="I351">
        <f>Food_Orders[[#This Row],[Client_Price]]-Food_Orders[[#This Row],[Cost]]</f>
        <v>2700</v>
      </c>
    </row>
    <row r="352" spans="1:9" x14ac:dyDescent="0.25">
      <c r="A352">
        <v>13</v>
      </c>
      <c r="B352" t="s">
        <v>71</v>
      </c>
      <c r="C352" t="s">
        <v>61</v>
      </c>
      <c r="D352" t="s">
        <v>72</v>
      </c>
      <c r="E352" t="s">
        <v>10</v>
      </c>
      <c r="F352" cm="1">
        <f t="array" ref="F352">_xlfn.XLOOKUP(Food_Orders[[#This Row],[Event_No]],Event_Master[[#All],[Event_No]],Event_Master[[#All],[Guest_Count]],,0)</f>
        <v>450</v>
      </c>
      <c r="G352" cm="1">
        <f t="array" ref="G352">Food_Orders[[#This Row],[Quantity_Orderd]]*_xlfn.XLOOKUP(Food_Orders[[#This Row],[Food_ID]],Food_Catalog[[#All],[Food_ID]],Food_Catalog[[#All],[Price_Per_Unit]],0,0)</f>
        <v>11250</v>
      </c>
      <c r="H352" cm="1">
        <f t="array" ref="H352">Food_Orders[[#This Row],[Quantity_Orderd]]*_xlfn.XLOOKUP(Food_Orders[[#This Row],[Food_ID]],Food_Catalog[[#All],[Food_ID]],Food_Catalog[[#All],[Client_Price_Per_Unit]],0,0)</f>
        <v>13500</v>
      </c>
      <c r="I352">
        <f>Food_Orders[[#This Row],[Client_Price]]-Food_Orders[[#This Row],[Cost]]</f>
        <v>2250</v>
      </c>
    </row>
    <row r="353" spans="1:9" x14ac:dyDescent="0.25">
      <c r="A353">
        <v>13</v>
      </c>
      <c r="B353" t="s">
        <v>29</v>
      </c>
      <c r="C353" t="s">
        <v>8</v>
      </c>
      <c r="D353" t="s">
        <v>30</v>
      </c>
      <c r="E353" t="s">
        <v>10</v>
      </c>
      <c r="F353" cm="1">
        <f t="array" ref="F353">_xlfn.XLOOKUP(Food_Orders[[#This Row],[Event_No]],Event_Master[[#All],[Event_No]],Event_Master[[#All],[Guest_Count]],,0)</f>
        <v>450</v>
      </c>
      <c r="G353" cm="1">
        <f t="array" ref="G353">Food_Orders[[#This Row],[Quantity_Orderd]]*_xlfn.XLOOKUP(Food_Orders[[#This Row],[Food_ID]],Food_Catalog[[#All],[Food_ID]],Food_Catalog[[#All],[Price_Per_Unit]],0,0)</f>
        <v>13500</v>
      </c>
      <c r="H353" cm="1">
        <f t="array" ref="H353">Food_Orders[[#This Row],[Quantity_Orderd]]*_xlfn.XLOOKUP(Food_Orders[[#This Row],[Food_ID]],Food_Catalog[[#All],[Food_ID]],Food_Catalog[[#All],[Client_Price_Per_Unit]],0,0)</f>
        <v>16200</v>
      </c>
      <c r="I353">
        <f>Food_Orders[[#This Row],[Client_Price]]-Food_Orders[[#This Row],[Cost]]</f>
        <v>2700</v>
      </c>
    </row>
    <row r="354" spans="1:9" x14ac:dyDescent="0.25">
      <c r="A354">
        <v>13</v>
      </c>
      <c r="B354" t="s">
        <v>37</v>
      </c>
      <c r="C354" t="s">
        <v>8</v>
      </c>
      <c r="D354" t="s">
        <v>38</v>
      </c>
      <c r="E354" t="s">
        <v>10</v>
      </c>
      <c r="F354" cm="1">
        <f t="array" ref="F354">_xlfn.XLOOKUP(Food_Orders[[#This Row],[Event_No]],Event_Master[[#All],[Event_No]],Event_Master[[#All],[Guest_Count]],,0)</f>
        <v>450</v>
      </c>
      <c r="G354" cm="1">
        <f t="array" ref="G354">Food_Orders[[#This Row],[Quantity_Orderd]]*_xlfn.XLOOKUP(Food_Orders[[#This Row],[Food_ID]],Food_Catalog[[#All],[Food_ID]],Food_Catalog[[#All],[Price_Per_Unit]],0,0)</f>
        <v>11250</v>
      </c>
      <c r="H354" cm="1">
        <f t="array" ref="H354">Food_Orders[[#This Row],[Quantity_Orderd]]*_xlfn.XLOOKUP(Food_Orders[[#This Row],[Food_ID]],Food_Catalog[[#All],[Food_ID]],Food_Catalog[[#All],[Client_Price_Per_Unit]],0,0)</f>
        <v>13500</v>
      </c>
      <c r="I354">
        <f>Food_Orders[[#This Row],[Client_Price]]-Food_Orders[[#This Row],[Cost]]</f>
        <v>2250</v>
      </c>
    </row>
    <row r="355" spans="1:9" x14ac:dyDescent="0.25">
      <c r="A355">
        <v>13</v>
      </c>
      <c r="B355" t="s">
        <v>69</v>
      </c>
      <c r="C355" t="s">
        <v>61</v>
      </c>
      <c r="D355" t="s">
        <v>70</v>
      </c>
      <c r="E355" t="s">
        <v>10</v>
      </c>
      <c r="F355" cm="1">
        <f t="array" ref="F355">_xlfn.XLOOKUP(Food_Orders[[#This Row],[Event_No]],Event_Master[[#All],[Event_No]],Event_Master[[#All],[Guest_Count]],,0)</f>
        <v>450</v>
      </c>
      <c r="G355" cm="1">
        <f t="array" ref="G355">Food_Orders[[#This Row],[Quantity_Orderd]]*_xlfn.XLOOKUP(Food_Orders[[#This Row],[Food_ID]],Food_Catalog[[#All],[Food_ID]],Food_Catalog[[#All],[Price_Per_Unit]],0,0)</f>
        <v>22500</v>
      </c>
      <c r="H355" cm="1">
        <f t="array" ref="H355">Food_Orders[[#This Row],[Quantity_Orderd]]*_xlfn.XLOOKUP(Food_Orders[[#This Row],[Food_ID]],Food_Catalog[[#All],[Food_ID]],Food_Catalog[[#All],[Client_Price_Per_Unit]],0,0)</f>
        <v>27000</v>
      </c>
      <c r="I355">
        <f>Food_Orders[[#This Row],[Client_Price]]-Food_Orders[[#This Row],[Cost]]</f>
        <v>4500</v>
      </c>
    </row>
    <row r="356" spans="1:9" x14ac:dyDescent="0.25">
      <c r="A356">
        <v>13</v>
      </c>
      <c r="B356" t="s">
        <v>27</v>
      </c>
      <c r="C356" t="s">
        <v>8</v>
      </c>
      <c r="D356" t="s">
        <v>28</v>
      </c>
      <c r="E356" t="s">
        <v>10</v>
      </c>
      <c r="F356" cm="1">
        <f t="array" ref="F356">_xlfn.XLOOKUP(Food_Orders[[#This Row],[Event_No]],Event_Master[[#All],[Event_No]],Event_Master[[#All],[Guest_Count]],,0)</f>
        <v>450</v>
      </c>
      <c r="G356" cm="1">
        <f t="array" ref="G356">Food_Orders[[#This Row],[Quantity_Orderd]]*_xlfn.XLOOKUP(Food_Orders[[#This Row],[Food_ID]],Food_Catalog[[#All],[Food_ID]],Food_Catalog[[#All],[Price_Per_Unit]],0,0)</f>
        <v>18000</v>
      </c>
      <c r="H356" cm="1">
        <f t="array" ref="H356">Food_Orders[[#This Row],[Quantity_Orderd]]*_xlfn.XLOOKUP(Food_Orders[[#This Row],[Food_ID]],Food_Catalog[[#All],[Food_ID]],Food_Catalog[[#All],[Client_Price_Per_Unit]],0,0)</f>
        <v>21600</v>
      </c>
      <c r="I356">
        <f>Food_Orders[[#This Row],[Client_Price]]-Food_Orders[[#This Row],[Cost]]</f>
        <v>3600</v>
      </c>
    </row>
    <row r="357" spans="1:9" x14ac:dyDescent="0.25">
      <c r="A357">
        <v>13</v>
      </c>
      <c r="B357" t="s">
        <v>82</v>
      </c>
      <c r="C357" t="s">
        <v>83</v>
      </c>
      <c r="D357" t="s">
        <v>84</v>
      </c>
      <c r="E357" t="s">
        <v>85</v>
      </c>
      <c r="F357" cm="1">
        <f t="array" ref="F357">_xlfn.XLOOKUP(Food_Orders[[#This Row],[Event_No]],Event_Master[[#All],[Event_No]],Event_Master[[#All],[Guest_Count]],,0)</f>
        <v>450</v>
      </c>
      <c r="G357" cm="1">
        <f t="array" ref="G357">Food_Orders[[#This Row],[Quantity_Orderd]]*_xlfn.XLOOKUP(Food_Orders[[#This Row],[Food_ID]],Food_Catalog[[#All],[Food_ID]],Food_Catalog[[#All],[Price_Per_Unit]],0,0)</f>
        <v>9000</v>
      </c>
      <c r="H357" cm="1">
        <f t="array" ref="H357">Food_Orders[[#This Row],[Quantity_Orderd]]*_xlfn.XLOOKUP(Food_Orders[[#This Row],[Food_ID]],Food_Catalog[[#All],[Food_ID]],Food_Catalog[[#All],[Client_Price_Per_Unit]],0,0)</f>
        <v>10800</v>
      </c>
      <c r="I357">
        <f>Food_Orders[[#This Row],[Client_Price]]-Food_Orders[[#This Row],[Cost]]</f>
        <v>1800</v>
      </c>
    </row>
    <row r="358" spans="1:9" x14ac:dyDescent="0.25">
      <c r="A358">
        <v>13</v>
      </c>
      <c r="B358" t="s">
        <v>96</v>
      </c>
      <c r="C358" t="s">
        <v>83</v>
      </c>
      <c r="D358" t="s">
        <v>97</v>
      </c>
      <c r="E358" t="s">
        <v>79</v>
      </c>
      <c r="F358" cm="1">
        <f t="array" ref="F358">_xlfn.XLOOKUP(Food_Orders[[#This Row],[Event_No]],Event_Master[[#All],[Event_No]],Event_Master[[#All],[Guest_Count]],,0)</f>
        <v>450</v>
      </c>
      <c r="G358" cm="1">
        <f t="array" ref="G358">Food_Orders[[#This Row],[Quantity_Orderd]]*_xlfn.XLOOKUP(Food_Orders[[#This Row],[Food_ID]],Food_Catalog[[#All],[Food_ID]],Food_Catalog[[#All],[Price_Per_Unit]],0,0)</f>
        <v>13500</v>
      </c>
      <c r="H358" cm="1">
        <f t="array" ref="H358">Food_Orders[[#This Row],[Quantity_Orderd]]*_xlfn.XLOOKUP(Food_Orders[[#This Row],[Food_ID]],Food_Catalog[[#All],[Food_ID]],Food_Catalog[[#All],[Client_Price_Per_Unit]],0,0)</f>
        <v>16200</v>
      </c>
      <c r="I358">
        <f>Food_Orders[[#This Row],[Client_Price]]-Food_Orders[[#This Row],[Cost]]</f>
        <v>2700</v>
      </c>
    </row>
    <row r="359" spans="1:9" x14ac:dyDescent="0.25">
      <c r="A359">
        <v>13</v>
      </c>
      <c r="B359" t="s">
        <v>92</v>
      </c>
      <c r="C359" t="s">
        <v>83</v>
      </c>
      <c r="D359" t="s">
        <v>93</v>
      </c>
      <c r="E359" t="s">
        <v>85</v>
      </c>
      <c r="F359" cm="1">
        <f t="array" ref="F359">_xlfn.XLOOKUP(Food_Orders[[#This Row],[Event_No]],Event_Master[[#All],[Event_No]],Event_Master[[#All],[Guest_Count]],,0)</f>
        <v>450</v>
      </c>
      <c r="G359" cm="1">
        <f t="array" ref="G359">Food_Orders[[#This Row],[Quantity_Orderd]]*_xlfn.XLOOKUP(Food_Orders[[#This Row],[Food_ID]],Food_Catalog[[#All],[Food_ID]],Food_Catalog[[#All],[Price_Per_Unit]],0,0)</f>
        <v>6750</v>
      </c>
      <c r="H359" cm="1">
        <f t="array" ref="H359">Food_Orders[[#This Row],[Quantity_Orderd]]*_xlfn.XLOOKUP(Food_Orders[[#This Row],[Food_ID]],Food_Catalog[[#All],[Food_ID]],Food_Catalog[[#All],[Client_Price_Per_Unit]],0,0)</f>
        <v>8100</v>
      </c>
      <c r="I359">
        <f>Food_Orders[[#This Row],[Client_Price]]-Food_Orders[[#This Row],[Cost]]</f>
        <v>1350</v>
      </c>
    </row>
    <row r="360" spans="1:9" x14ac:dyDescent="0.25">
      <c r="A360">
        <v>13</v>
      </c>
      <c r="B360" t="s">
        <v>98</v>
      </c>
      <c r="C360" t="s">
        <v>83</v>
      </c>
      <c r="D360" t="s">
        <v>99</v>
      </c>
      <c r="E360" t="s">
        <v>85</v>
      </c>
      <c r="F360" cm="1">
        <f t="array" ref="F360">_xlfn.XLOOKUP(Food_Orders[[#This Row],[Event_No]],Event_Master[[#All],[Event_No]],Event_Master[[#All],[Guest_Count]],,0)</f>
        <v>450</v>
      </c>
      <c r="G360" cm="1">
        <f t="array" ref="G360">Food_Orders[[#This Row],[Quantity_Orderd]]*_xlfn.XLOOKUP(Food_Orders[[#This Row],[Food_ID]],Food_Catalog[[#All],[Food_ID]],Food_Catalog[[#All],[Price_Per_Unit]],0,0)</f>
        <v>6750</v>
      </c>
      <c r="H360" cm="1">
        <f t="array" ref="H360">Food_Orders[[#This Row],[Quantity_Orderd]]*_xlfn.XLOOKUP(Food_Orders[[#This Row],[Food_ID]],Food_Catalog[[#All],[Food_ID]],Food_Catalog[[#All],[Client_Price_Per_Unit]],0,0)</f>
        <v>8100</v>
      </c>
      <c r="I360">
        <f>Food_Orders[[#This Row],[Client_Price]]-Food_Orders[[#This Row],[Cost]]</f>
        <v>1350</v>
      </c>
    </row>
    <row r="361" spans="1:9" x14ac:dyDescent="0.25">
      <c r="A361">
        <v>14</v>
      </c>
      <c r="B361" t="s">
        <v>118</v>
      </c>
      <c r="C361" t="s">
        <v>119</v>
      </c>
      <c r="D361" t="s">
        <v>120</v>
      </c>
      <c r="E361" t="s">
        <v>112</v>
      </c>
      <c r="F361" cm="1">
        <f t="array" ref="F361">_xlfn.XLOOKUP(Food_Orders[[#This Row],[Event_No]],Event_Master[[#All],[Event_No]],Event_Master[[#All],[Guest_Count]],,0)</f>
        <v>600</v>
      </c>
      <c r="G361" cm="1">
        <f t="array" ref="G361">Food_Orders[[#This Row],[Quantity_Orderd]]*_xlfn.XLOOKUP(Food_Orders[[#This Row],[Food_ID]],Food_Catalog[[#All],[Food_ID]],Food_Catalog[[#All],[Price_Per_Unit]],0,0)</f>
        <v>6000</v>
      </c>
      <c r="H361" cm="1">
        <f t="array" ref="H361">Food_Orders[[#This Row],[Quantity_Orderd]]*_xlfn.XLOOKUP(Food_Orders[[#This Row],[Food_ID]],Food_Catalog[[#All],[Food_ID]],Food_Catalog[[#All],[Client_Price_Per_Unit]],0,0)</f>
        <v>7200</v>
      </c>
      <c r="I361">
        <f>Food_Orders[[#This Row],[Client_Price]]-Food_Orders[[#This Row],[Cost]]</f>
        <v>1200</v>
      </c>
    </row>
    <row r="362" spans="1:9" x14ac:dyDescent="0.25">
      <c r="A362">
        <v>14</v>
      </c>
      <c r="B362" t="s">
        <v>129</v>
      </c>
      <c r="C362" t="s">
        <v>119</v>
      </c>
      <c r="D362" t="s">
        <v>130</v>
      </c>
      <c r="E362" t="s">
        <v>112</v>
      </c>
      <c r="F362" cm="1">
        <f t="array" ref="F362">_xlfn.XLOOKUP(Food_Orders[[#This Row],[Event_No]],Event_Master[[#All],[Event_No]],Event_Master[[#All],[Guest_Count]],,0)</f>
        <v>600</v>
      </c>
      <c r="G362" cm="1">
        <f t="array" ref="G362">Food_Orders[[#This Row],[Quantity_Orderd]]*_xlfn.XLOOKUP(Food_Orders[[#This Row],[Food_ID]],Food_Catalog[[#All],[Food_ID]],Food_Catalog[[#All],[Price_Per_Unit]],0,0)</f>
        <v>6000</v>
      </c>
      <c r="H362" cm="1">
        <f t="array" ref="H362">Food_Orders[[#This Row],[Quantity_Orderd]]*_xlfn.XLOOKUP(Food_Orders[[#This Row],[Food_ID]],Food_Catalog[[#All],[Food_ID]],Food_Catalog[[#All],[Client_Price_Per_Unit]],0,0)</f>
        <v>7200</v>
      </c>
      <c r="I362">
        <f>Food_Orders[[#This Row],[Client_Price]]-Food_Orders[[#This Row],[Cost]]</f>
        <v>1200</v>
      </c>
    </row>
    <row r="363" spans="1:9" x14ac:dyDescent="0.25">
      <c r="A363">
        <v>14</v>
      </c>
      <c r="B363" t="s">
        <v>104</v>
      </c>
      <c r="C363" t="s">
        <v>105</v>
      </c>
      <c r="D363" t="s">
        <v>106</v>
      </c>
      <c r="E363" t="s">
        <v>107</v>
      </c>
      <c r="F363" cm="1">
        <f t="array" ref="F363">_xlfn.XLOOKUP(Food_Orders[[#This Row],[Event_No]],Event_Master[[#All],[Event_No]],Event_Master[[#All],[Guest_Count]],,0)</f>
        <v>600</v>
      </c>
      <c r="G363" cm="1">
        <f t="array" ref="G363">Food_Orders[[#This Row],[Quantity_Orderd]]*_xlfn.XLOOKUP(Food_Orders[[#This Row],[Food_ID]],Food_Catalog[[#All],[Food_ID]],Food_Catalog[[#All],[Price_Per_Unit]],0,0)</f>
        <v>6000</v>
      </c>
      <c r="H363" cm="1">
        <f t="array" ref="H363">Food_Orders[[#This Row],[Quantity_Orderd]]*_xlfn.XLOOKUP(Food_Orders[[#This Row],[Food_ID]],Food_Catalog[[#All],[Food_ID]],Food_Catalog[[#All],[Client_Price_Per_Unit]],0,0)</f>
        <v>7200</v>
      </c>
      <c r="I363">
        <f>Food_Orders[[#This Row],[Client_Price]]-Food_Orders[[#This Row],[Cost]]</f>
        <v>1200</v>
      </c>
    </row>
    <row r="364" spans="1:9" x14ac:dyDescent="0.25">
      <c r="A364">
        <v>14</v>
      </c>
      <c r="B364" t="s">
        <v>108</v>
      </c>
      <c r="C364" t="s">
        <v>105</v>
      </c>
      <c r="D364" t="s">
        <v>109</v>
      </c>
      <c r="E364" t="s">
        <v>107</v>
      </c>
      <c r="F364" cm="1">
        <f t="array" ref="F364">_xlfn.XLOOKUP(Food_Orders[[#This Row],[Event_No]],Event_Master[[#All],[Event_No]],Event_Master[[#All],[Guest_Count]],,0)</f>
        <v>600</v>
      </c>
      <c r="G364" cm="1">
        <f t="array" ref="G364">Food_Orders[[#This Row],[Quantity_Orderd]]*_xlfn.XLOOKUP(Food_Orders[[#This Row],[Food_ID]],Food_Catalog[[#All],[Food_ID]],Food_Catalog[[#All],[Price_Per_Unit]],0,0)</f>
        <v>9000</v>
      </c>
      <c r="H364" cm="1">
        <f t="array" ref="H364">Food_Orders[[#This Row],[Quantity_Orderd]]*_xlfn.XLOOKUP(Food_Orders[[#This Row],[Food_ID]],Food_Catalog[[#All],[Food_ID]],Food_Catalog[[#All],[Client_Price_Per_Unit]],0,0)</f>
        <v>10800</v>
      </c>
      <c r="I364">
        <f>Food_Orders[[#This Row],[Client_Price]]-Food_Orders[[#This Row],[Cost]]</f>
        <v>1800</v>
      </c>
    </row>
    <row r="365" spans="1:9" x14ac:dyDescent="0.25">
      <c r="A365">
        <v>14</v>
      </c>
      <c r="B365" t="s">
        <v>127</v>
      </c>
      <c r="C365" t="s">
        <v>119</v>
      </c>
      <c r="D365" t="s">
        <v>128</v>
      </c>
      <c r="E365" t="s">
        <v>107</v>
      </c>
      <c r="F365" cm="1">
        <f t="array" ref="F365">_xlfn.XLOOKUP(Food_Orders[[#This Row],[Event_No]],Event_Master[[#All],[Event_No]],Event_Master[[#All],[Guest_Count]],,0)</f>
        <v>600</v>
      </c>
      <c r="G365" cm="1">
        <f t="array" ref="G365">Food_Orders[[#This Row],[Quantity_Orderd]]*_xlfn.XLOOKUP(Food_Orders[[#This Row],[Food_ID]],Food_Catalog[[#All],[Food_ID]],Food_Catalog[[#All],[Price_Per_Unit]],0,0)</f>
        <v>12000</v>
      </c>
      <c r="H365" cm="1">
        <f t="array" ref="H365">Food_Orders[[#This Row],[Quantity_Orderd]]*_xlfn.XLOOKUP(Food_Orders[[#This Row],[Food_ID]],Food_Catalog[[#All],[Food_ID]],Food_Catalog[[#All],[Client_Price_Per_Unit]],0,0)</f>
        <v>14400</v>
      </c>
      <c r="I365">
        <f>Food_Orders[[#This Row],[Client_Price]]-Food_Orders[[#This Row],[Cost]]</f>
        <v>2400</v>
      </c>
    </row>
    <row r="366" spans="1:9" x14ac:dyDescent="0.25">
      <c r="A366">
        <v>14</v>
      </c>
      <c r="B366" t="s">
        <v>124</v>
      </c>
      <c r="C366" t="s">
        <v>119</v>
      </c>
      <c r="D366" t="s">
        <v>125</v>
      </c>
      <c r="E366" t="s">
        <v>126</v>
      </c>
      <c r="F366" cm="1">
        <f t="array" ref="F366">_xlfn.XLOOKUP(Food_Orders[[#This Row],[Event_No]],Event_Master[[#All],[Event_No]],Event_Master[[#All],[Guest_Count]],,0)</f>
        <v>600</v>
      </c>
      <c r="G366" cm="1">
        <f t="array" ref="G366">Food_Orders[[#This Row],[Quantity_Orderd]]*_xlfn.XLOOKUP(Food_Orders[[#This Row],[Food_ID]],Food_Catalog[[#All],[Food_ID]],Food_Catalog[[#All],[Price_Per_Unit]],0,0)</f>
        <v>12000</v>
      </c>
      <c r="H366" cm="1">
        <f t="array" ref="H366">Food_Orders[[#This Row],[Quantity_Orderd]]*_xlfn.XLOOKUP(Food_Orders[[#This Row],[Food_ID]],Food_Catalog[[#All],[Food_ID]],Food_Catalog[[#All],[Client_Price_Per_Unit]],0,0)</f>
        <v>14400</v>
      </c>
      <c r="I366">
        <f>Food_Orders[[#This Row],[Client_Price]]-Food_Orders[[#This Row],[Cost]]</f>
        <v>2400</v>
      </c>
    </row>
    <row r="367" spans="1:9" x14ac:dyDescent="0.25">
      <c r="A367">
        <v>14</v>
      </c>
      <c r="B367" t="s">
        <v>121</v>
      </c>
      <c r="C367" t="s">
        <v>119</v>
      </c>
      <c r="D367" t="s">
        <v>122</v>
      </c>
      <c r="E367" t="s">
        <v>123</v>
      </c>
      <c r="F367" cm="1">
        <f t="array" ref="F367">_xlfn.XLOOKUP(Food_Orders[[#This Row],[Event_No]],Event_Master[[#All],[Event_No]],Event_Master[[#All],[Guest_Count]],,0)</f>
        <v>600</v>
      </c>
      <c r="G367" cm="1">
        <f t="array" ref="G367">Food_Orders[[#This Row],[Quantity_Orderd]]*_xlfn.XLOOKUP(Food_Orders[[#This Row],[Food_ID]],Food_Catalog[[#All],[Food_ID]],Food_Catalog[[#All],[Price_Per_Unit]],0,0)</f>
        <v>6000</v>
      </c>
      <c r="H367" cm="1">
        <f t="array" ref="H367">Food_Orders[[#This Row],[Quantity_Orderd]]*_xlfn.XLOOKUP(Food_Orders[[#This Row],[Food_ID]],Food_Catalog[[#All],[Food_ID]],Food_Catalog[[#All],[Client_Price_Per_Unit]],0,0)</f>
        <v>7200</v>
      </c>
      <c r="I367">
        <f>Food_Orders[[#This Row],[Client_Price]]-Food_Orders[[#This Row],[Cost]]</f>
        <v>1200</v>
      </c>
    </row>
    <row r="368" spans="1:9" x14ac:dyDescent="0.25">
      <c r="A368">
        <v>14</v>
      </c>
      <c r="B368" t="s">
        <v>63</v>
      </c>
      <c r="C368" t="s">
        <v>61</v>
      </c>
      <c r="D368" t="s">
        <v>64</v>
      </c>
      <c r="E368" t="s">
        <v>10</v>
      </c>
      <c r="F368" cm="1">
        <f t="array" ref="F368">_xlfn.XLOOKUP(Food_Orders[[#This Row],[Event_No]],Event_Master[[#All],[Event_No]],Event_Master[[#All],[Guest_Count]],,0)</f>
        <v>600</v>
      </c>
      <c r="G368" cm="1">
        <f t="array" ref="G368">Food_Orders[[#This Row],[Quantity_Orderd]]*_xlfn.XLOOKUP(Food_Orders[[#This Row],[Food_ID]],Food_Catalog[[#All],[Food_ID]],Food_Catalog[[#All],[Price_Per_Unit]],0,0)</f>
        <v>18000</v>
      </c>
      <c r="H368" cm="1">
        <f t="array" ref="H368">Food_Orders[[#This Row],[Quantity_Orderd]]*_xlfn.XLOOKUP(Food_Orders[[#This Row],[Food_ID]],Food_Catalog[[#All],[Food_ID]],Food_Catalog[[#All],[Client_Price_Per_Unit]],0,0)</f>
        <v>21600</v>
      </c>
      <c r="I368">
        <f>Food_Orders[[#This Row],[Client_Price]]-Food_Orders[[#This Row],[Cost]]</f>
        <v>3600</v>
      </c>
    </row>
    <row r="369" spans="1:9" x14ac:dyDescent="0.25">
      <c r="A369">
        <v>14</v>
      </c>
      <c r="B369" t="s">
        <v>71</v>
      </c>
      <c r="C369" t="s">
        <v>61</v>
      </c>
      <c r="D369" t="s">
        <v>72</v>
      </c>
      <c r="E369" t="s">
        <v>10</v>
      </c>
      <c r="F369" cm="1">
        <f t="array" ref="F369">_xlfn.XLOOKUP(Food_Orders[[#This Row],[Event_No]],Event_Master[[#All],[Event_No]],Event_Master[[#All],[Guest_Count]],,0)</f>
        <v>600</v>
      </c>
      <c r="G369" cm="1">
        <f t="array" ref="G369">Food_Orders[[#This Row],[Quantity_Orderd]]*_xlfn.XLOOKUP(Food_Orders[[#This Row],[Food_ID]],Food_Catalog[[#All],[Food_ID]],Food_Catalog[[#All],[Price_Per_Unit]],0,0)</f>
        <v>15000</v>
      </c>
      <c r="H369" cm="1">
        <f t="array" ref="H369">Food_Orders[[#This Row],[Quantity_Orderd]]*_xlfn.XLOOKUP(Food_Orders[[#This Row],[Food_ID]],Food_Catalog[[#All],[Food_ID]],Food_Catalog[[#All],[Client_Price_Per_Unit]],0,0)</f>
        <v>18000</v>
      </c>
      <c r="I369">
        <f>Food_Orders[[#This Row],[Client_Price]]-Food_Orders[[#This Row],[Cost]]</f>
        <v>3000</v>
      </c>
    </row>
    <row r="370" spans="1:9" x14ac:dyDescent="0.25">
      <c r="A370">
        <v>14</v>
      </c>
      <c r="B370" t="s">
        <v>73</v>
      </c>
      <c r="C370" t="s">
        <v>61</v>
      </c>
      <c r="D370" t="s">
        <v>74</v>
      </c>
      <c r="E370" t="s">
        <v>10</v>
      </c>
      <c r="F370" cm="1">
        <f t="array" ref="F370">_xlfn.XLOOKUP(Food_Orders[[#This Row],[Event_No]],Event_Master[[#All],[Event_No]],Event_Master[[#All],[Guest_Count]],,0)</f>
        <v>600</v>
      </c>
      <c r="G370" cm="1">
        <f t="array" ref="G370">Food_Orders[[#This Row],[Quantity_Orderd]]*_xlfn.XLOOKUP(Food_Orders[[#This Row],[Food_ID]],Food_Catalog[[#All],[Food_ID]],Food_Catalog[[#All],[Price_Per_Unit]],0,0)</f>
        <v>24000</v>
      </c>
      <c r="H370" cm="1">
        <f t="array" ref="H370">Food_Orders[[#This Row],[Quantity_Orderd]]*_xlfn.XLOOKUP(Food_Orders[[#This Row],[Food_ID]],Food_Catalog[[#All],[Food_ID]],Food_Catalog[[#All],[Client_Price_Per_Unit]],0,0)</f>
        <v>28800</v>
      </c>
      <c r="I370">
        <f>Food_Orders[[#This Row],[Client_Price]]-Food_Orders[[#This Row],[Cost]]</f>
        <v>4800</v>
      </c>
    </row>
    <row r="371" spans="1:9" x14ac:dyDescent="0.25">
      <c r="A371">
        <v>14</v>
      </c>
      <c r="B371" t="s">
        <v>75</v>
      </c>
      <c r="C371" t="s">
        <v>61</v>
      </c>
      <c r="D371" t="s">
        <v>76</v>
      </c>
      <c r="E371" t="s">
        <v>10</v>
      </c>
      <c r="F371" cm="1">
        <f t="array" ref="F371">_xlfn.XLOOKUP(Food_Orders[[#This Row],[Event_No]],Event_Master[[#All],[Event_No]],Event_Master[[#All],[Guest_Count]],,0)</f>
        <v>600</v>
      </c>
      <c r="G371" cm="1">
        <f t="array" ref="G371">Food_Orders[[#This Row],[Quantity_Orderd]]*_xlfn.XLOOKUP(Food_Orders[[#This Row],[Food_ID]],Food_Catalog[[#All],[Food_ID]],Food_Catalog[[#All],[Price_Per_Unit]],0,0)</f>
        <v>24000</v>
      </c>
      <c r="H371" cm="1">
        <f t="array" ref="H371">Food_Orders[[#This Row],[Quantity_Orderd]]*_xlfn.XLOOKUP(Food_Orders[[#This Row],[Food_ID]],Food_Catalog[[#All],[Food_ID]],Food_Catalog[[#All],[Client_Price_Per_Unit]],0,0)</f>
        <v>28800</v>
      </c>
      <c r="I371">
        <f>Food_Orders[[#This Row],[Client_Price]]-Food_Orders[[#This Row],[Cost]]</f>
        <v>4800</v>
      </c>
    </row>
    <row r="372" spans="1:9" x14ac:dyDescent="0.25">
      <c r="A372">
        <v>14</v>
      </c>
      <c r="B372" t="s">
        <v>69</v>
      </c>
      <c r="C372" t="s">
        <v>61</v>
      </c>
      <c r="D372" t="s">
        <v>70</v>
      </c>
      <c r="E372" t="s">
        <v>10</v>
      </c>
      <c r="F372" cm="1">
        <f t="array" ref="F372">_xlfn.XLOOKUP(Food_Orders[[#This Row],[Event_No]],Event_Master[[#All],[Event_No]],Event_Master[[#All],[Guest_Count]],,0)</f>
        <v>600</v>
      </c>
      <c r="G372" cm="1">
        <f t="array" ref="G372">Food_Orders[[#This Row],[Quantity_Orderd]]*_xlfn.XLOOKUP(Food_Orders[[#This Row],[Food_ID]],Food_Catalog[[#All],[Food_ID]],Food_Catalog[[#All],[Price_Per_Unit]],0,0)</f>
        <v>30000</v>
      </c>
      <c r="H372" cm="1">
        <f t="array" ref="H372">Food_Orders[[#This Row],[Quantity_Orderd]]*_xlfn.XLOOKUP(Food_Orders[[#This Row],[Food_ID]],Food_Catalog[[#All],[Food_ID]],Food_Catalog[[#All],[Client_Price_Per_Unit]],0,0)</f>
        <v>36000</v>
      </c>
      <c r="I372">
        <f>Food_Orders[[#This Row],[Client_Price]]-Food_Orders[[#This Row],[Cost]]</f>
        <v>6000</v>
      </c>
    </row>
    <row r="373" spans="1:9" x14ac:dyDescent="0.25">
      <c r="A373">
        <v>14</v>
      </c>
      <c r="B373" t="s">
        <v>67</v>
      </c>
      <c r="C373" t="s">
        <v>61</v>
      </c>
      <c r="D373" t="s">
        <v>68</v>
      </c>
      <c r="E373" t="s">
        <v>10</v>
      </c>
      <c r="F373" cm="1">
        <f t="array" ref="F373">_xlfn.XLOOKUP(Food_Orders[[#This Row],[Event_No]],Event_Master[[#All],[Event_No]],Event_Master[[#All],[Guest_Count]],,0)</f>
        <v>600</v>
      </c>
      <c r="G373" cm="1">
        <f t="array" ref="G373">Food_Orders[[#This Row],[Quantity_Orderd]]*_xlfn.XLOOKUP(Food_Orders[[#This Row],[Food_ID]],Food_Catalog[[#All],[Food_ID]],Food_Catalog[[#All],[Price_Per_Unit]],0,0)</f>
        <v>18000</v>
      </c>
      <c r="H373" cm="1">
        <f t="array" ref="H373">Food_Orders[[#This Row],[Quantity_Orderd]]*_xlfn.XLOOKUP(Food_Orders[[#This Row],[Food_ID]],Food_Catalog[[#All],[Food_ID]],Food_Catalog[[#All],[Client_Price_Per_Unit]],0,0)</f>
        <v>21600</v>
      </c>
      <c r="I373">
        <f>Food_Orders[[#This Row],[Client_Price]]-Food_Orders[[#This Row],[Cost]]</f>
        <v>3600</v>
      </c>
    </row>
    <row r="374" spans="1:9" x14ac:dyDescent="0.25">
      <c r="A374">
        <v>14</v>
      </c>
      <c r="B374" t="s">
        <v>7</v>
      </c>
      <c r="C374" t="s">
        <v>8</v>
      </c>
      <c r="D374" t="s">
        <v>9</v>
      </c>
      <c r="E374" t="s">
        <v>10</v>
      </c>
      <c r="F374" cm="1">
        <f t="array" ref="F374">_xlfn.XLOOKUP(Food_Orders[[#This Row],[Event_No]],Event_Master[[#All],[Event_No]],Event_Master[[#All],[Guest_Count]],,0)</f>
        <v>600</v>
      </c>
      <c r="G374" cm="1">
        <f t="array" ref="G374">Food_Orders[[#This Row],[Quantity_Orderd]]*_xlfn.XLOOKUP(Food_Orders[[#This Row],[Food_ID]],Food_Catalog[[#All],[Food_ID]],Food_Catalog[[#All],[Price_Per_Unit]],0,0)</f>
        <v>15000</v>
      </c>
      <c r="H374" cm="1">
        <f t="array" ref="H374">Food_Orders[[#This Row],[Quantity_Orderd]]*_xlfn.XLOOKUP(Food_Orders[[#This Row],[Food_ID]],Food_Catalog[[#All],[Food_ID]],Food_Catalog[[#All],[Client_Price_Per_Unit]],0,0)</f>
        <v>18000</v>
      </c>
      <c r="I374">
        <f>Food_Orders[[#This Row],[Client_Price]]-Food_Orders[[#This Row],[Cost]]</f>
        <v>3000</v>
      </c>
    </row>
    <row r="375" spans="1:9" x14ac:dyDescent="0.25">
      <c r="A375">
        <v>14</v>
      </c>
      <c r="B375" t="s">
        <v>27</v>
      </c>
      <c r="C375" t="s">
        <v>8</v>
      </c>
      <c r="D375" t="s">
        <v>28</v>
      </c>
      <c r="E375" t="s">
        <v>10</v>
      </c>
      <c r="F375" cm="1">
        <f t="array" ref="F375">_xlfn.XLOOKUP(Food_Orders[[#This Row],[Event_No]],Event_Master[[#All],[Event_No]],Event_Master[[#All],[Guest_Count]],,0)</f>
        <v>600</v>
      </c>
      <c r="G375" cm="1">
        <f t="array" ref="G375">Food_Orders[[#This Row],[Quantity_Orderd]]*_xlfn.XLOOKUP(Food_Orders[[#This Row],[Food_ID]],Food_Catalog[[#All],[Food_ID]],Food_Catalog[[#All],[Price_Per_Unit]],0,0)</f>
        <v>24000</v>
      </c>
      <c r="H375" cm="1">
        <f t="array" ref="H375">Food_Orders[[#This Row],[Quantity_Orderd]]*_xlfn.XLOOKUP(Food_Orders[[#This Row],[Food_ID]],Food_Catalog[[#All],[Food_ID]],Food_Catalog[[#All],[Client_Price_Per_Unit]],0,0)</f>
        <v>28800</v>
      </c>
      <c r="I375">
        <f>Food_Orders[[#This Row],[Client_Price]]-Food_Orders[[#This Row],[Cost]]</f>
        <v>4800</v>
      </c>
    </row>
    <row r="376" spans="1:9" x14ac:dyDescent="0.25">
      <c r="A376">
        <v>14</v>
      </c>
      <c r="B376" t="s">
        <v>29</v>
      </c>
      <c r="C376" t="s">
        <v>8</v>
      </c>
      <c r="D376" t="s">
        <v>30</v>
      </c>
      <c r="E376" t="s">
        <v>10</v>
      </c>
      <c r="F376" cm="1">
        <f t="array" ref="F376">_xlfn.XLOOKUP(Food_Orders[[#This Row],[Event_No]],Event_Master[[#All],[Event_No]],Event_Master[[#All],[Guest_Count]],,0)</f>
        <v>600</v>
      </c>
      <c r="G376" cm="1">
        <f t="array" ref="G376">Food_Orders[[#This Row],[Quantity_Orderd]]*_xlfn.XLOOKUP(Food_Orders[[#This Row],[Food_ID]],Food_Catalog[[#All],[Food_ID]],Food_Catalog[[#All],[Price_Per_Unit]],0,0)</f>
        <v>18000</v>
      </c>
      <c r="H376" cm="1">
        <f t="array" ref="H376">Food_Orders[[#This Row],[Quantity_Orderd]]*_xlfn.XLOOKUP(Food_Orders[[#This Row],[Food_ID]],Food_Catalog[[#All],[Food_ID]],Food_Catalog[[#All],[Client_Price_Per_Unit]],0,0)</f>
        <v>21600</v>
      </c>
      <c r="I376">
        <f>Food_Orders[[#This Row],[Client_Price]]-Food_Orders[[#This Row],[Cost]]</f>
        <v>3600</v>
      </c>
    </row>
    <row r="377" spans="1:9" x14ac:dyDescent="0.25">
      <c r="A377">
        <v>14</v>
      </c>
      <c r="B377" t="s">
        <v>37</v>
      </c>
      <c r="C377" t="s">
        <v>8</v>
      </c>
      <c r="D377" t="s">
        <v>38</v>
      </c>
      <c r="E377" t="s">
        <v>10</v>
      </c>
      <c r="F377" cm="1">
        <f t="array" ref="F377">_xlfn.XLOOKUP(Food_Orders[[#This Row],[Event_No]],Event_Master[[#All],[Event_No]],Event_Master[[#All],[Guest_Count]],,0)</f>
        <v>600</v>
      </c>
      <c r="G377" cm="1">
        <f t="array" ref="G377">Food_Orders[[#This Row],[Quantity_Orderd]]*_xlfn.XLOOKUP(Food_Orders[[#This Row],[Food_ID]],Food_Catalog[[#All],[Food_ID]],Food_Catalog[[#All],[Price_Per_Unit]],0,0)</f>
        <v>15000</v>
      </c>
      <c r="H377" cm="1">
        <f t="array" ref="H377">Food_Orders[[#This Row],[Quantity_Orderd]]*_xlfn.XLOOKUP(Food_Orders[[#This Row],[Food_ID]],Food_Catalog[[#All],[Food_ID]],Food_Catalog[[#All],[Client_Price_Per_Unit]],0,0)</f>
        <v>18000</v>
      </c>
      <c r="I377">
        <f>Food_Orders[[#This Row],[Client_Price]]-Food_Orders[[#This Row],[Cost]]</f>
        <v>3000</v>
      </c>
    </row>
    <row r="378" spans="1:9" x14ac:dyDescent="0.25">
      <c r="A378">
        <v>14</v>
      </c>
      <c r="B378" t="s">
        <v>39</v>
      </c>
      <c r="C378" t="s">
        <v>40</v>
      </c>
      <c r="D378" t="s">
        <v>41</v>
      </c>
      <c r="E378" t="s">
        <v>10</v>
      </c>
      <c r="F378" cm="1">
        <f t="array" ref="F378">_xlfn.XLOOKUP(Food_Orders[[#This Row],[Event_No]],Event_Master[[#All],[Event_No]],Event_Master[[#All],[Guest_Count]],,0)</f>
        <v>600</v>
      </c>
      <c r="G378" cm="1">
        <f t="array" ref="G378">Food_Orders[[#This Row],[Quantity_Orderd]]*_xlfn.XLOOKUP(Food_Orders[[#This Row],[Food_ID]],Food_Catalog[[#All],[Food_ID]],Food_Catalog[[#All],[Price_Per_Unit]],0,0)</f>
        <v>36000</v>
      </c>
      <c r="H378" cm="1">
        <f t="array" ref="H378">Food_Orders[[#This Row],[Quantity_Orderd]]*_xlfn.XLOOKUP(Food_Orders[[#This Row],[Food_ID]],Food_Catalog[[#All],[Food_ID]],Food_Catalog[[#All],[Client_Price_Per_Unit]],0,0)</f>
        <v>43200</v>
      </c>
      <c r="I378">
        <f>Food_Orders[[#This Row],[Client_Price]]-Food_Orders[[#This Row],[Cost]]</f>
        <v>7200</v>
      </c>
    </row>
    <row r="379" spans="1:9" x14ac:dyDescent="0.25">
      <c r="A379">
        <v>14</v>
      </c>
      <c r="B379" t="s">
        <v>42</v>
      </c>
      <c r="C379" t="s">
        <v>40</v>
      </c>
      <c r="D379" t="s">
        <v>43</v>
      </c>
      <c r="E379" t="s">
        <v>10</v>
      </c>
      <c r="F379" cm="1">
        <f t="array" ref="F379">_xlfn.XLOOKUP(Food_Orders[[#This Row],[Event_No]],Event_Master[[#All],[Event_No]],Event_Master[[#All],[Guest_Count]],,0)</f>
        <v>600</v>
      </c>
      <c r="G379" cm="1">
        <f t="array" ref="G379">Food_Orders[[#This Row],[Quantity_Orderd]]*_xlfn.XLOOKUP(Food_Orders[[#This Row],[Food_ID]],Food_Catalog[[#All],[Food_ID]],Food_Catalog[[#All],[Price_Per_Unit]],0,0)</f>
        <v>42000</v>
      </c>
      <c r="H379" cm="1">
        <f t="array" ref="H379">Food_Orders[[#This Row],[Quantity_Orderd]]*_xlfn.XLOOKUP(Food_Orders[[#This Row],[Food_ID]],Food_Catalog[[#All],[Food_ID]],Food_Catalog[[#All],[Client_Price_Per_Unit]],0,0)</f>
        <v>50400</v>
      </c>
      <c r="I379">
        <f>Food_Orders[[#This Row],[Client_Price]]-Food_Orders[[#This Row],[Cost]]</f>
        <v>8400</v>
      </c>
    </row>
    <row r="380" spans="1:9" x14ac:dyDescent="0.25">
      <c r="A380">
        <v>14</v>
      </c>
      <c r="B380" t="s">
        <v>58</v>
      </c>
      <c r="C380" t="s">
        <v>40</v>
      </c>
      <c r="D380" t="s">
        <v>59</v>
      </c>
      <c r="E380" t="s">
        <v>10</v>
      </c>
      <c r="F380" cm="1">
        <f t="array" ref="F380">_xlfn.XLOOKUP(Food_Orders[[#This Row],[Event_No]],Event_Master[[#All],[Event_No]],Event_Master[[#All],[Guest_Count]],,0)</f>
        <v>600</v>
      </c>
      <c r="G380" cm="1">
        <f t="array" ref="G380">Food_Orders[[#This Row],[Quantity_Orderd]]*_xlfn.XLOOKUP(Food_Orders[[#This Row],[Food_ID]],Food_Catalog[[#All],[Food_ID]],Food_Catalog[[#All],[Price_Per_Unit]],0,0)</f>
        <v>54000</v>
      </c>
      <c r="H380" cm="1">
        <f t="array" ref="H380">Food_Orders[[#This Row],[Quantity_Orderd]]*_xlfn.XLOOKUP(Food_Orders[[#This Row],[Food_ID]],Food_Catalog[[#All],[Food_ID]],Food_Catalog[[#All],[Client_Price_Per_Unit]],0,0)</f>
        <v>64800</v>
      </c>
      <c r="I380">
        <f>Food_Orders[[#This Row],[Client_Price]]-Food_Orders[[#This Row],[Cost]]</f>
        <v>10800</v>
      </c>
    </row>
    <row r="381" spans="1:9" x14ac:dyDescent="0.25">
      <c r="A381">
        <v>14</v>
      </c>
      <c r="B381" t="s">
        <v>46</v>
      </c>
      <c r="C381" t="s">
        <v>40</v>
      </c>
      <c r="D381" t="s">
        <v>47</v>
      </c>
      <c r="E381" t="s">
        <v>10</v>
      </c>
      <c r="F381" cm="1">
        <f t="array" ref="F381">_xlfn.XLOOKUP(Food_Orders[[#This Row],[Event_No]],Event_Master[[#All],[Event_No]],Event_Master[[#All],[Guest_Count]],,0)</f>
        <v>600</v>
      </c>
      <c r="G381" cm="1">
        <f t="array" ref="G381">Food_Orders[[#This Row],[Quantity_Orderd]]*_xlfn.XLOOKUP(Food_Orders[[#This Row],[Food_ID]],Food_Catalog[[#All],[Food_ID]],Food_Catalog[[#All],[Price_Per_Unit]],0,0)</f>
        <v>54000</v>
      </c>
      <c r="H381" cm="1">
        <f t="array" ref="H381">Food_Orders[[#This Row],[Quantity_Orderd]]*_xlfn.XLOOKUP(Food_Orders[[#This Row],[Food_ID]],Food_Catalog[[#All],[Food_ID]],Food_Catalog[[#All],[Client_Price_Per_Unit]],0,0)</f>
        <v>64800</v>
      </c>
      <c r="I381">
        <f>Food_Orders[[#This Row],[Client_Price]]-Food_Orders[[#This Row],[Cost]]</f>
        <v>10800</v>
      </c>
    </row>
    <row r="382" spans="1:9" x14ac:dyDescent="0.25">
      <c r="A382">
        <v>14</v>
      </c>
      <c r="B382" t="s">
        <v>50</v>
      </c>
      <c r="C382" t="s">
        <v>40</v>
      </c>
      <c r="D382" t="s">
        <v>51</v>
      </c>
      <c r="E382" t="s">
        <v>10</v>
      </c>
      <c r="F382" cm="1">
        <f t="array" ref="F382">_xlfn.XLOOKUP(Food_Orders[[#This Row],[Event_No]],Event_Master[[#All],[Event_No]],Event_Master[[#All],[Guest_Count]],,0)</f>
        <v>600</v>
      </c>
      <c r="G382" cm="1">
        <f t="array" ref="G382">Food_Orders[[#This Row],[Quantity_Orderd]]*_xlfn.XLOOKUP(Food_Orders[[#This Row],[Food_ID]],Food_Catalog[[#All],[Food_ID]],Food_Catalog[[#All],[Price_Per_Unit]],0,0)</f>
        <v>48000</v>
      </c>
      <c r="H382" cm="1">
        <f t="array" ref="H382">Food_Orders[[#This Row],[Quantity_Orderd]]*_xlfn.XLOOKUP(Food_Orders[[#This Row],[Food_ID]],Food_Catalog[[#All],[Food_ID]],Food_Catalog[[#All],[Client_Price_Per_Unit]],0,0)</f>
        <v>57600</v>
      </c>
      <c r="I382">
        <f>Food_Orders[[#This Row],[Client_Price]]-Food_Orders[[#This Row],[Cost]]</f>
        <v>9600</v>
      </c>
    </row>
    <row r="383" spans="1:9" x14ac:dyDescent="0.25">
      <c r="A383">
        <v>14</v>
      </c>
      <c r="B383" t="s">
        <v>82</v>
      </c>
      <c r="C383" t="s">
        <v>83</v>
      </c>
      <c r="D383" t="s">
        <v>84</v>
      </c>
      <c r="E383" t="s">
        <v>85</v>
      </c>
      <c r="F383" cm="1">
        <f t="array" ref="F383">_xlfn.XLOOKUP(Food_Orders[[#This Row],[Event_No]],Event_Master[[#All],[Event_No]],Event_Master[[#All],[Guest_Count]],,0)</f>
        <v>600</v>
      </c>
      <c r="G383" cm="1">
        <f t="array" ref="G383">Food_Orders[[#This Row],[Quantity_Orderd]]*_xlfn.XLOOKUP(Food_Orders[[#This Row],[Food_ID]],Food_Catalog[[#All],[Food_ID]],Food_Catalog[[#All],[Price_Per_Unit]],0,0)</f>
        <v>12000</v>
      </c>
      <c r="H383" cm="1">
        <f t="array" ref="H383">Food_Orders[[#This Row],[Quantity_Orderd]]*_xlfn.XLOOKUP(Food_Orders[[#This Row],[Food_ID]],Food_Catalog[[#All],[Food_ID]],Food_Catalog[[#All],[Client_Price_Per_Unit]],0,0)</f>
        <v>14400</v>
      </c>
      <c r="I383">
        <f>Food_Orders[[#This Row],[Client_Price]]-Food_Orders[[#This Row],[Cost]]</f>
        <v>2400</v>
      </c>
    </row>
    <row r="384" spans="1:9" x14ac:dyDescent="0.25">
      <c r="A384">
        <v>14</v>
      </c>
      <c r="B384" t="s">
        <v>86</v>
      </c>
      <c r="C384" t="s">
        <v>83</v>
      </c>
      <c r="D384" t="s">
        <v>87</v>
      </c>
      <c r="E384" t="s">
        <v>85</v>
      </c>
      <c r="F384" cm="1">
        <f t="array" ref="F384">_xlfn.XLOOKUP(Food_Orders[[#This Row],[Event_No]],Event_Master[[#All],[Event_No]],Event_Master[[#All],[Guest_Count]],,0)</f>
        <v>600</v>
      </c>
      <c r="G384" cm="1">
        <f t="array" ref="G384">Food_Orders[[#This Row],[Quantity_Orderd]]*_xlfn.XLOOKUP(Food_Orders[[#This Row],[Food_ID]],Food_Catalog[[#All],[Food_ID]],Food_Catalog[[#All],[Price_Per_Unit]],0,0)</f>
        <v>12000</v>
      </c>
      <c r="H384" cm="1">
        <f t="array" ref="H384">Food_Orders[[#This Row],[Quantity_Orderd]]*_xlfn.XLOOKUP(Food_Orders[[#This Row],[Food_ID]],Food_Catalog[[#All],[Food_ID]],Food_Catalog[[#All],[Client_Price_Per_Unit]],0,0)</f>
        <v>14400</v>
      </c>
      <c r="I384">
        <f>Food_Orders[[#This Row],[Client_Price]]-Food_Orders[[#This Row],[Cost]]</f>
        <v>2400</v>
      </c>
    </row>
    <row r="385" spans="1:9" x14ac:dyDescent="0.25">
      <c r="A385">
        <v>14</v>
      </c>
      <c r="B385" t="s">
        <v>96</v>
      </c>
      <c r="C385" t="s">
        <v>83</v>
      </c>
      <c r="D385" t="s">
        <v>97</v>
      </c>
      <c r="E385" t="s">
        <v>79</v>
      </c>
      <c r="F385" cm="1">
        <f t="array" ref="F385">_xlfn.XLOOKUP(Food_Orders[[#This Row],[Event_No]],Event_Master[[#All],[Event_No]],Event_Master[[#All],[Guest_Count]],,0)</f>
        <v>600</v>
      </c>
      <c r="G385" cm="1">
        <f t="array" ref="G385">Food_Orders[[#This Row],[Quantity_Orderd]]*_xlfn.XLOOKUP(Food_Orders[[#This Row],[Food_ID]],Food_Catalog[[#All],[Food_ID]],Food_Catalog[[#All],[Price_Per_Unit]],0,0)</f>
        <v>18000</v>
      </c>
      <c r="H385" cm="1">
        <f t="array" ref="H385">Food_Orders[[#This Row],[Quantity_Orderd]]*_xlfn.XLOOKUP(Food_Orders[[#This Row],[Food_ID]],Food_Catalog[[#All],[Food_ID]],Food_Catalog[[#All],[Client_Price_Per_Unit]],0,0)</f>
        <v>21600</v>
      </c>
      <c r="I385">
        <f>Food_Orders[[#This Row],[Client_Price]]-Food_Orders[[#This Row],[Cost]]</f>
        <v>3600</v>
      </c>
    </row>
    <row r="386" spans="1:9" x14ac:dyDescent="0.25">
      <c r="A386">
        <v>14</v>
      </c>
      <c r="B386" t="s">
        <v>88</v>
      </c>
      <c r="C386" t="s">
        <v>83</v>
      </c>
      <c r="D386" t="s">
        <v>89</v>
      </c>
      <c r="E386" t="s">
        <v>85</v>
      </c>
      <c r="F386" cm="1">
        <f t="array" ref="F386">_xlfn.XLOOKUP(Food_Orders[[#This Row],[Event_No]],Event_Master[[#All],[Event_No]],Event_Master[[#All],[Guest_Count]],,0)</f>
        <v>600</v>
      </c>
      <c r="G386" cm="1">
        <f t="array" ref="G386">Food_Orders[[#This Row],[Quantity_Orderd]]*_xlfn.XLOOKUP(Food_Orders[[#This Row],[Food_ID]],Food_Catalog[[#All],[Food_ID]],Food_Catalog[[#All],[Price_Per_Unit]],0,0)</f>
        <v>9000</v>
      </c>
      <c r="H386" cm="1">
        <f t="array" ref="H386">Food_Orders[[#This Row],[Quantity_Orderd]]*_xlfn.XLOOKUP(Food_Orders[[#This Row],[Food_ID]],Food_Catalog[[#All],[Food_ID]],Food_Catalog[[#All],[Client_Price_Per_Unit]],0,0)</f>
        <v>10800</v>
      </c>
      <c r="I386">
        <f>Food_Orders[[#This Row],[Client_Price]]-Food_Orders[[#This Row],[Cost]]</f>
        <v>1800</v>
      </c>
    </row>
    <row r="387" spans="1:9" x14ac:dyDescent="0.25">
      <c r="A387">
        <v>14</v>
      </c>
      <c r="B387" t="s">
        <v>92</v>
      </c>
      <c r="C387" t="s">
        <v>83</v>
      </c>
      <c r="D387" t="s">
        <v>93</v>
      </c>
      <c r="E387" t="s">
        <v>85</v>
      </c>
      <c r="F387" cm="1">
        <f t="array" ref="F387">_xlfn.XLOOKUP(Food_Orders[[#This Row],[Event_No]],Event_Master[[#All],[Event_No]],Event_Master[[#All],[Guest_Count]],,0)</f>
        <v>600</v>
      </c>
      <c r="G387" cm="1">
        <f t="array" ref="G387">Food_Orders[[#This Row],[Quantity_Orderd]]*_xlfn.XLOOKUP(Food_Orders[[#This Row],[Food_ID]],Food_Catalog[[#All],[Food_ID]],Food_Catalog[[#All],[Price_Per_Unit]],0,0)</f>
        <v>9000</v>
      </c>
      <c r="H387" cm="1">
        <f t="array" ref="H387">Food_Orders[[#This Row],[Quantity_Orderd]]*_xlfn.XLOOKUP(Food_Orders[[#This Row],[Food_ID]],Food_Catalog[[#All],[Food_ID]],Food_Catalog[[#All],[Client_Price_Per_Unit]],0,0)</f>
        <v>10800</v>
      </c>
      <c r="I387">
        <f>Food_Orders[[#This Row],[Client_Price]]-Food_Orders[[#This Row],[Cost]]</f>
        <v>1800</v>
      </c>
    </row>
    <row r="388" spans="1:9" x14ac:dyDescent="0.25">
      <c r="A388">
        <v>14</v>
      </c>
      <c r="B388" t="s">
        <v>98</v>
      </c>
      <c r="C388" t="s">
        <v>83</v>
      </c>
      <c r="D388" t="s">
        <v>99</v>
      </c>
      <c r="E388" t="s">
        <v>85</v>
      </c>
      <c r="F388" cm="1">
        <f t="array" ref="F388">_xlfn.XLOOKUP(Food_Orders[[#This Row],[Event_No]],Event_Master[[#All],[Event_No]],Event_Master[[#All],[Guest_Count]],,0)</f>
        <v>600</v>
      </c>
      <c r="G388" cm="1">
        <f t="array" ref="G388">Food_Orders[[#This Row],[Quantity_Orderd]]*_xlfn.XLOOKUP(Food_Orders[[#This Row],[Food_ID]],Food_Catalog[[#All],[Food_ID]],Food_Catalog[[#All],[Price_Per_Unit]],0,0)</f>
        <v>9000</v>
      </c>
      <c r="H388" cm="1">
        <f t="array" ref="H388">Food_Orders[[#This Row],[Quantity_Orderd]]*_xlfn.XLOOKUP(Food_Orders[[#This Row],[Food_ID]],Food_Catalog[[#All],[Food_ID]],Food_Catalog[[#All],[Client_Price_Per_Unit]],0,0)</f>
        <v>10800</v>
      </c>
      <c r="I388">
        <f>Food_Orders[[#This Row],[Client_Price]]-Food_Orders[[#This Row],[Cost]]</f>
        <v>1800</v>
      </c>
    </row>
    <row r="389" spans="1:9" x14ac:dyDescent="0.25">
      <c r="A389">
        <v>14</v>
      </c>
      <c r="B389" t="s">
        <v>100</v>
      </c>
      <c r="C389" t="s">
        <v>83</v>
      </c>
      <c r="D389" t="s">
        <v>101</v>
      </c>
      <c r="E389" t="s">
        <v>79</v>
      </c>
      <c r="F389" cm="1">
        <f t="array" ref="F389">_xlfn.XLOOKUP(Food_Orders[[#This Row],[Event_No]],Event_Master[[#All],[Event_No]],Event_Master[[#All],[Guest_Count]],,0)</f>
        <v>600</v>
      </c>
      <c r="G389" cm="1">
        <f t="array" ref="G389">Food_Orders[[#This Row],[Quantity_Orderd]]*_xlfn.XLOOKUP(Food_Orders[[#This Row],[Food_ID]],Food_Catalog[[#All],[Food_ID]],Food_Catalog[[#All],[Price_Per_Unit]],0,0)</f>
        <v>21000</v>
      </c>
      <c r="H389" cm="1">
        <f t="array" ref="H389">Food_Orders[[#This Row],[Quantity_Orderd]]*_xlfn.XLOOKUP(Food_Orders[[#This Row],[Food_ID]],Food_Catalog[[#All],[Food_ID]],Food_Catalog[[#All],[Client_Price_Per_Unit]],0,0)</f>
        <v>25200</v>
      </c>
      <c r="I389">
        <f>Food_Orders[[#This Row],[Client_Price]]-Food_Orders[[#This Row],[Cost]]</f>
        <v>4200</v>
      </c>
    </row>
    <row r="390" spans="1:9" x14ac:dyDescent="0.25">
      <c r="A390">
        <v>15</v>
      </c>
      <c r="B390" t="s">
        <v>118</v>
      </c>
      <c r="C390" t="s">
        <v>119</v>
      </c>
      <c r="D390" t="s">
        <v>120</v>
      </c>
      <c r="E390" t="s">
        <v>112</v>
      </c>
      <c r="F390" cm="1">
        <f t="array" ref="F390">_xlfn.XLOOKUP(Food_Orders[[#This Row],[Event_No]],Event_Master[[#All],[Event_No]],Event_Master[[#All],[Guest_Count]],,0)</f>
        <v>800</v>
      </c>
      <c r="G390" cm="1">
        <f t="array" ref="G390">Food_Orders[[#This Row],[Quantity_Orderd]]*_xlfn.XLOOKUP(Food_Orders[[#This Row],[Food_ID]],Food_Catalog[[#All],[Food_ID]],Food_Catalog[[#All],[Price_Per_Unit]],0,0)</f>
        <v>8000</v>
      </c>
      <c r="H390" cm="1">
        <f t="array" ref="H390">Food_Orders[[#This Row],[Quantity_Orderd]]*_xlfn.XLOOKUP(Food_Orders[[#This Row],[Food_ID]],Food_Catalog[[#All],[Food_ID]],Food_Catalog[[#All],[Client_Price_Per_Unit]],0,0)</f>
        <v>9600</v>
      </c>
      <c r="I390">
        <f>Food_Orders[[#This Row],[Client_Price]]-Food_Orders[[#This Row],[Cost]]</f>
        <v>1600</v>
      </c>
    </row>
    <row r="391" spans="1:9" x14ac:dyDescent="0.25">
      <c r="A391">
        <v>15</v>
      </c>
      <c r="B391" t="s">
        <v>129</v>
      </c>
      <c r="C391" t="s">
        <v>119</v>
      </c>
      <c r="D391" t="s">
        <v>130</v>
      </c>
      <c r="E391" t="s">
        <v>112</v>
      </c>
      <c r="F391" cm="1">
        <f t="array" ref="F391">_xlfn.XLOOKUP(Food_Orders[[#This Row],[Event_No]],Event_Master[[#All],[Event_No]],Event_Master[[#All],[Guest_Count]],,0)</f>
        <v>800</v>
      </c>
      <c r="G391" cm="1">
        <f t="array" ref="G391">Food_Orders[[#This Row],[Quantity_Orderd]]*_xlfn.XLOOKUP(Food_Orders[[#This Row],[Food_ID]],Food_Catalog[[#All],[Food_ID]],Food_Catalog[[#All],[Price_Per_Unit]],0,0)</f>
        <v>8000</v>
      </c>
      <c r="H391" cm="1">
        <f t="array" ref="H391">Food_Orders[[#This Row],[Quantity_Orderd]]*_xlfn.XLOOKUP(Food_Orders[[#This Row],[Food_ID]],Food_Catalog[[#All],[Food_ID]],Food_Catalog[[#All],[Client_Price_Per_Unit]],0,0)</f>
        <v>9600</v>
      </c>
      <c r="I391">
        <f>Food_Orders[[#This Row],[Client_Price]]-Food_Orders[[#This Row],[Cost]]</f>
        <v>1600</v>
      </c>
    </row>
    <row r="392" spans="1:9" x14ac:dyDescent="0.25">
      <c r="A392">
        <v>15</v>
      </c>
      <c r="B392" t="s">
        <v>104</v>
      </c>
      <c r="C392" t="s">
        <v>105</v>
      </c>
      <c r="D392" t="s">
        <v>106</v>
      </c>
      <c r="E392" t="s">
        <v>107</v>
      </c>
      <c r="F392" cm="1">
        <f t="array" ref="F392">_xlfn.XLOOKUP(Food_Orders[[#This Row],[Event_No]],Event_Master[[#All],[Event_No]],Event_Master[[#All],[Guest_Count]],,0)</f>
        <v>800</v>
      </c>
      <c r="G392" cm="1">
        <f t="array" ref="G392">Food_Orders[[#This Row],[Quantity_Orderd]]*_xlfn.XLOOKUP(Food_Orders[[#This Row],[Food_ID]],Food_Catalog[[#All],[Food_ID]],Food_Catalog[[#All],[Price_Per_Unit]],0,0)</f>
        <v>8000</v>
      </c>
      <c r="H392" cm="1">
        <f t="array" ref="H392">Food_Orders[[#This Row],[Quantity_Orderd]]*_xlfn.XLOOKUP(Food_Orders[[#This Row],[Food_ID]],Food_Catalog[[#All],[Food_ID]],Food_Catalog[[#All],[Client_Price_Per_Unit]],0,0)</f>
        <v>9600</v>
      </c>
      <c r="I392">
        <f>Food_Orders[[#This Row],[Client_Price]]-Food_Orders[[#This Row],[Cost]]</f>
        <v>1600</v>
      </c>
    </row>
    <row r="393" spans="1:9" x14ac:dyDescent="0.25">
      <c r="A393">
        <v>15</v>
      </c>
      <c r="B393" t="s">
        <v>108</v>
      </c>
      <c r="C393" t="s">
        <v>105</v>
      </c>
      <c r="D393" t="s">
        <v>109</v>
      </c>
      <c r="E393" t="s">
        <v>107</v>
      </c>
      <c r="F393" cm="1">
        <f t="array" ref="F393">_xlfn.XLOOKUP(Food_Orders[[#This Row],[Event_No]],Event_Master[[#All],[Event_No]],Event_Master[[#All],[Guest_Count]],,0)</f>
        <v>800</v>
      </c>
      <c r="G393" cm="1">
        <f t="array" ref="G393">Food_Orders[[#This Row],[Quantity_Orderd]]*_xlfn.XLOOKUP(Food_Orders[[#This Row],[Food_ID]],Food_Catalog[[#All],[Food_ID]],Food_Catalog[[#All],[Price_Per_Unit]],0,0)</f>
        <v>12000</v>
      </c>
      <c r="H393" cm="1">
        <f t="array" ref="H393">Food_Orders[[#This Row],[Quantity_Orderd]]*_xlfn.XLOOKUP(Food_Orders[[#This Row],[Food_ID]],Food_Catalog[[#All],[Food_ID]],Food_Catalog[[#All],[Client_Price_Per_Unit]],0,0)</f>
        <v>14400</v>
      </c>
      <c r="I393">
        <f>Food_Orders[[#This Row],[Client_Price]]-Food_Orders[[#This Row],[Cost]]</f>
        <v>2400</v>
      </c>
    </row>
    <row r="394" spans="1:9" x14ac:dyDescent="0.25">
      <c r="A394">
        <v>15</v>
      </c>
      <c r="B394" t="s">
        <v>121</v>
      </c>
      <c r="C394" t="s">
        <v>119</v>
      </c>
      <c r="D394" t="s">
        <v>122</v>
      </c>
      <c r="E394" t="s">
        <v>123</v>
      </c>
      <c r="F394" cm="1">
        <f t="array" ref="F394">_xlfn.XLOOKUP(Food_Orders[[#This Row],[Event_No]],Event_Master[[#All],[Event_No]],Event_Master[[#All],[Guest_Count]],,0)</f>
        <v>800</v>
      </c>
      <c r="G394" cm="1">
        <f t="array" ref="G394">Food_Orders[[#This Row],[Quantity_Orderd]]*_xlfn.XLOOKUP(Food_Orders[[#This Row],[Food_ID]],Food_Catalog[[#All],[Food_ID]],Food_Catalog[[#All],[Price_Per_Unit]],0,0)</f>
        <v>8000</v>
      </c>
      <c r="H394" cm="1">
        <f t="array" ref="H394">Food_Orders[[#This Row],[Quantity_Orderd]]*_xlfn.XLOOKUP(Food_Orders[[#This Row],[Food_ID]],Food_Catalog[[#All],[Food_ID]],Food_Catalog[[#All],[Client_Price_Per_Unit]],0,0)</f>
        <v>9600</v>
      </c>
      <c r="I394">
        <f>Food_Orders[[#This Row],[Client_Price]]-Food_Orders[[#This Row],[Cost]]</f>
        <v>1600</v>
      </c>
    </row>
    <row r="395" spans="1:9" x14ac:dyDescent="0.25">
      <c r="A395">
        <v>15</v>
      </c>
      <c r="B395" t="s">
        <v>124</v>
      </c>
      <c r="C395" t="s">
        <v>119</v>
      </c>
      <c r="D395" t="s">
        <v>125</v>
      </c>
      <c r="E395" t="s">
        <v>126</v>
      </c>
      <c r="F395" cm="1">
        <f t="array" ref="F395">_xlfn.XLOOKUP(Food_Orders[[#This Row],[Event_No]],Event_Master[[#All],[Event_No]],Event_Master[[#All],[Guest_Count]],,0)</f>
        <v>800</v>
      </c>
      <c r="G395" cm="1">
        <f t="array" ref="G395">Food_Orders[[#This Row],[Quantity_Orderd]]*_xlfn.XLOOKUP(Food_Orders[[#This Row],[Food_ID]],Food_Catalog[[#All],[Food_ID]],Food_Catalog[[#All],[Price_Per_Unit]],0,0)</f>
        <v>16000</v>
      </c>
      <c r="H395" cm="1">
        <f t="array" ref="H395">Food_Orders[[#This Row],[Quantity_Orderd]]*_xlfn.XLOOKUP(Food_Orders[[#This Row],[Food_ID]],Food_Catalog[[#All],[Food_ID]],Food_Catalog[[#All],[Client_Price_Per_Unit]],0,0)</f>
        <v>19200</v>
      </c>
      <c r="I395">
        <f>Food_Orders[[#This Row],[Client_Price]]-Food_Orders[[#This Row],[Cost]]</f>
        <v>3200</v>
      </c>
    </row>
    <row r="396" spans="1:9" x14ac:dyDescent="0.25">
      <c r="A396">
        <v>15</v>
      </c>
      <c r="B396" t="s">
        <v>127</v>
      </c>
      <c r="C396" t="s">
        <v>119</v>
      </c>
      <c r="D396" t="s">
        <v>128</v>
      </c>
      <c r="E396" t="s">
        <v>107</v>
      </c>
      <c r="F396" cm="1">
        <f t="array" ref="F396">_xlfn.XLOOKUP(Food_Orders[[#This Row],[Event_No]],Event_Master[[#All],[Event_No]],Event_Master[[#All],[Guest_Count]],,0)</f>
        <v>800</v>
      </c>
      <c r="G396" cm="1">
        <f t="array" ref="G396">Food_Orders[[#This Row],[Quantity_Orderd]]*_xlfn.XLOOKUP(Food_Orders[[#This Row],[Food_ID]],Food_Catalog[[#All],[Food_ID]],Food_Catalog[[#All],[Price_Per_Unit]],0,0)</f>
        <v>16000</v>
      </c>
      <c r="H396" cm="1">
        <f t="array" ref="H396">Food_Orders[[#This Row],[Quantity_Orderd]]*_xlfn.XLOOKUP(Food_Orders[[#This Row],[Food_ID]],Food_Catalog[[#All],[Food_ID]],Food_Catalog[[#All],[Client_Price_Per_Unit]],0,0)</f>
        <v>19200</v>
      </c>
      <c r="I396">
        <f>Food_Orders[[#This Row],[Client_Price]]-Food_Orders[[#This Row],[Cost]]</f>
        <v>3200</v>
      </c>
    </row>
    <row r="397" spans="1:9" x14ac:dyDescent="0.25">
      <c r="A397">
        <v>15</v>
      </c>
      <c r="B397" t="s">
        <v>63</v>
      </c>
      <c r="C397" t="s">
        <v>61</v>
      </c>
      <c r="D397" t="s">
        <v>64</v>
      </c>
      <c r="E397" t="s">
        <v>10</v>
      </c>
      <c r="F397" cm="1">
        <f t="array" ref="F397">_xlfn.XLOOKUP(Food_Orders[[#This Row],[Event_No]],Event_Master[[#All],[Event_No]],Event_Master[[#All],[Guest_Count]],,0)</f>
        <v>800</v>
      </c>
      <c r="G397" cm="1">
        <f t="array" ref="G397">Food_Orders[[#This Row],[Quantity_Orderd]]*_xlfn.XLOOKUP(Food_Orders[[#This Row],[Food_ID]],Food_Catalog[[#All],[Food_ID]],Food_Catalog[[#All],[Price_Per_Unit]],0,0)</f>
        <v>24000</v>
      </c>
      <c r="H397" cm="1">
        <f t="array" ref="H397">Food_Orders[[#This Row],[Quantity_Orderd]]*_xlfn.XLOOKUP(Food_Orders[[#This Row],[Food_ID]],Food_Catalog[[#All],[Food_ID]],Food_Catalog[[#All],[Client_Price_Per_Unit]],0,0)</f>
        <v>28800</v>
      </c>
      <c r="I397">
        <f>Food_Orders[[#This Row],[Client_Price]]-Food_Orders[[#This Row],[Cost]]</f>
        <v>4800</v>
      </c>
    </row>
    <row r="398" spans="1:9" x14ac:dyDescent="0.25">
      <c r="A398">
        <v>15</v>
      </c>
      <c r="B398" t="s">
        <v>71</v>
      </c>
      <c r="C398" t="s">
        <v>61</v>
      </c>
      <c r="D398" t="s">
        <v>72</v>
      </c>
      <c r="E398" t="s">
        <v>10</v>
      </c>
      <c r="F398" cm="1">
        <f t="array" ref="F398">_xlfn.XLOOKUP(Food_Orders[[#This Row],[Event_No]],Event_Master[[#All],[Event_No]],Event_Master[[#All],[Guest_Count]],,0)</f>
        <v>800</v>
      </c>
      <c r="G398" cm="1">
        <f t="array" ref="G398">Food_Orders[[#This Row],[Quantity_Orderd]]*_xlfn.XLOOKUP(Food_Orders[[#This Row],[Food_ID]],Food_Catalog[[#All],[Food_ID]],Food_Catalog[[#All],[Price_Per_Unit]],0,0)</f>
        <v>20000</v>
      </c>
      <c r="H398" cm="1">
        <f t="array" ref="H398">Food_Orders[[#This Row],[Quantity_Orderd]]*_xlfn.XLOOKUP(Food_Orders[[#This Row],[Food_ID]],Food_Catalog[[#All],[Food_ID]],Food_Catalog[[#All],[Client_Price_Per_Unit]],0,0)</f>
        <v>24000</v>
      </c>
      <c r="I398">
        <f>Food_Orders[[#This Row],[Client_Price]]-Food_Orders[[#This Row],[Cost]]</f>
        <v>4000</v>
      </c>
    </row>
    <row r="399" spans="1:9" x14ac:dyDescent="0.25">
      <c r="A399">
        <v>15</v>
      </c>
      <c r="B399" t="s">
        <v>29</v>
      </c>
      <c r="C399" t="s">
        <v>8</v>
      </c>
      <c r="D399" t="s">
        <v>30</v>
      </c>
      <c r="E399" t="s">
        <v>10</v>
      </c>
      <c r="F399" cm="1">
        <f t="array" ref="F399">_xlfn.XLOOKUP(Food_Orders[[#This Row],[Event_No]],Event_Master[[#All],[Event_No]],Event_Master[[#All],[Guest_Count]],,0)</f>
        <v>800</v>
      </c>
      <c r="G399" cm="1">
        <f t="array" ref="G399">Food_Orders[[#This Row],[Quantity_Orderd]]*_xlfn.XLOOKUP(Food_Orders[[#This Row],[Food_ID]],Food_Catalog[[#All],[Food_ID]],Food_Catalog[[#All],[Price_Per_Unit]],0,0)</f>
        <v>24000</v>
      </c>
      <c r="H399" cm="1">
        <f t="array" ref="H399">Food_Orders[[#This Row],[Quantity_Orderd]]*_xlfn.XLOOKUP(Food_Orders[[#This Row],[Food_ID]],Food_Catalog[[#All],[Food_ID]],Food_Catalog[[#All],[Client_Price_Per_Unit]],0,0)</f>
        <v>28800</v>
      </c>
      <c r="I399">
        <f>Food_Orders[[#This Row],[Client_Price]]-Food_Orders[[#This Row],[Cost]]</f>
        <v>4800</v>
      </c>
    </row>
    <row r="400" spans="1:9" x14ac:dyDescent="0.25">
      <c r="A400">
        <v>15</v>
      </c>
      <c r="B400" t="s">
        <v>37</v>
      </c>
      <c r="C400" t="s">
        <v>8</v>
      </c>
      <c r="D400" t="s">
        <v>38</v>
      </c>
      <c r="E400" t="s">
        <v>10</v>
      </c>
      <c r="F400" cm="1">
        <f t="array" ref="F400">_xlfn.XLOOKUP(Food_Orders[[#This Row],[Event_No]],Event_Master[[#All],[Event_No]],Event_Master[[#All],[Guest_Count]],,0)</f>
        <v>800</v>
      </c>
      <c r="G400" cm="1">
        <f t="array" ref="G400">Food_Orders[[#This Row],[Quantity_Orderd]]*_xlfn.XLOOKUP(Food_Orders[[#This Row],[Food_ID]],Food_Catalog[[#All],[Food_ID]],Food_Catalog[[#All],[Price_Per_Unit]],0,0)</f>
        <v>20000</v>
      </c>
      <c r="H400" cm="1">
        <f t="array" ref="H400">Food_Orders[[#This Row],[Quantity_Orderd]]*_xlfn.XLOOKUP(Food_Orders[[#This Row],[Food_ID]],Food_Catalog[[#All],[Food_ID]],Food_Catalog[[#All],[Client_Price_Per_Unit]],0,0)</f>
        <v>24000</v>
      </c>
      <c r="I400">
        <f>Food_Orders[[#This Row],[Client_Price]]-Food_Orders[[#This Row],[Cost]]</f>
        <v>4000</v>
      </c>
    </row>
    <row r="401" spans="1:9" x14ac:dyDescent="0.25">
      <c r="A401">
        <v>15</v>
      </c>
      <c r="B401" t="s">
        <v>92</v>
      </c>
      <c r="C401" t="s">
        <v>83</v>
      </c>
      <c r="D401" t="s">
        <v>93</v>
      </c>
      <c r="E401" t="s">
        <v>85</v>
      </c>
      <c r="F401" cm="1">
        <f t="array" ref="F401">_xlfn.XLOOKUP(Food_Orders[[#This Row],[Event_No]],Event_Master[[#All],[Event_No]],Event_Master[[#All],[Guest_Count]],,0)</f>
        <v>800</v>
      </c>
      <c r="G401" cm="1">
        <f t="array" ref="G401">Food_Orders[[#This Row],[Quantity_Orderd]]*_xlfn.XLOOKUP(Food_Orders[[#This Row],[Food_ID]],Food_Catalog[[#All],[Food_ID]],Food_Catalog[[#All],[Price_Per_Unit]],0,0)</f>
        <v>12000</v>
      </c>
      <c r="H401" cm="1">
        <f t="array" ref="H401">Food_Orders[[#This Row],[Quantity_Orderd]]*_xlfn.XLOOKUP(Food_Orders[[#This Row],[Food_ID]],Food_Catalog[[#All],[Food_ID]],Food_Catalog[[#All],[Client_Price_Per_Unit]],0,0)</f>
        <v>14400</v>
      </c>
      <c r="I401">
        <f>Food_Orders[[#This Row],[Client_Price]]-Food_Orders[[#This Row],[Cost]]</f>
        <v>2400</v>
      </c>
    </row>
    <row r="402" spans="1:9" x14ac:dyDescent="0.25">
      <c r="A402">
        <v>15</v>
      </c>
      <c r="B402" t="s">
        <v>96</v>
      </c>
      <c r="C402" t="s">
        <v>83</v>
      </c>
      <c r="D402" t="s">
        <v>97</v>
      </c>
      <c r="E402" t="s">
        <v>79</v>
      </c>
      <c r="F402" cm="1">
        <f t="array" ref="F402">_xlfn.XLOOKUP(Food_Orders[[#This Row],[Event_No]],Event_Master[[#All],[Event_No]],Event_Master[[#All],[Guest_Count]],,0)</f>
        <v>800</v>
      </c>
      <c r="G402" cm="1">
        <f t="array" ref="G402">Food_Orders[[#This Row],[Quantity_Orderd]]*_xlfn.XLOOKUP(Food_Orders[[#This Row],[Food_ID]],Food_Catalog[[#All],[Food_ID]],Food_Catalog[[#All],[Price_Per_Unit]],0,0)</f>
        <v>24000</v>
      </c>
      <c r="H402" cm="1">
        <f t="array" ref="H402">Food_Orders[[#This Row],[Quantity_Orderd]]*_xlfn.XLOOKUP(Food_Orders[[#This Row],[Food_ID]],Food_Catalog[[#All],[Food_ID]],Food_Catalog[[#All],[Client_Price_Per_Unit]],0,0)</f>
        <v>28800</v>
      </c>
      <c r="I402">
        <f>Food_Orders[[#This Row],[Client_Price]]-Food_Orders[[#This Row],[Cost]]</f>
        <v>4800</v>
      </c>
    </row>
    <row r="403" spans="1:9" x14ac:dyDescent="0.25">
      <c r="A403">
        <v>16</v>
      </c>
      <c r="B403" t="s">
        <v>118</v>
      </c>
      <c r="C403" t="s">
        <v>119</v>
      </c>
      <c r="D403" t="s">
        <v>120</v>
      </c>
      <c r="E403" t="s">
        <v>112</v>
      </c>
      <c r="F403" cm="1">
        <f t="array" ref="F403">_xlfn.XLOOKUP(Food_Orders[[#This Row],[Event_No]],Event_Master[[#All],[Event_No]],Event_Master[[#All],[Guest_Count]],,0)</f>
        <v>700</v>
      </c>
      <c r="G403" cm="1">
        <f t="array" ref="G403">Food_Orders[[#This Row],[Quantity_Orderd]]*_xlfn.XLOOKUP(Food_Orders[[#This Row],[Food_ID]],Food_Catalog[[#All],[Food_ID]],Food_Catalog[[#All],[Price_Per_Unit]],0,0)</f>
        <v>7000</v>
      </c>
      <c r="H403" cm="1">
        <f t="array" ref="H403">Food_Orders[[#This Row],[Quantity_Orderd]]*_xlfn.XLOOKUP(Food_Orders[[#This Row],[Food_ID]],Food_Catalog[[#All],[Food_ID]],Food_Catalog[[#All],[Client_Price_Per_Unit]],0,0)</f>
        <v>8400</v>
      </c>
      <c r="I403">
        <f>Food_Orders[[#This Row],[Client_Price]]-Food_Orders[[#This Row],[Cost]]</f>
        <v>1400</v>
      </c>
    </row>
    <row r="404" spans="1:9" x14ac:dyDescent="0.25">
      <c r="A404">
        <v>16</v>
      </c>
      <c r="B404" t="s">
        <v>129</v>
      </c>
      <c r="C404" t="s">
        <v>119</v>
      </c>
      <c r="D404" t="s">
        <v>130</v>
      </c>
      <c r="E404" t="s">
        <v>112</v>
      </c>
      <c r="F404" cm="1">
        <f t="array" ref="F404">_xlfn.XLOOKUP(Food_Orders[[#This Row],[Event_No]],Event_Master[[#All],[Event_No]],Event_Master[[#All],[Guest_Count]],,0)</f>
        <v>700</v>
      </c>
      <c r="G404" cm="1">
        <f t="array" ref="G404">Food_Orders[[#This Row],[Quantity_Orderd]]*_xlfn.XLOOKUP(Food_Orders[[#This Row],[Food_ID]],Food_Catalog[[#All],[Food_ID]],Food_Catalog[[#All],[Price_Per_Unit]],0,0)</f>
        <v>7000</v>
      </c>
      <c r="H404" cm="1">
        <f t="array" ref="H404">Food_Orders[[#This Row],[Quantity_Orderd]]*_xlfn.XLOOKUP(Food_Orders[[#This Row],[Food_ID]],Food_Catalog[[#All],[Food_ID]],Food_Catalog[[#All],[Client_Price_Per_Unit]],0,0)</f>
        <v>8400</v>
      </c>
      <c r="I404">
        <f>Food_Orders[[#This Row],[Client_Price]]-Food_Orders[[#This Row],[Cost]]</f>
        <v>1400</v>
      </c>
    </row>
    <row r="405" spans="1:9" x14ac:dyDescent="0.25">
      <c r="A405">
        <v>16</v>
      </c>
      <c r="B405" t="s">
        <v>104</v>
      </c>
      <c r="C405" t="s">
        <v>105</v>
      </c>
      <c r="D405" t="s">
        <v>106</v>
      </c>
      <c r="E405" t="s">
        <v>107</v>
      </c>
      <c r="F405" cm="1">
        <f t="array" ref="F405">_xlfn.XLOOKUP(Food_Orders[[#This Row],[Event_No]],Event_Master[[#All],[Event_No]],Event_Master[[#All],[Guest_Count]],,0)</f>
        <v>700</v>
      </c>
      <c r="G405" cm="1">
        <f t="array" ref="G405">Food_Orders[[#This Row],[Quantity_Orderd]]*_xlfn.XLOOKUP(Food_Orders[[#This Row],[Food_ID]],Food_Catalog[[#All],[Food_ID]],Food_Catalog[[#All],[Price_Per_Unit]],0,0)</f>
        <v>7000</v>
      </c>
      <c r="H405" cm="1">
        <f t="array" ref="H405">Food_Orders[[#This Row],[Quantity_Orderd]]*_xlfn.XLOOKUP(Food_Orders[[#This Row],[Food_ID]],Food_Catalog[[#All],[Food_ID]],Food_Catalog[[#All],[Client_Price_Per_Unit]],0,0)</f>
        <v>8400</v>
      </c>
      <c r="I405">
        <f>Food_Orders[[#This Row],[Client_Price]]-Food_Orders[[#This Row],[Cost]]</f>
        <v>1400</v>
      </c>
    </row>
    <row r="406" spans="1:9" x14ac:dyDescent="0.25">
      <c r="A406">
        <v>16</v>
      </c>
      <c r="B406" t="s">
        <v>108</v>
      </c>
      <c r="C406" t="s">
        <v>105</v>
      </c>
      <c r="D406" t="s">
        <v>109</v>
      </c>
      <c r="E406" t="s">
        <v>107</v>
      </c>
      <c r="F406" cm="1">
        <f t="array" ref="F406">_xlfn.XLOOKUP(Food_Orders[[#This Row],[Event_No]],Event_Master[[#All],[Event_No]],Event_Master[[#All],[Guest_Count]],,0)</f>
        <v>700</v>
      </c>
      <c r="G406" cm="1">
        <f t="array" ref="G406">Food_Orders[[#This Row],[Quantity_Orderd]]*_xlfn.XLOOKUP(Food_Orders[[#This Row],[Food_ID]],Food_Catalog[[#All],[Food_ID]],Food_Catalog[[#All],[Price_Per_Unit]],0,0)</f>
        <v>10500</v>
      </c>
      <c r="H406" cm="1">
        <f t="array" ref="H406">Food_Orders[[#This Row],[Quantity_Orderd]]*_xlfn.XLOOKUP(Food_Orders[[#This Row],[Food_ID]],Food_Catalog[[#All],[Food_ID]],Food_Catalog[[#All],[Client_Price_Per_Unit]],0,0)</f>
        <v>12600</v>
      </c>
      <c r="I406">
        <f>Food_Orders[[#This Row],[Client_Price]]-Food_Orders[[#This Row],[Cost]]</f>
        <v>2100</v>
      </c>
    </row>
    <row r="407" spans="1:9" x14ac:dyDescent="0.25">
      <c r="A407">
        <v>16</v>
      </c>
      <c r="B407" t="s">
        <v>121</v>
      </c>
      <c r="C407" t="s">
        <v>119</v>
      </c>
      <c r="D407" t="s">
        <v>122</v>
      </c>
      <c r="E407" t="s">
        <v>123</v>
      </c>
      <c r="F407" cm="1">
        <f t="array" ref="F407">_xlfn.XLOOKUP(Food_Orders[[#This Row],[Event_No]],Event_Master[[#All],[Event_No]],Event_Master[[#All],[Guest_Count]],,0)</f>
        <v>700</v>
      </c>
      <c r="G407" cm="1">
        <f t="array" ref="G407">Food_Orders[[#This Row],[Quantity_Orderd]]*_xlfn.XLOOKUP(Food_Orders[[#This Row],[Food_ID]],Food_Catalog[[#All],[Food_ID]],Food_Catalog[[#All],[Price_Per_Unit]],0,0)</f>
        <v>7000</v>
      </c>
      <c r="H407" cm="1">
        <f t="array" ref="H407">Food_Orders[[#This Row],[Quantity_Orderd]]*_xlfn.XLOOKUP(Food_Orders[[#This Row],[Food_ID]],Food_Catalog[[#All],[Food_ID]],Food_Catalog[[#All],[Client_Price_Per_Unit]],0,0)</f>
        <v>8400</v>
      </c>
      <c r="I407">
        <f>Food_Orders[[#This Row],[Client_Price]]-Food_Orders[[#This Row],[Cost]]</f>
        <v>1400</v>
      </c>
    </row>
    <row r="408" spans="1:9" x14ac:dyDescent="0.25">
      <c r="A408">
        <v>16</v>
      </c>
      <c r="B408" t="s">
        <v>124</v>
      </c>
      <c r="C408" t="s">
        <v>119</v>
      </c>
      <c r="D408" t="s">
        <v>125</v>
      </c>
      <c r="E408" t="s">
        <v>126</v>
      </c>
      <c r="F408" cm="1">
        <f t="array" ref="F408">_xlfn.XLOOKUP(Food_Orders[[#This Row],[Event_No]],Event_Master[[#All],[Event_No]],Event_Master[[#All],[Guest_Count]],,0)</f>
        <v>700</v>
      </c>
      <c r="G408" cm="1">
        <f t="array" ref="G408">Food_Orders[[#This Row],[Quantity_Orderd]]*_xlfn.XLOOKUP(Food_Orders[[#This Row],[Food_ID]],Food_Catalog[[#All],[Food_ID]],Food_Catalog[[#All],[Price_Per_Unit]],0,0)</f>
        <v>14000</v>
      </c>
      <c r="H408" cm="1">
        <f t="array" ref="H408">Food_Orders[[#This Row],[Quantity_Orderd]]*_xlfn.XLOOKUP(Food_Orders[[#This Row],[Food_ID]],Food_Catalog[[#All],[Food_ID]],Food_Catalog[[#All],[Client_Price_Per_Unit]],0,0)</f>
        <v>16800</v>
      </c>
      <c r="I408">
        <f>Food_Orders[[#This Row],[Client_Price]]-Food_Orders[[#This Row],[Cost]]</f>
        <v>2800</v>
      </c>
    </row>
    <row r="409" spans="1:9" x14ac:dyDescent="0.25">
      <c r="A409">
        <v>16</v>
      </c>
      <c r="B409" t="s">
        <v>127</v>
      </c>
      <c r="C409" t="s">
        <v>119</v>
      </c>
      <c r="D409" t="s">
        <v>128</v>
      </c>
      <c r="E409" t="s">
        <v>107</v>
      </c>
      <c r="F409" cm="1">
        <f t="array" ref="F409">_xlfn.XLOOKUP(Food_Orders[[#This Row],[Event_No]],Event_Master[[#All],[Event_No]],Event_Master[[#All],[Guest_Count]],,0)</f>
        <v>700</v>
      </c>
      <c r="G409" cm="1">
        <f t="array" ref="G409">Food_Orders[[#This Row],[Quantity_Orderd]]*_xlfn.XLOOKUP(Food_Orders[[#This Row],[Food_ID]],Food_Catalog[[#All],[Food_ID]],Food_Catalog[[#All],[Price_Per_Unit]],0,0)</f>
        <v>14000</v>
      </c>
      <c r="H409" cm="1">
        <f t="array" ref="H409">Food_Orders[[#This Row],[Quantity_Orderd]]*_xlfn.XLOOKUP(Food_Orders[[#This Row],[Food_ID]],Food_Catalog[[#All],[Food_ID]],Food_Catalog[[#All],[Client_Price_Per_Unit]],0,0)</f>
        <v>16800</v>
      </c>
      <c r="I409">
        <f>Food_Orders[[#This Row],[Client_Price]]-Food_Orders[[#This Row],[Cost]]</f>
        <v>2800</v>
      </c>
    </row>
    <row r="410" spans="1:9" x14ac:dyDescent="0.25">
      <c r="A410">
        <v>16</v>
      </c>
      <c r="B410" t="s">
        <v>63</v>
      </c>
      <c r="C410" t="s">
        <v>61</v>
      </c>
      <c r="D410" t="s">
        <v>64</v>
      </c>
      <c r="E410" t="s">
        <v>10</v>
      </c>
      <c r="F410" cm="1">
        <f t="array" ref="F410">_xlfn.XLOOKUP(Food_Orders[[#This Row],[Event_No]],Event_Master[[#All],[Event_No]],Event_Master[[#All],[Guest_Count]],,0)</f>
        <v>700</v>
      </c>
      <c r="G410" cm="1">
        <f t="array" ref="G410">Food_Orders[[#This Row],[Quantity_Orderd]]*_xlfn.XLOOKUP(Food_Orders[[#This Row],[Food_ID]],Food_Catalog[[#All],[Food_ID]],Food_Catalog[[#All],[Price_Per_Unit]],0,0)</f>
        <v>21000</v>
      </c>
      <c r="H410" cm="1">
        <f t="array" ref="H410">Food_Orders[[#This Row],[Quantity_Orderd]]*_xlfn.XLOOKUP(Food_Orders[[#This Row],[Food_ID]],Food_Catalog[[#All],[Food_ID]],Food_Catalog[[#All],[Client_Price_Per_Unit]],0,0)</f>
        <v>25200</v>
      </c>
      <c r="I410">
        <f>Food_Orders[[#This Row],[Client_Price]]-Food_Orders[[#This Row],[Cost]]</f>
        <v>4200</v>
      </c>
    </row>
    <row r="411" spans="1:9" x14ac:dyDescent="0.25">
      <c r="A411">
        <v>16</v>
      </c>
      <c r="B411" t="s">
        <v>71</v>
      </c>
      <c r="C411" t="s">
        <v>61</v>
      </c>
      <c r="D411" t="s">
        <v>72</v>
      </c>
      <c r="E411" t="s">
        <v>10</v>
      </c>
      <c r="F411" cm="1">
        <f t="array" ref="F411">_xlfn.XLOOKUP(Food_Orders[[#This Row],[Event_No]],Event_Master[[#All],[Event_No]],Event_Master[[#All],[Guest_Count]],,0)</f>
        <v>700</v>
      </c>
      <c r="G411" cm="1">
        <f t="array" ref="G411">Food_Orders[[#This Row],[Quantity_Orderd]]*_xlfn.XLOOKUP(Food_Orders[[#This Row],[Food_ID]],Food_Catalog[[#All],[Food_ID]],Food_Catalog[[#All],[Price_Per_Unit]],0,0)</f>
        <v>17500</v>
      </c>
      <c r="H411" cm="1">
        <f t="array" ref="H411">Food_Orders[[#This Row],[Quantity_Orderd]]*_xlfn.XLOOKUP(Food_Orders[[#This Row],[Food_ID]],Food_Catalog[[#All],[Food_ID]],Food_Catalog[[#All],[Client_Price_Per_Unit]],0,0)</f>
        <v>21000</v>
      </c>
      <c r="I411">
        <f>Food_Orders[[#This Row],[Client_Price]]-Food_Orders[[#This Row],[Cost]]</f>
        <v>3500</v>
      </c>
    </row>
    <row r="412" spans="1:9" x14ac:dyDescent="0.25">
      <c r="A412">
        <v>16</v>
      </c>
      <c r="B412" t="s">
        <v>29</v>
      </c>
      <c r="C412" t="s">
        <v>8</v>
      </c>
      <c r="D412" t="s">
        <v>30</v>
      </c>
      <c r="E412" t="s">
        <v>10</v>
      </c>
      <c r="F412" cm="1">
        <f t="array" ref="F412">_xlfn.XLOOKUP(Food_Orders[[#This Row],[Event_No]],Event_Master[[#All],[Event_No]],Event_Master[[#All],[Guest_Count]],,0)</f>
        <v>700</v>
      </c>
      <c r="G412" cm="1">
        <f t="array" ref="G412">Food_Orders[[#This Row],[Quantity_Orderd]]*_xlfn.XLOOKUP(Food_Orders[[#This Row],[Food_ID]],Food_Catalog[[#All],[Food_ID]],Food_Catalog[[#All],[Price_Per_Unit]],0,0)</f>
        <v>21000</v>
      </c>
      <c r="H412" cm="1">
        <f t="array" ref="H412">Food_Orders[[#This Row],[Quantity_Orderd]]*_xlfn.XLOOKUP(Food_Orders[[#This Row],[Food_ID]],Food_Catalog[[#All],[Food_ID]],Food_Catalog[[#All],[Client_Price_Per_Unit]],0,0)</f>
        <v>25200</v>
      </c>
      <c r="I412">
        <f>Food_Orders[[#This Row],[Client_Price]]-Food_Orders[[#This Row],[Cost]]</f>
        <v>4200</v>
      </c>
    </row>
    <row r="413" spans="1:9" x14ac:dyDescent="0.25">
      <c r="A413">
        <v>16</v>
      </c>
      <c r="B413" t="s">
        <v>37</v>
      </c>
      <c r="C413" t="s">
        <v>8</v>
      </c>
      <c r="D413" t="s">
        <v>38</v>
      </c>
      <c r="E413" t="s">
        <v>10</v>
      </c>
      <c r="F413" cm="1">
        <f t="array" ref="F413">_xlfn.XLOOKUP(Food_Orders[[#This Row],[Event_No]],Event_Master[[#All],[Event_No]],Event_Master[[#All],[Guest_Count]],,0)</f>
        <v>700</v>
      </c>
      <c r="G413" cm="1">
        <f t="array" ref="G413">Food_Orders[[#This Row],[Quantity_Orderd]]*_xlfn.XLOOKUP(Food_Orders[[#This Row],[Food_ID]],Food_Catalog[[#All],[Food_ID]],Food_Catalog[[#All],[Price_Per_Unit]],0,0)</f>
        <v>17500</v>
      </c>
      <c r="H413" cm="1">
        <f t="array" ref="H413">Food_Orders[[#This Row],[Quantity_Orderd]]*_xlfn.XLOOKUP(Food_Orders[[#This Row],[Food_ID]],Food_Catalog[[#All],[Food_ID]],Food_Catalog[[#All],[Client_Price_Per_Unit]],0,0)</f>
        <v>21000</v>
      </c>
      <c r="I413">
        <f>Food_Orders[[#This Row],[Client_Price]]-Food_Orders[[#This Row],[Cost]]</f>
        <v>3500</v>
      </c>
    </row>
    <row r="414" spans="1:9" x14ac:dyDescent="0.25">
      <c r="A414">
        <v>16</v>
      </c>
      <c r="B414" t="s">
        <v>92</v>
      </c>
      <c r="C414" t="s">
        <v>83</v>
      </c>
      <c r="D414" t="s">
        <v>93</v>
      </c>
      <c r="E414" t="s">
        <v>85</v>
      </c>
      <c r="F414" cm="1">
        <f t="array" ref="F414">_xlfn.XLOOKUP(Food_Orders[[#This Row],[Event_No]],Event_Master[[#All],[Event_No]],Event_Master[[#All],[Guest_Count]],,0)</f>
        <v>700</v>
      </c>
      <c r="G414" cm="1">
        <f t="array" ref="G414">Food_Orders[[#This Row],[Quantity_Orderd]]*_xlfn.XLOOKUP(Food_Orders[[#This Row],[Food_ID]],Food_Catalog[[#All],[Food_ID]],Food_Catalog[[#All],[Price_Per_Unit]],0,0)</f>
        <v>10500</v>
      </c>
      <c r="H414" cm="1">
        <f t="array" ref="H414">Food_Orders[[#This Row],[Quantity_Orderd]]*_xlfn.XLOOKUP(Food_Orders[[#This Row],[Food_ID]],Food_Catalog[[#All],[Food_ID]],Food_Catalog[[#All],[Client_Price_Per_Unit]],0,0)</f>
        <v>12600</v>
      </c>
      <c r="I414">
        <f>Food_Orders[[#This Row],[Client_Price]]-Food_Orders[[#This Row],[Cost]]</f>
        <v>2100</v>
      </c>
    </row>
    <row r="415" spans="1:9" x14ac:dyDescent="0.25">
      <c r="A415">
        <v>16</v>
      </c>
      <c r="B415" t="s">
        <v>96</v>
      </c>
      <c r="C415" t="s">
        <v>83</v>
      </c>
      <c r="D415" t="s">
        <v>97</v>
      </c>
      <c r="E415" t="s">
        <v>79</v>
      </c>
      <c r="F415" cm="1">
        <f t="array" ref="F415">_xlfn.XLOOKUP(Food_Orders[[#This Row],[Event_No]],Event_Master[[#All],[Event_No]],Event_Master[[#All],[Guest_Count]],,0)</f>
        <v>700</v>
      </c>
      <c r="G415" cm="1">
        <f t="array" ref="G415">Food_Orders[[#This Row],[Quantity_Orderd]]*_xlfn.XLOOKUP(Food_Orders[[#This Row],[Food_ID]],Food_Catalog[[#All],[Food_ID]],Food_Catalog[[#All],[Price_Per_Unit]],0,0)</f>
        <v>21000</v>
      </c>
      <c r="H415" cm="1">
        <f t="array" ref="H415">Food_Orders[[#This Row],[Quantity_Orderd]]*_xlfn.XLOOKUP(Food_Orders[[#This Row],[Food_ID]],Food_Catalog[[#All],[Food_ID]],Food_Catalog[[#All],[Client_Price_Per_Unit]],0,0)</f>
        <v>25200</v>
      </c>
      <c r="I415">
        <f>Food_Orders[[#This Row],[Client_Price]]-Food_Orders[[#This Row],[Cost]]</f>
        <v>4200</v>
      </c>
    </row>
    <row r="416" spans="1:9" x14ac:dyDescent="0.25">
      <c r="A416">
        <v>17</v>
      </c>
      <c r="B416" t="s">
        <v>118</v>
      </c>
      <c r="C416" t="s">
        <v>119</v>
      </c>
      <c r="D416" t="s">
        <v>120</v>
      </c>
      <c r="E416" t="s">
        <v>112</v>
      </c>
      <c r="F416" cm="1">
        <f t="array" ref="F416">_xlfn.XLOOKUP(Food_Orders[[#This Row],[Event_No]],Event_Master[[#All],[Event_No]],Event_Master[[#All],[Guest_Count]],,0)</f>
        <v>650</v>
      </c>
      <c r="G416" cm="1">
        <f t="array" ref="G416">Food_Orders[[#This Row],[Quantity_Orderd]]*_xlfn.XLOOKUP(Food_Orders[[#This Row],[Food_ID]],Food_Catalog[[#All],[Food_ID]],Food_Catalog[[#All],[Price_Per_Unit]],0,0)</f>
        <v>6500</v>
      </c>
      <c r="H416" cm="1">
        <f t="array" ref="H416">Food_Orders[[#This Row],[Quantity_Orderd]]*_xlfn.XLOOKUP(Food_Orders[[#This Row],[Food_ID]],Food_Catalog[[#All],[Food_ID]],Food_Catalog[[#All],[Client_Price_Per_Unit]],0,0)</f>
        <v>7800</v>
      </c>
      <c r="I416">
        <f>Food_Orders[[#This Row],[Client_Price]]-Food_Orders[[#This Row],[Cost]]</f>
        <v>1300</v>
      </c>
    </row>
    <row r="417" spans="1:9" x14ac:dyDescent="0.25">
      <c r="A417">
        <v>17</v>
      </c>
      <c r="B417" t="s">
        <v>129</v>
      </c>
      <c r="C417" t="s">
        <v>119</v>
      </c>
      <c r="D417" t="s">
        <v>130</v>
      </c>
      <c r="E417" t="s">
        <v>112</v>
      </c>
      <c r="F417" cm="1">
        <f t="array" ref="F417">_xlfn.XLOOKUP(Food_Orders[[#This Row],[Event_No]],Event_Master[[#All],[Event_No]],Event_Master[[#All],[Guest_Count]],,0)</f>
        <v>650</v>
      </c>
      <c r="G417" cm="1">
        <f t="array" ref="G417">Food_Orders[[#This Row],[Quantity_Orderd]]*_xlfn.XLOOKUP(Food_Orders[[#This Row],[Food_ID]],Food_Catalog[[#All],[Food_ID]],Food_Catalog[[#All],[Price_Per_Unit]],0,0)</f>
        <v>6500</v>
      </c>
      <c r="H417" cm="1">
        <f t="array" ref="H417">Food_Orders[[#This Row],[Quantity_Orderd]]*_xlfn.XLOOKUP(Food_Orders[[#This Row],[Food_ID]],Food_Catalog[[#All],[Food_ID]],Food_Catalog[[#All],[Client_Price_Per_Unit]],0,0)</f>
        <v>7800</v>
      </c>
      <c r="I417">
        <f>Food_Orders[[#This Row],[Client_Price]]-Food_Orders[[#This Row],[Cost]]</f>
        <v>1300</v>
      </c>
    </row>
    <row r="418" spans="1:9" x14ac:dyDescent="0.25">
      <c r="A418">
        <v>17</v>
      </c>
      <c r="B418" t="s">
        <v>104</v>
      </c>
      <c r="C418" t="s">
        <v>105</v>
      </c>
      <c r="D418" t="s">
        <v>106</v>
      </c>
      <c r="E418" t="s">
        <v>107</v>
      </c>
      <c r="F418" cm="1">
        <f t="array" ref="F418">_xlfn.XLOOKUP(Food_Orders[[#This Row],[Event_No]],Event_Master[[#All],[Event_No]],Event_Master[[#All],[Guest_Count]],,0)</f>
        <v>650</v>
      </c>
      <c r="G418" cm="1">
        <f t="array" ref="G418">Food_Orders[[#This Row],[Quantity_Orderd]]*_xlfn.XLOOKUP(Food_Orders[[#This Row],[Food_ID]],Food_Catalog[[#All],[Food_ID]],Food_Catalog[[#All],[Price_Per_Unit]],0,0)</f>
        <v>6500</v>
      </c>
      <c r="H418" cm="1">
        <f t="array" ref="H418">Food_Orders[[#This Row],[Quantity_Orderd]]*_xlfn.XLOOKUP(Food_Orders[[#This Row],[Food_ID]],Food_Catalog[[#All],[Food_ID]],Food_Catalog[[#All],[Client_Price_Per_Unit]],0,0)</f>
        <v>7800</v>
      </c>
      <c r="I418">
        <f>Food_Orders[[#This Row],[Client_Price]]-Food_Orders[[#This Row],[Cost]]</f>
        <v>1300</v>
      </c>
    </row>
    <row r="419" spans="1:9" x14ac:dyDescent="0.25">
      <c r="A419">
        <v>17</v>
      </c>
      <c r="B419" t="s">
        <v>108</v>
      </c>
      <c r="C419" t="s">
        <v>105</v>
      </c>
      <c r="D419" t="s">
        <v>109</v>
      </c>
      <c r="E419" t="s">
        <v>107</v>
      </c>
      <c r="F419" cm="1">
        <f t="array" ref="F419">_xlfn.XLOOKUP(Food_Orders[[#This Row],[Event_No]],Event_Master[[#All],[Event_No]],Event_Master[[#All],[Guest_Count]],,0)</f>
        <v>650</v>
      </c>
      <c r="G419" cm="1">
        <f t="array" ref="G419">Food_Orders[[#This Row],[Quantity_Orderd]]*_xlfn.XLOOKUP(Food_Orders[[#This Row],[Food_ID]],Food_Catalog[[#All],[Food_ID]],Food_Catalog[[#All],[Price_Per_Unit]],0,0)</f>
        <v>9750</v>
      </c>
      <c r="H419" cm="1">
        <f t="array" ref="H419">Food_Orders[[#This Row],[Quantity_Orderd]]*_xlfn.XLOOKUP(Food_Orders[[#This Row],[Food_ID]],Food_Catalog[[#All],[Food_ID]],Food_Catalog[[#All],[Client_Price_Per_Unit]],0,0)</f>
        <v>11700</v>
      </c>
      <c r="I419">
        <f>Food_Orders[[#This Row],[Client_Price]]-Food_Orders[[#This Row],[Cost]]</f>
        <v>1950</v>
      </c>
    </row>
    <row r="420" spans="1:9" x14ac:dyDescent="0.25">
      <c r="A420">
        <v>17</v>
      </c>
      <c r="B420" t="s">
        <v>121</v>
      </c>
      <c r="C420" t="s">
        <v>119</v>
      </c>
      <c r="D420" t="s">
        <v>122</v>
      </c>
      <c r="E420" t="s">
        <v>123</v>
      </c>
      <c r="F420" cm="1">
        <f t="array" ref="F420">_xlfn.XLOOKUP(Food_Orders[[#This Row],[Event_No]],Event_Master[[#All],[Event_No]],Event_Master[[#All],[Guest_Count]],,0)</f>
        <v>650</v>
      </c>
      <c r="G420" cm="1">
        <f t="array" ref="G420">Food_Orders[[#This Row],[Quantity_Orderd]]*_xlfn.XLOOKUP(Food_Orders[[#This Row],[Food_ID]],Food_Catalog[[#All],[Food_ID]],Food_Catalog[[#All],[Price_Per_Unit]],0,0)</f>
        <v>6500</v>
      </c>
      <c r="H420" cm="1">
        <f t="array" ref="H420">Food_Orders[[#This Row],[Quantity_Orderd]]*_xlfn.XLOOKUP(Food_Orders[[#This Row],[Food_ID]],Food_Catalog[[#All],[Food_ID]],Food_Catalog[[#All],[Client_Price_Per_Unit]],0,0)</f>
        <v>7800</v>
      </c>
      <c r="I420">
        <f>Food_Orders[[#This Row],[Client_Price]]-Food_Orders[[#This Row],[Cost]]</f>
        <v>1300</v>
      </c>
    </row>
    <row r="421" spans="1:9" x14ac:dyDescent="0.25">
      <c r="A421">
        <v>17</v>
      </c>
      <c r="B421" t="s">
        <v>124</v>
      </c>
      <c r="C421" t="s">
        <v>119</v>
      </c>
      <c r="D421" t="s">
        <v>125</v>
      </c>
      <c r="E421" t="s">
        <v>126</v>
      </c>
      <c r="F421" cm="1">
        <f t="array" ref="F421">_xlfn.XLOOKUP(Food_Orders[[#This Row],[Event_No]],Event_Master[[#All],[Event_No]],Event_Master[[#All],[Guest_Count]],,0)</f>
        <v>650</v>
      </c>
      <c r="G421" cm="1">
        <f t="array" ref="G421">Food_Orders[[#This Row],[Quantity_Orderd]]*_xlfn.XLOOKUP(Food_Orders[[#This Row],[Food_ID]],Food_Catalog[[#All],[Food_ID]],Food_Catalog[[#All],[Price_Per_Unit]],0,0)</f>
        <v>13000</v>
      </c>
      <c r="H421" cm="1">
        <f t="array" ref="H421">Food_Orders[[#This Row],[Quantity_Orderd]]*_xlfn.XLOOKUP(Food_Orders[[#This Row],[Food_ID]],Food_Catalog[[#All],[Food_ID]],Food_Catalog[[#All],[Client_Price_Per_Unit]],0,0)</f>
        <v>15600</v>
      </c>
      <c r="I421">
        <f>Food_Orders[[#This Row],[Client_Price]]-Food_Orders[[#This Row],[Cost]]</f>
        <v>2600</v>
      </c>
    </row>
    <row r="422" spans="1:9" x14ac:dyDescent="0.25">
      <c r="A422">
        <v>17</v>
      </c>
      <c r="B422" t="s">
        <v>127</v>
      </c>
      <c r="C422" t="s">
        <v>119</v>
      </c>
      <c r="D422" t="s">
        <v>128</v>
      </c>
      <c r="E422" t="s">
        <v>107</v>
      </c>
      <c r="F422" cm="1">
        <f t="array" ref="F422">_xlfn.XLOOKUP(Food_Orders[[#This Row],[Event_No]],Event_Master[[#All],[Event_No]],Event_Master[[#All],[Guest_Count]],,0)</f>
        <v>650</v>
      </c>
      <c r="G422" cm="1">
        <f t="array" ref="G422">Food_Orders[[#This Row],[Quantity_Orderd]]*_xlfn.XLOOKUP(Food_Orders[[#This Row],[Food_ID]],Food_Catalog[[#All],[Food_ID]],Food_Catalog[[#All],[Price_Per_Unit]],0,0)</f>
        <v>13000</v>
      </c>
      <c r="H422" cm="1">
        <f t="array" ref="H422">Food_Orders[[#This Row],[Quantity_Orderd]]*_xlfn.XLOOKUP(Food_Orders[[#This Row],[Food_ID]],Food_Catalog[[#All],[Food_ID]],Food_Catalog[[#All],[Client_Price_Per_Unit]],0,0)</f>
        <v>15600</v>
      </c>
      <c r="I422">
        <f>Food_Orders[[#This Row],[Client_Price]]-Food_Orders[[#This Row],[Cost]]</f>
        <v>2600</v>
      </c>
    </row>
    <row r="423" spans="1:9" x14ac:dyDescent="0.25">
      <c r="A423">
        <v>17</v>
      </c>
      <c r="B423" t="s">
        <v>63</v>
      </c>
      <c r="C423" t="s">
        <v>61</v>
      </c>
      <c r="D423" t="s">
        <v>64</v>
      </c>
      <c r="E423" t="s">
        <v>10</v>
      </c>
      <c r="F423" cm="1">
        <f t="array" ref="F423">_xlfn.XLOOKUP(Food_Orders[[#This Row],[Event_No]],Event_Master[[#All],[Event_No]],Event_Master[[#All],[Guest_Count]],,0)</f>
        <v>650</v>
      </c>
      <c r="G423" cm="1">
        <f t="array" ref="G423">Food_Orders[[#This Row],[Quantity_Orderd]]*_xlfn.XLOOKUP(Food_Orders[[#This Row],[Food_ID]],Food_Catalog[[#All],[Food_ID]],Food_Catalog[[#All],[Price_Per_Unit]],0,0)</f>
        <v>19500</v>
      </c>
      <c r="H423" cm="1">
        <f t="array" ref="H423">Food_Orders[[#This Row],[Quantity_Orderd]]*_xlfn.XLOOKUP(Food_Orders[[#This Row],[Food_ID]],Food_Catalog[[#All],[Food_ID]],Food_Catalog[[#All],[Client_Price_Per_Unit]],0,0)</f>
        <v>23400</v>
      </c>
      <c r="I423">
        <f>Food_Orders[[#This Row],[Client_Price]]-Food_Orders[[#This Row],[Cost]]</f>
        <v>3900</v>
      </c>
    </row>
    <row r="424" spans="1:9" x14ac:dyDescent="0.25">
      <c r="A424">
        <v>17</v>
      </c>
      <c r="B424" t="s">
        <v>71</v>
      </c>
      <c r="C424" t="s">
        <v>61</v>
      </c>
      <c r="D424" t="s">
        <v>72</v>
      </c>
      <c r="E424" t="s">
        <v>10</v>
      </c>
      <c r="F424" cm="1">
        <f t="array" ref="F424">_xlfn.XLOOKUP(Food_Orders[[#This Row],[Event_No]],Event_Master[[#All],[Event_No]],Event_Master[[#All],[Guest_Count]],,0)</f>
        <v>650</v>
      </c>
      <c r="G424" cm="1">
        <f t="array" ref="G424">Food_Orders[[#This Row],[Quantity_Orderd]]*_xlfn.XLOOKUP(Food_Orders[[#This Row],[Food_ID]],Food_Catalog[[#All],[Food_ID]],Food_Catalog[[#All],[Price_Per_Unit]],0,0)</f>
        <v>16250</v>
      </c>
      <c r="H424" cm="1">
        <f t="array" ref="H424">Food_Orders[[#This Row],[Quantity_Orderd]]*_xlfn.XLOOKUP(Food_Orders[[#This Row],[Food_ID]],Food_Catalog[[#All],[Food_ID]],Food_Catalog[[#All],[Client_Price_Per_Unit]],0,0)</f>
        <v>19500</v>
      </c>
      <c r="I424">
        <f>Food_Orders[[#This Row],[Client_Price]]-Food_Orders[[#This Row],[Cost]]</f>
        <v>3250</v>
      </c>
    </row>
    <row r="425" spans="1:9" x14ac:dyDescent="0.25">
      <c r="A425">
        <v>17</v>
      </c>
      <c r="B425" t="s">
        <v>29</v>
      </c>
      <c r="C425" t="s">
        <v>8</v>
      </c>
      <c r="D425" t="s">
        <v>30</v>
      </c>
      <c r="E425" t="s">
        <v>10</v>
      </c>
      <c r="F425" cm="1">
        <f t="array" ref="F425">_xlfn.XLOOKUP(Food_Orders[[#This Row],[Event_No]],Event_Master[[#All],[Event_No]],Event_Master[[#All],[Guest_Count]],,0)</f>
        <v>650</v>
      </c>
      <c r="G425" cm="1">
        <f t="array" ref="G425">Food_Orders[[#This Row],[Quantity_Orderd]]*_xlfn.XLOOKUP(Food_Orders[[#This Row],[Food_ID]],Food_Catalog[[#All],[Food_ID]],Food_Catalog[[#All],[Price_Per_Unit]],0,0)</f>
        <v>19500</v>
      </c>
      <c r="H425" cm="1">
        <f t="array" ref="H425">Food_Orders[[#This Row],[Quantity_Orderd]]*_xlfn.XLOOKUP(Food_Orders[[#This Row],[Food_ID]],Food_Catalog[[#All],[Food_ID]],Food_Catalog[[#All],[Client_Price_Per_Unit]],0,0)</f>
        <v>23400</v>
      </c>
      <c r="I425">
        <f>Food_Orders[[#This Row],[Client_Price]]-Food_Orders[[#This Row],[Cost]]</f>
        <v>3900</v>
      </c>
    </row>
    <row r="426" spans="1:9" x14ac:dyDescent="0.25">
      <c r="A426">
        <v>17</v>
      </c>
      <c r="B426" t="s">
        <v>37</v>
      </c>
      <c r="C426" t="s">
        <v>8</v>
      </c>
      <c r="D426" t="s">
        <v>38</v>
      </c>
      <c r="E426" t="s">
        <v>10</v>
      </c>
      <c r="F426" cm="1">
        <f t="array" ref="F426">_xlfn.XLOOKUP(Food_Orders[[#This Row],[Event_No]],Event_Master[[#All],[Event_No]],Event_Master[[#All],[Guest_Count]],,0)</f>
        <v>650</v>
      </c>
      <c r="G426" cm="1">
        <f t="array" ref="G426">Food_Orders[[#This Row],[Quantity_Orderd]]*_xlfn.XLOOKUP(Food_Orders[[#This Row],[Food_ID]],Food_Catalog[[#All],[Food_ID]],Food_Catalog[[#All],[Price_Per_Unit]],0,0)</f>
        <v>16250</v>
      </c>
      <c r="H426" cm="1">
        <f t="array" ref="H426">Food_Orders[[#This Row],[Quantity_Orderd]]*_xlfn.XLOOKUP(Food_Orders[[#This Row],[Food_ID]],Food_Catalog[[#All],[Food_ID]],Food_Catalog[[#All],[Client_Price_Per_Unit]],0,0)</f>
        <v>19500</v>
      </c>
      <c r="I426">
        <f>Food_Orders[[#This Row],[Client_Price]]-Food_Orders[[#This Row],[Cost]]</f>
        <v>3250</v>
      </c>
    </row>
    <row r="427" spans="1:9" x14ac:dyDescent="0.25">
      <c r="A427">
        <v>17</v>
      </c>
      <c r="B427" t="s">
        <v>92</v>
      </c>
      <c r="C427" t="s">
        <v>83</v>
      </c>
      <c r="D427" t="s">
        <v>93</v>
      </c>
      <c r="E427" t="s">
        <v>85</v>
      </c>
      <c r="F427" cm="1">
        <f t="array" ref="F427">_xlfn.XLOOKUP(Food_Orders[[#This Row],[Event_No]],Event_Master[[#All],[Event_No]],Event_Master[[#All],[Guest_Count]],,0)</f>
        <v>650</v>
      </c>
      <c r="G427" cm="1">
        <f t="array" ref="G427">Food_Orders[[#This Row],[Quantity_Orderd]]*_xlfn.XLOOKUP(Food_Orders[[#This Row],[Food_ID]],Food_Catalog[[#All],[Food_ID]],Food_Catalog[[#All],[Price_Per_Unit]],0,0)</f>
        <v>9750</v>
      </c>
      <c r="H427" cm="1">
        <f t="array" ref="H427">Food_Orders[[#This Row],[Quantity_Orderd]]*_xlfn.XLOOKUP(Food_Orders[[#This Row],[Food_ID]],Food_Catalog[[#All],[Food_ID]],Food_Catalog[[#All],[Client_Price_Per_Unit]],0,0)</f>
        <v>11700</v>
      </c>
      <c r="I427">
        <f>Food_Orders[[#This Row],[Client_Price]]-Food_Orders[[#This Row],[Cost]]</f>
        <v>1950</v>
      </c>
    </row>
    <row r="428" spans="1:9" x14ac:dyDescent="0.25">
      <c r="A428">
        <v>17</v>
      </c>
      <c r="B428" t="s">
        <v>96</v>
      </c>
      <c r="C428" t="s">
        <v>83</v>
      </c>
      <c r="D428" t="s">
        <v>97</v>
      </c>
      <c r="E428" t="s">
        <v>79</v>
      </c>
      <c r="F428" cm="1">
        <f t="array" ref="F428">_xlfn.XLOOKUP(Food_Orders[[#This Row],[Event_No]],Event_Master[[#All],[Event_No]],Event_Master[[#All],[Guest_Count]],,0)</f>
        <v>650</v>
      </c>
      <c r="G428" cm="1">
        <f t="array" ref="G428">Food_Orders[[#This Row],[Quantity_Orderd]]*_xlfn.XLOOKUP(Food_Orders[[#This Row],[Food_ID]],Food_Catalog[[#All],[Food_ID]],Food_Catalog[[#All],[Price_Per_Unit]],0,0)</f>
        <v>19500</v>
      </c>
      <c r="H428" cm="1">
        <f t="array" ref="H428">Food_Orders[[#This Row],[Quantity_Orderd]]*_xlfn.XLOOKUP(Food_Orders[[#This Row],[Food_ID]],Food_Catalog[[#All],[Food_ID]],Food_Catalog[[#All],[Client_Price_Per_Unit]],0,0)</f>
        <v>23400</v>
      </c>
      <c r="I428">
        <f>Food_Orders[[#This Row],[Client_Price]]-Food_Orders[[#This Row],[Cost]]</f>
        <v>3900</v>
      </c>
    </row>
    <row r="429" spans="1:9" x14ac:dyDescent="0.25">
      <c r="A429">
        <v>18</v>
      </c>
      <c r="B429" t="s">
        <v>118</v>
      </c>
      <c r="C429" t="s">
        <v>119</v>
      </c>
      <c r="D429" t="s">
        <v>120</v>
      </c>
      <c r="E429" t="s">
        <v>112</v>
      </c>
      <c r="F429" cm="1">
        <f t="array" ref="F429">_xlfn.XLOOKUP(Food_Orders[[#This Row],[Event_No]],Event_Master[[#All],[Event_No]],Event_Master[[#All],[Guest_Count]],,0)</f>
        <v>300</v>
      </c>
      <c r="G429" cm="1">
        <f t="array" ref="G429">Food_Orders[[#This Row],[Quantity_Orderd]]*_xlfn.XLOOKUP(Food_Orders[[#This Row],[Food_ID]],Food_Catalog[[#All],[Food_ID]],Food_Catalog[[#All],[Price_Per_Unit]],0,0)</f>
        <v>3000</v>
      </c>
      <c r="H429" cm="1">
        <f t="array" ref="H429">Food_Orders[[#This Row],[Quantity_Orderd]]*_xlfn.XLOOKUP(Food_Orders[[#This Row],[Food_ID]],Food_Catalog[[#All],[Food_ID]],Food_Catalog[[#All],[Client_Price_Per_Unit]],0,0)</f>
        <v>3600</v>
      </c>
      <c r="I429">
        <f>Food_Orders[[#This Row],[Client_Price]]-Food_Orders[[#This Row],[Cost]]</f>
        <v>600</v>
      </c>
    </row>
    <row r="430" spans="1:9" x14ac:dyDescent="0.25">
      <c r="A430">
        <v>18</v>
      </c>
      <c r="B430" t="s">
        <v>129</v>
      </c>
      <c r="C430" t="s">
        <v>119</v>
      </c>
      <c r="D430" t="s">
        <v>130</v>
      </c>
      <c r="E430" t="s">
        <v>112</v>
      </c>
      <c r="F430" cm="1">
        <f t="array" ref="F430">_xlfn.XLOOKUP(Food_Orders[[#This Row],[Event_No]],Event_Master[[#All],[Event_No]],Event_Master[[#All],[Guest_Count]],,0)</f>
        <v>300</v>
      </c>
      <c r="G430" cm="1">
        <f t="array" ref="G430">Food_Orders[[#This Row],[Quantity_Orderd]]*_xlfn.XLOOKUP(Food_Orders[[#This Row],[Food_ID]],Food_Catalog[[#All],[Food_ID]],Food_Catalog[[#All],[Price_Per_Unit]],0,0)</f>
        <v>3000</v>
      </c>
      <c r="H430" cm="1">
        <f t="array" ref="H430">Food_Orders[[#This Row],[Quantity_Orderd]]*_xlfn.XLOOKUP(Food_Orders[[#This Row],[Food_ID]],Food_Catalog[[#All],[Food_ID]],Food_Catalog[[#All],[Client_Price_Per_Unit]],0,0)</f>
        <v>3600</v>
      </c>
      <c r="I430">
        <f>Food_Orders[[#This Row],[Client_Price]]-Food_Orders[[#This Row],[Cost]]</f>
        <v>600</v>
      </c>
    </row>
    <row r="431" spans="1:9" x14ac:dyDescent="0.25">
      <c r="A431">
        <v>18</v>
      </c>
      <c r="B431" t="s">
        <v>104</v>
      </c>
      <c r="C431" t="s">
        <v>105</v>
      </c>
      <c r="D431" t="s">
        <v>106</v>
      </c>
      <c r="E431" t="s">
        <v>107</v>
      </c>
      <c r="F431" cm="1">
        <f t="array" ref="F431">_xlfn.XLOOKUP(Food_Orders[[#This Row],[Event_No]],Event_Master[[#All],[Event_No]],Event_Master[[#All],[Guest_Count]],,0)</f>
        <v>300</v>
      </c>
      <c r="G431" cm="1">
        <f t="array" ref="G431">Food_Orders[[#This Row],[Quantity_Orderd]]*_xlfn.XLOOKUP(Food_Orders[[#This Row],[Food_ID]],Food_Catalog[[#All],[Food_ID]],Food_Catalog[[#All],[Price_Per_Unit]],0,0)</f>
        <v>3000</v>
      </c>
      <c r="H431" cm="1">
        <f t="array" ref="H431">Food_Orders[[#This Row],[Quantity_Orderd]]*_xlfn.XLOOKUP(Food_Orders[[#This Row],[Food_ID]],Food_Catalog[[#All],[Food_ID]],Food_Catalog[[#All],[Client_Price_Per_Unit]],0,0)</f>
        <v>3600</v>
      </c>
      <c r="I431">
        <f>Food_Orders[[#This Row],[Client_Price]]-Food_Orders[[#This Row],[Cost]]</f>
        <v>600</v>
      </c>
    </row>
    <row r="432" spans="1:9" x14ac:dyDescent="0.25">
      <c r="A432">
        <v>18</v>
      </c>
      <c r="B432" t="s">
        <v>108</v>
      </c>
      <c r="C432" t="s">
        <v>105</v>
      </c>
      <c r="D432" t="s">
        <v>109</v>
      </c>
      <c r="E432" t="s">
        <v>107</v>
      </c>
      <c r="F432" cm="1">
        <f t="array" ref="F432">_xlfn.XLOOKUP(Food_Orders[[#This Row],[Event_No]],Event_Master[[#All],[Event_No]],Event_Master[[#All],[Guest_Count]],,0)</f>
        <v>300</v>
      </c>
      <c r="G432" cm="1">
        <f t="array" ref="G432">Food_Orders[[#This Row],[Quantity_Orderd]]*_xlfn.XLOOKUP(Food_Orders[[#This Row],[Food_ID]],Food_Catalog[[#All],[Food_ID]],Food_Catalog[[#All],[Price_Per_Unit]],0,0)</f>
        <v>4500</v>
      </c>
      <c r="H432" cm="1">
        <f t="array" ref="H432">Food_Orders[[#This Row],[Quantity_Orderd]]*_xlfn.XLOOKUP(Food_Orders[[#This Row],[Food_ID]],Food_Catalog[[#All],[Food_ID]],Food_Catalog[[#All],[Client_Price_Per_Unit]],0,0)</f>
        <v>5400</v>
      </c>
      <c r="I432">
        <f>Food_Orders[[#This Row],[Client_Price]]-Food_Orders[[#This Row],[Cost]]</f>
        <v>900</v>
      </c>
    </row>
    <row r="433" spans="1:9" x14ac:dyDescent="0.25">
      <c r="A433">
        <v>18</v>
      </c>
      <c r="B433" t="s">
        <v>121</v>
      </c>
      <c r="C433" t="s">
        <v>119</v>
      </c>
      <c r="D433" t="s">
        <v>122</v>
      </c>
      <c r="E433" t="s">
        <v>123</v>
      </c>
      <c r="F433" cm="1">
        <f t="array" ref="F433">_xlfn.XLOOKUP(Food_Orders[[#This Row],[Event_No]],Event_Master[[#All],[Event_No]],Event_Master[[#All],[Guest_Count]],,0)</f>
        <v>300</v>
      </c>
      <c r="G433" cm="1">
        <f t="array" ref="G433">Food_Orders[[#This Row],[Quantity_Orderd]]*_xlfn.XLOOKUP(Food_Orders[[#This Row],[Food_ID]],Food_Catalog[[#All],[Food_ID]],Food_Catalog[[#All],[Price_Per_Unit]],0,0)</f>
        <v>3000</v>
      </c>
      <c r="H433" cm="1">
        <f t="array" ref="H433">Food_Orders[[#This Row],[Quantity_Orderd]]*_xlfn.XLOOKUP(Food_Orders[[#This Row],[Food_ID]],Food_Catalog[[#All],[Food_ID]],Food_Catalog[[#All],[Client_Price_Per_Unit]],0,0)</f>
        <v>3600</v>
      </c>
      <c r="I433">
        <f>Food_Orders[[#This Row],[Client_Price]]-Food_Orders[[#This Row],[Cost]]</f>
        <v>600</v>
      </c>
    </row>
    <row r="434" spans="1:9" x14ac:dyDescent="0.25">
      <c r="A434">
        <v>18</v>
      </c>
      <c r="B434" t="s">
        <v>124</v>
      </c>
      <c r="C434" t="s">
        <v>119</v>
      </c>
      <c r="D434" t="s">
        <v>125</v>
      </c>
      <c r="E434" t="s">
        <v>126</v>
      </c>
      <c r="F434" cm="1">
        <f t="array" ref="F434">_xlfn.XLOOKUP(Food_Orders[[#This Row],[Event_No]],Event_Master[[#All],[Event_No]],Event_Master[[#All],[Guest_Count]],,0)</f>
        <v>300</v>
      </c>
      <c r="G434" cm="1">
        <f t="array" ref="G434">Food_Orders[[#This Row],[Quantity_Orderd]]*_xlfn.XLOOKUP(Food_Orders[[#This Row],[Food_ID]],Food_Catalog[[#All],[Food_ID]],Food_Catalog[[#All],[Price_Per_Unit]],0,0)</f>
        <v>6000</v>
      </c>
      <c r="H434" cm="1">
        <f t="array" ref="H434">Food_Orders[[#This Row],[Quantity_Orderd]]*_xlfn.XLOOKUP(Food_Orders[[#This Row],[Food_ID]],Food_Catalog[[#All],[Food_ID]],Food_Catalog[[#All],[Client_Price_Per_Unit]],0,0)</f>
        <v>7200</v>
      </c>
      <c r="I434">
        <f>Food_Orders[[#This Row],[Client_Price]]-Food_Orders[[#This Row],[Cost]]</f>
        <v>1200</v>
      </c>
    </row>
    <row r="435" spans="1:9" x14ac:dyDescent="0.25">
      <c r="A435">
        <v>18</v>
      </c>
      <c r="B435" t="s">
        <v>127</v>
      </c>
      <c r="C435" t="s">
        <v>119</v>
      </c>
      <c r="D435" t="s">
        <v>128</v>
      </c>
      <c r="E435" t="s">
        <v>107</v>
      </c>
      <c r="F435" cm="1">
        <f t="array" ref="F435">_xlfn.XLOOKUP(Food_Orders[[#This Row],[Event_No]],Event_Master[[#All],[Event_No]],Event_Master[[#All],[Guest_Count]],,0)</f>
        <v>300</v>
      </c>
      <c r="G435" cm="1">
        <f t="array" ref="G435">Food_Orders[[#This Row],[Quantity_Orderd]]*_xlfn.XLOOKUP(Food_Orders[[#This Row],[Food_ID]],Food_Catalog[[#All],[Food_ID]],Food_Catalog[[#All],[Price_Per_Unit]],0,0)</f>
        <v>6000</v>
      </c>
      <c r="H435" cm="1">
        <f t="array" ref="H435">Food_Orders[[#This Row],[Quantity_Orderd]]*_xlfn.XLOOKUP(Food_Orders[[#This Row],[Food_ID]],Food_Catalog[[#All],[Food_ID]],Food_Catalog[[#All],[Client_Price_Per_Unit]],0,0)</f>
        <v>7200</v>
      </c>
      <c r="I435">
        <f>Food_Orders[[#This Row],[Client_Price]]-Food_Orders[[#This Row],[Cost]]</f>
        <v>1200</v>
      </c>
    </row>
    <row r="436" spans="1:9" x14ac:dyDescent="0.25">
      <c r="A436">
        <v>18</v>
      </c>
      <c r="B436" t="s">
        <v>63</v>
      </c>
      <c r="C436" t="s">
        <v>61</v>
      </c>
      <c r="D436" t="s">
        <v>64</v>
      </c>
      <c r="E436" t="s">
        <v>10</v>
      </c>
      <c r="F436" cm="1">
        <f t="array" ref="F436">_xlfn.XLOOKUP(Food_Orders[[#This Row],[Event_No]],Event_Master[[#All],[Event_No]],Event_Master[[#All],[Guest_Count]],,0)</f>
        <v>300</v>
      </c>
      <c r="G436" cm="1">
        <f t="array" ref="G436">Food_Orders[[#This Row],[Quantity_Orderd]]*_xlfn.XLOOKUP(Food_Orders[[#This Row],[Food_ID]],Food_Catalog[[#All],[Food_ID]],Food_Catalog[[#All],[Price_Per_Unit]],0,0)</f>
        <v>9000</v>
      </c>
      <c r="H436" cm="1">
        <f t="array" ref="H436">Food_Orders[[#This Row],[Quantity_Orderd]]*_xlfn.XLOOKUP(Food_Orders[[#This Row],[Food_ID]],Food_Catalog[[#All],[Food_ID]],Food_Catalog[[#All],[Client_Price_Per_Unit]],0,0)</f>
        <v>10800</v>
      </c>
      <c r="I436">
        <f>Food_Orders[[#This Row],[Client_Price]]-Food_Orders[[#This Row],[Cost]]</f>
        <v>1800</v>
      </c>
    </row>
    <row r="437" spans="1:9" x14ac:dyDescent="0.25">
      <c r="A437">
        <v>18</v>
      </c>
      <c r="B437" t="s">
        <v>71</v>
      </c>
      <c r="C437" t="s">
        <v>61</v>
      </c>
      <c r="D437" t="s">
        <v>72</v>
      </c>
      <c r="E437" t="s">
        <v>10</v>
      </c>
      <c r="F437" cm="1">
        <f t="array" ref="F437">_xlfn.XLOOKUP(Food_Orders[[#This Row],[Event_No]],Event_Master[[#All],[Event_No]],Event_Master[[#All],[Guest_Count]],,0)</f>
        <v>300</v>
      </c>
      <c r="G437" cm="1">
        <f t="array" ref="G437">Food_Orders[[#This Row],[Quantity_Orderd]]*_xlfn.XLOOKUP(Food_Orders[[#This Row],[Food_ID]],Food_Catalog[[#All],[Food_ID]],Food_Catalog[[#All],[Price_Per_Unit]],0,0)</f>
        <v>7500</v>
      </c>
      <c r="H437" cm="1">
        <f t="array" ref="H437">Food_Orders[[#This Row],[Quantity_Orderd]]*_xlfn.XLOOKUP(Food_Orders[[#This Row],[Food_ID]],Food_Catalog[[#All],[Food_ID]],Food_Catalog[[#All],[Client_Price_Per_Unit]],0,0)</f>
        <v>9000</v>
      </c>
      <c r="I437">
        <f>Food_Orders[[#This Row],[Client_Price]]-Food_Orders[[#This Row],[Cost]]</f>
        <v>1500</v>
      </c>
    </row>
    <row r="438" spans="1:9" x14ac:dyDescent="0.25">
      <c r="A438">
        <v>18</v>
      </c>
      <c r="B438" t="s">
        <v>29</v>
      </c>
      <c r="C438" t="s">
        <v>8</v>
      </c>
      <c r="D438" t="s">
        <v>30</v>
      </c>
      <c r="E438" t="s">
        <v>10</v>
      </c>
      <c r="F438" cm="1">
        <f t="array" ref="F438">_xlfn.XLOOKUP(Food_Orders[[#This Row],[Event_No]],Event_Master[[#All],[Event_No]],Event_Master[[#All],[Guest_Count]],,0)</f>
        <v>300</v>
      </c>
      <c r="G438" cm="1">
        <f t="array" ref="G438">Food_Orders[[#This Row],[Quantity_Orderd]]*_xlfn.XLOOKUP(Food_Orders[[#This Row],[Food_ID]],Food_Catalog[[#All],[Food_ID]],Food_Catalog[[#All],[Price_Per_Unit]],0,0)</f>
        <v>9000</v>
      </c>
      <c r="H438" cm="1">
        <f t="array" ref="H438">Food_Orders[[#This Row],[Quantity_Orderd]]*_xlfn.XLOOKUP(Food_Orders[[#This Row],[Food_ID]],Food_Catalog[[#All],[Food_ID]],Food_Catalog[[#All],[Client_Price_Per_Unit]],0,0)</f>
        <v>10800</v>
      </c>
      <c r="I438">
        <f>Food_Orders[[#This Row],[Client_Price]]-Food_Orders[[#This Row],[Cost]]</f>
        <v>1800</v>
      </c>
    </row>
    <row r="439" spans="1:9" x14ac:dyDescent="0.25">
      <c r="A439">
        <v>18</v>
      </c>
      <c r="B439" t="s">
        <v>37</v>
      </c>
      <c r="C439" t="s">
        <v>8</v>
      </c>
      <c r="D439" t="s">
        <v>38</v>
      </c>
      <c r="E439" t="s">
        <v>10</v>
      </c>
      <c r="F439" cm="1">
        <f t="array" ref="F439">_xlfn.XLOOKUP(Food_Orders[[#This Row],[Event_No]],Event_Master[[#All],[Event_No]],Event_Master[[#All],[Guest_Count]],,0)</f>
        <v>300</v>
      </c>
      <c r="G439" cm="1">
        <f t="array" ref="G439">Food_Orders[[#This Row],[Quantity_Orderd]]*_xlfn.XLOOKUP(Food_Orders[[#This Row],[Food_ID]],Food_Catalog[[#All],[Food_ID]],Food_Catalog[[#All],[Price_Per_Unit]],0,0)</f>
        <v>7500</v>
      </c>
      <c r="H439" cm="1">
        <f t="array" ref="H439">Food_Orders[[#This Row],[Quantity_Orderd]]*_xlfn.XLOOKUP(Food_Orders[[#This Row],[Food_ID]],Food_Catalog[[#All],[Food_ID]],Food_Catalog[[#All],[Client_Price_Per_Unit]],0,0)</f>
        <v>9000</v>
      </c>
      <c r="I439">
        <f>Food_Orders[[#This Row],[Client_Price]]-Food_Orders[[#This Row],[Cost]]</f>
        <v>1500</v>
      </c>
    </row>
    <row r="440" spans="1:9" x14ac:dyDescent="0.25">
      <c r="A440">
        <v>18</v>
      </c>
      <c r="B440" t="s">
        <v>82</v>
      </c>
      <c r="C440" t="s">
        <v>83</v>
      </c>
      <c r="D440" t="s">
        <v>84</v>
      </c>
      <c r="E440" t="s">
        <v>85</v>
      </c>
      <c r="F440" cm="1">
        <f t="array" ref="F440">_xlfn.XLOOKUP(Food_Orders[[#This Row],[Event_No]],Event_Master[[#All],[Event_No]],Event_Master[[#All],[Guest_Count]],,0)</f>
        <v>300</v>
      </c>
      <c r="G440" cm="1">
        <f t="array" ref="G440">Food_Orders[[#This Row],[Quantity_Orderd]]*_xlfn.XLOOKUP(Food_Orders[[#This Row],[Food_ID]],Food_Catalog[[#All],[Food_ID]],Food_Catalog[[#All],[Price_Per_Unit]],0,0)</f>
        <v>6000</v>
      </c>
      <c r="H440" cm="1">
        <f t="array" ref="H440">Food_Orders[[#This Row],[Quantity_Orderd]]*_xlfn.XLOOKUP(Food_Orders[[#This Row],[Food_ID]],Food_Catalog[[#All],[Food_ID]],Food_Catalog[[#All],[Client_Price_Per_Unit]],0,0)</f>
        <v>7200</v>
      </c>
      <c r="I440">
        <f>Food_Orders[[#This Row],[Client_Price]]-Food_Orders[[#This Row],[Cost]]</f>
        <v>1200</v>
      </c>
    </row>
    <row r="441" spans="1:9" x14ac:dyDescent="0.25">
      <c r="A441">
        <v>18</v>
      </c>
      <c r="B441" t="s">
        <v>96</v>
      </c>
      <c r="C441" t="s">
        <v>83</v>
      </c>
      <c r="D441" t="s">
        <v>97</v>
      </c>
      <c r="E441" t="s">
        <v>79</v>
      </c>
      <c r="F441" cm="1">
        <f t="array" ref="F441">_xlfn.XLOOKUP(Food_Orders[[#This Row],[Event_No]],Event_Master[[#All],[Event_No]],Event_Master[[#All],[Guest_Count]],,0)</f>
        <v>300</v>
      </c>
      <c r="G441" cm="1">
        <f t="array" ref="G441">Food_Orders[[#This Row],[Quantity_Orderd]]*_xlfn.XLOOKUP(Food_Orders[[#This Row],[Food_ID]],Food_Catalog[[#All],[Food_ID]],Food_Catalog[[#All],[Price_Per_Unit]],0,0)</f>
        <v>9000</v>
      </c>
      <c r="H441" cm="1">
        <f t="array" ref="H441">Food_Orders[[#This Row],[Quantity_Orderd]]*_xlfn.XLOOKUP(Food_Orders[[#This Row],[Food_ID]],Food_Catalog[[#All],[Food_ID]],Food_Catalog[[#All],[Client_Price_Per_Unit]],0,0)</f>
        <v>10800</v>
      </c>
      <c r="I441">
        <f>Food_Orders[[#This Row],[Client_Price]]-Food_Orders[[#This Row],[Cost]]</f>
        <v>1800</v>
      </c>
    </row>
    <row r="442" spans="1:9" x14ac:dyDescent="0.25">
      <c r="A442">
        <v>18</v>
      </c>
      <c r="B442" t="s">
        <v>92</v>
      </c>
      <c r="C442" t="s">
        <v>83</v>
      </c>
      <c r="D442" t="s">
        <v>93</v>
      </c>
      <c r="E442" t="s">
        <v>85</v>
      </c>
      <c r="F442" cm="1">
        <f t="array" ref="F442">_xlfn.XLOOKUP(Food_Orders[[#This Row],[Event_No]],Event_Master[[#All],[Event_No]],Event_Master[[#All],[Guest_Count]],,0)</f>
        <v>300</v>
      </c>
      <c r="G442" cm="1">
        <f t="array" ref="G442">Food_Orders[[#This Row],[Quantity_Orderd]]*_xlfn.XLOOKUP(Food_Orders[[#This Row],[Food_ID]],Food_Catalog[[#All],[Food_ID]],Food_Catalog[[#All],[Price_Per_Unit]],0,0)</f>
        <v>4500</v>
      </c>
      <c r="H442" cm="1">
        <f t="array" ref="H442">Food_Orders[[#This Row],[Quantity_Orderd]]*_xlfn.XLOOKUP(Food_Orders[[#This Row],[Food_ID]],Food_Catalog[[#All],[Food_ID]],Food_Catalog[[#All],[Client_Price_Per_Unit]],0,0)</f>
        <v>5400</v>
      </c>
      <c r="I442">
        <f>Food_Orders[[#This Row],[Client_Price]]-Food_Orders[[#This Row],[Cost]]</f>
        <v>900</v>
      </c>
    </row>
    <row r="443" spans="1:9" x14ac:dyDescent="0.25">
      <c r="A443">
        <v>19</v>
      </c>
      <c r="B443" t="s">
        <v>63</v>
      </c>
      <c r="C443" t="s">
        <v>61</v>
      </c>
      <c r="D443" t="s">
        <v>64</v>
      </c>
      <c r="E443" t="s">
        <v>10</v>
      </c>
      <c r="F443" cm="1">
        <f t="array" ref="F443">_xlfn.XLOOKUP(Food_Orders[[#This Row],[Event_No]],Event_Master[[#All],[Event_No]],Event_Master[[#All],[Guest_Count]],,0)</f>
        <v>250</v>
      </c>
      <c r="G443" cm="1">
        <f t="array" ref="G443">Food_Orders[[#This Row],[Quantity_Orderd]]*_xlfn.XLOOKUP(Food_Orders[[#This Row],[Food_ID]],Food_Catalog[[#All],[Food_ID]],Food_Catalog[[#All],[Price_Per_Unit]],0,0)</f>
        <v>7500</v>
      </c>
      <c r="H443" cm="1">
        <f t="array" ref="H443">Food_Orders[[#This Row],[Quantity_Orderd]]*_xlfn.XLOOKUP(Food_Orders[[#This Row],[Food_ID]],Food_Catalog[[#All],[Food_ID]],Food_Catalog[[#All],[Client_Price_Per_Unit]],0,0)</f>
        <v>9000</v>
      </c>
      <c r="I443">
        <f>Food_Orders[[#This Row],[Client_Price]]-Food_Orders[[#This Row],[Cost]]</f>
        <v>1500</v>
      </c>
    </row>
    <row r="444" spans="1:9" x14ac:dyDescent="0.25">
      <c r="A444">
        <v>19</v>
      </c>
      <c r="B444" t="s">
        <v>71</v>
      </c>
      <c r="C444" t="s">
        <v>61</v>
      </c>
      <c r="D444" t="s">
        <v>72</v>
      </c>
      <c r="E444" t="s">
        <v>10</v>
      </c>
      <c r="F444" cm="1">
        <f t="array" ref="F444">_xlfn.XLOOKUP(Food_Orders[[#This Row],[Event_No]],Event_Master[[#All],[Event_No]],Event_Master[[#All],[Guest_Count]],,0)</f>
        <v>250</v>
      </c>
      <c r="G444" cm="1">
        <f t="array" ref="G444">Food_Orders[[#This Row],[Quantity_Orderd]]*_xlfn.XLOOKUP(Food_Orders[[#This Row],[Food_ID]],Food_Catalog[[#All],[Food_ID]],Food_Catalog[[#All],[Price_Per_Unit]],0,0)</f>
        <v>6250</v>
      </c>
      <c r="H444" cm="1">
        <f t="array" ref="H444">Food_Orders[[#This Row],[Quantity_Orderd]]*_xlfn.XLOOKUP(Food_Orders[[#This Row],[Food_ID]],Food_Catalog[[#All],[Food_ID]],Food_Catalog[[#All],[Client_Price_Per_Unit]],0,0)</f>
        <v>7500</v>
      </c>
      <c r="I444">
        <f>Food_Orders[[#This Row],[Client_Price]]-Food_Orders[[#This Row],[Cost]]</f>
        <v>1250</v>
      </c>
    </row>
    <row r="445" spans="1:9" x14ac:dyDescent="0.25">
      <c r="A445">
        <v>19</v>
      </c>
      <c r="B445" t="s">
        <v>69</v>
      </c>
      <c r="C445" t="s">
        <v>61</v>
      </c>
      <c r="D445" t="s">
        <v>70</v>
      </c>
      <c r="E445" t="s">
        <v>10</v>
      </c>
      <c r="F445" cm="1">
        <f t="array" ref="F445">_xlfn.XLOOKUP(Food_Orders[[#This Row],[Event_No]],Event_Master[[#All],[Event_No]],Event_Master[[#All],[Guest_Count]],,0)</f>
        <v>250</v>
      </c>
      <c r="G445" cm="1">
        <f t="array" ref="G445">Food_Orders[[#This Row],[Quantity_Orderd]]*_xlfn.XLOOKUP(Food_Orders[[#This Row],[Food_ID]],Food_Catalog[[#All],[Food_ID]],Food_Catalog[[#All],[Price_Per_Unit]],0,0)</f>
        <v>12500</v>
      </c>
      <c r="H445" cm="1">
        <f t="array" ref="H445">Food_Orders[[#This Row],[Quantity_Orderd]]*_xlfn.XLOOKUP(Food_Orders[[#This Row],[Food_ID]],Food_Catalog[[#All],[Food_ID]],Food_Catalog[[#All],[Client_Price_Per_Unit]],0,0)</f>
        <v>15000</v>
      </c>
      <c r="I445">
        <f>Food_Orders[[#This Row],[Client_Price]]-Food_Orders[[#This Row],[Cost]]</f>
        <v>2500</v>
      </c>
    </row>
    <row r="446" spans="1:9" x14ac:dyDescent="0.25">
      <c r="A446">
        <v>19</v>
      </c>
      <c r="B446" t="s">
        <v>27</v>
      </c>
      <c r="C446" t="s">
        <v>8</v>
      </c>
      <c r="D446" t="s">
        <v>28</v>
      </c>
      <c r="E446" t="s">
        <v>10</v>
      </c>
      <c r="F446" cm="1">
        <f t="array" ref="F446">_xlfn.XLOOKUP(Food_Orders[[#This Row],[Event_No]],Event_Master[[#All],[Event_No]],Event_Master[[#All],[Guest_Count]],,0)</f>
        <v>250</v>
      </c>
      <c r="G446" cm="1">
        <f t="array" ref="G446">Food_Orders[[#This Row],[Quantity_Orderd]]*_xlfn.XLOOKUP(Food_Orders[[#This Row],[Food_ID]],Food_Catalog[[#All],[Food_ID]],Food_Catalog[[#All],[Price_Per_Unit]],0,0)</f>
        <v>10000</v>
      </c>
      <c r="H446" cm="1">
        <f t="array" ref="H446">Food_Orders[[#This Row],[Quantity_Orderd]]*_xlfn.XLOOKUP(Food_Orders[[#This Row],[Food_ID]],Food_Catalog[[#All],[Food_ID]],Food_Catalog[[#All],[Client_Price_Per_Unit]],0,0)</f>
        <v>12000</v>
      </c>
      <c r="I446">
        <f>Food_Orders[[#This Row],[Client_Price]]-Food_Orders[[#This Row],[Cost]]</f>
        <v>2000</v>
      </c>
    </row>
    <row r="447" spans="1:9" x14ac:dyDescent="0.25">
      <c r="A447">
        <v>19</v>
      </c>
      <c r="B447" t="s">
        <v>29</v>
      </c>
      <c r="C447" t="s">
        <v>8</v>
      </c>
      <c r="D447" t="s">
        <v>30</v>
      </c>
      <c r="E447" t="s">
        <v>10</v>
      </c>
      <c r="F447" cm="1">
        <f t="array" ref="F447">_xlfn.XLOOKUP(Food_Orders[[#This Row],[Event_No]],Event_Master[[#All],[Event_No]],Event_Master[[#All],[Guest_Count]],,0)</f>
        <v>250</v>
      </c>
      <c r="G447" cm="1">
        <f t="array" ref="G447">Food_Orders[[#This Row],[Quantity_Orderd]]*_xlfn.XLOOKUP(Food_Orders[[#This Row],[Food_ID]],Food_Catalog[[#All],[Food_ID]],Food_Catalog[[#All],[Price_Per_Unit]],0,0)</f>
        <v>7500</v>
      </c>
      <c r="H447" cm="1">
        <f t="array" ref="H447">Food_Orders[[#This Row],[Quantity_Orderd]]*_xlfn.XLOOKUP(Food_Orders[[#This Row],[Food_ID]],Food_Catalog[[#All],[Food_ID]],Food_Catalog[[#All],[Client_Price_Per_Unit]],0,0)</f>
        <v>9000</v>
      </c>
      <c r="I447">
        <f>Food_Orders[[#This Row],[Client_Price]]-Food_Orders[[#This Row],[Cost]]</f>
        <v>1500</v>
      </c>
    </row>
    <row r="448" spans="1:9" x14ac:dyDescent="0.25">
      <c r="A448">
        <v>19</v>
      </c>
      <c r="B448" t="s">
        <v>37</v>
      </c>
      <c r="C448" t="s">
        <v>8</v>
      </c>
      <c r="D448" t="s">
        <v>38</v>
      </c>
      <c r="E448" t="s">
        <v>10</v>
      </c>
      <c r="F448" cm="1">
        <f t="array" ref="F448">_xlfn.XLOOKUP(Food_Orders[[#This Row],[Event_No]],Event_Master[[#All],[Event_No]],Event_Master[[#All],[Guest_Count]],,0)</f>
        <v>250</v>
      </c>
      <c r="G448" cm="1">
        <f t="array" ref="G448">Food_Orders[[#This Row],[Quantity_Orderd]]*_xlfn.XLOOKUP(Food_Orders[[#This Row],[Food_ID]],Food_Catalog[[#All],[Food_ID]],Food_Catalog[[#All],[Price_Per_Unit]],0,0)</f>
        <v>6250</v>
      </c>
      <c r="H448" cm="1">
        <f t="array" ref="H448">Food_Orders[[#This Row],[Quantity_Orderd]]*_xlfn.XLOOKUP(Food_Orders[[#This Row],[Food_ID]],Food_Catalog[[#All],[Food_ID]],Food_Catalog[[#All],[Client_Price_Per_Unit]],0,0)</f>
        <v>7500</v>
      </c>
      <c r="I448">
        <f>Food_Orders[[#This Row],[Client_Price]]-Food_Orders[[#This Row],[Cost]]</f>
        <v>1250</v>
      </c>
    </row>
    <row r="449" spans="1:9" x14ac:dyDescent="0.25">
      <c r="A449">
        <v>19</v>
      </c>
      <c r="B449" t="s">
        <v>82</v>
      </c>
      <c r="C449" t="s">
        <v>83</v>
      </c>
      <c r="D449" t="s">
        <v>84</v>
      </c>
      <c r="E449" t="s">
        <v>85</v>
      </c>
      <c r="F449" cm="1">
        <f t="array" ref="F449">_xlfn.XLOOKUP(Food_Orders[[#This Row],[Event_No]],Event_Master[[#All],[Event_No]],Event_Master[[#All],[Guest_Count]],,0)</f>
        <v>250</v>
      </c>
      <c r="G449" cm="1">
        <f t="array" ref="G449">Food_Orders[[#This Row],[Quantity_Orderd]]*_xlfn.XLOOKUP(Food_Orders[[#This Row],[Food_ID]],Food_Catalog[[#All],[Food_ID]],Food_Catalog[[#All],[Price_Per_Unit]],0,0)</f>
        <v>5000</v>
      </c>
      <c r="H449" cm="1">
        <f t="array" ref="H449">Food_Orders[[#This Row],[Quantity_Orderd]]*_xlfn.XLOOKUP(Food_Orders[[#This Row],[Food_ID]],Food_Catalog[[#All],[Food_ID]],Food_Catalog[[#All],[Client_Price_Per_Unit]],0,0)</f>
        <v>6000</v>
      </c>
      <c r="I449">
        <f>Food_Orders[[#This Row],[Client_Price]]-Food_Orders[[#This Row],[Cost]]</f>
        <v>1000</v>
      </c>
    </row>
    <row r="450" spans="1:9" x14ac:dyDescent="0.25">
      <c r="A450">
        <v>19</v>
      </c>
      <c r="B450" t="s">
        <v>86</v>
      </c>
      <c r="C450" t="s">
        <v>83</v>
      </c>
      <c r="D450" t="s">
        <v>87</v>
      </c>
      <c r="E450" t="s">
        <v>85</v>
      </c>
      <c r="F450" cm="1">
        <f t="array" ref="F450">_xlfn.XLOOKUP(Food_Orders[[#This Row],[Event_No]],Event_Master[[#All],[Event_No]],Event_Master[[#All],[Guest_Count]],,0)</f>
        <v>250</v>
      </c>
      <c r="G450" cm="1">
        <f t="array" ref="G450">Food_Orders[[#This Row],[Quantity_Orderd]]*_xlfn.XLOOKUP(Food_Orders[[#This Row],[Food_ID]],Food_Catalog[[#All],[Food_ID]],Food_Catalog[[#All],[Price_Per_Unit]],0,0)</f>
        <v>5000</v>
      </c>
      <c r="H450" cm="1">
        <f t="array" ref="H450">Food_Orders[[#This Row],[Quantity_Orderd]]*_xlfn.XLOOKUP(Food_Orders[[#This Row],[Food_ID]],Food_Catalog[[#All],[Food_ID]],Food_Catalog[[#All],[Client_Price_Per_Unit]],0,0)</f>
        <v>6000</v>
      </c>
      <c r="I450">
        <f>Food_Orders[[#This Row],[Client_Price]]-Food_Orders[[#This Row],[Cost]]</f>
        <v>1000</v>
      </c>
    </row>
    <row r="451" spans="1:9" x14ac:dyDescent="0.25">
      <c r="A451">
        <v>19</v>
      </c>
      <c r="B451" t="s">
        <v>96</v>
      </c>
      <c r="C451" t="s">
        <v>83</v>
      </c>
      <c r="D451" t="s">
        <v>97</v>
      </c>
      <c r="E451" t="s">
        <v>79</v>
      </c>
      <c r="F451" cm="1">
        <f t="array" ref="F451">_xlfn.XLOOKUP(Food_Orders[[#This Row],[Event_No]],Event_Master[[#All],[Event_No]],Event_Master[[#All],[Guest_Count]],,0)</f>
        <v>250</v>
      </c>
      <c r="G451" cm="1">
        <f t="array" ref="G451">Food_Orders[[#This Row],[Quantity_Orderd]]*_xlfn.XLOOKUP(Food_Orders[[#This Row],[Food_ID]],Food_Catalog[[#All],[Food_ID]],Food_Catalog[[#All],[Price_Per_Unit]],0,0)</f>
        <v>7500</v>
      </c>
      <c r="H451" cm="1">
        <f t="array" ref="H451">Food_Orders[[#This Row],[Quantity_Orderd]]*_xlfn.XLOOKUP(Food_Orders[[#This Row],[Food_ID]],Food_Catalog[[#All],[Food_ID]],Food_Catalog[[#All],[Client_Price_Per_Unit]],0,0)</f>
        <v>9000</v>
      </c>
      <c r="I451">
        <f>Food_Orders[[#This Row],[Client_Price]]-Food_Orders[[#This Row],[Cost]]</f>
        <v>1500</v>
      </c>
    </row>
    <row r="452" spans="1:9" x14ac:dyDescent="0.25">
      <c r="A452">
        <v>19</v>
      </c>
      <c r="B452" t="s">
        <v>92</v>
      </c>
      <c r="C452" t="s">
        <v>83</v>
      </c>
      <c r="D452" t="s">
        <v>93</v>
      </c>
      <c r="E452" t="s">
        <v>85</v>
      </c>
      <c r="F452" cm="1">
        <f t="array" ref="F452">_xlfn.XLOOKUP(Food_Orders[[#This Row],[Event_No]],Event_Master[[#All],[Event_No]],Event_Master[[#All],[Guest_Count]],,0)</f>
        <v>250</v>
      </c>
      <c r="G452" cm="1">
        <f t="array" ref="G452">Food_Orders[[#This Row],[Quantity_Orderd]]*_xlfn.XLOOKUP(Food_Orders[[#This Row],[Food_ID]],Food_Catalog[[#All],[Food_ID]],Food_Catalog[[#All],[Price_Per_Unit]],0,0)</f>
        <v>3750</v>
      </c>
      <c r="H452" cm="1">
        <f t="array" ref="H452">Food_Orders[[#This Row],[Quantity_Orderd]]*_xlfn.XLOOKUP(Food_Orders[[#This Row],[Food_ID]],Food_Catalog[[#All],[Food_ID]],Food_Catalog[[#All],[Client_Price_Per_Unit]],0,0)</f>
        <v>4500</v>
      </c>
      <c r="I452">
        <f>Food_Orders[[#This Row],[Client_Price]]-Food_Orders[[#This Row],[Cost]]</f>
        <v>750</v>
      </c>
    </row>
    <row r="453" spans="1:9" x14ac:dyDescent="0.25">
      <c r="A453">
        <v>19</v>
      </c>
      <c r="B453" t="s">
        <v>118</v>
      </c>
      <c r="C453" t="s">
        <v>119</v>
      </c>
      <c r="D453" t="s">
        <v>120</v>
      </c>
      <c r="E453" t="s">
        <v>112</v>
      </c>
      <c r="F453" cm="1">
        <f t="array" ref="F453">_xlfn.XLOOKUP(Food_Orders[[#This Row],[Event_No]],Event_Master[[#All],[Event_No]],Event_Master[[#All],[Guest_Count]],,0)</f>
        <v>250</v>
      </c>
      <c r="G453" cm="1">
        <f t="array" ref="G453">Food_Orders[[#This Row],[Quantity_Orderd]]*_xlfn.XLOOKUP(Food_Orders[[#This Row],[Food_ID]],Food_Catalog[[#All],[Food_ID]],Food_Catalog[[#All],[Price_Per_Unit]],0,0)</f>
        <v>2500</v>
      </c>
      <c r="H453" cm="1">
        <f t="array" ref="H453">Food_Orders[[#This Row],[Quantity_Orderd]]*_xlfn.XLOOKUP(Food_Orders[[#This Row],[Food_ID]],Food_Catalog[[#All],[Food_ID]],Food_Catalog[[#All],[Client_Price_Per_Unit]],0,0)</f>
        <v>3000</v>
      </c>
      <c r="I453">
        <f>Food_Orders[[#This Row],[Client_Price]]-Food_Orders[[#This Row],[Cost]]</f>
        <v>500</v>
      </c>
    </row>
    <row r="454" spans="1:9" x14ac:dyDescent="0.25">
      <c r="A454">
        <v>19</v>
      </c>
      <c r="B454" t="s">
        <v>129</v>
      </c>
      <c r="C454" t="s">
        <v>119</v>
      </c>
      <c r="D454" t="s">
        <v>130</v>
      </c>
      <c r="E454" t="s">
        <v>112</v>
      </c>
      <c r="F454" cm="1">
        <f t="array" ref="F454">_xlfn.XLOOKUP(Food_Orders[[#This Row],[Event_No]],Event_Master[[#All],[Event_No]],Event_Master[[#All],[Guest_Count]],,0)</f>
        <v>250</v>
      </c>
      <c r="G454" cm="1">
        <f t="array" ref="G454">Food_Orders[[#This Row],[Quantity_Orderd]]*_xlfn.XLOOKUP(Food_Orders[[#This Row],[Food_ID]],Food_Catalog[[#All],[Food_ID]],Food_Catalog[[#All],[Price_Per_Unit]],0,0)</f>
        <v>2500</v>
      </c>
      <c r="H454" cm="1">
        <f t="array" ref="H454">Food_Orders[[#This Row],[Quantity_Orderd]]*_xlfn.XLOOKUP(Food_Orders[[#This Row],[Food_ID]],Food_Catalog[[#All],[Food_ID]],Food_Catalog[[#All],[Client_Price_Per_Unit]],0,0)</f>
        <v>3000</v>
      </c>
      <c r="I454">
        <f>Food_Orders[[#This Row],[Client_Price]]-Food_Orders[[#This Row],[Cost]]</f>
        <v>500</v>
      </c>
    </row>
    <row r="455" spans="1:9" x14ac:dyDescent="0.25">
      <c r="A455">
        <v>19</v>
      </c>
      <c r="B455" t="s">
        <v>104</v>
      </c>
      <c r="C455" t="s">
        <v>105</v>
      </c>
      <c r="D455" t="s">
        <v>106</v>
      </c>
      <c r="E455" t="s">
        <v>107</v>
      </c>
      <c r="F455" cm="1">
        <f t="array" ref="F455">_xlfn.XLOOKUP(Food_Orders[[#This Row],[Event_No]],Event_Master[[#All],[Event_No]],Event_Master[[#All],[Guest_Count]],,0)</f>
        <v>250</v>
      </c>
      <c r="G455" cm="1">
        <f t="array" ref="G455">Food_Orders[[#This Row],[Quantity_Orderd]]*_xlfn.XLOOKUP(Food_Orders[[#This Row],[Food_ID]],Food_Catalog[[#All],[Food_ID]],Food_Catalog[[#All],[Price_Per_Unit]],0,0)</f>
        <v>2500</v>
      </c>
      <c r="H455" cm="1">
        <f t="array" ref="H455">Food_Orders[[#This Row],[Quantity_Orderd]]*_xlfn.XLOOKUP(Food_Orders[[#This Row],[Food_ID]],Food_Catalog[[#All],[Food_ID]],Food_Catalog[[#All],[Client_Price_Per_Unit]],0,0)</f>
        <v>3000</v>
      </c>
      <c r="I455">
        <f>Food_Orders[[#This Row],[Client_Price]]-Food_Orders[[#This Row],[Cost]]</f>
        <v>500</v>
      </c>
    </row>
    <row r="456" spans="1:9" x14ac:dyDescent="0.25">
      <c r="A456">
        <v>19</v>
      </c>
      <c r="B456" t="s">
        <v>108</v>
      </c>
      <c r="C456" t="s">
        <v>105</v>
      </c>
      <c r="D456" t="s">
        <v>109</v>
      </c>
      <c r="E456" t="s">
        <v>107</v>
      </c>
      <c r="F456" cm="1">
        <f t="array" ref="F456">_xlfn.XLOOKUP(Food_Orders[[#This Row],[Event_No]],Event_Master[[#All],[Event_No]],Event_Master[[#All],[Guest_Count]],,0)</f>
        <v>250</v>
      </c>
      <c r="G456" cm="1">
        <f t="array" ref="G456">Food_Orders[[#This Row],[Quantity_Orderd]]*_xlfn.XLOOKUP(Food_Orders[[#This Row],[Food_ID]],Food_Catalog[[#All],[Food_ID]],Food_Catalog[[#All],[Price_Per_Unit]],0,0)</f>
        <v>3750</v>
      </c>
      <c r="H456" cm="1">
        <f t="array" ref="H456">Food_Orders[[#This Row],[Quantity_Orderd]]*_xlfn.XLOOKUP(Food_Orders[[#This Row],[Food_ID]],Food_Catalog[[#All],[Food_ID]],Food_Catalog[[#All],[Client_Price_Per_Unit]],0,0)</f>
        <v>4500</v>
      </c>
      <c r="I456">
        <f>Food_Orders[[#This Row],[Client_Price]]-Food_Orders[[#This Row],[Cost]]</f>
        <v>750</v>
      </c>
    </row>
    <row r="457" spans="1:9" x14ac:dyDescent="0.25">
      <c r="A457">
        <v>19</v>
      </c>
      <c r="B457" t="s">
        <v>124</v>
      </c>
      <c r="C457" t="s">
        <v>119</v>
      </c>
      <c r="D457" t="s">
        <v>125</v>
      </c>
      <c r="E457" t="s">
        <v>126</v>
      </c>
      <c r="F457" cm="1">
        <f t="array" ref="F457">_xlfn.XLOOKUP(Food_Orders[[#This Row],[Event_No]],Event_Master[[#All],[Event_No]],Event_Master[[#All],[Guest_Count]],,0)</f>
        <v>250</v>
      </c>
      <c r="G457" cm="1">
        <f t="array" ref="G457">Food_Orders[[#This Row],[Quantity_Orderd]]*_xlfn.XLOOKUP(Food_Orders[[#This Row],[Food_ID]],Food_Catalog[[#All],[Food_ID]],Food_Catalog[[#All],[Price_Per_Unit]],0,0)</f>
        <v>5000</v>
      </c>
      <c r="H457" cm="1">
        <f t="array" ref="H457">Food_Orders[[#This Row],[Quantity_Orderd]]*_xlfn.XLOOKUP(Food_Orders[[#This Row],[Food_ID]],Food_Catalog[[#All],[Food_ID]],Food_Catalog[[#All],[Client_Price_Per_Unit]],0,0)</f>
        <v>6000</v>
      </c>
      <c r="I457">
        <f>Food_Orders[[#This Row],[Client_Price]]-Food_Orders[[#This Row],[Cost]]</f>
        <v>1000</v>
      </c>
    </row>
    <row r="458" spans="1:9" x14ac:dyDescent="0.25">
      <c r="A458">
        <v>20</v>
      </c>
      <c r="B458" t="s">
        <v>118</v>
      </c>
      <c r="C458" t="s">
        <v>119</v>
      </c>
      <c r="D458" t="s">
        <v>120</v>
      </c>
      <c r="E458" t="s">
        <v>112</v>
      </c>
      <c r="F458" cm="1">
        <f t="array" ref="F458">_xlfn.XLOOKUP(Food_Orders[[#This Row],[Event_No]],Event_Master[[#All],[Event_No]],Event_Master[[#All],[Guest_Count]],,0)</f>
        <v>200</v>
      </c>
      <c r="G458" cm="1">
        <f t="array" ref="G458">Food_Orders[[#This Row],[Quantity_Orderd]]*_xlfn.XLOOKUP(Food_Orders[[#This Row],[Food_ID]],Food_Catalog[[#All],[Food_ID]],Food_Catalog[[#All],[Price_Per_Unit]],0,0)</f>
        <v>2000</v>
      </c>
      <c r="H458" cm="1">
        <f t="array" ref="H458">Food_Orders[[#This Row],[Quantity_Orderd]]*_xlfn.XLOOKUP(Food_Orders[[#This Row],[Food_ID]],Food_Catalog[[#All],[Food_ID]],Food_Catalog[[#All],[Client_Price_Per_Unit]],0,0)</f>
        <v>2400</v>
      </c>
      <c r="I458">
        <f>Food_Orders[[#This Row],[Client_Price]]-Food_Orders[[#This Row],[Cost]]</f>
        <v>400</v>
      </c>
    </row>
    <row r="459" spans="1:9" x14ac:dyDescent="0.25">
      <c r="A459">
        <v>20</v>
      </c>
      <c r="B459" t="s">
        <v>129</v>
      </c>
      <c r="C459" t="s">
        <v>119</v>
      </c>
      <c r="D459" t="s">
        <v>130</v>
      </c>
      <c r="E459" t="s">
        <v>112</v>
      </c>
      <c r="F459" cm="1">
        <f t="array" ref="F459">_xlfn.XLOOKUP(Food_Orders[[#This Row],[Event_No]],Event_Master[[#All],[Event_No]],Event_Master[[#All],[Guest_Count]],,0)</f>
        <v>200</v>
      </c>
      <c r="G459" cm="1">
        <f t="array" ref="G459">Food_Orders[[#This Row],[Quantity_Orderd]]*_xlfn.XLOOKUP(Food_Orders[[#This Row],[Food_ID]],Food_Catalog[[#All],[Food_ID]],Food_Catalog[[#All],[Price_Per_Unit]],0,0)</f>
        <v>2000</v>
      </c>
      <c r="H459" cm="1">
        <f t="array" ref="H459">Food_Orders[[#This Row],[Quantity_Orderd]]*_xlfn.XLOOKUP(Food_Orders[[#This Row],[Food_ID]],Food_Catalog[[#All],[Food_ID]],Food_Catalog[[#All],[Client_Price_Per_Unit]],0,0)</f>
        <v>2400</v>
      </c>
      <c r="I459">
        <f>Food_Orders[[#This Row],[Client_Price]]-Food_Orders[[#This Row],[Cost]]</f>
        <v>400</v>
      </c>
    </row>
    <row r="460" spans="1:9" x14ac:dyDescent="0.25">
      <c r="A460">
        <v>20</v>
      </c>
      <c r="B460" t="s">
        <v>104</v>
      </c>
      <c r="C460" t="s">
        <v>105</v>
      </c>
      <c r="D460" t="s">
        <v>106</v>
      </c>
      <c r="E460" t="s">
        <v>107</v>
      </c>
      <c r="F460" cm="1">
        <f t="array" ref="F460">_xlfn.XLOOKUP(Food_Orders[[#This Row],[Event_No]],Event_Master[[#All],[Event_No]],Event_Master[[#All],[Guest_Count]],,0)</f>
        <v>200</v>
      </c>
      <c r="G460" cm="1">
        <f t="array" ref="G460">Food_Orders[[#This Row],[Quantity_Orderd]]*_xlfn.XLOOKUP(Food_Orders[[#This Row],[Food_ID]],Food_Catalog[[#All],[Food_ID]],Food_Catalog[[#All],[Price_Per_Unit]],0,0)</f>
        <v>2000</v>
      </c>
      <c r="H460" cm="1">
        <f t="array" ref="H460">Food_Orders[[#This Row],[Quantity_Orderd]]*_xlfn.XLOOKUP(Food_Orders[[#This Row],[Food_ID]],Food_Catalog[[#All],[Food_ID]],Food_Catalog[[#All],[Client_Price_Per_Unit]],0,0)</f>
        <v>2400</v>
      </c>
      <c r="I460">
        <f>Food_Orders[[#This Row],[Client_Price]]-Food_Orders[[#This Row],[Cost]]</f>
        <v>400</v>
      </c>
    </row>
    <row r="461" spans="1:9" x14ac:dyDescent="0.25">
      <c r="A461">
        <v>20</v>
      </c>
      <c r="B461" t="s">
        <v>121</v>
      </c>
      <c r="C461" t="s">
        <v>119</v>
      </c>
      <c r="D461" t="s">
        <v>122</v>
      </c>
      <c r="E461" t="s">
        <v>123</v>
      </c>
      <c r="F461" cm="1">
        <f t="array" ref="F461">_xlfn.XLOOKUP(Food_Orders[[#This Row],[Event_No]],Event_Master[[#All],[Event_No]],Event_Master[[#All],[Guest_Count]],,0)</f>
        <v>200</v>
      </c>
      <c r="G461" cm="1">
        <f t="array" ref="G461">Food_Orders[[#This Row],[Quantity_Orderd]]*_xlfn.XLOOKUP(Food_Orders[[#This Row],[Food_ID]],Food_Catalog[[#All],[Food_ID]],Food_Catalog[[#All],[Price_Per_Unit]],0,0)</f>
        <v>2000</v>
      </c>
      <c r="H461" cm="1">
        <f t="array" ref="H461">Food_Orders[[#This Row],[Quantity_Orderd]]*_xlfn.XLOOKUP(Food_Orders[[#This Row],[Food_ID]],Food_Catalog[[#All],[Food_ID]],Food_Catalog[[#All],[Client_Price_Per_Unit]],0,0)</f>
        <v>2400</v>
      </c>
      <c r="I461">
        <f>Food_Orders[[#This Row],[Client_Price]]-Food_Orders[[#This Row],[Cost]]</f>
        <v>400</v>
      </c>
    </row>
    <row r="462" spans="1:9" x14ac:dyDescent="0.25">
      <c r="A462">
        <v>20</v>
      </c>
      <c r="B462" t="s">
        <v>124</v>
      </c>
      <c r="C462" t="s">
        <v>119</v>
      </c>
      <c r="D462" t="s">
        <v>125</v>
      </c>
      <c r="E462" t="s">
        <v>126</v>
      </c>
      <c r="F462" cm="1">
        <f t="array" ref="F462">_xlfn.XLOOKUP(Food_Orders[[#This Row],[Event_No]],Event_Master[[#All],[Event_No]],Event_Master[[#All],[Guest_Count]],,0)</f>
        <v>200</v>
      </c>
      <c r="G462" cm="1">
        <f t="array" ref="G462">Food_Orders[[#This Row],[Quantity_Orderd]]*_xlfn.XLOOKUP(Food_Orders[[#This Row],[Food_ID]],Food_Catalog[[#All],[Food_ID]],Food_Catalog[[#All],[Price_Per_Unit]],0,0)</f>
        <v>4000</v>
      </c>
      <c r="H462" cm="1">
        <f t="array" ref="H462">Food_Orders[[#This Row],[Quantity_Orderd]]*_xlfn.XLOOKUP(Food_Orders[[#This Row],[Food_ID]],Food_Catalog[[#All],[Food_ID]],Food_Catalog[[#All],[Client_Price_Per_Unit]],0,0)</f>
        <v>4800</v>
      </c>
      <c r="I462">
        <f>Food_Orders[[#This Row],[Client_Price]]-Food_Orders[[#This Row],[Cost]]</f>
        <v>800</v>
      </c>
    </row>
    <row r="463" spans="1:9" x14ac:dyDescent="0.25">
      <c r="A463">
        <v>20</v>
      </c>
      <c r="B463" t="s">
        <v>63</v>
      </c>
      <c r="C463" t="s">
        <v>61</v>
      </c>
      <c r="D463" t="s">
        <v>64</v>
      </c>
      <c r="E463" t="s">
        <v>10</v>
      </c>
      <c r="F463" cm="1">
        <f t="array" ref="F463">_xlfn.XLOOKUP(Food_Orders[[#This Row],[Event_No]],Event_Master[[#All],[Event_No]],Event_Master[[#All],[Guest_Count]],,0)</f>
        <v>200</v>
      </c>
      <c r="G463" cm="1">
        <f t="array" ref="G463">Food_Orders[[#This Row],[Quantity_Orderd]]*_xlfn.XLOOKUP(Food_Orders[[#This Row],[Food_ID]],Food_Catalog[[#All],[Food_ID]],Food_Catalog[[#All],[Price_Per_Unit]],0,0)</f>
        <v>6000</v>
      </c>
      <c r="H463" cm="1">
        <f t="array" ref="H463">Food_Orders[[#This Row],[Quantity_Orderd]]*_xlfn.XLOOKUP(Food_Orders[[#This Row],[Food_ID]],Food_Catalog[[#All],[Food_ID]],Food_Catalog[[#All],[Client_Price_Per_Unit]],0,0)</f>
        <v>7200</v>
      </c>
      <c r="I463">
        <f>Food_Orders[[#This Row],[Client_Price]]-Food_Orders[[#This Row],[Cost]]</f>
        <v>1200</v>
      </c>
    </row>
    <row r="464" spans="1:9" x14ac:dyDescent="0.25">
      <c r="A464">
        <v>20</v>
      </c>
      <c r="B464" t="s">
        <v>71</v>
      </c>
      <c r="C464" t="s">
        <v>61</v>
      </c>
      <c r="D464" t="s">
        <v>72</v>
      </c>
      <c r="E464" t="s">
        <v>10</v>
      </c>
      <c r="F464" cm="1">
        <f t="array" ref="F464">_xlfn.XLOOKUP(Food_Orders[[#This Row],[Event_No]],Event_Master[[#All],[Event_No]],Event_Master[[#All],[Guest_Count]],,0)</f>
        <v>200</v>
      </c>
      <c r="G464" cm="1">
        <f t="array" ref="G464">Food_Orders[[#This Row],[Quantity_Orderd]]*_xlfn.XLOOKUP(Food_Orders[[#This Row],[Food_ID]],Food_Catalog[[#All],[Food_ID]],Food_Catalog[[#All],[Price_Per_Unit]],0,0)</f>
        <v>5000</v>
      </c>
      <c r="H464" cm="1">
        <f t="array" ref="H464">Food_Orders[[#This Row],[Quantity_Orderd]]*_xlfn.XLOOKUP(Food_Orders[[#This Row],[Food_ID]],Food_Catalog[[#All],[Food_ID]],Food_Catalog[[#All],[Client_Price_Per_Unit]],0,0)</f>
        <v>6000</v>
      </c>
      <c r="I464">
        <f>Food_Orders[[#This Row],[Client_Price]]-Food_Orders[[#This Row],[Cost]]</f>
        <v>1000</v>
      </c>
    </row>
    <row r="465" spans="1:9" x14ac:dyDescent="0.25">
      <c r="A465">
        <v>20</v>
      </c>
      <c r="B465" t="s">
        <v>29</v>
      </c>
      <c r="C465" t="s">
        <v>8</v>
      </c>
      <c r="D465" t="s">
        <v>30</v>
      </c>
      <c r="E465" t="s">
        <v>10</v>
      </c>
      <c r="F465" cm="1">
        <f t="array" ref="F465">_xlfn.XLOOKUP(Food_Orders[[#This Row],[Event_No]],Event_Master[[#All],[Event_No]],Event_Master[[#All],[Guest_Count]],,0)</f>
        <v>200</v>
      </c>
      <c r="G465" cm="1">
        <f t="array" ref="G465">Food_Orders[[#This Row],[Quantity_Orderd]]*_xlfn.XLOOKUP(Food_Orders[[#This Row],[Food_ID]],Food_Catalog[[#All],[Food_ID]],Food_Catalog[[#All],[Price_Per_Unit]],0,0)</f>
        <v>6000</v>
      </c>
      <c r="H465" cm="1">
        <f t="array" ref="H465">Food_Orders[[#This Row],[Quantity_Orderd]]*_xlfn.XLOOKUP(Food_Orders[[#This Row],[Food_ID]],Food_Catalog[[#All],[Food_ID]],Food_Catalog[[#All],[Client_Price_Per_Unit]],0,0)</f>
        <v>7200</v>
      </c>
      <c r="I465">
        <f>Food_Orders[[#This Row],[Client_Price]]-Food_Orders[[#This Row],[Cost]]</f>
        <v>1200</v>
      </c>
    </row>
    <row r="466" spans="1:9" x14ac:dyDescent="0.25">
      <c r="A466">
        <v>20</v>
      </c>
      <c r="B466" t="s">
        <v>37</v>
      </c>
      <c r="C466" t="s">
        <v>8</v>
      </c>
      <c r="D466" t="s">
        <v>38</v>
      </c>
      <c r="E466" t="s">
        <v>10</v>
      </c>
      <c r="F466" cm="1">
        <f t="array" ref="F466">_xlfn.XLOOKUP(Food_Orders[[#This Row],[Event_No]],Event_Master[[#All],[Event_No]],Event_Master[[#All],[Guest_Count]],,0)</f>
        <v>200</v>
      </c>
      <c r="G466" cm="1">
        <f t="array" ref="G466">Food_Orders[[#This Row],[Quantity_Orderd]]*_xlfn.XLOOKUP(Food_Orders[[#This Row],[Food_ID]],Food_Catalog[[#All],[Food_ID]],Food_Catalog[[#All],[Price_Per_Unit]],0,0)</f>
        <v>5000</v>
      </c>
      <c r="H466" cm="1">
        <f t="array" ref="H466">Food_Orders[[#This Row],[Quantity_Orderd]]*_xlfn.XLOOKUP(Food_Orders[[#This Row],[Food_ID]],Food_Catalog[[#All],[Food_ID]],Food_Catalog[[#All],[Client_Price_Per_Unit]],0,0)</f>
        <v>6000</v>
      </c>
      <c r="I466">
        <f>Food_Orders[[#This Row],[Client_Price]]-Food_Orders[[#This Row],[Cost]]</f>
        <v>1000</v>
      </c>
    </row>
    <row r="467" spans="1:9" x14ac:dyDescent="0.25">
      <c r="A467">
        <v>20</v>
      </c>
      <c r="B467" t="s">
        <v>27</v>
      </c>
      <c r="C467" t="s">
        <v>8</v>
      </c>
      <c r="D467" t="s">
        <v>28</v>
      </c>
      <c r="E467" t="s">
        <v>10</v>
      </c>
      <c r="F467" cm="1">
        <f t="array" ref="F467">_xlfn.XLOOKUP(Food_Orders[[#This Row],[Event_No]],Event_Master[[#All],[Event_No]],Event_Master[[#All],[Guest_Count]],,0)</f>
        <v>200</v>
      </c>
      <c r="G467" cm="1">
        <f t="array" ref="G467">Food_Orders[[#This Row],[Quantity_Orderd]]*_xlfn.XLOOKUP(Food_Orders[[#This Row],[Food_ID]],Food_Catalog[[#All],[Food_ID]],Food_Catalog[[#All],[Price_Per_Unit]],0,0)</f>
        <v>8000</v>
      </c>
      <c r="H467" cm="1">
        <f t="array" ref="H467">Food_Orders[[#This Row],[Quantity_Orderd]]*_xlfn.XLOOKUP(Food_Orders[[#This Row],[Food_ID]],Food_Catalog[[#All],[Food_ID]],Food_Catalog[[#All],[Client_Price_Per_Unit]],0,0)</f>
        <v>9600</v>
      </c>
      <c r="I467">
        <f>Food_Orders[[#This Row],[Client_Price]]-Food_Orders[[#This Row],[Cost]]</f>
        <v>1600</v>
      </c>
    </row>
    <row r="468" spans="1:9" x14ac:dyDescent="0.25">
      <c r="A468">
        <v>20</v>
      </c>
      <c r="B468" t="s">
        <v>82</v>
      </c>
      <c r="C468" t="s">
        <v>83</v>
      </c>
      <c r="D468" t="s">
        <v>84</v>
      </c>
      <c r="E468" t="s">
        <v>85</v>
      </c>
      <c r="F468" cm="1">
        <f t="array" ref="F468">_xlfn.XLOOKUP(Food_Orders[[#This Row],[Event_No]],Event_Master[[#All],[Event_No]],Event_Master[[#All],[Guest_Count]],,0)</f>
        <v>200</v>
      </c>
      <c r="G468" cm="1">
        <f t="array" ref="G468">Food_Orders[[#This Row],[Quantity_Orderd]]*_xlfn.XLOOKUP(Food_Orders[[#This Row],[Food_ID]],Food_Catalog[[#All],[Food_ID]],Food_Catalog[[#All],[Price_Per_Unit]],0,0)</f>
        <v>4000</v>
      </c>
      <c r="H468" cm="1">
        <f t="array" ref="H468">Food_Orders[[#This Row],[Quantity_Orderd]]*_xlfn.XLOOKUP(Food_Orders[[#This Row],[Food_ID]],Food_Catalog[[#All],[Food_ID]],Food_Catalog[[#All],[Client_Price_Per_Unit]],0,0)</f>
        <v>4800</v>
      </c>
      <c r="I468">
        <f>Food_Orders[[#This Row],[Client_Price]]-Food_Orders[[#This Row],[Cost]]</f>
        <v>800</v>
      </c>
    </row>
    <row r="469" spans="1:9" x14ac:dyDescent="0.25">
      <c r="A469">
        <v>20</v>
      </c>
      <c r="B469" t="s">
        <v>96</v>
      </c>
      <c r="C469" t="s">
        <v>83</v>
      </c>
      <c r="D469" t="s">
        <v>97</v>
      </c>
      <c r="E469" t="s">
        <v>79</v>
      </c>
      <c r="F469" cm="1">
        <f t="array" ref="F469">_xlfn.XLOOKUP(Food_Orders[[#This Row],[Event_No]],Event_Master[[#All],[Event_No]],Event_Master[[#All],[Guest_Count]],,0)</f>
        <v>200</v>
      </c>
      <c r="G469" cm="1">
        <f t="array" ref="G469">Food_Orders[[#This Row],[Quantity_Orderd]]*_xlfn.XLOOKUP(Food_Orders[[#This Row],[Food_ID]],Food_Catalog[[#All],[Food_ID]],Food_Catalog[[#All],[Price_Per_Unit]],0,0)</f>
        <v>6000</v>
      </c>
      <c r="H469" cm="1">
        <f t="array" ref="H469">Food_Orders[[#This Row],[Quantity_Orderd]]*_xlfn.XLOOKUP(Food_Orders[[#This Row],[Food_ID]],Food_Catalog[[#All],[Food_ID]],Food_Catalog[[#All],[Client_Price_Per_Unit]],0,0)</f>
        <v>7200</v>
      </c>
      <c r="I469">
        <f>Food_Orders[[#This Row],[Client_Price]]-Food_Orders[[#This Row],[Cost]]</f>
        <v>1200</v>
      </c>
    </row>
    <row r="470" spans="1:9" x14ac:dyDescent="0.25">
      <c r="A470">
        <v>20</v>
      </c>
      <c r="B470" t="s">
        <v>58</v>
      </c>
      <c r="C470" t="s">
        <v>40</v>
      </c>
      <c r="D470" t="s">
        <v>59</v>
      </c>
      <c r="E470" t="s">
        <v>10</v>
      </c>
      <c r="F470" cm="1">
        <f t="array" ref="F470">_xlfn.XLOOKUP(Food_Orders[[#This Row],[Event_No]],Event_Master[[#All],[Event_No]],Event_Master[[#All],[Guest_Count]],,0)</f>
        <v>200</v>
      </c>
      <c r="G470" cm="1">
        <f t="array" ref="G470">Food_Orders[[#This Row],[Quantity_Orderd]]*_xlfn.XLOOKUP(Food_Orders[[#This Row],[Food_ID]],Food_Catalog[[#All],[Food_ID]],Food_Catalog[[#All],[Price_Per_Unit]],0,0)</f>
        <v>18000</v>
      </c>
      <c r="H470" cm="1">
        <f t="array" ref="H470">Food_Orders[[#This Row],[Quantity_Orderd]]*_xlfn.XLOOKUP(Food_Orders[[#This Row],[Food_ID]],Food_Catalog[[#All],[Food_ID]],Food_Catalog[[#All],[Client_Price_Per_Unit]],0,0)</f>
        <v>21600</v>
      </c>
      <c r="I470">
        <f>Food_Orders[[#This Row],[Client_Price]]-Food_Orders[[#This Row],[Cost]]</f>
        <v>3600</v>
      </c>
    </row>
    <row r="471" spans="1:9" x14ac:dyDescent="0.25">
      <c r="A471">
        <v>21</v>
      </c>
      <c r="B471" t="s">
        <v>118</v>
      </c>
      <c r="C471" t="s">
        <v>119</v>
      </c>
      <c r="D471" t="s">
        <v>120</v>
      </c>
      <c r="E471" t="s">
        <v>112</v>
      </c>
      <c r="F471" cm="1">
        <f t="array" ref="F471">_xlfn.XLOOKUP(Food_Orders[[#This Row],[Event_No]],Event_Master[[#All],[Event_No]],Event_Master[[#All],[Guest_Count]],,0)</f>
        <v>550</v>
      </c>
      <c r="G471" cm="1">
        <f t="array" ref="G471">Food_Orders[[#This Row],[Quantity_Orderd]]*_xlfn.XLOOKUP(Food_Orders[[#This Row],[Food_ID]],Food_Catalog[[#All],[Food_ID]],Food_Catalog[[#All],[Price_Per_Unit]],0,0)</f>
        <v>5500</v>
      </c>
      <c r="H471" cm="1">
        <f t="array" ref="H471">Food_Orders[[#This Row],[Quantity_Orderd]]*_xlfn.XLOOKUP(Food_Orders[[#This Row],[Food_ID]],Food_Catalog[[#All],[Food_ID]],Food_Catalog[[#All],[Client_Price_Per_Unit]],0,0)</f>
        <v>6600</v>
      </c>
      <c r="I471">
        <f>Food_Orders[[#This Row],[Client_Price]]-Food_Orders[[#This Row],[Cost]]</f>
        <v>1100</v>
      </c>
    </row>
    <row r="472" spans="1:9" x14ac:dyDescent="0.25">
      <c r="A472">
        <v>21</v>
      </c>
      <c r="B472" t="s">
        <v>129</v>
      </c>
      <c r="C472" t="s">
        <v>119</v>
      </c>
      <c r="D472" t="s">
        <v>130</v>
      </c>
      <c r="E472" t="s">
        <v>112</v>
      </c>
      <c r="F472" cm="1">
        <f t="array" ref="F472">_xlfn.XLOOKUP(Food_Orders[[#This Row],[Event_No]],Event_Master[[#All],[Event_No]],Event_Master[[#All],[Guest_Count]],,0)</f>
        <v>550</v>
      </c>
      <c r="G472" cm="1">
        <f t="array" ref="G472">Food_Orders[[#This Row],[Quantity_Orderd]]*_xlfn.XLOOKUP(Food_Orders[[#This Row],[Food_ID]],Food_Catalog[[#All],[Food_ID]],Food_Catalog[[#All],[Price_Per_Unit]],0,0)</f>
        <v>5500</v>
      </c>
      <c r="H472" cm="1">
        <f t="array" ref="H472">Food_Orders[[#This Row],[Quantity_Orderd]]*_xlfn.XLOOKUP(Food_Orders[[#This Row],[Food_ID]],Food_Catalog[[#All],[Food_ID]],Food_Catalog[[#All],[Client_Price_Per_Unit]],0,0)</f>
        <v>6600</v>
      </c>
      <c r="I472">
        <f>Food_Orders[[#This Row],[Client_Price]]-Food_Orders[[#This Row],[Cost]]</f>
        <v>1100</v>
      </c>
    </row>
    <row r="473" spans="1:9" x14ac:dyDescent="0.25">
      <c r="A473">
        <v>21</v>
      </c>
      <c r="B473" t="s">
        <v>104</v>
      </c>
      <c r="C473" t="s">
        <v>105</v>
      </c>
      <c r="D473" t="s">
        <v>106</v>
      </c>
      <c r="E473" t="s">
        <v>107</v>
      </c>
      <c r="F473" cm="1">
        <f t="array" ref="F473">_xlfn.XLOOKUP(Food_Orders[[#This Row],[Event_No]],Event_Master[[#All],[Event_No]],Event_Master[[#All],[Guest_Count]],,0)</f>
        <v>550</v>
      </c>
      <c r="G473" cm="1">
        <f t="array" ref="G473">Food_Orders[[#This Row],[Quantity_Orderd]]*_xlfn.XLOOKUP(Food_Orders[[#This Row],[Food_ID]],Food_Catalog[[#All],[Food_ID]],Food_Catalog[[#All],[Price_Per_Unit]],0,0)</f>
        <v>5500</v>
      </c>
      <c r="H473" cm="1">
        <f t="array" ref="H473">Food_Orders[[#This Row],[Quantity_Orderd]]*_xlfn.XLOOKUP(Food_Orders[[#This Row],[Food_ID]],Food_Catalog[[#All],[Food_ID]],Food_Catalog[[#All],[Client_Price_Per_Unit]],0,0)</f>
        <v>6600</v>
      </c>
      <c r="I473">
        <f>Food_Orders[[#This Row],[Client_Price]]-Food_Orders[[#This Row],[Cost]]</f>
        <v>1100</v>
      </c>
    </row>
    <row r="474" spans="1:9" x14ac:dyDescent="0.25">
      <c r="A474">
        <v>21</v>
      </c>
      <c r="B474" t="s">
        <v>108</v>
      </c>
      <c r="C474" t="s">
        <v>105</v>
      </c>
      <c r="D474" t="s">
        <v>109</v>
      </c>
      <c r="E474" t="s">
        <v>107</v>
      </c>
      <c r="F474" cm="1">
        <f t="array" ref="F474">_xlfn.XLOOKUP(Food_Orders[[#This Row],[Event_No]],Event_Master[[#All],[Event_No]],Event_Master[[#All],[Guest_Count]],,0)</f>
        <v>550</v>
      </c>
      <c r="G474" cm="1">
        <f t="array" ref="G474">Food_Orders[[#This Row],[Quantity_Orderd]]*_xlfn.XLOOKUP(Food_Orders[[#This Row],[Food_ID]],Food_Catalog[[#All],[Food_ID]],Food_Catalog[[#All],[Price_Per_Unit]],0,0)</f>
        <v>8250</v>
      </c>
      <c r="H474" cm="1">
        <f t="array" ref="H474">Food_Orders[[#This Row],[Quantity_Orderd]]*_xlfn.XLOOKUP(Food_Orders[[#This Row],[Food_ID]],Food_Catalog[[#All],[Food_ID]],Food_Catalog[[#All],[Client_Price_Per_Unit]],0,0)</f>
        <v>9900</v>
      </c>
      <c r="I474">
        <f>Food_Orders[[#This Row],[Client_Price]]-Food_Orders[[#This Row],[Cost]]</f>
        <v>1650</v>
      </c>
    </row>
    <row r="475" spans="1:9" x14ac:dyDescent="0.25">
      <c r="A475">
        <v>21</v>
      </c>
      <c r="B475" t="s">
        <v>127</v>
      </c>
      <c r="C475" t="s">
        <v>119</v>
      </c>
      <c r="D475" t="s">
        <v>128</v>
      </c>
      <c r="E475" t="s">
        <v>107</v>
      </c>
      <c r="F475" cm="1">
        <f t="array" ref="F475">_xlfn.XLOOKUP(Food_Orders[[#This Row],[Event_No]],Event_Master[[#All],[Event_No]],Event_Master[[#All],[Guest_Count]],,0)</f>
        <v>550</v>
      </c>
      <c r="G475" cm="1">
        <f t="array" ref="G475">Food_Orders[[#This Row],[Quantity_Orderd]]*_xlfn.XLOOKUP(Food_Orders[[#This Row],[Food_ID]],Food_Catalog[[#All],[Food_ID]],Food_Catalog[[#All],[Price_Per_Unit]],0,0)</f>
        <v>11000</v>
      </c>
      <c r="H475" cm="1">
        <f t="array" ref="H475">Food_Orders[[#This Row],[Quantity_Orderd]]*_xlfn.XLOOKUP(Food_Orders[[#This Row],[Food_ID]],Food_Catalog[[#All],[Food_ID]],Food_Catalog[[#All],[Client_Price_Per_Unit]],0,0)</f>
        <v>13200</v>
      </c>
      <c r="I475">
        <f>Food_Orders[[#This Row],[Client_Price]]-Food_Orders[[#This Row],[Cost]]</f>
        <v>2200</v>
      </c>
    </row>
    <row r="476" spans="1:9" x14ac:dyDescent="0.25">
      <c r="A476">
        <v>21</v>
      </c>
      <c r="B476" t="s">
        <v>124</v>
      </c>
      <c r="C476" t="s">
        <v>119</v>
      </c>
      <c r="D476" t="s">
        <v>125</v>
      </c>
      <c r="E476" t="s">
        <v>126</v>
      </c>
      <c r="F476" cm="1">
        <f t="array" ref="F476">_xlfn.XLOOKUP(Food_Orders[[#This Row],[Event_No]],Event_Master[[#All],[Event_No]],Event_Master[[#All],[Guest_Count]],,0)</f>
        <v>550</v>
      </c>
      <c r="G476" cm="1">
        <f t="array" ref="G476">Food_Orders[[#This Row],[Quantity_Orderd]]*_xlfn.XLOOKUP(Food_Orders[[#This Row],[Food_ID]],Food_Catalog[[#All],[Food_ID]],Food_Catalog[[#All],[Price_Per_Unit]],0,0)</f>
        <v>11000</v>
      </c>
      <c r="H476" cm="1">
        <f t="array" ref="H476">Food_Orders[[#This Row],[Quantity_Orderd]]*_xlfn.XLOOKUP(Food_Orders[[#This Row],[Food_ID]],Food_Catalog[[#All],[Food_ID]],Food_Catalog[[#All],[Client_Price_Per_Unit]],0,0)</f>
        <v>13200</v>
      </c>
      <c r="I476">
        <f>Food_Orders[[#This Row],[Client_Price]]-Food_Orders[[#This Row],[Cost]]</f>
        <v>2200</v>
      </c>
    </row>
    <row r="477" spans="1:9" x14ac:dyDescent="0.25">
      <c r="A477">
        <v>21</v>
      </c>
      <c r="B477" t="s">
        <v>121</v>
      </c>
      <c r="C477" t="s">
        <v>119</v>
      </c>
      <c r="D477" t="s">
        <v>122</v>
      </c>
      <c r="E477" t="s">
        <v>123</v>
      </c>
      <c r="F477" cm="1">
        <f t="array" ref="F477">_xlfn.XLOOKUP(Food_Orders[[#This Row],[Event_No]],Event_Master[[#All],[Event_No]],Event_Master[[#All],[Guest_Count]],,0)</f>
        <v>550</v>
      </c>
      <c r="G477" cm="1">
        <f t="array" ref="G477">Food_Orders[[#This Row],[Quantity_Orderd]]*_xlfn.XLOOKUP(Food_Orders[[#This Row],[Food_ID]],Food_Catalog[[#All],[Food_ID]],Food_Catalog[[#All],[Price_Per_Unit]],0,0)</f>
        <v>5500</v>
      </c>
      <c r="H477" cm="1">
        <f t="array" ref="H477">Food_Orders[[#This Row],[Quantity_Orderd]]*_xlfn.XLOOKUP(Food_Orders[[#This Row],[Food_ID]],Food_Catalog[[#All],[Food_ID]],Food_Catalog[[#All],[Client_Price_Per_Unit]],0,0)</f>
        <v>6600</v>
      </c>
      <c r="I477">
        <f>Food_Orders[[#This Row],[Client_Price]]-Food_Orders[[#This Row],[Cost]]</f>
        <v>1100</v>
      </c>
    </row>
    <row r="478" spans="1:9" x14ac:dyDescent="0.25">
      <c r="A478">
        <v>21</v>
      </c>
      <c r="B478" t="s">
        <v>63</v>
      </c>
      <c r="C478" t="s">
        <v>61</v>
      </c>
      <c r="D478" t="s">
        <v>64</v>
      </c>
      <c r="E478" t="s">
        <v>10</v>
      </c>
      <c r="F478" cm="1">
        <f t="array" ref="F478">_xlfn.XLOOKUP(Food_Orders[[#This Row],[Event_No]],Event_Master[[#All],[Event_No]],Event_Master[[#All],[Guest_Count]],,0)</f>
        <v>550</v>
      </c>
      <c r="G478" cm="1">
        <f t="array" ref="G478">Food_Orders[[#This Row],[Quantity_Orderd]]*_xlfn.XLOOKUP(Food_Orders[[#This Row],[Food_ID]],Food_Catalog[[#All],[Food_ID]],Food_Catalog[[#All],[Price_Per_Unit]],0,0)</f>
        <v>16500</v>
      </c>
      <c r="H478" cm="1">
        <f t="array" ref="H478">Food_Orders[[#This Row],[Quantity_Orderd]]*_xlfn.XLOOKUP(Food_Orders[[#This Row],[Food_ID]],Food_Catalog[[#All],[Food_ID]],Food_Catalog[[#All],[Client_Price_Per_Unit]],0,0)</f>
        <v>19800</v>
      </c>
      <c r="I478">
        <f>Food_Orders[[#This Row],[Client_Price]]-Food_Orders[[#This Row],[Cost]]</f>
        <v>3300</v>
      </c>
    </row>
    <row r="479" spans="1:9" x14ac:dyDescent="0.25">
      <c r="A479">
        <v>21</v>
      </c>
      <c r="B479" t="s">
        <v>71</v>
      </c>
      <c r="C479" t="s">
        <v>61</v>
      </c>
      <c r="D479" t="s">
        <v>72</v>
      </c>
      <c r="E479" t="s">
        <v>10</v>
      </c>
      <c r="F479" cm="1">
        <f t="array" ref="F479">_xlfn.XLOOKUP(Food_Orders[[#This Row],[Event_No]],Event_Master[[#All],[Event_No]],Event_Master[[#All],[Guest_Count]],,0)</f>
        <v>550</v>
      </c>
      <c r="G479" cm="1">
        <f t="array" ref="G479">Food_Orders[[#This Row],[Quantity_Orderd]]*_xlfn.XLOOKUP(Food_Orders[[#This Row],[Food_ID]],Food_Catalog[[#All],[Food_ID]],Food_Catalog[[#All],[Price_Per_Unit]],0,0)</f>
        <v>13750</v>
      </c>
      <c r="H479" cm="1">
        <f t="array" ref="H479">Food_Orders[[#This Row],[Quantity_Orderd]]*_xlfn.XLOOKUP(Food_Orders[[#This Row],[Food_ID]],Food_Catalog[[#All],[Food_ID]],Food_Catalog[[#All],[Client_Price_Per_Unit]],0,0)</f>
        <v>16500</v>
      </c>
      <c r="I479">
        <f>Food_Orders[[#This Row],[Client_Price]]-Food_Orders[[#This Row],[Cost]]</f>
        <v>2750</v>
      </c>
    </row>
    <row r="480" spans="1:9" x14ac:dyDescent="0.25">
      <c r="A480">
        <v>21</v>
      </c>
      <c r="B480" t="s">
        <v>73</v>
      </c>
      <c r="C480" t="s">
        <v>61</v>
      </c>
      <c r="D480" t="s">
        <v>74</v>
      </c>
      <c r="E480" t="s">
        <v>10</v>
      </c>
      <c r="F480" cm="1">
        <f t="array" ref="F480">_xlfn.XLOOKUP(Food_Orders[[#This Row],[Event_No]],Event_Master[[#All],[Event_No]],Event_Master[[#All],[Guest_Count]],,0)</f>
        <v>550</v>
      </c>
      <c r="G480" cm="1">
        <f t="array" ref="G480">Food_Orders[[#This Row],[Quantity_Orderd]]*_xlfn.XLOOKUP(Food_Orders[[#This Row],[Food_ID]],Food_Catalog[[#All],[Food_ID]],Food_Catalog[[#All],[Price_Per_Unit]],0,0)</f>
        <v>22000</v>
      </c>
      <c r="H480" cm="1">
        <f t="array" ref="H480">Food_Orders[[#This Row],[Quantity_Orderd]]*_xlfn.XLOOKUP(Food_Orders[[#This Row],[Food_ID]],Food_Catalog[[#All],[Food_ID]],Food_Catalog[[#All],[Client_Price_Per_Unit]],0,0)</f>
        <v>26400</v>
      </c>
      <c r="I480">
        <f>Food_Orders[[#This Row],[Client_Price]]-Food_Orders[[#This Row],[Cost]]</f>
        <v>4400</v>
      </c>
    </row>
    <row r="481" spans="1:9" x14ac:dyDescent="0.25">
      <c r="A481">
        <v>21</v>
      </c>
      <c r="B481" t="s">
        <v>75</v>
      </c>
      <c r="C481" t="s">
        <v>61</v>
      </c>
      <c r="D481" t="s">
        <v>76</v>
      </c>
      <c r="E481" t="s">
        <v>10</v>
      </c>
      <c r="F481" cm="1">
        <f t="array" ref="F481">_xlfn.XLOOKUP(Food_Orders[[#This Row],[Event_No]],Event_Master[[#All],[Event_No]],Event_Master[[#All],[Guest_Count]],,0)</f>
        <v>550</v>
      </c>
      <c r="G481" cm="1">
        <f t="array" ref="G481">Food_Orders[[#This Row],[Quantity_Orderd]]*_xlfn.XLOOKUP(Food_Orders[[#This Row],[Food_ID]],Food_Catalog[[#All],[Food_ID]],Food_Catalog[[#All],[Price_Per_Unit]],0,0)</f>
        <v>22000</v>
      </c>
      <c r="H481" cm="1">
        <f t="array" ref="H481">Food_Orders[[#This Row],[Quantity_Orderd]]*_xlfn.XLOOKUP(Food_Orders[[#This Row],[Food_ID]],Food_Catalog[[#All],[Food_ID]],Food_Catalog[[#All],[Client_Price_Per_Unit]],0,0)</f>
        <v>26400</v>
      </c>
      <c r="I481">
        <f>Food_Orders[[#This Row],[Client_Price]]-Food_Orders[[#This Row],[Cost]]</f>
        <v>4400</v>
      </c>
    </row>
    <row r="482" spans="1:9" x14ac:dyDescent="0.25">
      <c r="A482">
        <v>21</v>
      </c>
      <c r="B482" t="s">
        <v>69</v>
      </c>
      <c r="C482" t="s">
        <v>61</v>
      </c>
      <c r="D482" t="s">
        <v>70</v>
      </c>
      <c r="E482" t="s">
        <v>10</v>
      </c>
      <c r="F482" cm="1">
        <f t="array" ref="F482">_xlfn.XLOOKUP(Food_Orders[[#This Row],[Event_No]],Event_Master[[#All],[Event_No]],Event_Master[[#All],[Guest_Count]],,0)</f>
        <v>550</v>
      </c>
      <c r="G482" cm="1">
        <f t="array" ref="G482">Food_Orders[[#This Row],[Quantity_Orderd]]*_xlfn.XLOOKUP(Food_Orders[[#This Row],[Food_ID]],Food_Catalog[[#All],[Food_ID]],Food_Catalog[[#All],[Price_Per_Unit]],0,0)</f>
        <v>27500</v>
      </c>
      <c r="H482" cm="1">
        <f t="array" ref="H482">Food_Orders[[#This Row],[Quantity_Orderd]]*_xlfn.XLOOKUP(Food_Orders[[#This Row],[Food_ID]],Food_Catalog[[#All],[Food_ID]],Food_Catalog[[#All],[Client_Price_Per_Unit]],0,0)</f>
        <v>33000</v>
      </c>
      <c r="I482">
        <f>Food_Orders[[#This Row],[Client_Price]]-Food_Orders[[#This Row],[Cost]]</f>
        <v>5500</v>
      </c>
    </row>
    <row r="483" spans="1:9" x14ac:dyDescent="0.25">
      <c r="A483">
        <v>21</v>
      </c>
      <c r="B483" t="s">
        <v>67</v>
      </c>
      <c r="C483" t="s">
        <v>61</v>
      </c>
      <c r="D483" t="s">
        <v>68</v>
      </c>
      <c r="E483" t="s">
        <v>10</v>
      </c>
      <c r="F483" cm="1">
        <f t="array" ref="F483">_xlfn.XLOOKUP(Food_Orders[[#This Row],[Event_No]],Event_Master[[#All],[Event_No]],Event_Master[[#All],[Guest_Count]],,0)</f>
        <v>550</v>
      </c>
      <c r="G483" cm="1">
        <f t="array" ref="G483">Food_Orders[[#This Row],[Quantity_Orderd]]*_xlfn.XLOOKUP(Food_Orders[[#This Row],[Food_ID]],Food_Catalog[[#All],[Food_ID]],Food_Catalog[[#All],[Price_Per_Unit]],0,0)</f>
        <v>16500</v>
      </c>
      <c r="H483" cm="1">
        <f t="array" ref="H483">Food_Orders[[#This Row],[Quantity_Orderd]]*_xlfn.XLOOKUP(Food_Orders[[#This Row],[Food_ID]],Food_Catalog[[#All],[Food_ID]],Food_Catalog[[#All],[Client_Price_Per_Unit]],0,0)</f>
        <v>19800</v>
      </c>
      <c r="I483">
        <f>Food_Orders[[#This Row],[Client_Price]]-Food_Orders[[#This Row],[Cost]]</f>
        <v>3300</v>
      </c>
    </row>
    <row r="484" spans="1:9" x14ac:dyDescent="0.25">
      <c r="A484">
        <v>21</v>
      </c>
      <c r="B484" t="s">
        <v>7</v>
      </c>
      <c r="C484" t="s">
        <v>8</v>
      </c>
      <c r="D484" t="s">
        <v>9</v>
      </c>
      <c r="E484" t="s">
        <v>10</v>
      </c>
      <c r="F484" cm="1">
        <f t="array" ref="F484">_xlfn.XLOOKUP(Food_Orders[[#This Row],[Event_No]],Event_Master[[#All],[Event_No]],Event_Master[[#All],[Guest_Count]],,0)</f>
        <v>550</v>
      </c>
      <c r="G484" cm="1">
        <f t="array" ref="G484">Food_Orders[[#This Row],[Quantity_Orderd]]*_xlfn.XLOOKUP(Food_Orders[[#This Row],[Food_ID]],Food_Catalog[[#All],[Food_ID]],Food_Catalog[[#All],[Price_Per_Unit]],0,0)</f>
        <v>13750</v>
      </c>
      <c r="H484" cm="1">
        <f t="array" ref="H484">Food_Orders[[#This Row],[Quantity_Orderd]]*_xlfn.XLOOKUP(Food_Orders[[#This Row],[Food_ID]],Food_Catalog[[#All],[Food_ID]],Food_Catalog[[#All],[Client_Price_Per_Unit]],0,0)</f>
        <v>16500</v>
      </c>
      <c r="I484">
        <f>Food_Orders[[#This Row],[Client_Price]]-Food_Orders[[#This Row],[Cost]]</f>
        <v>2750</v>
      </c>
    </row>
    <row r="485" spans="1:9" x14ac:dyDescent="0.25">
      <c r="A485">
        <v>21</v>
      </c>
      <c r="B485" t="s">
        <v>27</v>
      </c>
      <c r="C485" t="s">
        <v>8</v>
      </c>
      <c r="D485" t="s">
        <v>28</v>
      </c>
      <c r="E485" t="s">
        <v>10</v>
      </c>
      <c r="F485" cm="1">
        <f t="array" ref="F485">_xlfn.XLOOKUP(Food_Orders[[#This Row],[Event_No]],Event_Master[[#All],[Event_No]],Event_Master[[#All],[Guest_Count]],,0)</f>
        <v>550</v>
      </c>
      <c r="G485" cm="1">
        <f t="array" ref="G485">Food_Orders[[#This Row],[Quantity_Orderd]]*_xlfn.XLOOKUP(Food_Orders[[#This Row],[Food_ID]],Food_Catalog[[#All],[Food_ID]],Food_Catalog[[#All],[Price_Per_Unit]],0,0)</f>
        <v>22000</v>
      </c>
      <c r="H485" cm="1">
        <f t="array" ref="H485">Food_Orders[[#This Row],[Quantity_Orderd]]*_xlfn.XLOOKUP(Food_Orders[[#This Row],[Food_ID]],Food_Catalog[[#All],[Food_ID]],Food_Catalog[[#All],[Client_Price_Per_Unit]],0,0)</f>
        <v>26400</v>
      </c>
      <c r="I485">
        <f>Food_Orders[[#This Row],[Client_Price]]-Food_Orders[[#This Row],[Cost]]</f>
        <v>4400</v>
      </c>
    </row>
    <row r="486" spans="1:9" x14ac:dyDescent="0.25">
      <c r="A486">
        <v>21</v>
      </c>
      <c r="B486" t="s">
        <v>29</v>
      </c>
      <c r="C486" t="s">
        <v>8</v>
      </c>
      <c r="D486" t="s">
        <v>30</v>
      </c>
      <c r="E486" t="s">
        <v>10</v>
      </c>
      <c r="F486" cm="1">
        <f t="array" ref="F486">_xlfn.XLOOKUP(Food_Orders[[#This Row],[Event_No]],Event_Master[[#All],[Event_No]],Event_Master[[#All],[Guest_Count]],,0)</f>
        <v>550</v>
      </c>
      <c r="G486" cm="1">
        <f t="array" ref="G486">Food_Orders[[#This Row],[Quantity_Orderd]]*_xlfn.XLOOKUP(Food_Orders[[#This Row],[Food_ID]],Food_Catalog[[#All],[Food_ID]],Food_Catalog[[#All],[Price_Per_Unit]],0,0)</f>
        <v>16500</v>
      </c>
      <c r="H486" cm="1">
        <f t="array" ref="H486">Food_Orders[[#This Row],[Quantity_Orderd]]*_xlfn.XLOOKUP(Food_Orders[[#This Row],[Food_ID]],Food_Catalog[[#All],[Food_ID]],Food_Catalog[[#All],[Client_Price_Per_Unit]],0,0)</f>
        <v>19800</v>
      </c>
      <c r="I486">
        <f>Food_Orders[[#This Row],[Client_Price]]-Food_Orders[[#This Row],[Cost]]</f>
        <v>3300</v>
      </c>
    </row>
    <row r="487" spans="1:9" x14ac:dyDescent="0.25">
      <c r="A487">
        <v>21</v>
      </c>
      <c r="B487" t="s">
        <v>37</v>
      </c>
      <c r="C487" t="s">
        <v>8</v>
      </c>
      <c r="D487" t="s">
        <v>38</v>
      </c>
      <c r="E487" t="s">
        <v>10</v>
      </c>
      <c r="F487" cm="1">
        <f t="array" ref="F487">_xlfn.XLOOKUP(Food_Orders[[#This Row],[Event_No]],Event_Master[[#All],[Event_No]],Event_Master[[#All],[Guest_Count]],,0)</f>
        <v>550</v>
      </c>
      <c r="G487" cm="1">
        <f t="array" ref="G487">Food_Orders[[#This Row],[Quantity_Orderd]]*_xlfn.XLOOKUP(Food_Orders[[#This Row],[Food_ID]],Food_Catalog[[#All],[Food_ID]],Food_Catalog[[#All],[Price_Per_Unit]],0,0)</f>
        <v>13750</v>
      </c>
      <c r="H487" cm="1">
        <f t="array" ref="H487">Food_Orders[[#This Row],[Quantity_Orderd]]*_xlfn.XLOOKUP(Food_Orders[[#This Row],[Food_ID]],Food_Catalog[[#All],[Food_ID]],Food_Catalog[[#All],[Client_Price_Per_Unit]],0,0)</f>
        <v>16500</v>
      </c>
      <c r="I487">
        <f>Food_Orders[[#This Row],[Client_Price]]-Food_Orders[[#This Row],[Cost]]</f>
        <v>2750</v>
      </c>
    </row>
    <row r="488" spans="1:9" x14ac:dyDescent="0.25">
      <c r="A488">
        <v>21</v>
      </c>
      <c r="B488" t="s">
        <v>39</v>
      </c>
      <c r="C488" t="s">
        <v>40</v>
      </c>
      <c r="D488" t="s">
        <v>41</v>
      </c>
      <c r="E488" t="s">
        <v>10</v>
      </c>
      <c r="F488" cm="1">
        <f t="array" ref="F488">_xlfn.XLOOKUP(Food_Orders[[#This Row],[Event_No]],Event_Master[[#All],[Event_No]],Event_Master[[#All],[Guest_Count]],,0)</f>
        <v>550</v>
      </c>
      <c r="G488" cm="1">
        <f t="array" ref="G488">Food_Orders[[#This Row],[Quantity_Orderd]]*_xlfn.XLOOKUP(Food_Orders[[#This Row],[Food_ID]],Food_Catalog[[#All],[Food_ID]],Food_Catalog[[#All],[Price_Per_Unit]],0,0)</f>
        <v>33000</v>
      </c>
      <c r="H488" cm="1">
        <f t="array" ref="H488">Food_Orders[[#This Row],[Quantity_Orderd]]*_xlfn.XLOOKUP(Food_Orders[[#This Row],[Food_ID]],Food_Catalog[[#All],[Food_ID]],Food_Catalog[[#All],[Client_Price_Per_Unit]],0,0)</f>
        <v>39600</v>
      </c>
      <c r="I488">
        <f>Food_Orders[[#This Row],[Client_Price]]-Food_Orders[[#This Row],[Cost]]</f>
        <v>6600</v>
      </c>
    </row>
    <row r="489" spans="1:9" x14ac:dyDescent="0.25">
      <c r="A489">
        <v>21</v>
      </c>
      <c r="B489" t="s">
        <v>42</v>
      </c>
      <c r="C489" t="s">
        <v>40</v>
      </c>
      <c r="D489" t="s">
        <v>43</v>
      </c>
      <c r="E489" t="s">
        <v>10</v>
      </c>
      <c r="F489" cm="1">
        <f t="array" ref="F489">_xlfn.XLOOKUP(Food_Orders[[#This Row],[Event_No]],Event_Master[[#All],[Event_No]],Event_Master[[#All],[Guest_Count]],,0)</f>
        <v>550</v>
      </c>
      <c r="G489" cm="1">
        <f t="array" ref="G489">Food_Orders[[#This Row],[Quantity_Orderd]]*_xlfn.XLOOKUP(Food_Orders[[#This Row],[Food_ID]],Food_Catalog[[#All],[Food_ID]],Food_Catalog[[#All],[Price_Per_Unit]],0,0)</f>
        <v>38500</v>
      </c>
      <c r="H489" cm="1">
        <f t="array" ref="H489">Food_Orders[[#This Row],[Quantity_Orderd]]*_xlfn.XLOOKUP(Food_Orders[[#This Row],[Food_ID]],Food_Catalog[[#All],[Food_ID]],Food_Catalog[[#All],[Client_Price_Per_Unit]],0,0)</f>
        <v>46200</v>
      </c>
      <c r="I489">
        <f>Food_Orders[[#This Row],[Client_Price]]-Food_Orders[[#This Row],[Cost]]</f>
        <v>7700</v>
      </c>
    </row>
    <row r="490" spans="1:9" x14ac:dyDescent="0.25">
      <c r="A490">
        <v>21</v>
      </c>
      <c r="B490" t="s">
        <v>58</v>
      </c>
      <c r="C490" t="s">
        <v>40</v>
      </c>
      <c r="D490" t="s">
        <v>59</v>
      </c>
      <c r="E490" t="s">
        <v>10</v>
      </c>
      <c r="F490" cm="1">
        <f t="array" ref="F490">_xlfn.XLOOKUP(Food_Orders[[#This Row],[Event_No]],Event_Master[[#All],[Event_No]],Event_Master[[#All],[Guest_Count]],,0)</f>
        <v>550</v>
      </c>
      <c r="G490" cm="1">
        <f t="array" ref="G490">Food_Orders[[#This Row],[Quantity_Orderd]]*_xlfn.XLOOKUP(Food_Orders[[#This Row],[Food_ID]],Food_Catalog[[#All],[Food_ID]],Food_Catalog[[#All],[Price_Per_Unit]],0,0)</f>
        <v>49500</v>
      </c>
      <c r="H490" cm="1">
        <f t="array" ref="H490">Food_Orders[[#This Row],[Quantity_Orderd]]*_xlfn.XLOOKUP(Food_Orders[[#This Row],[Food_ID]],Food_Catalog[[#All],[Food_ID]],Food_Catalog[[#All],[Client_Price_Per_Unit]],0,0)</f>
        <v>59400</v>
      </c>
      <c r="I490">
        <f>Food_Orders[[#This Row],[Client_Price]]-Food_Orders[[#This Row],[Cost]]</f>
        <v>9900</v>
      </c>
    </row>
    <row r="491" spans="1:9" x14ac:dyDescent="0.25">
      <c r="A491">
        <v>21</v>
      </c>
      <c r="B491" t="s">
        <v>46</v>
      </c>
      <c r="C491" t="s">
        <v>40</v>
      </c>
      <c r="D491" t="s">
        <v>47</v>
      </c>
      <c r="E491" t="s">
        <v>10</v>
      </c>
      <c r="F491" cm="1">
        <f t="array" ref="F491">_xlfn.XLOOKUP(Food_Orders[[#This Row],[Event_No]],Event_Master[[#All],[Event_No]],Event_Master[[#All],[Guest_Count]],,0)</f>
        <v>550</v>
      </c>
      <c r="G491" cm="1">
        <f t="array" ref="G491">Food_Orders[[#This Row],[Quantity_Orderd]]*_xlfn.XLOOKUP(Food_Orders[[#This Row],[Food_ID]],Food_Catalog[[#All],[Food_ID]],Food_Catalog[[#All],[Price_Per_Unit]],0,0)</f>
        <v>49500</v>
      </c>
      <c r="H491" cm="1">
        <f t="array" ref="H491">Food_Orders[[#This Row],[Quantity_Orderd]]*_xlfn.XLOOKUP(Food_Orders[[#This Row],[Food_ID]],Food_Catalog[[#All],[Food_ID]],Food_Catalog[[#All],[Client_Price_Per_Unit]],0,0)</f>
        <v>59400</v>
      </c>
      <c r="I491">
        <f>Food_Orders[[#This Row],[Client_Price]]-Food_Orders[[#This Row],[Cost]]</f>
        <v>9900</v>
      </c>
    </row>
    <row r="492" spans="1:9" x14ac:dyDescent="0.25">
      <c r="A492">
        <v>21</v>
      </c>
      <c r="B492" t="s">
        <v>50</v>
      </c>
      <c r="C492" t="s">
        <v>40</v>
      </c>
      <c r="D492" t="s">
        <v>51</v>
      </c>
      <c r="E492" t="s">
        <v>10</v>
      </c>
      <c r="F492" cm="1">
        <f t="array" ref="F492">_xlfn.XLOOKUP(Food_Orders[[#This Row],[Event_No]],Event_Master[[#All],[Event_No]],Event_Master[[#All],[Guest_Count]],,0)</f>
        <v>550</v>
      </c>
      <c r="G492" cm="1">
        <f t="array" ref="G492">Food_Orders[[#This Row],[Quantity_Orderd]]*_xlfn.XLOOKUP(Food_Orders[[#This Row],[Food_ID]],Food_Catalog[[#All],[Food_ID]],Food_Catalog[[#All],[Price_Per_Unit]],0,0)</f>
        <v>44000</v>
      </c>
      <c r="H492" cm="1">
        <f t="array" ref="H492">Food_Orders[[#This Row],[Quantity_Orderd]]*_xlfn.XLOOKUP(Food_Orders[[#This Row],[Food_ID]],Food_Catalog[[#All],[Food_ID]],Food_Catalog[[#All],[Client_Price_Per_Unit]],0,0)</f>
        <v>52800</v>
      </c>
      <c r="I492">
        <f>Food_Orders[[#This Row],[Client_Price]]-Food_Orders[[#This Row],[Cost]]</f>
        <v>8800</v>
      </c>
    </row>
    <row r="493" spans="1:9" x14ac:dyDescent="0.25">
      <c r="A493">
        <v>21</v>
      </c>
      <c r="B493" t="s">
        <v>82</v>
      </c>
      <c r="C493" t="s">
        <v>83</v>
      </c>
      <c r="D493" t="s">
        <v>84</v>
      </c>
      <c r="E493" t="s">
        <v>85</v>
      </c>
      <c r="F493" cm="1">
        <f t="array" ref="F493">_xlfn.XLOOKUP(Food_Orders[[#This Row],[Event_No]],Event_Master[[#All],[Event_No]],Event_Master[[#All],[Guest_Count]],,0)</f>
        <v>550</v>
      </c>
      <c r="G493" cm="1">
        <f t="array" ref="G493">Food_Orders[[#This Row],[Quantity_Orderd]]*_xlfn.XLOOKUP(Food_Orders[[#This Row],[Food_ID]],Food_Catalog[[#All],[Food_ID]],Food_Catalog[[#All],[Price_Per_Unit]],0,0)</f>
        <v>11000</v>
      </c>
      <c r="H493" cm="1">
        <f t="array" ref="H493">Food_Orders[[#This Row],[Quantity_Orderd]]*_xlfn.XLOOKUP(Food_Orders[[#This Row],[Food_ID]],Food_Catalog[[#All],[Food_ID]],Food_Catalog[[#All],[Client_Price_Per_Unit]],0,0)</f>
        <v>13200</v>
      </c>
      <c r="I493">
        <f>Food_Orders[[#This Row],[Client_Price]]-Food_Orders[[#This Row],[Cost]]</f>
        <v>2200</v>
      </c>
    </row>
    <row r="494" spans="1:9" x14ac:dyDescent="0.25">
      <c r="A494">
        <v>21</v>
      </c>
      <c r="B494" t="s">
        <v>86</v>
      </c>
      <c r="C494" t="s">
        <v>83</v>
      </c>
      <c r="D494" t="s">
        <v>87</v>
      </c>
      <c r="E494" t="s">
        <v>85</v>
      </c>
      <c r="F494" cm="1">
        <f t="array" ref="F494">_xlfn.XLOOKUP(Food_Orders[[#This Row],[Event_No]],Event_Master[[#All],[Event_No]],Event_Master[[#All],[Guest_Count]],,0)</f>
        <v>550</v>
      </c>
      <c r="G494" cm="1">
        <f t="array" ref="G494">Food_Orders[[#This Row],[Quantity_Orderd]]*_xlfn.XLOOKUP(Food_Orders[[#This Row],[Food_ID]],Food_Catalog[[#All],[Food_ID]],Food_Catalog[[#All],[Price_Per_Unit]],0,0)</f>
        <v>11000</v>
      </c>
      <c r="H494" cm="1">
        <f t="array" ref="H494">Food_Orders[[#This Row],[Quantity_Orderd]]*_xlfn.XLOOKUP(Food_Orders[[#This Row],[Food_ID]],Food_Catalog[[#All],[Food_ID]],Food_Catalog[[#All],[Client_Price_Per_Unit]],0,0)</f>
        <v>13200</v>
      </c>
      <c r="I494">
        <f>Food_Orders[[#This Row],[Client_Price]]-Food_Orders[[#This Row],[Cost]]</f>
        <v>2200</v>
      </c>
    </row>
    <row r="495" spans="1:9" x14ac:dyDescent="0.25">
      <c r="A495">
        <v>21</v>
      </c>
      <c r="B495" t="s">
        <v>96</v>
      </c>
      <c r="C495" t="s">
        <v>83</v>
      </c>
      <c r="D495" t="s">
        <v>97</v>
      </c>
      <c r="E495" t="s">
        <v>79</v>
      </c>
      <c r="F495" cm="1">
        <f t="array" ref="F495">_xlfn.XLOOKUP(Food_Orders[[#This Row],[Event_No]],Event_Master[[#All],[Event_No]],Event_Master[[#All],[Guest_Count]],,0)</f>
        <v>550</v>
      </c>
      <c r="G495" cm="1">
        <f t="array" ref="G495">Food_Orders[[#This Row],[Quantity_Orderd]]*_xlfn.XLOOKUP(Food_Orders[[#This Row],[Food_ID]],Food_Catalog[[#All],[Food_ID]],Food_Catalog[[#All],[Price_Per_Unit]],0,0)</f>
        <v>16500</v>
      </c>
      <c r="H495" cm="1">
        <f t="array" ref="H495">Food_Orders[[#This Row],[Quantity_Orderd]]*_xlfn.XLOOKUP(Food_Orders[[#This Row],[Food_ID]],Food_Catalog[[#All],[Food_ID]],Food_Catalog[[#All],[Client_Price_Per_Unit]],0,0)</f>
        <v>19800</v>
      </c>
      <c r="I495">
        <f>Food_Orders[[#This Row],[Client_Price]]-Food_Orders[[#This Row],[Cost]]</f>
        <v>3300</v>
      </c>
    </row>
    <row r="496" spans="1:9" x14ac:dyDescent="0.25">
      <c r="A496">
        <v>21</v>
      </c>
      <c r="B496" t="s">
        <v>88</v>
      </c>
      <c r="C496" t="s">
        <v>83</v>
      </c>
      <c r="D496" t="s">
        <v>89</v>
      </c>
      <c r="E496" t="s">
        <v>85</v>
      </c>
      <c r="F496" cm="1">
        <f t="array" ref="F496">_xlfn.XLOOKUP(Food_Orders[[#This Row],[Event_No]],Event_Master[[#All],[Event_No]],Event_Master[[#All],[Guest_Count]],,0)</f>
        <v>550</v>
      </c>
      <c r="G496" cm="1">
        <f t="array" ref="G496">Food_Orders[[#This Row],[Quantity_Orderd]]*_xlfn.XLOOKUP(Food_Orders[[#This Row],[Food_ID]],Food_Catalog[[#All],[Food_ID]],Food_Catalog[[#All],[Price_Per_Unit]],0,0)</f>
        <v>8250</v>
      </c>
      <c r="H496" cm="1">
        <f t="array" ref="H496">Food_Orders[[#This Row],[Quantity_Orderd]]*_xlfn.XLOOKUP(Food_Orders[[#This Row],[Food_ID]],Food_Catalog[[#All],[Food_ID]],Food_Catalog[[#All],[Client_Price_Per_Unit]],0,0)</f>
        <v>9900</v>
      </c>
      <c r="I496">
        <f>Food_Orders[[#This Row],[Client_Price]]-Food_Orders[[#This Row],[Cost]]</f>
        <v>1650</v>
      </c>
    </row>
    <row r="497" spans="1:9" x14ac:dyDescent="0.25">
      <c r="A497">
        <v>21</v>
      </c>
      <c r="B497" t="s">
        <v>92</v>
      </c>
      <c r="C497" t="s">
        <v>83</v>
      </c>
      <c r="D497" t="s">
        <v>93</v>
      </c>
      <c r="E497" t="s">
        <v>85</v>
      </c>
      <c r="F497" cm="1">
        <f t="array" ref="F497">_xlfn.XLOOKUP(Food_Orders[[#This Row],[Event_No]],Event_Master[[#All],[Event_No]],Event_Master[[#All],[Guest_Count]],,0)</f>
        <v>550</v>
      </c>
      <c r="G497" cm="1">
        <f t="array" ref="G497">Food_Orders[[#This Row],[Quantity_Orderd]]*_xlfn.XLOOKUP(Food_Orders[[#This Row],[Food_ID]],Food_Catalog[[#All],[Food_ID]],Food_Catalog[[#All],[Price_Per_Unit]],0,0)</f>
        <v>8250</v>
      </c>
      <c r="H497" cm="1">
        <f t="array" ref="H497">Food_Orders[[#This Row],[Quantity_Orderd]]*_xlfn.XLOOKUP(Food_Orders[[#This Row],[Food_ID]],Food_Catalog[[#All],[Food_ID]],Food_Catalog[[#All],[Client_Price_Per_Unit]],0,0)</f>
        <v>9900</v>
      </c>
      <c r="I497">
        <f>Food_Orders[[#This Row],[Client_Price]]-Food_Orders[[#This Row],[Cost]]</f>
        <v>1650</v>
      </c>
    </row>
    <row r="498" spans="1:9" x14ac:dyDescent="0.25">
      <c r="A498">
        <v>21</v>
      </c>
      <c r="B498" t="s">
        <v>98</v>
      </c>
      <c r="C498" t="s">
        <v>83</v>
      </c>
      <c r="D498" t="s">
        <v>99</v>
      </c>
      <c r="E498" t="s">
        <v>85</v>
      </c>
      <c r="F498" cm="1">
        <f t="array" ref="F498">_xlfn.XLOOKUP(Food_Orders[[#This Row],[Event_No]],Event_Master[[#All],[Event_No]],Event_Master[[#All],[Guest_Count]],,0)</f>
        <v>550</v>
      </c>
      <c r="G498" cm="1">
        <f t="array" ref="G498">Food_Orders[[#This Row],[Quantity_Orderd]]*_xlfn.XLOOKUP(Food_Orders[[#This Row],[Food_ID]],Food_Catalog[[#All],[Food_ID]],Food_Catalog[[#All],[Price_Per_Unit]],0,0)</f>
        <v>8250</v>
      </c>
      <c r="H498" cm="1">
        <f t="array" ref="H498">Food_Orders[[#This Row],[Quantity_Orderd]]*_xlfn.XLOOKUP(Food_Orders[[#This Row],[Food_ID]],Food_Catalog[[#All],[Food_ID]],Food_Catalog[[#All],[Client_Price_Per_Unit]],0,0)</f>
        <v>9900</v>
      </c>
      <c r="I498">
        <f>Food_Orders[[#This Row],[Client_Price]]-Food_Orders[[#This Row],[Cost]]</f>
        <v>1650</v>
      </c>
    </row>
    <row r="499" spans="1:9" x14ac:dyDescent="0.25">
      <c r="A499">
        <v>21</v>
      </c>
      <c r="B499" t="s">
        <v>100</v>
      </c>
      <c r="C499" t="s">
        <v>83</v>
      </c>
      <c r="D499" t="s">
        <v>101</v>
      </c>
      <c r="E499" t="s">
        <v>79</v>
      </c>
      <c r="F499" cm="1">
        <f t="array" ref="F499">_xlfn.XLOOKUP(Food_Orders[[#This Row],[Event_No]],Event_Master[[#All],[Event_No]],Event_Master[[#All],[Guest_Count]],,0)</f>
        <v>550</v>
      </c>
      <c r="G499" cm="1">
        <f t="array" ref="G499">Food_Orders[[#This Row],[Quantity_Orderd]]*_xlfn.XLOOKUP(Food_Orders[[#This Row],[Food_ID]],Food_Catalog[[#All],[Food_ID]],Food_Catalog[[#All],[Price_Per_Unit]],0,0)</f>
        <v>19250</v>
      </c>
      <c r="H499" cm="1">
        <f t="array" ref="H499">Food_Orders[[#This Row],[Quantity_Orderd]]*_xlfn.XLOOKUP(Food_Orders[[#This Row],[Food_ID]],Food_Catalog[[#All],[Food_ID]],Food_Catalog[[#All],[Client_Price_Per_Unit]],0,0)</f>
        <v>23100</v>
      </c>
      <c r="I499">
        <f>Food_Orders[[#This Row],[Client_Price]]-Food_Orders[[#This Row],[Cost]]</f>
        <v>3850</v>
      </c>
    </row>
    <row r="500" spans="1:9" x14ac:dyDescent="0.25">
      <c r="A500">
        <v>22</v>
      </c>
      <c r="B500" t="s">
        <v>118</v>
      </c>
      <c r="C500" t="s">
        <v>119</v>
      </c>
      <c r="D500" t="s">
        <v>120</v>
      </c>
      <c r="E500" t="s">
        <v>112</v>
      </c>
      <c r="F500" cm="1">
        <f t="array" ref="F500">_xlfn.XLOOKUP(Food_Orders[[#This Row],[Event_No]],Event_Master[[#All],[Event_No]],Event_Master[[#All],[Guest_Count]],,0)</f>
        <v>350</v>
      </c>
      <c r="G500" cm="1">
        <f t="array" ref="G500">Food_Orders[[#This Row],[Quantity_Orderd]]*_xlfn.XLOOKUP(Food_Orders[[#This Row],[Food_ID]],Food_Catalog[[#All],[Food_ID]],Food_Catalog[[#All],[Price_Per_Unit]],0,0)</f>
        <v>3500</v>
      </c>
      <c r="H500" cm="1">
        <f t="array" ref="H500">Food_Orders[[#This Row],[Quantity_Orderd]]*_xlfn.XLOOKUP(Food_Orders[[#This Row],[Food_ID]],Food_Catalog[[#All],[Food_ID]],Food_Catalog[[#All],[Client_Price_Per_Unit]],0,0)</f>
        <v>4200</v>
      </c>
      <c r="I500">
        <f>Food_Orders[[#This Row],[Client_Price]]-Food_Orders[[#This Row],[Cost]]</f>
        <v>700</v>
      </c>
    </row>
    <row r="501" spans="1:9" x14ac:dyDescent="0.25">
      <c r="A501">
        <v>22</v>
      </c>
      <c r="B501" t="s">
        <v>129</v>
      </c>
      <c r="C501" t="s">
        <v>119</v>
      </c>
      <c r="D501" t="s">
        <v>130</v>
      </c>
      <c r="E501" t="s">
        <v>112</v>
      </c>
      <c r="F501" cm="1">
        <f t="array" ref="F501">_xlfn.XLOOKUP(Food_Orders[[#This Row],[Event_No]],Event_Master[[#All],[Event_No]],Event_Master[[#All],[Guest_Count]],,0)</f>
        <v>350</v>
      </c>
      <c r="G501" cm="1">
        <f t="array" ref="G501">Food_Orders[[#This Row],[Quantity_Orderd]]*_xlfn.XLOOKUP(Food_Orders[[#This Row],[Food_ID]],Food_Catalog[[#All],[Food_ID]],Food_Catalog[[#All],[Price_Per_Unit]],0,0)</f>
        <v>3500</v>
      </c>
      <c r="H501" cm="1">
        <f t="array" ref="H501">Food_Orders[[#This Row],[Quantity_Orderd]]*_xlfn.XLOOKUP(Food_Orders[[#This Row],[Food_ID]],Food_Catalog[[#All],[Food_ID]],Food_Catalog[[#All],[Client_Price_Per_Unit]],0,0)</f>
        <v>4200</v>
      </c>
      <c r="I501">
        <f>Food_Orders[[#This Row],[Client_Price]]-Food_Orders[[#This Row],[Cost]]</f>
        <v>700</v>
      </c>
    </row>
    <row r="502" spans="1:9" x14ac:dyDescent="0.25">
      <c r="A502">
        <v>22</v>
      </c>
      <c r="B502" t="s">
        <v>104</v>
      </c>
      <c r="C502" t="s">
        <v>105</v>
      </c>
      <c r="D502" t="s">
        <v>106</v>
      </c>
      <c r="E502" t="s">
        <v>107</v>
      </c>
      <c r="F502" cm="1">
        <f t="array" ref="F502">_xlfn.XLOOKUP(Food_Orders[[#This Row],[Event_No]],Event_Master[[#All],[Event_No]],Event_Master[[#All],[Guest_Count]],,0)</f>
        <v>350</v>
      </c>
      <c r="G502" cm="1">
        <f t="array" ref="G502">Food_Orders[[#This Row],[Quantity_Orderd]]*_xlfn.XLOOKUP(Food_Orders[[#This Row],[Food_ID]],Food_Catalog[[#All],[Food_ID]],Food_Catalog[[#All],[Price_Per_Unit]],0,0)</f>
        <v>3500</v>
      </c>
      <c r="H502" cm="1">
        <f t="array" ref="H502">Food_Orders[[#This Row],[Quantity_Orderd]]*_xlfn.XLOOKUP(Food_Orders[[#This Row],[Food_ID]],Food_Catalog[[#All],[Food_ID]],Food_Catalog[[#All],[Client_Price_Per_Unit]],0,0)</f>
        <v>4200</v>
      </c>
      <c r="I502">
        <f>Food_Orders[[#This Row],[Client_Price]]-Food_Orders[[#This Row],[Cost]]</f>
        <v>700</v>
      </c>
    </row>
    <row r="503" spans="1:9" x14ac:dyDescent="0.25">
      <c r="A503">
        <v>22</v>
      </c>
      <c r="B503" t="s">
        <v>108</v>
      </c>
      <c r="C503" t="s">
        <v>105</v>
      </c>
      <c r="D503" t="s">
        <v>109</v>
      </c>
      <c r="E503" t="s">
        <v>107</v>
      </c>
      <c r="F503" cm="1">
        <f t="array" ref="F503">_xlfn.XLOOKUP(Food_Orders[[#This Row],[Event_No]],Event_Master[[#All],[Event_No]],Event_Master[[#All],[Guest_Count]],,0)</f>
        <v>350</v>
      </c>
      <c r="G503" cm="1">
        <f t="array" ref="G503">Food_Orders[[#This Row],[Quantity_Orderd]]*_xlfn.XLOOKUP(Food_Orders[[#This Row],[Food_ID]],Food_Catalog[[#All],[Food_ID]],Food_Catalog[[#All],[Price_Per_Unit]],0,0)</f>
        <v>5250</v>
      </c>
      <c r="H503" cm="1">
        <f t="array" ref="H503">Food_Orders[[#This Row],[Quantity_Orderd]]*_xlfn.XLOOKUP(Food_Orders[[#This Row],[Food_ID]],Food_Catalog[[#All],[Food_ID]],Food_Catalog[[#All],[Client_Price_Per_Unit]],0,0)</f>
        <v>6300</v>
      </c>
      <c r="I503">
        <f>Food_Orders[[#This Row],[Client_Price]]-Food_Orders[[#This Row],[Cost]]</f>
        <v>1050</v>
      </c>
    </row>
    <row r="504" spans="1:9" x14ac:dyDescent="0.25">
      <c r="A504">
        <v>22</v>
      </c>
      <c r="B504" t="s">
        <v>121</v>
      </c>
      <c r="C504" t="s">
        <v>119</v>
      </c>
      <c r="D504" t="s">
        <v>122</v>
      </c>
      <c r="E504" t="s">
        <v>123</v>
      </c>
      <c r="F504" cm="1">
        <f t="array" ref="F504">_xlfn.XLOOKUP(Food_Orders[[#This Row],[Event_No]],Event_Master[[#All],[Event_No]],Event_Master[[#All],[Guest_Count]],,0)</f>
        <v>350</v>
      </c>
      <c r="G504" cm="1">
        <f t="array" ref="G504">Food_Orders[[#This Row],[Quantity_Orderd]]*_xlfn.XLOOKUP(Food_Orders[[#This Row],[Food_ID]],Food_Catalog[[#All],[Food_ID]],Food_Catalog[[#All],[Price_Per_Unit]],0,0)</f>
        <v>3500</v>
      </c>
      <c r="H504" cm="1">
        <f t="array" ref="H504">Food_Orders[[#This Row],[Quantity_Orderd]]*_xlfn.XLOOKUP(Food_Orders[[#This Row],[Food_ID]],Food_Catalog[[#All],[Food_ID]],Food_Catalog[[#All],[Client_Price_Per_Unit]],0,0)</f>
        <v>4200</v>
      </c>
      <c r="I504">
        <f>Food_Orders[[#This Row],[Client_Price]]-Food_Orders[[#This Row],[Cost]]</f>
        <v>700</v>
      </c>
    </row>
    <row r="505" spans="1:9" x14ac:dyDescent="0.25">
      <c r="A505">
        <v>22</v>
      </c>
      <c r="B505" t="s">
        <v>124</v>
      </c>
      <c r="C505" t="s">
        <v>119</v>
      </c>
      <c r="D505" t="s">
        <v>125</v>
      </c>
      <c r="E505" t="s">
        <v>126</v>
      </c>
      <c r="F505" cm="1">
        <f t="array" ref="F505">_xlfn.XLOOKUP(Food_Orders[[#This Row],[Event_No]],Event_Master[[#All],[Event_No]],Event_Master[[#All],[Guest_Count]],,0)</f>
        <v>350</v>
      </c>
      <c r="G505" cm="1">
        <f t="array" ref="G505">Food_Orders[[#This Row],[Quantity_Orderd]]*_xlfn.XLOOKUP(Food_Orders[[#This Row],[Food_ID]],Food_Catalog[[#All],[Food_ID]],Food_Catalog[[#All],[Price_Per_Unit]],0,0)</f>
        <v>7000</v>
      </c>
      <c r="H505" cm="1">
        <f t="array" ref="H505">Food_Orders[[#This Row],[Quantity_Orderd]]*_xlfn.XLOOKUP(Food_Orders[[#This Row],[Food_ID]],Food_Catalog[[#All],[Food_ID]],Food_Catalog[[#All],[Client_Price_Per_Unit]],0,0)</f>
        <v>8400</v>
      </c>
      <c r="I505">
        <f>Food_Orders[[#This Row],[Client_Price]]-Food_Orders[[#This Row],[Cost]]</f>
        <v>1400</v>
      </c>
    </row>
    <row r="506" spans="1:9" x14ac:dyDescent="0.25">
      <c r="A506">
        <v>22</v>
      </c>
      <c r="B506" t="s">
        <v>127</v>
      </c>
      <c r="C506" t="s">
        <v>119</v>
      </c>
      <c r="D506" t="s">
        <v>128</v>
      </c>
      <c r="E506" t="s">
        <v>107</v>
      </c>
      <c r="F506" cm="1">
        <f t="array" ref="F506">_xlfn.XLOOKUP(Food_Orders[[#This Row],[Event_No]],Event_Master[[#All],[Event_No]],Event_Master[[#All],[Guest_Count]],,0)</f>
        <v>350</v>
      </c>
      <c r="G506" cm="1">
        <f t="array" ref="G506">Food_Orders[[#This Row],[Quantity_Orderd]]*_xlfn.XLOOKUP(Food_Orders[[#This Row],[Food_ID]],Food_Catalog[[#All],[Food_ID]],Food_Catalog[[#All],[Price_Per_Unit]],0,0)</f>
        <v>7000</v>
      </c>
      <c r="H506" cm="1">
        <f t="array" ref="H506">Food_Orders[[#This Row],[Quantity_Orderd]]*_xlfn.XLOOKUP(Food_Orders[[#This Row],[Food_ID]],Food_Catalog[[#All],[Food_ID]],Food_Catalog[[#All],[Client_Price_Per_Unit]],0,0)</f>
        <v>8400</v>
      </c>
      <c r="I506">
        <f>Food_Orders[[#This Row],[Client_Price]]-Food_Orders[[#This Row],[Cost]]</f>
        <v>1400</v>
      </c>
    </row>
    <row r="507" spans="1:9" x14ac:dyDescent="0.25">
      <c r="A507">
        <v>22</v>
      </c>
      <c r="B507" t="s">
        <v>63</v>
      </c>
      <c r="C507" t="s">
        <v>61</v>
      </c>
      <c r="D507" t="s">
        <v>64</v>
      </c>
      <c r="E507" t="s">
        <v>10</v>
      </c>
      <c r="F507" cm="1">
        <f t="array" ref="F507">_xlfn.XLOOKUP(Food_Orders[[#This Row],[Event_No]],Event_Master[[#All],[Event_No]],Event_Master[[#All],[Guest_Count]],,0)</f>
        <v>350</v>
      </c>
      <c r="G507" cm="1">
        <f t="array" ref="G507">Food_Orders[[#This Row],[Quantity_Orderd]]*_xlfn.XLOOKUP(Food_Orders[[#This Row],[Food_ID]],Food_Catalog[[#All],[Food_ID]],Food_Catalog[[#All],[Price_Per_Unit]],0,0)</f>
        <v>10500</v>
      </c>
      <c r="H507" cm="1">
        <f t="array" ref="H507">Food_Orders[[#This Row],[Quantity_Orderd]]*_xlfn.XLOOKUP(Food_Orders[[#This Row],[Food_ID]],Food_Catalog[[#All],[Food_ID]],Food_Catalog[[#All],[Client_Price_Per_Unit]],0,0)</f>
        <v>12600</v>
      </c>
      <c r="I507">
        <f>Food_Orders[[#This Row],[Client_Price]]-Food_Orders[[#This Row],[Cost]]</f>
        <v>2100</v>
      </c>
    </row>
    <row r="508" spans="1:9" x14ac:dyDescent="0.25">
      <c r="A508">
        <v>22</v>
      </c>
      <c r="B508" t="s">
        <v>71</v>
      </c>
      <c r="C508" t="s">
        <v>61</v>
      </c>
      <c r="D508" t="s">
        <v>72</v>
      </c>
      <c r="E508" t="s">
        <v>10</v>
      </c>
      <c r="F508" cm="1">
        <f t="array" ref="F508">_xlfn.XLOOKUP(Food_Orders[[#This Row],[Event_No]],Event_Master[[#All],[Event_No]],Event_Master[[#All],[Guest_Count]],,0)</f>
        <v>350</v>
      </c>
      <c r="G508" cm="1">
        <f t="array" ref="G508">Food_Orders[[#This Row],[Quantity_Orderd]]*_xlfn.XLOOKUP(Food_Orders[[#This Row],[Food_ID]],Food_Catalog[[#All],[Food_ID]],Food_Catalog[[#All],[Price_Per_Unit]],0,0)</f>
        <v>8750</v>
      </c>
      <c r="H508" cm="1">
        <f t="array" ref="H508">Food_Orders[[#This Row],[Quantity_Orderd]]*_xlfn.XLOOKUP(Food_Orders[[#This Row],[Food_ID]],Food_Catalog[[#All],[Food_ID]],Food_Catalog[[#All],[Client_Price_Per_Unit]],0,0)</f>
        <v>10500</v>
      </c>
      <c r="I508">
        <f>Food_Orders[[#This Row],[Client_Price]]-Food_Orders[[#This Row],[Cost]]</f>
        <v>1750</v>
      </c>
    </row>
    <row r="509" spans="1:9" x14ac:dyDescent="0.25">
      <c r="A509">
        <v>22</v>
      </c>
      <c r="B509" t="s">
        <v>29</v>
      </c>
      <c r="C509" t="s">
        <v>8</v>
      </c>
      <c r="D509" t="s">
        <v>30</v>
      </c>
      <c r="E509" t="s">
        <v>10</v>
      </c>
      <c r="F509" cm="1">
        <f t="array" ref="F509">_xlfn.XLOOKUP(Food_Orders[[#This Row],[Event_No]],Event_Master[[#All],[Event_No]],Event_Master[[#All],[Guest_Count]],,0)</f>
        <v>350</v>
      </c>
      <c r="G509" cm="1">
        <f t="array" ref="G509">Food_Orders[[#This Row],[Quantity_Orderd]]*_xlfn.XLOOKUP(Food_Orders[[#This Row],[Food_ID]],Food_Catalog[[#All],[Food_ID]],Food_Catalog[[#All],[Price_Per_Unit]],0,0)</f>
        <v>10500</v>
      </c>
      <c r="H509" cm="1">
        <f t="array" ref="H509">Food_Orders[[#This Row],[Quantity_Orderd]]*_xlfn.XLOOKUP(Food_Orders[[#This Row],[Food_ID]],Food_Catalog[[#All],[Food_ID]],Food_Catalog[[#All],[Client_Price_Per_Unit]],0,0)</f>
        <v>12600</v>
      </c>
      <c r="I509">
        <f>Food_Orders[[#This Row],[Client_Price]]-Food_Orders[[#This Row],[Cost]]</f>
        <v>2100</v>
      </c>
    </row>
    <row r="510" spans="1:9" x14ac:dyDescent="0.25">
      <c r="A510">
        <v>22</v>
      </c>
      <c r="B510" t="s">
        <v>37</v>
      </c>
      <c r="C510" t="s">
        <v>8</v>
      </c>
      <c r="D510" t="s">
        <v>38</v>
      </c>
      <c r="E510" t="s">
        <v>10</v>
      </c>
      <c r="F510" cm="1">
        <f t="array" ref="F510">_xlfn.XLOOKUP(Food_Orders[[#This Row],[Event_No]],Event_Master[[#All],[Event_No]],Event_Master[[#All],[Guest_Count]],,0)</f>
        <v>350</v>
      </c>
      <c r="G510" cm="1">
        <f t="array" ref="G510">Food_Orders[[#This Row],[Quantity_Orderd]]*_xlfn.XLOOKUP(Food_Orders[[#This Row],[Food_ID]],Food_Catalog[[#All],[Food_ID]],Food_Catalog[[#All],[Price_Per_Unit]],0,0)</f>
        <v>8750</v>
      </c>
      <c r="H510" cm="1">
        <f t="array" ref="H510">Food_Orders[[#This Row],[Quantity_Orderd]]*_xlfn.XLOOKUP(Food_Orders[[#This Row],[Food_ID]],Food_Catalog[[#All],[Food_ID]],Food_Catalog[[#All],[Client_Price_Per_Unit]],0,0)</f>
        <v>10500</v>
      </c>
      <c r="I510">
        <f>Food_Orders[[#This Row],[Client_Price]]-Food_Orders[[#This Row],[Cost]]</f>
        <v>1750</v>
      </c>
    </row>
    <row r="511" spans="1:9" x14ac:dyDescent="0.25">
      <c r="A511">
        <v>22</v>
      </c>
      <c r="B511" t="s">
        <v>92</v>
      </c>
      <c r="C511" t="s">
        <v>83</v>
      </c>
      <c r="D511" t="s">
        <v>93</v>
      </c>
      <c r="E511" t="s">
        <v>85</v>
      </c>
      <c r="F511" cm="1">
        <f t="array" ref="F511">_xlfn.XLOOKUP(Food_Orders[[#This Row],[Event_No]],Event_Master[[#All],[Event_No]],Event_Master[[#All],[Guest_Count]],,0)</f>
        <v>350</v>
      </c>
      <c r="G511" cm="1">
        <f t="array" ref="G511">Food_Orders[[#This Row],[Quantity_Orderd]]*_xlfn.XLOOKUP(Food_Orders[[#This Row],[Food_ID]],Food_Catalog[[#All],[Food_ID]],Food_Catalog[[#All],[Price_Per_Unit]],0,0)</f>
        <v>5250</v>
      </c>
      <c r="H511" cm="1">
        <f t="array" ref="H511">Food_Orders[[#This Row],[Quantity_Orderd]]*_xlfn.XLOOKUP(Food_Orders[[#This Row],[Food_ID]],Food_Catalog[[#All],[Food_ID]],Food_Catalog[[#All],[Client_Price_Per_Unit]],0,0)</f>
        <v>6300</v>
      </c>
      <c r="I511">
        <f>Food_Orders[[#This Row],[Client_Price]]-Food_Orders[[#This Row],[Cost]]</f>
        <v>1050</v>
      </c>
    </row>
    <row r="512" spans="1:9" x14ac:dyDescent="0.25">
      <c r="A512">
        <v>22</v>
      </c>
      <c r="B512" t="s">
        <v>96</v>
      </c>
      <c r="C512" t="s">
        <v>83</v>
      </c>
      <c r="D512" t="s">
        <v>97</v>
      </c>
      <c r="E512" t="s">
        <v>79</v>
      </c>
      <c r="F512" cm="1">
        <f t="array" ref="F512">_xlfn.XLOOKUP(Food_Orders[[#This Row],[Event_No]],Event_Master[[#All],[Event_No]],Event_Master[[#All],[Guest_Count]],,0)</f>
        <v>350</v>
      </c>
      <c r="G512" cm="1">
        <f t="array" ref="G512">Food_Orders[[#This Row],[Quantity_Orderd]]*_xlfn.XLOOKUP(Food_Orders[[#This Row],[Food_ID]],Food_Catalog[[#All],[Food_ID]],Food_Catalog[[#All],[Price_Per_Unit]],0,0)</f>
        <v>10500</v>
      </c>
      <c r="H512" cm="1">
        <f t="array" ref="H512">Food_Orders[[#This Row],[Quantity_Orderd]]*_xlfn.XLOOKUP(Food_Orders[[#This Row],[Food_ID]],Food_Catalog[[#All],[Food_ID]],Food_Catalog[[#All],[Client_Price_Per_Unit]],0,0)</f>
        <v>12600</v>
      </c>
      <c r="I512">
        <f>Food_Orders[[#This Row],[Client_Price]]-Food_Orders[[#This Row],[Cost]]</f>
        <v>2100</v>
      </c>
    </row>
    <row r="513" spans="1:9" x14ac:dyDescent="0.25">
      <c r="A513">
        <v>23</v>
      </c>
      <c r="B513" t="s">
        <v>63</v>
      </c>
      <c r="C513" t="s">
        <v>61</v>
      </c>
      <c r="D513" t="s">
        <v>64</v>
      </c>
      <c r="E513" t="s">
        <v>10</v>
      </c>
      <c r="F513" cm="1">
        <f t="array" ref="F513">_xlfn.XLOOKUP(Food_Orders[[#This Row],[Event_No]],Event_Master[[#All],[Event_No]],Event_Master[[#All],[Guest_Count]],,0)</f>
        <v>900</v>
      </c>
      <c r="G513" cm="1">
        <f t="array" ref="G513">Food_Orders[[#This Row],[Quantity_Orderd]]*_xlfn.XLOOKUP(Food_Orders[[#This Row],[Food_ID]],Food_Catalog[[#All],[Food_ID]],Food_Catalog[[#All],[Price_Per_Unit]],0,0)</f>
        <v>27000</v>
      </c>
      <c r="H513" cm="1">
        <f t="array" ref="H513">Food_Orders[[#This Row],[Quantity_Orderd]]*_xlfn.XLOOKUP(Food_Orders[[#This Row],[Food_ID]],Food_Catalog[[#All],[Food_ID]],Food_Catalog[[#All],[Client_Price_Per_Unit]],0,0)</f>
        <v>32400</v>
      </c>
      <c r="I513">
        <f>Food_Orders[[#This Row],[Client_Price]]-Food_Orders[[#This Row],[Cost]]</f>
        <v>5400</v>
      </c>
    </row>
    <row r="514" spans="1:9" x14ac:dyDescent="0.25">
      <c r="A514">
        <v>23</v>
      </c>
      <c r="B514" t="s">
        <v>71</v>
      </c>
      <c r="C514" t="s">
        <v>61</v>
      </c>
      <c r="D514" t="s">
        <v>72</v>
      </c>
      <c r="E514" t="s">
        <v>10</v>
      </c>
      <c r="F514" cm="1">
        <f t="array" ref="F514">_xlfn.XLOOKUP(Food_Orders[[#This Row],[Event_No]],Event_Master[[#All],[Event_No]],Event_Master[[#All],[Guest_Count]],,0)</f>
        <v>900</v>
      </c>
      <c r="G514" cm="1">
        <f t="array" ref="G514">Food_Orders[[#This Row],[Quantity_Orderd]]*_xlfn.XLOOKUP(Food_Orders[[#This Row],[Food_ID]],Food_Catalog[[#All],[Food_ID]],Food_Catalog[[#All],[Price_Per_Unit]],0,0)</f>
        <v>22500</v>
      </c>
      <c r="H514" cm="1">
        <f t="array" ref="H514">Food_Orders[[#This Row],[Quantity_Orderd]]*_xlfn.XLOOKUP(Food_Orders[[#This Row],[Food_ID]],Food_Catalog[[#All],[Food_ID]],Food_Catalog[[#All],[Client_Price_Per_Unit]],0,0)</f>
        <v>27000</v>
      </c>
      <c r="I514">
        <f>Food_Orders[[#This Row],[Client_Price]]-Food_Orders[[#This Row],[Cost]]</f>
        <v>4500</v>
      </c>
    </row>
    <row r="515" spans="1:9" x14ac:dyDescent="0.25">
      <c r="A515">
        <v>23</v>
      </c>
      <c r="B515" t="s">
        <v>77</v>
      </c>
      <c r="C515" t="s">
        <v>61</v>
      </c>
      <c r="D515" t="s">
        <v>78</v>
      </c>
      <c r="E515" t="s">
        <v>79</v>
      </c>
      <c r="F515" cm="1">
        <f t="array" ref="F515">_xlfn.XLOOKUP(Food_Orders[[#This Row],[Event_No]],Event_Master[[#All],[Event_No]],Event_Master[[#All],[Guest_Count]],,0)</f>
        <v>900</v>
      </c>
      <c r="G515" cm="1">
        <f t="array" ref="G515">Food_Orders[[#This Row],[Quantity_Orderd]]*_xlfn.XLOOKUP(Food_Orders[[#This Row],[Food_ID]],Food_Catalog[[#All],[Food_ID]],Food_Catalog[[#All],[Price_Per_Unit]],0,0)</f>
        <v>31500</v>
      </c>
      <c r="H515" cm="1">
        <f t="array" ref="H515">Food_Orders[[#This Row],[Quantity_Orderd]]*_xlfn.XLOOKUP(Food_Orders[[#This Row],[Food_ID]],Food_Catalog[[#All],[Food_ID]],Food_Catalog[[#All],[Client_Price_Per_Unit]],0,0)</f>
        <v>37800</v>
      </c>
      <c r="I515">
        <f>Food_Orders[[#This Row],[Client_Price]]-Food_Orders[[#This Row],[Cost]]</f>
        <v>6300</v>
      </c>
    </row>
    <row r="516" spans="1:9" x14ac:dyDescent="0.25">
      <c r="A516">
        <v>23</v>
      </c>
      <c r="B516" t="s">
        <v>7</v>
      </c>
      <c r="C516" t="s">
        <v>8</v>
      </c>
      <c r="D516" t="s">
        <v>9</v>
      </c>
      <c r="E516" t="s">
        <v>10</v>
      </c>
      <c r="F516" cm="1">
        <f t="array" ref="F516">_xlfn.XLOOKUP(Food_Orders[[#This Row],[Event_No]],Event_Master[[#All],[Event_No]],Event_Master[[#All],[Guest_Count]],,0)</f>
        <v>900</v>
      </c>
      <c r="G516" cm="1">
        <f t="array" ref="G516">Food_Orders[[#This Row],[Quantity_Orderd]]*_xlfn.XLOOKUP(Food_Orders[[#This Row],[Food_ID]],Food_Catalog[[#All],[Food_ID]],Food_Catalog[[#All],[Price_Per_Unit]],0,0)</f>
        <v>22500</v>
      </c>
      <c r="H516" cm="1">
        <f t="array" ref="H516">Food_Orders[[#This Row],[Quantity_Orderd]]*_xlfn.XLOOKUP(Food_Orders[[#This Row],[Food_ID]],Food_Catalog[[#All],[Food_ID]],Food_Catalog[[#All],[Client_Price_Per_Unit]],0,0)</f>
        <v>27000</v>
      </c>
      <c r="I516">
        <f>Food_Orders[[#This Row],[Client_Price]]-Food_Orders[[#This Row],[Cost]]</f>
        <v>4500</v>
      </c>
    </row>
    <row r="517" spans="1:9" x14ac:dyDescent="0.25">
      <c r="A517">
        <v>23</v>
      </c>
      <c r="B517" t="s">
        <v>13</v>
      </c>
      <c r="C517" t="s">
        <v>8</v>
      </c>
      <c r="D517" t="s">
        <v>14</v>
      </c>
      <c r="E517" t="s">
        <v>10</v>
      </c>
      <c r="F517" cm="1">
        <f t="array" ref="F517">_xlfn.XLOOKUP(Food_Orders[[#This Row],[Event_No]],Event_Master[[#All],[Event_No]],Event_Master[[#All],[Guest_Count]],,0)</f>
        <v>900</v>
      </c>
      <c r="G517" cm="1">
        <f t="array" ref="G517">Food_Orders[[#This Row],[Quantity_Orderd]]*_xlfn.XLOOKUP(Food_Orders[[#This Row],[Food_ID]],Food_Catalog[[#All],[Food_ID]],Food_Catalog[[#All],[Price_Per_Unit]],0,0)</f>
        <v>31500</v>
      </c>
      <c r="H517" cm="1">
        <f t="array" ref="H517">Food_Orders[[#This Row],[Quantity_Orderd]]*_xlfn.XLOOKUP(Food_Orders[[#This Row],[Food_ID]],Food_Catalog[[#All],[Food_ID]],Food_Catalog[[#All],[Client_Price_Per_Unit]],0,0)</f>
        <v>37800</v>
      </c>
      <c r="I517">
        <f>Food_Orders[[#This Row],[Client_Price]]-Food_Orders[[#This Row],[Cost]]</f>
        <v>6300</v>
      </c>
    </row>
    <row r="518" spans="1:9" x14ac:dyDescent="0.25">
      <c r="A518">
        <v>23</v>
      </c>
      <c r="B518" t="s">
        <v>31</v>
      </c>
      <c r="C518" t="s">
        <v>8</v>
      </c>
      <c r="D518" t="s">
        <v>32</v>
      </c>
      <c r="E518" t="s">
        <v>10</v>
      </c>
      <c r="F518" cm="1">
        <f t="array" ref="F518">_xlfn.XLOOKUP(Food_Orders[[#This Row],[Event_No]],Event_Master[[#All],[Event_No]],Event_Master[[#All],[Guest_Count]],,0)</f>
        <v>900</v>
      </c>
      <c r="G518" cm="1">
        <f t="array" ref="G518">Food_Orders[[#This Row],[Quantity_Orderd]]*_xlfn.XLOOKUP(Food_Orders[[#This Row],[Food_ID]],Food_Catalog[[#All],[Food_ID]],Food_Catalog[[#All],[Price_Per_Unit]],0,0)</f>
        <v>27000</v>
      </c>
      <c r="H518" cm="1">
        <f t="array" ref="H518">Food_Orders[[#This Row],[Quantity_Orderd]]*_xlfn.XLOOKUP(Food_Orders[[#This Row],[Food_ID]],Food_Catalog[[#All],[Food_ID]],Food_Catalog[[#All],[Client_Price_Per_Unit]],0,0)</f>
        <v>32400</v>
      </c>
      <c r="I518">
        <f>Food_Orders[[#This Row],[Client_Price]]-Food_Orders[[#This Row],[Cost]]</f>
        <v>5400</v>
      </c>
    </row>
    <row r="519" spans="1:9" x14ac:dyDescent="0.25">
      <c r="A519">
        <v>23</v>
      </c>
      <c r="B519" t="s">
        <v>29</v>
      </c>
      <c r="C519" t="s">
        <v>8</v>
      </c>
      <c r="D519" t="s">
        <v>30</v>
      </c>
      <c r="E519" t="s">
        <v>10</v>
      </c>
      <c r="F519" cm="1">
        <f t="array" ref="F519">_xlfn.XLOOKUP(Food_Orders[[#This Row],[Event_No]],Event_Master[[#All],[Event_No]],Event_Master[[#All],[Guest_Count]],,0)</f>
        <v>900</v>
      </c>
      <c r="G519" cm="1">
        <f t="array" ref="G519">Food_Orders[[#This Row],[Quantity_Orderd]]*_xlfn.XLOOKUP(Food_Orders[[#This Row],[Food_ID]],Food_Catalog[[#All],[Food_ID]],Food_Catalog[[#All],[Price_Per_Unit]],0,0)</f>
        <v>27000</v>
      </c>
      <c r="H519" cm="1">
        <f t="array" ref="H519">Food_Orders[[#This Row],[Quantity_Orderd]]*_xlfn.XLOOKUP(Food_Orders[[#This Row],[Food_ID]],Food_Catalog[[#All],[Food_ID]],Food_Catalog[[#All],[Client_Price_Per_Unit]],0,0)</f>
        <v>32400</v>
      </c>
      <c r="I519">
        <f>Food_Orders[[#This Row],[Client_Price]]-Food_Orders[[#This Row],[Cost]]</f>
        <v>5400</v>
      </c>
    </row>
    <row r="520" spans="1:9" x14ac:dyDescent="0.25">
      <c r="A520">
        <v>23</v>
      </c>
      <c r="B520" t="s">
        <v>37</v>
      </c>
      <c r="C520" t="s">
        <v>8</v>
      </c>
      <c r="D520" t="s">
        <v>38</v>
      </c>
      <c r="E520" t="s">
        <v>10</v>
      </c>
      <c r="F520" cm="1">
        <f t="array" ref="F520">_xlfn.XLOOKUP(Food_Orders[[#This Row],[Event_No]],Event_Master[[#All],[Event_No]],Event_Master[[#All],[Guest_Count]],,0)</f>
        <v>900</v>
      </c>
      <c r="G520" cm="1">
        <f t="array" ref="G520">Food_Orders[[#This Row],[Quantity_Orderd]]*_xlfn.XLOOKUP(Food_Orders[[#This Row],[Food_ID]],Food_Catalog[[#All],[Food_ID]],Food_Catalog[[#All],[Price_Per_Unit]],0,0)</f>
        <v>22500</v>
      </c>
      <c r="H520" cm="1">
        <f t="array" ref="H520">Food_Orders[[#This Row],[Quantity_Orderd]]*_xlfn.XLOOKUP(Food_Orders[[#This Row],[Food_ID]],Food_Catalog[[#All],[Food_ID]],Food_Catalog[[#All],[Client_Price_Per_Unit]],0,0)</f>
        <v>27000</v>
      </c>
      <c r="I520">
        <f>Food_Orders[[#This Row],[Client_Price]]-Food_Orders[[#This Row],[Cost]]</f>
        <v>4500</v>
      </c>
    </row>
    <row r="521" spans="1:9" x14ac:dyDescent="0.25">
      <c r="A521">
        <v>23</v>
      </c>
      <c r="B521" t="s">
        <v>82</v>
      </c>
      <c r="C521" t="s">
        <v>83</v>
      </c>
      <c r="D521" t="s">
        <v>84</v>
      </c>
      <c r="E521" t="s">
        <v>85</v>
      </c>
      <c r="F521" cm="1">
        <f t="array" ref="F521">_xlfn.XLOOKUP(Food_Orders[[#This Row],[Event_No]],Event_Master[[#All],[Event_No]],Event_Master[[#All],[Guest_Count]],,0)</f>
        <v>900</v>
      </c>
      <c r="G521" cm="1">
        <f t="array" ref="G521">Food_Orders[[#This Row],[Quantity_Orderd]]*_xlfn.XLOOKUP(Food_Orders[[#This Row],[Food_ID]],Food_Catalog[[#All],[Food_ID]],Food_Catalog[[#All],[Price_Per_Unit]],0,0)</f>
        <v>18000</v>
      </c>
      <c r="H521" cm="1">
        <f t="array" ref="H521">Food_Orders[[#This Row],[Quantity_Orderd]]*_xlfn.XLOOKUP(Food_Orders[[#This Row],[Food_ID]],Food_Catalog[[#All],[Food_ID]],Food_Catalog[[#All],[Client_Price_Per_Unit]],0,0)</f>
        <v>21600</v>
      </c>
      <c r="I521">
        <f>Food_Orders[[#This Row],[Client_Price]]-Food_Orders[[#This Row],[Cost]]</f>
        <v>3600</v>
      </c>
    </row>
    <row r="522" spans="1:9" x14ac:dyDescent="0.25">
      <c r="A522">
        <v>23</v>
      </c>
      <c r="B522" t="s">
        <v>86</v>
      </c>
      <c r="C522" t="s">
        <v>83</v>
      </c>
      <c r="D522" t="s">
        <v>87</v>
      </c>
      <c r="E522" t="s">
        <v>85</v>
      </c>
      <c r="F522" cm="1">
        <f t="array" ref="F522">_xlfn.XLOOKUP(Food_Orders[[#This Row],[Event_No]],Event_Master[[#All],[Event_No]],Event_Master[[#All],[Guest_Count]],,0)</f>
        <v>900</v>
      </c>
      <c r="G522" cm="1">
        <f t="array" ref="G522">Food_Orders[[#This Row],[Quantity_Orderd]]*_xlfn.XLOOKUP(Food_Orders[[#This Row],[Food_ID]],Food_Catalog[[#All],[Food_ID]],Food_Catalog[[#All],[Price_Per_Unit]],0,0)</f>
        <v>18000</v>
      </c>
      <c r="H522" cm="1">
        <f t="array" ref="H522">Food_Orders[[#This Row],[Quantity_Orderd]]*_xlfn.XLOOKUP(Food_Orders[[#This Row],[Food_ID]],Food_Catalog[[#All],[Food_ID]],Food_Catalog[[#All],[Client_Price_Per_Unit]],0,0)</f>
        <v>21600</v>
      </c>
      <c r="I522">
        <f>Food_Orders[[#This Row],[Client_Price]]-Food_Orders[[#This Row],[Cost]]</f>
        <v>3600</v>
      </c>
    </row>
    <row r="523" spans="1:9" x14ac:dyDescent="0.25">
      <c r="A523">
        <v>23</v>
      </c>
      <c r="B523" t="s">
        <v>96</v>
      </c>
      <c r="C523" t="s">
        <v>83</v>
      </c>
      <c r="D523" t="s">
        <v>97</v>
      </c>
      <c r="E523" t="s">
        <v>79</v>
      </c>
      <c r="F523" cm="1">
        <f t="array" ref="F523">_xlfn.XLOOKUP(Food_Orders[[#This Row],[Event_No]],Event_Master[[#All],[Event_No]],Event_Master[[#All],[Guest_Count]],,0)</f>
        <v>900</v>
      </c>
      <c r="G523" cm="1">
        <f t="array" ref="G523">Food_Orders[[#This Row],[Quantity_Orderd]]*_xlfn.XLOOKUP(Food_Orders[[#This Row],[Food_ID]],Food_Catalog[[#All],[Food_ID]],Food_Catalog[[#All],[Price_Per_Unit]],0,0)</f>
        <v>27000</v>
      </c>
      <c r="H523" cm="1">
        <f t="array" ref="H523">Food_Orders[[#This Row],[Quantity_Orderd]]*_xlfn.XLOOKUP(Food_Orders[[#This Row],[Food_ID]],Food_Catalog[[#All],[Food_ID]],Food_Catalog[[#All],[Client_Price_Per_Unit]],0,0)</f>
        <v>32400</v>
      </c>
      <c r="I523">
        <f>Food_Orders[[#This Row],[Client_Price]]-Food_Orders[[#This Row],[Cost]]</f>
        <v>5400</v>
      </c>
    </row>
    <row r="524" spans="1:9" x14ac:dyDescent="0.25">
      <c r="A524">
        <v>23</v>
      </c>
      <c r="B524" t="s">
        <v>104</v>
      </c>
      <c r="C524" t="s">
        <v>105</v>
      </c>
      <c r="D524" t="s">
        <v>106</v>
      </c>
      <c r="E524" t="s">
        <v>107</v>
      </c>
      <c r="F524" cm="1">
        <f t="array" ref="F524">_xlfn.XLOOKUP(Food_Orders[[#This Row],[Event_No]],Event_Master[[#All],[Event_No]],Event_Master[[#All],[Guest_Count]],,0)</f>
        <v>900</v>
      </c>
      <c r="G524" cm="1">
        <f t="array" ref="G524">Food_Orders[[#This Row],[Quantity_Orderd]]*_xlfn.XLOOKUP(Food_Orders[[#This Row],[Food_ID]],Food_Catalog[[#All],[Food_ID]],Food_Catalog[[#All],[Price_Per_Unit]],0,0)</f>
        <v>9000</v>
      </c>
      <c r="H524" cm="1">
        <f t="array" ref="H524">Food_Orders[[#This Row],[Quantity_Orderd]]*_xlfn.XLOOKUP(Food_Orders[[#This Row],[Food_ID]],Food_Catalog[[#All],[Food_ID]],Food_Catalog[[#All],[Client_Price_Per_Unit]],0,0)</f>
        <v>10800</v>
      </c>
      <c r="I524">
        <f>Food_Orders[[#This Row],[Client_Price]]-Food_Orders[[#This Row],[Cost]]</f>
        <v>1800</v>
      </c>
    </row>
    <row r="525" spans="1:9" x14ac:dyDescent="0.25">
      <c r="A525">
        <v>23</v>
      </c>
      <c r="B525" t="s">
        <v>118</v>
      </c>
      <c r="C525" t="s">
        <v>119</v>
      </c>
      <c r="D525" t="s">
        <v>120</v>
      </c>
      <c r="E525" t="s">
        <v>112</v>
      </c>
      <c r="F525" cm="1">
        <f t="array" ref="F525">_xlfn.XLOOKUP(Food_Orders[[#This Row],[Event_No]],Event_Master[[#All],[Event_No]],Event_Master[[#All],[Guest_Count]],,0)</f>
        <v>900</v>
      </c>
      <c r="G525" cm="1">
        <f t="array" ref="G525">Food_Orders[[#This Row],[Quantity_Orderd]]*_xlfn.XLOOKUP(Food_Orders[[#This Row],[Food_ID]],Food_Catalog[[#All],[Food_ID]],Food_Catalog[[#All],[Price_Per_Unit]],0,0)</f>
        <v>9000</v>
      </c>
      <c r="H525" cm="1">
        <f t="array" ref="H525">Food_Orders[[#This Row],[Quantity_Orderd]]*_xlfn.XLOOKUP(Food_Orders[[#This Row],[Food_ID]],Food_Catalog[[#All],[Food_ID]],Food_Catalog[[#All],[Client_Price_Per_Unit]],0,0)</f>
        <v>10800</v>
      </c>
      <c r="I525">
        <f>Food_Orders[[#This Row],[Client_Price]]-Food_Orders[[#This Row],[Cost]]</f>
        <v>1800</v>
      </c>
    </row>
    <row r="526" spans="1:9" x14ac:dyDescent="0.25">
      <c r="A526">
        <v>23</v>
      </c>
      <c r="B526" t="s">
        <v>129</v>
      </c>
      <c r="C526" t="s">
        <v>119</v>
      </c>
      <c r="D526" t="s">
        <v>130</v>
      </c>
      <c r="E526" t="s">
        <v>112</v>
      </c>
      <c r="F526" cm="1">
        <f t="array" ref="F526">_xlfn.XLOOKUP(Food_Orders[[#This Row],[Event_No]],Event_Master[[#All],[Event_No]],Event_Master[[#All],[Guest_Count]],,0)</f>
        <v>900</v>
      </c>
      <c r="G526" cm="1">
        <f t="array" ref="G526">Food_Orders[[#This Row],[Quantity_Orderd]]*_xlfn.XLOOKUP(Food_Orders[[#This Row],[Food_ID]],Food_Catalog[[#All],[Food_ID]],Food_Catalog[[#All],[Price_Per_Unit]],0,0)</f>
        <v>9000</v>
      </c>
      <c r="H526" cm="1">
        <f t="array" ref="H526">Food_Orders[[#This Row],[Quantity_Orderd]]*_xlfn.XLOOKUP(Food_Orders[[#This Row],[Food_ID]],Food_Catalog[[#All],[Food_ID]],Food_Catalog[[#All],[Client_Price_Per_Unit]],0,0)</f>
        <v>10800</v>
      </c>
      <c r="I526">
        <f>Food_Orders[[#This Row],[Client_Price]]-Food_Orders[[#This Row],[Cost]]</f>
        <v>1800</v>
      </c>
    </row>
    <row r="527" spans="1:9" x14ac:dyDescent="0.25">
      <c r="A527">
        <v>24</v>
      </c>
      <c r="B527" t="s">
        <v>63</v>
      </c>
      <c r="C527" t="s">
        <v>61</v>
      </c>
      <c r="D527" t="s">
        <v>64</v>
      </c>
      <c r="E527" t="s">
        <v>10</v>
      </c>
      <c r="F527" cm="1">
        <f t="array" ref="F527">_xlfn.XLOOKUP(Food_Orders[[#This Row],[Event_No]],Event_Master[[#All],[Event_No]],Event_Master[[#All],[Guest_Count]],,0)</f>
        <v>1500</v>
      </c>
      <c r="G527" cm="1">
        <f t="array" ref="G527">Food_Orders[[#This Row],[Quantity_Orderd]]*_xlfn.XLOOKUP(Food_Orders[[#This Row],[Food_ID]],Food_Catalog[[#All],[Food_ID]],Food_Catalog[[#All],[Price_Per_Unit]],0,0)</f>
        <v>45000</v>
      </c>
      <c r="H527" cm="1">
        <f t="array" ref="H527">Food_Orders[[#This Row],[Quantity_Orderd]]*_xlfn.XLOOKUP(Food_Orders[[#This Row],[Food_ID]],Food_Catalog[[#All],[Food_ID]],Food_Catalog[[#All],[Client_Price_Per_Unit]],0,0)</f>
        <v>54000</v>
      </c>
      <c r="I527">
        <f>Food_Orders[[#This Row],[Client_Price]]-Food_Orders[[#This Row],[Cost]]</f>
        <v>9000</v>
      </c>
    </row>
    <row r="528" spans="1:9" x14ac:dyDescent="0.25">
      <c r="A528">
        <v>24</v>
      </c>
      <c r="B528" t="s">
        <v>71</v>
      </c>
      <c r="C528" t="s">
        <v>61</v>
      </c>
      <c r="D528" t="s">
        <v>72</v>
      </c>
      <c r="E528" t="s">
        <v>10</v>
      </c>
      <c r="F528" cm="1">
        <f t="array" ref="F528">_xlfn.XLOOKUP(Food_Orders[[#This Row],[Event_No]],Event_Master[[#All],[Event_No]],Event_Master[[#All],[Guest_Count]],,0)</f>
        <v>1500</v>
      </c>
      <c r="G528" cm="1">
        <f t="array" ref="G528">Food_Orders[[#This Row],[Quantity_Orderd]]*_xlfn.XLOOKUP(Food_Orders[[#This Row],[Food_ID]],Food_Catalog[[#All],[Food_ID]],Food_Catalog[[#All],[Price_Per_Unit]],0,0)</f>
        <v>37500</v>
      </c>
      <c r="H528" cm="1">
        <f t="array" ref="H528">Food_Orders[[#This Row],[Quantity_Orderd]]*_xlfn.XLOOKUP(Food_Orders[[#This Row],[Food_ID]],Food_Catalog[[#All],[Food_ID]],Food_Catalog[[#All],[Client_Price_Per_Unit]],0,0)</f>
        <v>45000</v>
      </c>
      <c r="I528">
        <f>Food_Orders[[#This Row],[Client_Price]]-Food_Orders[[#This Row],[Cost]]</f>
        <v>7500</v>
      </c>
    </row>
    <row r="529" spans="1:9" x14ac:dyDescent="0.25">
      <c r="A529">
        <v>24</v>
      </c>
      <c r="B529" t="s">
        <v>60</v>
      </c>
      <c r="C529" t="s">
        <v>61</v>
      </c>
      <c r="D529" t="s">
        <v>62</v>
      </c>
      <c r="E529" t="s">
        <v>10</v>
      </c>
      <c r="F529" cm="1">
        <f t="array" ref="F529">_xlfn.XLOOKUP(Food_Orders[[#This Row],[Event_No]],Event_Master[[#All],[Event_No]],Event_Master[[#All],[Guest_Count]],,0)</f>
        <v>1500</v>
      </c>
      <c r="G529" cm="1">
        <f t="array" ref="G529">Food_Orders[[#This Row],[Quantity_Orderd]]*_xlfn.XLOOKUP(Food_Orders[[#This Row],[Food_ID]],Food_Catalog[[#All],[Food_ID]],Food_Catalog[[#All],[Price_Per_Unit]],0,0)</f>
        <v>30000</v>
      </c>
      <c r="H529" cm="1">
        <f t="array" ref="H529">Food_Orders[[#This Row],[Quantity_Orderd]]*_xlfn.XLOOKUP(Food_Orders[[#This Row],[Food_ID]],Food_Catalog[[#All],[Food_ID]],Food_Catalog[[#All],[Client_Price_Per_Unit]],0,0)</f>
        <v>36000</v>
      </c>
      <c r="I529">
        <f>Food_Orders[[#This Row],[Client_Price]]-Food_Orders[[#This Row],[Cost]]</f>
        <v>6000</v>
      </c>
    </row>
    <row r="530" spans="1:9" x14ac:dyDescent="0.25">
      <c r="A530">
        <v>24</v>
      </c>
      <c r="B530" t="s">
        <v>80</v>
      </c>
      <c r="C530" t="s">
        <v>61</v>
      </c>
      <c r="D530" t="s">
        <v>81</v>
      </c>
      <c r="E530" t="s">
        <v>10</v>
      </c>
      <c r="F530" cm="1">
        <f t="array" ref="F530">_xlfn.XLOOKUP(Food_Orders[[#This Row],[Event_No]],Event_Master[[#All],[Event_No]],Event_Master[[#All],[Guest_Count]],,0)</f>
        <v>1500</v>
      </c>
      <c r="G530" cm="1">
        <f t="array" ref="G530">Food_Orders[[#This Row],[Quantity_Orderd]]*_xlfn.XLOOKUP(Food_Orders[[#This Row],[Food_ID]],Food_Catalog[[#All],[Food_ID]],Food_Catalog[[#All],[Price_Per_Unit]],0,0)</f>
        <v>45000</v>
      </c>
      <c r="H530" cm="1">
        <f t="array" ref="H530">Food_Orders[[#This Row],[Quantity_Orderd]]*_xlfn.XLOOKUP(Food_Orders[[#This Row],[Food_ID]],Food_Catalog[[#All],[Food_ID]],Food_Catalog[[#All],[Client_Price_Per_Unit]],0,0)</f>
        <v>54000</v>
      </c>
      <c r="I530">
        <f>Food_Orders[[#This Row],[Client_Price]]-Food_Orders[[#This Row],[Cost]]</f>
        <v>9000</v>
      </c>
    </row>
    <row r="531" spans="1:9" x14ac:dyDescent="0.25">
      <c r="A531">
        <v>24</v>
      </c>
      <c r="B531" t="s">
        <v>73</v>
      </c>
      <c r="C531" t="s">
        <v>61</v>
      </c>
      <c r="D531" t="s">
        <v>74</v>
      </c>
      <c r="E531" t="s">
        <v>10</v>
      </c>
      <c r="F531" cm="1">
        <f t="array" ref="F531">_xlfn.XLOOKUP(Food_Orders[[#This Row],[Event_No]],Event_Master[[#All],[Event_No]],Event_Master[[#All],[Guest_Count]],,0)</f>
        <v>1500</v>
      </c>
      <c r="G531" cm="1">
        <f t="array" ref="G531">Food_Orders[[#This Row],[Quantity_Orderd]]*_xlfn.XLOOKUP(Food_Orders[[#This Row],[Food_ID]],Food_Catalog[[#All],[Food_ID]],Food_Catalog[[#All],[Price_Per_Unit]],0,0)</f>
        <v>60000</v>
      </c>
      <c r="H531" cm="1">
        <f t="array" ref="H531">Food_Orders[[#This Row],[Quantity_Orderd]]*_xlfn.XLOOKUP(Food_Orders[[#This Row],[Food_ID]],Food_Catalog[[#All],[Food_ID]],Food_Catalog[[#All],[Client_Price_Per_Unit]],0,0)</f>
        <v>72000</v>
      </c>
      <c r="I531">
        <f>Food_Orders[[#This Row],[Client_Price]]-Food_Orders[[#This Row],[Cost]]</f>
        <v>12000</v>
      </c>
    </row>
    <row r="532" spans="1:9" x14ac:dyDescent="0.25">
      <c r="A532">
        <v>24</v>
      </c>
      <c r="B532" t="s">
        <v>75</v>
      </c>
      <c r="C532" t="s">
        <v>61</v>
      </c>
      <c r="D532" t="s">
        <v>76</v>
      </c>
      <c r="E532" t="s">
        <v>10</v>
      </c>
      <c r="F532" cm="1">
        <f t="array" ref="F532">_xlfn.XLOOKUP(Food_Orders[[#This Row],[Event_No]],Event_Master[[#All],[Event_No]],Event_Master[[#All],[Guest_Count]],,0)</f>
        <v>1500</v>
      </c>
      <c r="G532" cm="1">
        <f t="array" ref="G532">Food_Orders[[#This Row],[Quantity_Orderd]]*_xlfn.XLOOKUP(Food_Orders[[#This Row],[Food_ID]],Food_Catalog[[#All],[Food_ID]],Food_Catalog[[#All],[Price_Per_Unit]],0,0)</f>
        <v>60000</v>
      </c>
      <c r="H532" cm="1">
        <f t="array" ref="H532">Food_Orders[[#This Row],[Quantity_Orderd]]*_xlfn.XLOOKUP(Food_Orders[[#This Row],[Food_ID]],Food_Catalog[[#All],[Food_ID]],Food_Catalog[[#All],[Client_Price_Per_Unit]],0,0)</f>
        <v>72000</v>
      </c>
      <c r="I532">
        <f>Food_Orders[[#This Row],[Client_Price]]-Food_Orders[[#This Row],[Cost]]</f>
        <v>12000</v>
      </c>
    </row>
    <row r="533" spans="1:9" x14ac:dyDescent="0.25">
      <c r="A533">
        <v>24</v>
      </c>
      <c r="B533" t="s">
        <v>69</v>
      </c>
      <c r="C533" t="s">
        <v>61</v>
      </c>
      <c r="D533" t="s">
        <v>70</v>
      </c>
      <c r="E533" t="s">
        <v>10</v>
      </c>
      <c r="F533" cm="1">
        <f t="array" ref="F533">_xlfn.XLOOKUP(Food_Orders[[#This Row],[Event_No]],Event_Master[[#All],[Event_No]],Event_Master[[#All],[Guest_Count]],,0)</f>
        <v>1500</v>
      </c>
      <c r="G533" cm="1">
        <f t="array" ref="G533">Food_Orders[[#This Row],[Quantity_Orderd]]*_xlfn.XLOOKUP(Food_Orders[[#This Row],[Food_ID]],Food_Catalog[[#All],[Food_ID]],Food_Catalog[[#All],[Price_Per_Unit]],0,0)</f>
        <v>75000</v>
      </c>
      <c r="H533" cm="1">
        <f t="array" ref="H533">Food_Orders[[#This Row],[Quantity_Orderd]]*_xlfn.XLOOKUP(Food_Orders[[#This Row],[Food_ID]],Food_Catalog[[#All],[Food_ID]],Food_Catalog[[#All],[Client_Price_Per_Unit]],0,0)</f>
        <v>90000</v>
      </c>
      <c r="I533">
        <f>Food_Orders[[#This Row],[Client_Price]]-Food_Orders[[#This Row],[Cost]]</f>
        <v>15000</v>
      </c>
    </row>
    <row r="534" spans="1:9" x14ac:dyDescent="0.25">
      <c r="A534">
        <v>24</v>
      </c>
      <c r="B534" t="s">
        <v>77</v>
      </c>
      <c r="C534" t="s">
        <v>61</v>
      </c>
      <c r="D534" t="s">
        <v>78</v>
      </c>
      <c r="E534" t="s">
        <v>79</v>
      </c>
      <c r="F534" cm="1">
        <f t="array" ref="F534">_xlfn.XLOOKUP(Food_Orders[[#This Row],[Event_No]],Event_Master[[#All],[Event_No]],Event_Master[[#All],[Guest_Count]],,0)</f>
        <v>1500</v>
      </c>
      <c r="G534" cm="1">
        <f t="array" ref="G534">Food_Orders[[#This Row],[Quantity_Orderd]]*_xlfn.XLOOKUP(Food_Orders[[#This Row],[Food_ID]],Food_Catalog[[#All],[Food_ID]],Food_Catalog[[#All],[Price_Per_Unit]],0,0)</f>
        <v>52500</v>
      </c>
      <c r="H534" cm="1">
        <f t="array" ref="H534">Food_Orders[[#This Row],[Quantity_Orderd]]*_xlfn.XLOOKUP(Food_Orders[[#This Row],[Food_ID]],Food_Catalog[[#All],[Food_ID]],Food_Catalog[[#All],[Client_Price_Per_Unit]],0,0)</f>
        <v>63000</v>
      </c>
      <c r="I534">
        <f>Food_Orders[[#This Row],[Client_Price]]-Food_Orders[[#This Row],[Cost]]</f>
        <v>10500</v>
      </c>
    </row>
    <row r="535" spans="1:9" x14ac:dyDescent="0.25">
      <c r="A535">
        <v>24</v>
      </c>
      <c r="B535" t="s">
        <v>7</v>
      </c>
      <c r="C535" t="s">
        <v>8</v>
      </c>
      <c r="D535" t="s">
        <v>9</v>
      </c>
      <c r="E535" t="s">
        <v>10</v>
      </c>
      <c r="F535" cm="1">
        <f t="array" ref="F535">_xlfn.XLOOKUP(Food_Orders[[#This Row],[Event_No]],Event_Master[[#All],[Event_No]],Event_Master[[#All],[Guest_Count]],,0)</f>
        <v>1500</v>
      </c>
      <c r="G535" cm="1">
        <f t="array" ref="G535">Food_Orders[[#This Row],[Quantity_Orderd]]*_xlfn.XLOOKUP(Food_Orders[[#This Row],[Food_ID]],Food_Catalog[[#All],[Food_ID]],Food_Catalog[[#All],[Price_Per_Unit]],0,0)</f>
        <v>37500</v>
      </c>
      <c r="H535" cm="1">
        <f t="array" ref="H535">Food_Orders[[#This Row],[Quantity_Orderd]]*_xlfn.XLOOKUP(Food_Orders[[#This Row],[Food_ID]],Food_Catalog[[#All],[Food_ID]],Food_Catalog[[#All],[Client_Price_Per_Unit]],0,0)</f>
        <v>45000</v>
      </c>
      <c r="I535">
        <f>Food_Orders[[#This Row],[Client_Price]]-Food_Orders[[#This Row],[Cost]]</f>
        <v>7500</v>
      </c>
    </row>
    <row r="536" spans="1:9" x14ac:dyDescent="0.25">
      <c r="A536">
        <v>24</v>
      </c>
      <c r="B536" t="s">
        <v>13</v>
      </c>
      <c r="C536" t="s">
        <v>8</v>
      </c>
      <c r="D536" t="s">
        <v>14</v>
      </c>
      <c r="E536" t="s">
        <v>10</v>
      </c>
      <c r="F536" cm="1">
        <f t="array" ref="F536">_xlfn.XLOOKUP(Food_Orders[[#This Row],[Event_No]],Event_Master[[#All],[Event_No]],Event_Master[[#All],[Guest_Count]],,0)</f>
        <v>1500</v>
      </c>
      <c r="G536" cm="1">
        <f t="array" ref="G536">Food_Orders[[#This Row],[Quantity_Orderd]]*_xlfn.XLOOKUP(Food_Orders[[#This Row],[Food_ID]],Food_Catalog[[#All],[Food_ID]],Food_Catalog[[#All],[Price_Per_Unit]],0,0)</f>
        <v>52500</v>
      </c>
      <c r="H536" cm="1">
        <f t="array" ref="H536">Food_Orders[[#This Row],[Quantity_Orderd]]*_xlfn.XLOOKUP(Food_Orders[[#This Row],[Food_ID]],Food_Catalog[[#All],[Food_ID]],Food_Catalog[[#All],[Client_Price_Per_Unit]],0,0)</f>
        <v>63000</v>
      </c>
      <c r="I536">
        <f>Food_Orders[[#This Row],[Client_Price]]-Food_Orders[[#This Row],[Cost]]</f>
        <v>10500</v>
      </c>
    </row>
    <row r="537" spans="1:9" x14ac:dyDescent="0.25">
      <c r="A537">
        <v>24</v>
      </c>
      <c r="B537" t="s">
        <v>35</v>
      </c>
      <c r="C537" t="s">
        <v>8</v>
      </c>
      <c r="D537" t="s">
        <v>36</v>
      </c>
      <c r="E537" t="s">
        <v>10</v>
      </c>
      <c r="F537" cm="1">
        <f t="array" ref="F537">_xlfn.XLOOKUP(Food_Orders[[#This Row],[Event_No]],Event_Master[[#All],[Event_No]],Event_Master[[#All],[Guest_Count]],,0)</f>
        <v>1500</v>
      </c>
      <c r="G537" cm="1">
        <f t="array" ref="G537">Food_Orders[[#This Row],[Quantity_Orderd]]*_xlfn.XLOOKUP(Food_Orders[[#This Row],[Food_ID]],Food_Catalog[[#All],[Food_ID]],Food_Catalog[[#All],[Price_Per_Unit]],0,0)</f>
        <v>45000</v>
      </c>
      <c r="H537" cm="1">
        <f t="array" ref="H537">Food_Orders[[#This Row],[Quantity_Orderd]]*_xlfn.XLOOKUP(Food_Orders[[#This Row],[Food_ID]],Food_Catalog[[#All],[Food_ID]],Food_Catalog[[#All],[Client_Price_Per_Unit]],0,0)</f>
        <v>54000</v>
      </c>
      <c r="I537">
        <f>Food_Orders[[#This Row],[Client_Price]]-Food_Orders[[#This Row],[Cost]]</f>
        <v>9000</v>
      </c>
    </row>
    <row r="538" spans="1:9" x14ac:dyDescent="0.25">
      <c r="A538">
        <v>24</v>
      </c>
      <c r="B538" t="s">
        <v>27</v>
      </c>
      <c r="C538" t="s">
        <v>8</v>
      </c>
      <c r="D538" t="s">
        <v>28</v>
      </c>
      <c r="E538" t="s">
        <v>10</v>
      </c>
      <c r="F538" cm="1">
        <f t="array" ref="F538">_xlfn.XLOOKUP(Food_Orders[[#This Row],[Event_No]],Event_Master[[#All],[Event_No]],Event_Master[[#All],[Guest_Count]],,0)</f>
        <v>1500</v>
      </c>
      <c r="G538" cm="1">
        <f t="array" ref="G538">Food_Orders[[#This Row],[Quantity_Orderd]]*_xlfn.XLOOKUP(Food_Orders[[#This Row],[Food_ID]],Food_Catalog[[#All],[Food_ID]],Food_Catalog[[#All],[Price_Per_Unit]],0,0)</f>
        <v>60000</v>
      </c>
      <c r="H538" cm="1">
        <f t="array" ref="H538">Food_Orders[[#This Row],[Quantity_Orderd]]*_xlfn.XLOOKUP(Food_Orders[[#This Row],[Food_ID]],Food_Catalog[[#All],[Food_ID]],Food_Catalog[[#All],[Client_Price_Per_Unit]],0,0)</f>
        <v>72000</v>
      </c>
      <c r="I538">
        <f>Food_Orders[[#This Row],[Client_Price]]-Food_Orders[[#This Row],[Cost]]</f>
        <v>12000</v>
      </c>
    </row>
    <row r="539" spans="1:9" x14ac:dyDescent="0.25">
      <c r="A539">
        <v>24</v>
      </c>
      <c r="B539" t="s">
        <v>31</v>
      </c>
      <c r="C539" t="s">
        <v>8</v>
      </c>
      <c r="D539" t="s">
        <v>32</v>
      </c>
      <c r="E539" t="s">
        <v>10</v>
      </c>
      <c r="F539" cm="1">
        <f t="array" ref="F539">_xlfn.XLOOKUP(Food_Orders[[#This Row],[Event_No]],Event_Master[[#All],[Event_No]],Event_Master[[#All],[Guest_Count]],,0)</f>
        <v>1500</v>
      </c>
      <c r="G539" cm="1">
        <f t="array" ref="G539">Food_Orders[[#This Row],[Quantity_Orderd]]*_xlfn.XLOOKUP(Food_Orders[[#This Row],[Food_ID]],Food_Catalog[[#All],[Food_ID]],Food_Catalog[[#All],[Price_Per_Unit]],0,0)</f>
        <v>45000</v>
      </c>
      <c r="H539" cm="1">
        <f t="array" ref="H539">Food_Orders[[#This Row],[Quantity_Orderd]]*_xlfn.XLOOKUP(Food_Orders[[#This Row],[Food_ID]],Food_Catalog[[#All],[Food_ID]],Food_Catalog[[#All],[Client_Price_Per_Unit]],0,0)</f>
        <v>54000</v>
      </c>
      <c r="I539">
        <f>Food_Orders[[#This Row],[Client_Price]]-Food_Orders[[#This Row],[Cost]]</f>
        <v>9000</v>
      </c>
    </row>
    <row r="540" spans="1:9" x14ac:dyDescent="0.25">
      <c r="A540">
        <v>24</v>
      </c>
      <c r="B540" t="s">
        <v>33</v>
      </c>
      <c r="C540" t="s">
        <v>8</v>
      </c>
      <c r="D540" t="s">
        <v>34</v>
      </c>
      <c r="E540" t="s">
        <v>10</v>
      </c>
      <c r="F540" cm="1">
        <f t="array" ref="F540">_xlfn.XLOOKUP(Food_Orders[[#This Row],[Event_No]],Event_Master[[#All],[Event_No]],Event_Master[[#All],[Guest_Count]],,0)</f>
        <v>1500</v>
      </c>
      <c r="G540" cm="1">
        <f t="array" ref="G540">Food_Orders[[#This Row],[Quantity_Orderd]]*_xlfn.XLOOKUP(Food_Orders[[#This Row],[Food_ID]],Food_Catalog[[#All],[Food_ID]],Food_Catalog[[#All],[Price_Per_Unit]],0,0)</f>
        <v>45000</v>
      </c>
      <c r="H540" cm="1">
        <f t="array" ref="H540">Food_Orders[[#This Row],[Quantity_Orderd]]*_xlfn.XLOOKUP(Food_Orders[[#This Row],[Food_ID]],Food_Catalog[[#All],[Food_ID]],Food_Catalog[[#All],[Client_Price_Per_Unit]],0,0)</f>
        <v>54000</v>
      </c>
      <c r="I540">
        <f>Food_Orders[[#This Row],[Client_Price]]-Food_Orders[[#This Row],[Cost]]</f>
        <v>9000</v>
      </c>
    </row>
    <row r="541" spans="1:9" x14ac:dyDescent="0.25">
      <c r="A541">
        <v>24</v>
      </c>
      <c r="B541" t="s">
        <v>17</v>
      </c>
      <c r="C541" t="s">
        <v>8</v>
      </c>
      <c r="D541" t="s">
        <v>18</v>
      </c>
      <c r="E541" t="s">
        <v>10</v>
      </c>
      <c r="F541" cm="1">
        <f t="array" ref="F541">_xlfn.XLOOKUP(Food_Orders[[#This Row],[Event_No]],Event_Master[[#All],[Event_No]],Event_Master[[#All],[Guest_Count]],,0)</f>
        <v>1500</v>
      </c>
      <c r="G541" cm="1">
        <f t="array" ref="G541">Food_Orders[[#This Row],[Quantity_Orderd]]*_xlfn.XLOOKUP(Food_Orders[[#This Row],[Food_ID]],Food_Catalog[[#All],[Food_ID]],Food_Catalog[[#All],[Price_Per_Unit]],0,0)</f>
        <v>60000</v>
      </c>
      <c r="H541" cm="1">
        <f t="array" ref="H541">Food_Orders[[#This Row],[Quantity_Orderd]]*_xlfn.XLOOKUP(Food_Orders[[#This Row],[Food_ID]],Food_Catalog[[#All],[Food_ID]],Food_Catalog[[#All],[Client_Price_Per_Unit]],0,0)</f>
        <v>72000</v>
      </c>
      <c r="I541">
        <f>Food_Orders[[#This Row],[Client_Price]]-Food_Orders[[#This Row],[Cost]]</f>
        <v>12000</v>
      </c>
    </row>
    <row r="542" spans="1:9" x14ac:dyDescent="0.25">
      <c r="A542">
        <v>24</v>
      </c>
      <c r="B542" t="s">
        <v>29</v>
      </c>
      <c r="C542" t="s">
        <v>8</v>
      </c>
      <c r="D542" t="s">
        <v>30</v>
      </c>
      <c r="E542" t="s">
        <v>10</v>
      </c>
      <c r="F542" cm="1">
        <f t="array" ref="F542">_xlfn.XLOOKUP(Food_Orders[[#This Row],[Event_No]],Event_Master[[#All],[Event_No]],Event_Master[[#All],[Guest_Count]],,0)</f>
        <v>1500</v>
      </c>
      <c r="G542" cm="1">
        <f t="array" ref="G542">Food_Orders[[#This Row],[Quantity_Orderd]]*_xlfn.XLOOKUP(Food_Orders[[#This Row],[Food_ID]],Food_Catalog[[#All],[Food_ID]],Food_Catalog[[#All],[Price_Per_Unit]],0,0)</f>
        <v>45000</v>
      </c>
      <c r="H542" cm="1">
        <f t="array" ref="H542">Food_Orders[[#This Row],[Quantity_Orderd]]*_xlfn.XLOOKUP(Food_Orders[[#This Row],[Food_ID]],Food_Catalog[[#All],[Food_ID]],Food_Catalog[[#All],[Client_Price_Per_Unit]],0,0)</f>
        <v>54000</v>
      </c>
      <c r="I542">
        <f>Food_Orders[[#This Row],[Client_Price]]-Food_Orders[[#This Row],[Cost]]</f>
        <v>9000</v>
      </c>
    </row>
    <row r="543" spans="1:9" x14ac:dyDescent="0.25">
      <c r="A543">
        <v>24</v>
      </c>
      <c r="B543" t="s">
        <v>37</v>
      </c>
      <c r="C543" t="s">
        <v>8</v>
      </c>
      <c r="D543" t="s">
        <v>38</v>
      </c>
      <c r="E543" t="s">
        <v>10</v>
      </c>
      <c r="F543" cm="1">
        <f t="array" ref="F543">_xlfn.XLOOKUP(Food_Orders[[#This Row],[Event_No]],Event_Master[[#All],[Event_No]],Event_Master[[#All],[Guest_Count]],,0)</f>
        <v>1500</v>
      </c>
      <c r="G543" cm="1">
        <f t="array" ref="G543">Food_Orders[[#This Row],[Quantity_Orderd]]*_xlfn.XLOOKUP(Food_Orders[[#This Row],[Food_ID]],Food_Catalog[[#All],[Food_ID]],Food_Catalog[[#All],[Price_Per_Unit]],0,0)</f>
        <v>37500</v>
      </c>
      <c r="H543" cm="1">
        <f t="array" ref="H543">Food_Orders[[#This Row],[Quantity_Orderd]]*_xlfn.XLOOKUP(Food_Orders[[#This Row],[Food_ID]],Food_Catalog[[#All],[Food_ID]],Food_Catalog[[#All],[Client_Price_Per_Unit]],0,0)</f>
        <v>45000</v>
      </c>
      <c r="I543">
        <f>Food_Orders[[#This Row],[Client_Price]]-Food_Orders[[#This Row],[Cost]]</f>
        <v>7500</v>
      </c>
    </row>
    <row r="544" spans="1:9" x14ac:dyDescent="0.25">
      <c r="A544">
        <v>24</v>
      </c>
      <c r="B544" t="s">
        <v>82</v>
      </c>
      <c r="C544" t="s">
        <v>83</v>
      </c>
      <c r="D544" t="s">
        <v>84</v>
      </c>
      <c r="E544" t="s">
        <v>85</v>
      </c>
      <c r="F544" cm="1">
        <f t="array" ref="F544">_xlfn.XLOOKUP(Food_Orders[[#This Row],[Event_No]],Event_Master[[#All],[Event_No]],Event_Master[[#All],[Guest_Count]],,0)</f>
        <v>1500</v>
      </c>
      <c r="G544" cm="1">
        <f t="array" ref="G544">Food_Orders[[#This Row],[Quantity_Orderd]]*_xlfn.XLOOKUP(Food_Orders[[#This Row],[Food_ID]],Food_Catalog[[#All],[Food_ID]],Food_Catalog[[#All],[Price_Per_Unit]],0,0)</f>
        <v>30000</v>
      </c>
      <c r="H544" cm="1">
        <f t="array" ref="H544">Food_Orders[[#This Row],[Quantity_Orderd]]*_xlfn.XLOOKUP(Food_Orders[[#This Row],[Food_ID]],Food_Catalog[[#All],[Food_ID]],Food_Catalog[[#All],[Client_Price_Per_Unit]],0,0)</f>
        <v>36000</v>
      </c>
      <c r="I544">
        <f>Food_Orders[[#This Row],[Client_Price]]-Food_Orders[[#This Row],[Cost]]</f>
        <v>6000</v>
      </c>
    </row>
    <row r="545" spans="1:9" x14ac:dyDescent="0.25">
      <c r="A545">
        <v>24</v>
      </c>
      <c r="B545" t="s">
        <v>86</v>
      </c>
      <c r="C545" t="s">
        <v>83</v>
      </c>
      <c r="D545" t="s">
        <v>87</v>
      </c>
      <c r="E545" t="s">
        <v>85</v>
      </c>
      <c r="F545" cm="1">
        <f t="array" ref="F545">_xlfn.XLOOKUP(Food_Orders[[#This Row],[Event_No]],Event_Master[[#All],[Event_No]],Event_Master[[#All],[Guest_Count]],,0)</f>
        <v>1500</v>
      </c>
      <c r="G545" cm="1">
        <f t="array" ref="G545">Food_Orders[[#This Row],[Quantity_Orderd]]*_xlfn.XLOOKUP(Food_Orders[[#This Row],[Food_ID]],Food_Catalog[[#All],[Food_ID]],Food_Catalog[[#All],[Price_Per_Unit]],0,0)</f>
        <v>30000</v>
      </c>
      <c r="H545" cm="1">
        <f t="array" ref="H545">Food_Orders[[#This Row],[Quantity_Orderd]]*_xlfn.XLOOKUP(Food_Orders[[#This Row],[Food_ID]],Food_Catalog[[#All],[Food_ID]],Food_Catalog[[#All],[Client_Price_Per_Unit]],0,0)</f>
        <v>36000</v>
      </c>
      <c r="I545">
        <f>Food_Orders[[#This Row],[Client_Price]]-Food_Orders[[#This Row],[Cost]]</f>
        <v>6000</v>
      </c>
    </row>
    <row r="546" spans="1:9" x14ac:dyDescent="0.25">
      <c r="A546">
        <v>24</v>
      </c>
      <c r="B546" t="s">
        <v>96</v>
      </c>
      <c r="C546" t="s">
        <v>83</v>
      </c>
      <c r="D546" t="s">
        <v>97</v>
      </c>
      <c r="E546" t="s">
        <v>79</v>
      </c>
      <c r="F546" cm="1">
        <f t="array" ref="F546">_xlfn.XLOOKUP(Food_Orders[[#This Row],[Event_No]],Event_Master[[#All],[Event_No]],Event_Master[[#All],[Guest_Count]],,0)</f>
        <v>1500</v>
      </c>
      <c r="G546" cm="1">
        <f t="array" ref="G546">Food_Orders[[#This Row],[Quantity_Orderd]]*_xlfn.XLOOKUP(Food_Orders[[#This Row],[Food_ID]],Food_Catalog[[#All],[Food_ID]],Food_Catalog[[#All],[Price_Per_Unit]],0,0)</f>
        <v>45000</v>
      </c>
      <c r="H546" cm="1">
        <f t="array" ref="H546">Food_Orders[[#This Row],[Quantity_Orderd]]*_xlfn.XLOOKUP(Food_Orders[[#This Row],[Food_ID]],Food_Catalog[[#All],[Food_ID]],Food_Catalog[[#All],[Client_Price_Per_Unit]],0,0)</f>
        <v>54000</v>
      </c>
      <c r="I546">
        <f>Food_Orders[[#This Row],[Client_Price]]-Food_Orders[[#This Row],[Cost]]</f>
        <v>9000</v>
      </c>
    </row>
    <row r="547" spans="1:9" x14ac:dyDescent="0.25">
      <c r="A547">
        <v>24</v>
      </c>
      <c r="B547" t="s">
        <v>88</v>
      </c>
      <c r="C547" t="s">
        <v>83</v>
      </c>
      <c r="D547" t="s">
        <v>89</v>
      </c>
      <c r="E547" t="s">
        <v>85</v>
      </c>
      <c r="F547" cm="1">
        <f t="array" ref="F547">_xlfn.XLOOKUP(Food_Orders[[#This Row],[Event_No]],Event_Master[[#All],[Event_No]],Event_Master[[#All],[Guest_Count]],,0)</f>
        <v>1500</v>
      </c>
      <c r="G547" cm="1">
        <f t="array" ref="G547">Food_Orders[[#This Row],[Quantity_Orderd]]*_xlfn.XLOOKUP(Food_Orders[[#This Row],[Food_ID]],Food_Catalog[[#All],[Food_ID]],Food_Catalog[[#All],[Price_Per_Unit]],0,0)</f>
        <v>22500</v>
      </c>
      <c r="H547" cm="1">
        <f t="array" ref="H547">Food_Orders[[#This Row],[Quantity_Orderd]]*_xlfn.XLOOKUP(Food_Orders[[#This Row],[Food_ID]],Food_Catalog[[#All],[Food_ID]],Food_Catalog[[#All],[Client_Price_Per_Unit]],0,0)</f>
        <v>27000</v>
      </c>
      <c r="I547">
        <f>Food_Orders[[#This Row],[Client_Price]]-Food_Orders[[#This Row],[Cost]]</f>
        <v>4500</v>
      </c>
    </row>
    <row r="548" spans="1:9" x14ac:dyDescent="0.25">
      <c r="A548">
        <v>24</v>
      </c>
      <c r="B548" t="s">
        <v>92</v>
      </c>
      <c r="C548" t="s">
        <v>83</v>
      </c>
      <c r="D548" t="s">
        <v>93</v>
      </c>
      <c r="E548" t="s">
        <v>85</v>
      </c>
      <c r="F548" cm="1">
        <f t="array" ref="F548">_xlfn.XLOOKUP(Food_Orders[[#This Row],[Event_No]],Event_Master[[#All],[Event_No]],Event_Master[[#All],[Guest_Count]],,0)</f>
        <v>1500</v>
      </c>
      <c r="G548" cm="1">
        <f t="array" ref="G548">Food_Orders[[#This Row],[Quantity_Orderd]]*_xlfn.XLOOKUP(Food_Orders[[#This Row],[Food_ID]],Food_Catalog[[#All],[Food_ID]],Food_Catalog[[#All],[Price_Per_Unit]],0,0)</f>
        <v>22500</v>
      </c>
      <c r="H548" cm="1">
        <f t="array" ref="H548">Food_Orders[[#This Row],[Quantity_Orderd]]*_xlfn.XLOOKUP(Food_Orders[[#This Row],[Food_ID]],Food_Catalog[[#All],[Food_ID]],Food_Catalog[[#All],[Client_Price_Per_Unit]],0,0)</f>
        <v>27000</v>
      </c>
      <c r="I548">
        <f>Food_Orders[[#This Row],[Client_Price]]-Food_Orders[[#This Row],[Cost]]</f>
        <v>4500</v>
      </c>
    </row>
    <row r="549" spans="1:9" x14ac:dyDescent="0.25">
      <c r="A549">
        <v>24</v>
      </c>
      <c r="B549" t="s">
        <v>98</v>
      </c>
      <c r="C549" t="s">
        <v>83</v>
      </c>
      <c r="D549" t="s">
        <v>99</v>
      </c>
      <c r="E549" t="s">
        <v>85</v>
      </c>
      <c r="F549" cm="1">
        <f t="array" ref="F549">_xlfn.XLOOKUP(Food_Orders[[#This Row],[Event_No]],Event_Master[[#All],[Event_No]],Event_Master[[#All],[Guest_Count]],,0)</f>
        <v>1500</v>
      </c>
      <c r="G549" cm="1">
        <f t="array" ref="G549">Food_Orders[[#This Row],[Quantity_Orderd]]*_xlfn.XLOOKUP(Food_Orders[[#This Row],[Food_ID]],Food_Catalog[[#All],[Food_ID]],Food_Catalog[[#All],[Price_Per_Unit]],0,0)</f>
        <v>22500</v>
      </c>
      <c r="H549" cm="1">
        <f t="array" ref="H549">Food_Orders[[#This Row],[Quantity_Orderd]]*_xlfn.XLOOKUP(Food_Orders[[#This Row],[Food_ID]],Food_Catalog[[#All],[Food_ID]],Food_Catalog[[#All],[Client_Price_Per_Unit]],0,0)</f>
        <v>27000</v>
      </c>
      <c r="I549">
        <f>Food_Orders[[#This Row],[Client_Price]]-Food_Orders[[#This Row],[Cost]]</f>
        <v>4500</v>
      </c>
    </row>
    <row r="550" spans="1:9" x14ac:dyDescent="0.25">
      <c r="A550">
        <v>24</v>
      </c>
      <c r="B550" t="s">
        <v>104</v>
      </c>
      <c r="C550" t="s">
        <v>105</v>
      </c>
      <c r="D550" t="s">
        <v>106</v>
      </c>
      <c r="E550" t="s">
        <v>107</v>
      </c>
      <c r="F550" cm="1">
        <f t="array" ref="F550">_xlfn.XLOOKUP(Food_Orders[[#This Row],[Event_No]],Event_Master[[#All],[Event_No]],Event_Master[[#All],[Guest_Count]],,0)</f>
        <v>1500</v>
      </c>
      <c r="G550" cm="1">
        <f t="array" ref="G550">Food_Orders[[#This Row],[Quantity_Orderd]]*_xlfn.XLOOKUP(Food_Orders[[#This Row],[Food_ID]],Food_Catalog[[#All],[Food_ID]],Food_Catalog[[#All],[Price_Per_Unit]],0,0)</f>
        <v>15000</v>
      </c>
      <c r="H550" cm="1">
        <f t="array" ref="H550">Food_Orders[[#This Row],[Quantity_Orderd]]*_xlfn.XLOOKUP(Food_Orders[[#This Row],[Food_ID]],Food_Catalog[[#All],[Food_ID]],Food_Catalog[[#All],[Client_Price_Per_Unit]],0,0)</f>
        <v>18000</v>
      </c>
      <c r="I550">
        <f>Food_Orders[[#This Row],[Client_Price]]-Food_Orders[[#This Row],[Cost]]</f>
        <v>3000</v>
      </c>
    </row>
    <row r="551" spans="1:9" x14ac:dyDescent="0.25">
      <c r="A551">
        <v>24</v>
      </c>
      <c r="B551" t="s">
        <v>108</v>
      </c>
      <c r="C551" t="s">
        <v>105</v>
      </c>
      <c r="D551" t="s">
        <v>109</v>
      </c>
      <c r="E551" t="s">
        <v>107</v>
      </c>
      <c r="F551" cm="1">
        <f t="array" ref="F551">_xlfn.XLOOKUP(Food_Orders[[#This Row],[Event_No]],Event_Master[[#All],[Event_No]],Event_Master[[#All],[Guest_Count]],,0)</f>
        <v>1500</v>
      </c>
      <c r="G551" cm="1">
        <f t="array" ref="G551">Food_Orders[[#This Row],[Quantity_Orderd]]*_xlfn.XLOOKUP(Food_Orders[[#This Row],[Food_ID]],Food_Catalog[[#All],[Food_ID]],Food_Catalog[[#All],[Price_Per_Unit]],0,0)</f>
        <v>22500</v>
      </c>
      <c r="H551" cm="1">
        <f t="array" ref="H551">Food_Orders[[#This Row],[Quantity_Orderd]]*_xlfn.XLOOKUP(Food_Orders[[#This Row],[Food_ID]],Food_Catalog[[#All],[Food_ID]],Food_Catalog[[#All],[Client_Price_Per_Unit]],0,0)</f>
        <v>27000</v>
      </c>
      <c r="I551">
        <f>Food_Orders[[#This Row],[Client_Price]]-Food_Orders[[#This Row],[Cost]]</f>
        <v>4500</v>
      </c>
    </row>
    <row r="552" spans="1:9" x14ac:dyDescent="0.25">
      <c r="A552">
        <v>24</v>
      </c>
      <c r="B552" t="s">
        <v>118</v>
      </c>
      <c r="C552" t="s">
        <v>119</v>
      </c>
      <c r="D552" t="s">
        <v>120</v>
      </c>
      <c r="E552" t="s">
        <v>112</v>
      </c>
      <c r="F552" cm="1">
        <f t="array" ref="F552">_xlfn.XLOOKUP(Food_Orders[[#This Row],[Event_No]],Event_Master[[#All],[Event_No]],Event_Master[[#All],[Guest_Count]],,0)</f>
        <v>1500</v>
      </c>
      <c r="G552" cm="1">
        <f t="array" ref="G552">Food_Orders[[#This Row],[Quantity_Orderd]]*_xlfn.XLOOKUP(Food_Orders[[#This Row],[Food_ID]],Food_Catalog[[#All],[Food_ID]],Food_Catalog[[#All],[Price_Per_Unit]],0,0)</f>
        <v>15000</v>
      </c>
      <c r="H552" cm="1">
        <f t="array" ref="H552">Food_Orders[[#This Row],[Quantity_Orderd]]*_xlfn.XLOOKUP(Food_Orders[[#This Row],[Food_ID]],Food_Catalog[[#All],[Food_ID]],Food_Catalog[[#All],[Client_Price_Per_Unit]],0,0)</f>
        <v>18000</v>
      </c>
      <c r="I552">
        <f>Food_Orders[[#This Row],[Client_Price]]-Food_Orders[[#This Row],[Cost]]</f>
        <v>3000</v>
      </c>
    </row>
    <row r="553" spans="1:9" x14ac:dyDescent="0.25">
      <c r="A553">
        <v>24</v>
      </c>
      <c r="B553" t="s">
        <v>129</v>
      </c>
      <c r="C553" t="s">
        <v>119</v>
      </c>
      <c r="D553" t="s">
        <v>130</v>
      </c>
      <c r="E553" t="s">
        <v>112</v>
      </c>
      <c r="F553" cm="1">
        <f t="array" ref="F553">_xlfn.XLOOKUP(Food_Orders[[#This Row],[Event_No]],Event_Master[[#All],[Event_No]],Event_Master[[#All],[Guest_Count]],,0)</f>
        <v>1500</v>
      </c>
      <c r="G553" cm="1">
        <f t="array" ref="G553">Food_Orders[[#This Row],[Quantity_Orderd]]*_xlfn.XLOOKUP(Food_Orders[[#This Row],[Food_ID]],Food_Catalog[[#All],[Food_ID]],Food_Catalog[[#All],[Price_Per_Unit]],0,0)</f>
        <v>15000</v>
      </c>
      <c r="H553" cm="1">
        <f t="array" ref="H553">Food_Orders[[#This Row],[Quantity_Orderd]]*_xlfn.XLOOKUP(Food_Orders[[#This Row],[Food_ID]],Food_Catalog[[#All],[Food_ID]],Food_Catalog[[#All],[Client_Price_Per_Unit]],0,0)</f>
        <v>18000</v>
      </c>
      <c r="I553">
        <f>Food_Orders[[#This Row],[Client_Price]]-Food_Orders[[#This Row],[Cost]]</f>
        <v>3000</v>
      </c>
    </row>
    <row r="554" spans="1:9" x14ac:dyDescent="0.25">
      <c r="A554">
        <v>24</v>
      </c>
      <c r="B554" t="s">
        <v>127</v>
      </c>
      <c r="C554" t="s">
        <v>119</v>
      </c>
      <c r="D554" t="s">
        <v>128</v>
      </c>
      <c r="E554" t="s">
        <v>107</v>
      </c>
      <c r="F554" cm="1">
        <f t="array" ref="F554">_xlfn.XLOOKUP(Food_Orders[[#This Row],[Event_No]],Event_Master[[#All],[Event_No]],Event_Master[[#All],[Guest_Count]],,0)</f>
        <v>1500</v>
      </c>
      <c r="G554" cm="1">
        <f t="array" ref="G554">Food_Orders[[#This Row],[Quantity_Orderd]]*_xlfn.XLOOKUP(Food_Orders[[#This Row],[Food_ID]],Food_Catalog[[#All],[Food_ID]],Food_Catalog[[#All],[Price_Per_Unit]],0,0)</f>
        <v>30000</v>
      </c>
      <c r="H554" cm="1">
        <f t="array" ref="H554">Food_Orders[[#This Row],[Quantity_Orderd]]*_xlfn.XLOOKUP(Food_Orders[[#This Row],[Food_ID]],Food_Catalog[[#All],[Food_ID]],Food_Catalog[[#All],[Client_Price_Per_Unit]],0,0)</f>
        <v>36000</v>
      </c>
      <c r="I554">
        <f>Food_Orders[[#This Row],[Client_Price]]-Food_Orders[[#This Row],[Cost]]</f>
        <v>6000</v>
      </c>
    </row>
    <row r="555" spans="1:9" x14ac:dyDescent="0.25">
      <c r="A555">
        <v>24</v>
      </c>
      <c r="B555" t="s">
        <v>124</v>
      </c>
      <c r="C555" t="s">
        <v>119</v>
      </c>
      <c r="D555" t="s">
        <v>125</v>
      </c>
      <c r="E555" t="s">
        <v>126</v>
      </c>
      <c r="F555" cm="1">
        <f t="array" ref="F555">_xlfn.XLOOKUP(Food_Orders[[#This Row],[Event_No]],Event_Master[[#All],[Event_No]],Event_Master[[#All],[Guest_Count]],,0)</f>
        <v>1500</v>
      </c>
      <c r="G555" cm="1">
        <f t="array" ref="G555">Food_Orders[[#This Row],[Quantity_Orderd]]*_xlfn.XLOOKUP(Food_Orders[[#This Row],[Food_ID]],Food_Catalog[[#All],[Food_ID]],Food_Catalog[[#All],[Price_Per_Unit]],0,0)</f>
        <v>30000</v>
      </c>
      <c r="H555" cm="1">
        <f t="array" ref="H555">Food_Orders[[#This Row],[Quantity_Orderd]]*_xlfn.XLOOKUP(Food_Orders[[#This Row],[Food_ID]],Food_Catalog[[#All],[Food_ID]],Food_Catalog[[#All],[Client_Price_Per_Unit]],0,0)</f>
        <v>36000</v>
      </c>
      <c r="I555">
        <f>Food_Orders[[#This Row],[Client_Price]]-Food_Orders[[#This Row],[Cost]]</f>
        <v>6000</v>
      </c>
    </row>
    <row r="556" spans="1:9" x14ac:dyDescent="0.25">
      <c r="A556">
        <v>25</v>
      </c>
      <c r="B556" t="s">
        <v>63</v>
      </c>
      <c r="C556" t="s">
        <v>61</v>
      </c>
      <c r="D556" t="s">
        <v>64</v>
      </c>
      <c r="E556" t="s">
        <v>10</v>
      </c>
      <c r="F556" cm="1">
        <f t="array" ref="F556">_xlfn.XLOOKUP(Food_Orders[[#This Row],[Event_No]],Event_Master[[#All],[Event_No]],Event_Master[[#All],[Guest_Count]],,0)</f>
        <v>1000</v>
      </c>
      <c r="G556" cm="1">
        <f t="array" ref="G556">Food_Orders[[#This Row],[Quantity_Orderd]]*_xlfn.XLOOKUP(Food_Orders[[#This Row],[Food_ID]],Food_Catalog[[#All],[Food_ID]],Food_Catalog[[#All],[Price_Per_Unit]],0,0)</f>
        <v>30000</v>
      </c>
      <c r="H556" cm="1">
        <f t="array" ref="H556">Food_Orders[[#This Row],[Quantity_Orderd]]*_xlfn.XLOOKUP(Food_Orders[[#This Row],[Food_ID]],Food_Catalog[[#All],[Food_ID]],Food_Catalog[[#All],[Client_Price_Per_Unit]],0,0)</f>
        <v>36000</v>
      </c>
      <c r="I556">
        <f>Food_Orders[[#This Row],[Client_Price]]-Food_Orders[[#This Row],[Cost]]</f>
        <v>6000</v>
      </c>
    </row>
    <row r="557" spans="1:9" x14ac:dyDescent="0.25">
      <c r="A557">
        <v>25</v>
      </c>
      <c r="B557" t="s">
        <v>71</v>
      </c>
      <c r="C557" t="s">
        <v>61</v>
      </c>
      <c r="D557" t="s">
        <v>72</v>
      </c>
      <c r="E557" t="s">
        <v>10</v>
      </c>
      <c r="F557" cm="1">
        <f t="array" ref="F557">_xlfn.XLOOKUP(Food_Orders[[#This Row],[Event_No]],Event_Master[[#All],[Event_No]],Event_Master[[#All],[Guest_Count]],,0)</f>
        <v>1000</v>
      </c>
      <c r="G557" cm="1">
        <f t="array" ref="G557">Food_Orders[[#This Row],[Quantity_Orderd]]*_xlfn.XLOOKUP(Food_Orders[[#This Row],[Food_ID]],Food_Catalog[[#All],[Food_ID]],Food_Catalog[[#All],[Price_Per_Unit]],0,0)</f>
        <v>25000</v>
      </c>
      <c r="H557" cm="1">
        <f t="array" ref="H557">Food_Orders[[#This Row],[Quantity_Orderd]]*_xlfn.XLOOKUP(Food_Orders[[#This Row],[Food_ID]],Food_Catalog[[#All],[Food_ID]],Food_Catalog[[#All],[Client_Price_Per_Unit]],0,0)</f>
        <v>30000</v>
      </c>
      <c r="I557">
        <f>Food_Orders[[#This Row],[Client_Price]]-Food_Orders[[#This Row],[Cost]]</f>
        <v>5000</v>
      </c>
    </row>
    <row r="558" spans="1:9" x14ac:dyDescent="0.25">
      <c r="A558">
        <v>25</v>
      </c>
      <c r="B558" t="s">
        <v>69</v>
      </c>
      <c r="C558" t="s">
        <v>61</v>
      </c>
      <c r="D558" t="s">
        <v>70</v>
      </c>
      <c r="E558" t="s">
        <v>10</v>
      </c>
      <c r="F558" cm="1">
        <f t="array" ref="F558">_xlfn.XLOOKUP(Food_Orders[[#This Row],[Event_No]],Event_Master[[#All],[Event_No]],Event_Master[[#All],[Guest_Count]],,0)</f>
        <v>1000</v>
      </c>
      <c r="G558" cm="1">
        <f t="array" ref="G558">Food_Orders[[#This Row],[Quantity_Orderd]]*_xlfn.XLOOKUP(Food_Orders[[#This Row],[Food_ID]],Food_Catalog[[#All],[Food_ID]],Food_Catalog[[#All],[Price_Per_Unit]],0,0)</f>
        <v>50000</v>
      </c>
      <c r="H558" cm="1">
        <f t="array" ref="H558">Food_Orders[[#This Row],[Quantity_Orderd]]*_xlfn.XLOOKUP(Food_Orders[[#This Row],[Food_ID]],Food_Catalog[[#All],[Food_ID]],Food_Catalog[[#All],[Client_Price_Per_Unit]],0,0)</f>
        <v>60000</v>
      </c>
      <c r="I558">
        <f>Food_Orders[[#This Row],[Client_Price]]-Food_Orders[[#This Row],[Cost]]</f>
        <v>10000</v>
      </c>
    </row>
    <row r="559" spans="1:9" x14ac:dyDescent="0.25">
      <c r="A559">
        <v>25</v>
      </c>
      <c r="B559" t="s">
        <v>27</v>
      </c>
      <c r="C559" t="s">
        <v>8</v>
      </c>
      <c r="D559" t="s">
        <v>28</v>
      </c>
      <c r="E559" t="s">
        <v>10</v>
      </c>
      <c r="F559" cm="1">
        <f t="array" ref="F559">_xlfn.XLOOKUP(Food_Orders[[#This Row],[Event_No]],Event_Master[[#All],[Event_No]],Event_Master[[#All],[Guest_Count]],,0)</f>
        <v>1000</v>
      </c>
      <c r="G559" cm="1">
        <f t="array" ref="G559">Food_Orders[[#This Row],[Quantity_Orderd]]*_xlfn.XLOOKUP(Food_Orders[[#This Row],[Food_ID]],Food_Catalog[[#All],[Food_ID]],Food_Catalog[[#All],[Price_Per_Unit]],0,0)</f>
        <v>40000</v>
      </c>
      <c r="H559" cm="1">
        <f t="array" ref="H559">Food_Orders[[#This Row],[Quantity_Orderd]]*_xlfn.XLOOKUP(Food_Orders[[#This Row],[Food_ID]],Food_Catalog[[#All],[Food_ID]],Food_Catalog[[#All],[Client_Price_Per_Unit]],0,0)</f>
        <v>48000</v>
      </c>
      <c r="I559">
        <f>Food_Orders[[#This Row],[Client_Price]]-Food_Orders[[#This Row],[Cost]]</f>
        <v>8000</v>
      </c>
    </row>
    <row r="560" spans="1:9" x14ac:dyDescent="0.25">
      <c r="A560">
        <v>25</v>
      </c>
      <c r="B560" t="s">
        <v>29</v>
      </c>
      <c r="C560" t="s">
        <v>8</v>
      </c>
      <c r="D560" t="s">
        <v>30</v>
      </c>
      <c r="E560" t="s">
        <v>10</v>
      </c>
      <c r="F560" cm="1">
        <f t="array" ref="F560">_xlfn.XLOOKUP(Food_Orders[[#This Row],[Event_No]],Event_Master[[#All],[Event_No]],Event_Master[[#All],[Guest_Count]],,0)</f>
        <v>1000</v>
      </c>
      <c r="G560" cm="1">
        <f t="array" ref="G560">Food_Orders[[#This Row],[Quantity_Orderd]]*_xlfn.XLOOKUP(Food_Orders[[#This Row],[Food_ID]],Food_Catalog[[#All],[Food_ID]],Food_Catalog[[#All],[Price_Per_Unit]],0,0)</f>
        <v>30000</v>
      </c>
      <c r="H560" cm="1">
        <f t="array" ref="H560">Food_Orders[[#This Row],[Quantity_Orderd]]*_xlfn.XLOOKUP(Food_Orders[[#This Row],[Food_ID]],Food_Catalog[[#All],[Food_ID]],Food_Catalog[[#All],[Client_Price_Per_Unit]],0,0)</f>
        <v>36000</v>
      </c>
      <c r="I560">
        <f>Food_Orders[[#This Row],[Client_Price]]-Food_Orders[[#This Row],[Cost]]</f>
        <v>6000</v>
      </c>
    </row>
    <row r="561" spans="1:9" x14ac:dyDescent="0.25">
      <c r="A561">
        <v>25</v>
      </c>
      <c r="B561" t="s">
        <v>37</v>
      </c>
      <c r="C561" t="s">
        <v>8</v>
      </c>
      <c r="D561" t="s">
        <v>38</v>
      </c>
      <c r="E561" t="s">
        <v>10</v>
      </c>
      <c r="F561" cm="1">
        <f t="array" ref="F561">_xlfn.XLOOKUP(Food_Orders[[#This Row],[Event_No]],Event_Master[[#All],[Event_No]],Event_Master[[#All],[Guest_Count]],,0)</f>
        <v>1000</v>
      </c>
      <c r="G561" cm="1">
        <f t="array" ref="G561">Food_Orders[[#This Row],[Quantity_Orderd]]*_xlfn.XLOOKUP(Food_Orders[[#This Row],[Food_ID]],Food_Catalog[[#All],[Food_ID]],Food_Catalog[[#All],[Price_Per_Unit]],0,0)</f>
        <v>25000</v>
      </c>
      <c r="H561" cm="1">
        <f t="array" ref="H561">Food_Orders[[#This Row],[Quantity_Orderd]]*_xlfn.XLOOKUP(Food_Orders[[#This Row],[Food_ID]],Food_Catalog[[#All],[Food_ID]],Food_Catalog[[#All],[Client_Price_Per_Unit]],0,0)</f>
        <v>30000</v>
      </c>
      <c r="I561">
        <f>Food_Orders[[#This Row],[Client_Price]]-Food_Orders[[#This Row],[Cost]]</f>
        <v>5000</v>
      </c>
    </row>
    <row r="562" spans="1:9" x14ac:dyDescent="0.25">
      <c r="A562">
        <v>25</v>
      </c>
      <c r="B562" t="s">
        <v>82</v>
      </c>
      <c r="C562" t="s">
        <v>83</v>
      </c>
      <c r="D562" t="s">
        <v>84</v>
      </c>
      <c r="E562" t="s">
        <v>85</v>
      </c>
      <c r="F562" cm="1">
        <f t="array" ref="F562">_xlfn.XLOOKUP(Food_Orders[[#This Row],[Event_No]],Event_Master[[#All],[Event_No]],Event_Master[[#All],[Guest_Count]],,0)</f>
        <v>1000</v>
      </c>
      <c r="G562" cm="1">
        <f t="array" ref="G562">Food_Orders[[#This Row],[Quantity_Orderd]]*_xlfn.XLOOKUP(Food_Orders[[#This Row],[Food_ID]],Food_Catalog[[#All],[Food_ID]],Food_Catalog[[#All],[Price_Per_Unit]],0,0)</f>
        <v>20000</v>
      </c>
      <c r="H562" cm="1">
        <f t="array" ref="H562">Food_Orders[[#This Row],[Quantity_Orderd]]*_xlfn.XLOOKUP(Food_Orders[[#This Row],[Food_ID]],Food_Catalog[[#All],[Food_ID]],Food_Catalog[[#All],[Client_Price_Per_Unit]],0,0)</f>
        <v>24000</v>
      </c>
      <c r="I562">
        <f>Food_Orders[[#This Row],[Client_Price]]-Food_Orders[[#This Row],[Cost]]</f>
        <v>4000</v>
      </c>
    </row>
    <row r="563" spans="1:9" x14ac:dyDescent="0.25">
      <c r="A563">
        <v>25</v>
      </c>
      <c r="B563" t="s">
        <v>86</v>
      </c>
      <c r="C563" t="s">
        <v>83</v>
      </c>
      <c r="D563" t="s">
        <v>87</v>
      </c>
      <c r="E563" t="s">
        <v>85</v>
      </c>
      <c r="F563" cm="1">
        <f t="array" ref="F563">_xlfn.XLOOKUP(Food_Orders[[#This Row],[Event_No]],Event_Master[[#All],[Event_No]],Event_Master[[#All],[Guest_Count]],,0)</f>
        <v>1000</v>
      </c>
      <c r="G563" cm="1">
        <f t="array" ref="G563">Food_Orders[[#This Row],[Quantity_Orderd]]*_xlfn.XLOOKUP(Food_Orders[[#This Row],[Food_ID]],Food_Catalog[[#All],[Food_ID]],Food_Catalog[[#All],[Price_Per_Unit]],0,0)</f>
        <v>20000</v>
      </c>
      <c r="H563" cm="1">
        <f t="array" ref="H563">Food_Orders[[#This Row],[Quantity_Orderd]]*_xlfn.XLOOKUP(Food_Orders[[#This Row],[Food_ID]],Food_Catalog[[#All],[Food_ID]],Food_Catalog[[#All],[Client_Price_Per_Unit]],0,0)</f>
        <v>24000</v>
      </c>
      <c r="I563">
        <f>Food_Orders[[#This Row],[Client_Price]]-Food_Orders[[#This Row],[Cost]]</f>
        <v>4000</v>
      </c>
    </row>
    <row r="564" spans="1:9" x14ac:dyDescent="0.25">
      <c r="A564">
        <v>25</v>
      </c>
      <c r="B564" t="s">
        <v>96</v>
      </c>
      <c r="C564" t="s">
        <v>83</v>
      </c>
      <c r="D564" t="s">
        <v>97</v>
      </c>
      <c r="E564" t="s">
        <v>79</v>
      </c>
      <c r="F564" cm="1">
        <f t="array" ref="F564">_xlfn.XLOOKUP(Food_Orders[[#This Row],[Event_No]],Event_Master[[#All],[Event_No]],Event_Master[[#All],[Guest_Count]],,0)</f>
        <v>1000</v>
      </c>
      <c r="G564" cm="1">
        <f t="array" ref="G564">Food_Orders[[#This Row],[Quantity_Orderd]]*_xlfn.XLOOKUP(Food_Orders[[#This Row],[Food_ID]],Food_Catalog[[#All],[Food_ID]],Food_Catalog[[#All],[Price_Per_Unit]],0,0)</f>
        <v>30000</v>
      </c>
      <c r="H564" cm="1">
        <f t="array" ref="H564">Food_Orders[[#This Row],[Quantity_Orderd]]*_xlfn.XLOOKUP(Food_Orders[[#This Row],[Food_ID]],Food_Catalog[[#All],[Food_ID]],Food_Catalog[[#All],[Client_Price_Per_Unit]],0,0)</f>
        <v>36000</v>
      </c>
      <c r="I564">
        <f>Food_Orders[[#This Row],[Client_Price]]-Food_Orders[[#This Row],[Cost]]</f>
        <v>6000</v>
      </c>
    </row>
    <row r="565" spans="1:9" x14ac:dyDescent="0.25">
      <c r="A565">
        <v>25</v>
      </c>
      <c r="B565" t="s">
        <v>92</v>
      </c>
      <c r="C565" t="s">
        <v>83</v>
      </c>
      <c r="D565" t="s">
        <v>93</v>
      </c>
      <c r="E565" t="s">
        <v>85</v>
      </c>
      <c r="F565" cm="1">
        <f t="array" ref="F565">_xlfn.XLOOKUP(Food_Orders[[#This Row],[Event_No]],Event_Master[[#All],[Event_No]],Event_Master[[#All],[Guest_Count]],,0)</f>
        <v>1000</v>
      </c>
      <c r="G565" cm="1">
        <f t="array" ref="G565">Food_Orders[[#This Row],[Quantity_Orderd]]*_xlfn.XLOOKUP(Food_Orders[[#This Row],[Food_ID]],Food_Catalog[[#All],[Food_ID]],Food_Catalog[[#All],[Price_Per_Unit]],0,0)</f>
        <v>15000</v>
      </c>
      <c r="H565" cm="1">
        <f t="array" ref="H565">Food_Orders[[#This Row],[Quantity_Orderd]]*_xlfn.XLOOKUP(Food_Orders[[#This Row],[Food_ID]],Food_Catalog[[#All],[Food_ID]],Food_Catalog[[#All],[Client_Price_Per_Unit]],0,0)</f>
        <v>18000</v>
      </c>
      <c r="I565">
        <f>Food_Orders[[#This Row],[Client_Price]]-Food_Orders[[#This Row],[Cost]]</f>
        <v>3000</v>
      </c>
    </row>
    <row r="566" spans="1:9" x14ac:dyDescent="0.25">
      <c r="A566">
        <v>25</v>
      </c>
      <c r="B566" t="s">
        <v>98</v>
      </c>
      <c r="C566" t="s">
        <v>83</v>
      </c>
      <c r="D566" t="s">
        <v>99</v>
      </c>
      <c r="E566" t="s">
        <v>85</v>
      </c>
      <c r="F566" cm="1">
        <f t="array" ref="F566">_xlfn.XLOOKUP(Food_Orders[[#This Row],[Event_No]],Event_Master[[#All],[Event_No]],Event_Master[[#All],[Guest_Count]],,0)</f>
        <v>1000</v>
      </c>
      <c r="G566" cm="1">
        <f t="array" ref="G566">Food_Orders[[#This Row],[Quantity_Orderd]]*_xlfn.XLOOKUP(Food_Orders[[#This Row],[Food_ID]],Food_Catalog[[#All],[Food_ID]],Food_Catalog[[#All],[Price_Per_Unit]],0,0)</f>
        <v>15000</v>
      </c>
      <c r="H566" cm="1">
        <f t="array" ref="H566">Food_Orders[[#This Row],[Quantity_Orderd]]*_xlfn.XLOOKUP(Food_Orders[[#This Row],[Food_ID]],Food_Catalog[[#All],[Food_ID]],Food_Catalog[[#All],[Client_Price_Per_Unit]],0,0)</f>
        <v>18000</v>
      </c>
      <c r="I566">
        <f>Food_Orders[[#This Row],[Client_Price]]-Food_Orders[[#This Row],[Cost]]</f>
        <v>3000</v>
      </c>
    </row>
    <row r="567" spans="1:9" x14ac:dyDescent="0.25">
      <c r="A567">
        <v>25</v>
      </c>
      <c r="B567" t="s">
        <v>104</v>
      </c>
      <c r="C567" t="s">
        <v>105</v>
      </c>
      <c r="D567" t="s">
        <v>106</v>
      </c>
      <c r="E567" t="s">
        <v>107</v>
      </c>
      <c r="F567" cm="1">
        <f t="array" ref="F567">_xlfn.XLOOKUP(Food_Orders[[#This Row],[Event_No]],Event_Master[[#All],[Event_No]],Event_Master[[#All],[Guest_Count]],,0)</f>
        <v>1000</v>
      </c>
      <c r="G567" cm="1">
        <f t="array" ref="G567">Food_Orders[[#This Row],[Quantity_Orderd]]*_xlfn.XLOOKUP(Food_Orders[[#This Row],[Food_ID]],Food_Catalog[[#All],[Food_ID]],Food_Catalog[[#All],[Price_Per_Unit]],0,0)</f>
        <v>10000</v>
      </c>
      <c r="H567" cm="1">
        <f t="array" ref="H567">Food_Orders[[#This Row],[Quantity_Orderd]]*_xlfn.XLOOKUP(Food_Orders[[#This Row],[Food_ID]],Food_Catalog[[#All],[Food_ID]],Food_Catalog[[#All],[Client_Price_Per_Unit]],0,0)</f>
        <v>12000</v>
      </c>
      <c r="I567">
        <f>Food_Orders[[#This Row],[Client_Price]]-Food_Orders[[#This Row],[Cost]]</f>
        <v>2000</v>
      </c>
    </row>
    <row r="568" spans="1:9" x14ac:dyDescent="0.25">
      <c r="A568">
        <v>25</v>
      </c>
      <c r="B568" t="s">
        <v>108</v>
      </c>
      <c r="C568" t="s">
        <v>105</v>
      </c>
      <c r="D568" t="s">
        <v>109</v>
      </c>
      <c r="E568" t="s">
        <v>107</v>
      </c>
      <c r="F568" cm="1">
        <f t="array" ref="F568">_xlfn.XLOOKUP(Food_Orders[[#This Row],[Event_No]],Event_Master[[#All],[Event_No]],Event_Master[[#All],[Guest_Count]],,0)</f>
        <v>1000</v>
      </c>
      <c r="G568" cm="1">
        <f t="array" ref="G568">Food_Orders[[#This Row],[Quantity_Orderd]]*_xlfn.XLOOKUP(Food_Orders[[#This Row],[Food_ID]],Food_Catalog[[#All],[Food_ID]],Food_Catalog[[#All],[Price_Per_Unit]],0,0)</f>
        <v>15000</v>
      </c>
      <c r="H568" cm="1">
        <f t="array" ref="H568">Food_Orders[[#This Row],[Quantity_Orderd]]*_xlfn.XLOOKUP(Food_Orders[[#This Row],[Food_ID]],Food_Catalog[[#All],[Food_ID]],Food_Catalog[[#All],[Client_Price_Per_Unit]],0,0)</f>
        <v>18000</v>
      </c>
      <c r="I568">
        <f>Food_Orders[[#This Row],[Client_Price]]-Food_Orders[[#This Row],[Cost]]</f>
        <v>3000</v>
      </c>
    </row>
    <row r="569" spans="1:9" x14ac:dyDescent="0.25">
      <c r="A569">
        <v>25</v>
      </c>
      <c r="B569" t="s">
        <v>118</v>
      </c>
      <c r="C569" t="s">
        <v>119</v>
      </c>
      <c r="D569" t="s">
        <v>120</v>
      </c>
      <c r="E569" t="s">
        <v>112</v>
      </c>
      <c r="F569" cm="1">
        <f t="array" ref="F569">_xlfn.XLOOKUP(Food_Orders[[#This Row],[Event_No]],Event_Master[[#All],[Event_No]],Event_Master[[#All],[Guest_Count]],,0)</f>
        <v>1000</v>
      </c>
      <c r="G569" cm="1">
        <f t="array" ref="G569">Food_Orders[[#This Row],[Quantity_Orderd]]*_xlfn.XLOOKUP(Food_Orders[[#This Row],[Food_ID]],Food_Catalog[[#All],[Food_ID]],Food_Catalog[[#All],[Price_Per_Unit]],0,0)</f>
        <v>10000</v>
      </c>
      <c r="H569" cm="1">
        <f t="array" ref="H569">Food_Orders[[#This Row],[Quantity_Orderd]]*_xlfn.XLOOKUP(Food_Orders[[#This Row],[Food_ID]],Food_Catalog[[#All],[Food_ID]],Food_Catalog[[#All],[Client_Price_Per_Unit]],0,0)</f>
        <v>12000</v>
      </c>
      <c r="I569">
        <f>Food_Orders[[#This Row],[Client_Price]]-Food_Orders[[#This Row],[Cost]]</f>
        <v>2000</v>
      </c>
    </row>
    <row r="570" spans="1:9" x14ac:dyDescent="0.25">
      <c r="A570">
        <v>25</v>
      </c>
      <c r="B570" t="s">
        <v>129</v>
      </c>
      <c r="C570" t="s">
        <v>119</v>
      </c>
      <c r="D570" t="s">
        <v>130</v>
      </c>
      <c r="E570" t="s">
        <v>112</v>
      </c>
      <c r="F570" cm="1">
        <f t="array" ref="F570">_xlfn.XLOOKUP(Food_Orders[[#This Row],[Event_No]],Event_Master[[#All],[Event_No]],Event_Master[[#All],[Guest_Count]],,0)</f>
        <v>1000</v>
      </c>
      <c r="G570" cm="1">
        <f t="array" ref="G570">Food_Orders[[#This Row],[Quantity_Orderd]]*_xlfn.XLOOKUP(Food_Orders[[#This Row],[Food_ID]],Food_Catalog[[#All],[Food_ID]],Food_Catalog[[#All],[Price_Per_Unit]],0,0)</f>
        <v>10000</v>
      </c>
      <c r="H570" cm="1">
        <f t="array" ref="H570">Food_Orders[[#This Row],[Quantity_Orderd]]*_xlfn.XLOOKUP(Food_Orders[[#This Row],[Food_ID]],Food_Catalog[[#All],[Food_ID]],Food_Catalog[[#All],[Client_Price_Per_Unit]],0,0)</f>
        <v>12000</v>
      </c>
      <c r="I570">
        <f>Food_Orders[[#This Row],[Client_Price]]-Food_Orders[[#This Row],[Cost]]</f>
        <v>2000</v>
      </c>
    </row>
    <row r="571" spans="1:9" x14ac:dyDescent="0.25">
      <c r="A571">
        <v>25</v>
      </c>
      <c r="B571" t="s">
        <v>124</v>
      </c>
      <c r="C571" t="s">
        <v>119</v>
      </c>
      <c r="D571" t="s">
        <v>125</v>
      </c>
      <c r="E571" t="s">
        <v>126</v>
      </c>
      <c r="F571" cm="1">
        <f t="array" ref="F571">_xlfn.XLOOKUP(Food_Orders[[#This Row],[Event_No]],Event_Master[[#All],[Event_No]],Event_Master[[#All],[Guest_Count]],,0)</f>
        <v>1000</v>
      </c>
      <c r="G571" cm="1">
        <f t="array" ref="G571">Food_Orders[[#This Row],[Quantity_Orderd]]*_xlfn.XLOOKUP(Food_Orders[[#This Row],[Food_ID]],Food_Catalog[[#All],[Food_ID]],Food_Catalog[[#All],[Price_Per_Unit]],0,0)</f>
        <v>20000</v>
      </c>
      <c r="H571" cm="1">
        <f t="array" ref="H571">Food_Orders[[#This Row],[Quantity_Orderd]]*_xlfn.XLOOKUP(Food_Orders[[#This Row],[Food_ID]],Food_Catalog[[#All],[Food_ID]],Food_Catalog[[#All],[Client_Price_Per_Unit]],0,0)</f>
        <v>24000</v>
      </c>
      <c r="I571">
        <f>Food_Orders[[#This Row],[Client_Price]]-Food_Orders[[#This Row],[Cost]]</f>
        <v>4000</v>
      </c>
    </row>
    <row r="572" spans="1:9" x14ac:dyDescent="0.25">
      <c r="A572">
        <v>25</v>
      </c>
      <c r="B572" t="s">
        <v>127</v>
      </c>
      <c r="C572" t="s">
        <v>119</v>
      </c>
      <c r="D572" t="s">
        <v>128</v>
      </c>
      <c r="E572" t="s">
        <v>107</v>
      </c>
      <c r="F572" cm="1">
        <f t="array" ref="F572">_xlfn.XLOOKUP(Food_Orders[[#This Row],[Event_No]],Event_Master[[#All],[Event_No]],Event_Master[[#All],[Guest_Count]],,0)</f>
        <v>1000</v>
      </c>
      <c r="G572" cm="1">
        <f t="array" ref="G572">Food_Orders[[#This Row],[Quantity_Orderd]]*_xlfn.XLOOKUP(Food_Orders[[#This Row],[Food_ID]],Food_Catalog[[#All],[Food_ID]],Food_Catalog[[#All],[Price_Per_Unit]],0,0)</f>
        <v>20000</v>
      </c>
      <c r="H572" cm="1">
        <f t="array" ref="H572">Food_Orders[[#This Row],[Quantity_Orderd]]*_xlfn.XLOOKUP(Food_Orders[[#This Row],[Food_ID]],Food_Catalog[[#All],[Food_ID]],Food_Catalog[[#All],[Client_Price_Per_Unit]],0,0)</f>
        <v>24000</v>
      </c>
      <c r="I572">
        <f>Food_Orders[[#This Row],[Client_Price]]-Food_Orders[[#This Row],[Cost]]</f>
        <v>4000</v>
      </c>
    </row>
    <row r="573" spans="1:9" x14ac:dyDescent="0.25">
      <c r="A573">
        <v>26</v>
      </c>
      <c r="B573" t="s">
        <v>60</v>
      </c>
      <c r="C573" t="s">
        <v>61</v>
      </c>
      <c r="D573" t="s">
        <v>62</v>
      </c>
      <c r="E573" t="s">
        <v>10</v>
      </c>
      <c r="F573" cm="1">
        <f t="array" ref="F573">_xlfn.XLOOKUP(Food_Orders[[#This Row],[Event_No]],Event_Master[[#All],[Event_No]],Event_Master[[#All],[Guest_Count]],,0)</f>
        <v>1200</v>
      </c>
      <c r="G573" cm="1">
        <f t="array" ref="G573">Food_Orders[[#This Row],[Quantity_Orderd]]*_xlfn.XLOOKUP(Food_Orders[[#This Row],[Food_ID]],Food_Catalog[[#All],[Food_ID]],Food_Catalog[[#All],[Price_Per_Unit]],0,0)</f>
        <v>24000</v>
      </c>
      <c r="H573" cm="1">
        <f t="array" ref="H573">Food_Orders[[#This Row],[Quantity_Orderd]]*_xlfn.XLOOKUP(Food_Orders[[#This Row],[Food_ID]],Food_Catalog[[#All],[Food_ID]],Food_Catalog[[#All],[Client_Price_Per_Unit]],0,0)</f>
        <v>28800</v>
      </c>
      <c r="I573">
        <f>Food_Orders[[#This Row],[Client_Price]]-Food_Orders[[#This Row],[Cost]]</f>
        <v>4800</v>
      </c>
    </row>
    <row r="574" spans="1:9" x14ac:dyDescent="0.25">
      <c r="A574">
        <v>26</v>
      </c>
      <c r="B574" t="s">
        <v>63</v>
      </c>
      <c r="C574" t="s">
        <v>61</v>
      </c>
      <c r="D574" t="s">
        <v>64</v>
      </c>
      <c r="E574" t="s">
        <v>10</v>
      </c>
      <c r="F574" cm="1">
        <f t="array" ref="F574">_xlfn.XLOOKUP(Food_Orders[[#This Row],[Event_No]],Event_Master[[#All],[Event_No]],Event_Master[[#All],[Guest_Count]],,0)</f>
        <v>1200</v>
      </c>
      <c r="G574" cm="1">
        <f t="array" ref="G574">Food_Orders[[#This Row],[Quantity_Orderd]]*_xlfn.XLOOKUP(Food_Orders[[#This Row],[Food_ID]],Food_Catalog[[#All],[Food_ID]],Food_Catalog[[#All],[Price_Per_Unit]],0,0)</f>
        <v>36000</v>
      </c>
      <c r="H574" cm="1">
        <f t="array" ref="H574">Food_Orders[[#This Row],[Quantity_Orderd]]*_xlfn.XLOOKUP(Food_Orders[[#This Row],[Food_ID]],Food_Catalog[[#All],[Food_ID]],Food_Catalog[[#All],[Client_Price_Per_Unit]],0,0)</f>
        <v>43200</v>
      </c>
      <c r="I574">
        <f>Food_Orders[[#This Row],[Client_Price]]-Food_Orders[[#This Row],[Cost]]</f>
        <v>7200</v>
      </c>
    </row>
    <row r="575" spans="1:9" x14ac:dyDescent="0.25">
      <c r="A575">
        <v>26</v>
      </c>
      <c r="B575" t="s">
        <v>71</v>
      </c>
      <c r="C575" t="s">
        <v>61</v>
      </c>
      <c r="D575" t="s">
        <v>72</v>
      </c>
      <c r="E575" t="s">
        <v>10</v>
      </c>
      <c r="F575" cm="1">
        <f t="array" ref="F575">_xlfn.XLOOKUP(Food_Orders[[#This Row],[Event_No]],Event_Master[[#All],[Event_No]],Event_Master[[#All],[Guest_Count]],,0)</f>
        <v>1200</v>
      </c>
      <c r="G575" cm="1">
        <f t="array" ref="G575">Food_Orders[[#This Row],[Quantity_Orderd]]*_xlfn.XLOOKUP(Food_Orders[[#This Row],[Food_ID]],Food_Catalog[[#All],[Food_ID]],Food_Catalog[[#All],[Price_Per_Unit]],0,0)</f>
        <v>30000</v>
      </c>
      <c r="H575" cm="1">
        <f t="array" ref="H575">Food_Orders[[#This Row],[Quantity_Orderd]]*_xlfn.XLOOKUP(Food_Orders[[#This Row],[Food_ID]],Food_Catalog[[#All],[Food_ID]],Food_Catalog[[#All],[Client_Price_Per_Unit]],0,0)</f>
        <v>36000</v>
      </c>
      <c r="I575">
        <f>Food_Orders[[#This Row],[Client_Price]]-Food_Orders[[#This Row],[Cost]]</f>
        <v>6000</v>
      </c>
    </row>
    <row r="576" spans="1:9" x14ac:dyDescent="0.25">
      <c r="A576">
        <v>26</v>
      </c>
      <c r="B576" t="s">
        <v>80</v>
      </c>
      <c r="C576" t="s">
        <v>61</v>
      </c>
      <c r="D576" t="s">
        <v>81</v>
      </c>
      <c r="E576" t="s">
        <v>10</v>
      </c>
      <c r="F576" cm="1">
        <f t="array" ref="F576">_xlfn.XLOOKUP(Food_Orders[[#This Row],[Event_No]],Event_Master[[#All],[Event_No]],Event_Master[[#All],[Guest_Count]],,0)</f>
        <v>1200</v>
      </c>
      <c r="G576" cm="1">
        <f t="array" ref="G576">Food_Orders[[#This Row],[Quantity_Orderd]]*_xlfn.XLOOKUP(Food_Orders[[#This Row],[Food_ID]],Food_Catalog[[#All],[Food_ID]],Food_Catalog[[#All],[Price_Per_Unit]],0,0)</f>
        <v>36000</v>
      </c>
      <c r="H576" cm="1">
        <f t="array" ref="H576">Food_Orders[[#This Row],[Quantity_Orderd]]*_xlfn.XLOOKUP(Food_Orders[[#This Row],[Food_ID]],Food_Catalog[[#All],[Food_ID]],Food_Catalog[[#All],[Client_Price_Per_Unit]],0,0)</f>
        <v>43200</v>
      </c>
      <c r="I576">
        <f>Food_Orders[[#This Row],[Client_Price]]-Food_Orders[[#This Row],[Cost]]</f>
        <v>7200</v>
      </c>
    </row>
    <row r="577" spans="1:9" x14ac:dyDescent="0.25">
      <c r="A577">
        <v>26</v>
      </c>
      <c r="B577" t="s">
        <v>73</v>
      </c>
      <c r="C577" t="s">
        <v>61</v>
      </c>
      <c r="D577" t="s">
        <v>74</v>
      </c>
      <c r="E577" t="s">
        <v>10</v>
      </c>
      <c r="F577" cm="1">
        <f t="array" ref="F577">_xlfn.XLOOKUP(Food_Orders[[#This Row],[Event_No]],Event_Master[[#All],[Event_No]],Event_Master[[#All],[Guest_Count]],,0)</f>
        <v>1200</v>
      </c>
      <c r="G577" cm="1">
        <f t="array" ref="G577">Food_Orders[[#This Row],[Quantity_Orderd]]*_xlfn.XLOOKUP(Food_Orders[[#This Row],[Food_ID]],Food_Catalog[[#All],[Food_ID]],Food_Catalog[[#All],[Price_Per_Unit]],0,0)</f>
        <v>48000</v>
      </c>
      <c r="H577" cm="1">
        <f t="array" ref="H577">Food_Orders[[#This Row],[Quantity_Orderd]]*_xlfn.XLOOKUP(Food_Orders[[#This Row],[Food_ID]],Food_Catalog[[#All],[Food_ID]],Food_Catalog[[#All],[Client_Price_Per_Unit]],0,0)</f>
        <v>57600</v>
      </c>
      <c r="I577">
        <f>Food_Orders[[#This Row],[Client_Price]]-Food_Orders[[#This Row],[Cost]]</f>
        <v>9600</v>
      </c>
    </row>
    <row r="578" spans="1:9" x14ac:dyDescent="0.25">
      <c r="A578">
        <v>26</v>
      </c>
      <c r="B578" t="s">
        <v>75</v>
      </c>
      <c r="C578" t="s">
        <v>61</v>
      </c>
      <c r="D578" t="s">
        <v>76</v>
      </c>
      <c r="E578" t="s">
        <v>10</v>
      </c>
      <c r="F578" cm="1">
        <f t="array" ref="F578">_xlfn.XLOOKUP(Food_Orders[[#This Row],[Event_No]],Event_Master[[#All],[Event_No]],Event_Master[[#All],[Guest_Count]],,0)</f>
        <v>1200</v>
      </c>
      <c r="G578" cm="1">
        <f t="array" ref="G578">Food_Orders[[#This Row],[Quantity_Orderd]]*_xlfn.XLOOKUP(Food_Orders[[#This Row],[Food_ID]],Food_Catalog[[#All],[Food_ID]],Food_Catalog[[#All],[Price_Per_Unit]],0,0)</f>
        <v>48000</v>
      </c>
      <c r="H578" cm="1">
        <f t="array" ref="H578">Food_Orders[[#This Row],[Quantity_Orderd]]*_xlfn.XLOOKUP(Food_Orders[[#This Row],[Food_ID]],Food_Catalog[[#All],[Food_ID]],Food_Catalog[[#All],[Client_Price_Per_Unit]],0,0)</f>
        <v>57600</v>
      </c>
      <c r="I578">
        <f>Food_Orders[[#This Row],[Client_Price]]-Food_Orders[[#This Row],[Cost]]</f>
        <v>9600</v>
      </c>
    </row>
    <row r="579" spans="1:9" x14ac:dyDescent="0.25">
      <c r="A579">
        <v>26</v>
      </c>
      <c r="B579" t="s">
        <v>69</v>
      </c>
      <c r="C579" t="s">
        <v>61</v>
      </c>
      <c r="D579" t="s">
        <v>70</v>
      </c>
      <c r="E579" t="s">
        <v>10</v>
      </c>
      <c r="F579" cm="1">
        <f t="array" ref="F579">_xlfn.XLOOKUP(Food_Orders[[#This Row],[Event_No]],Event_Master[[#All],[Event_No]],Event_Master[[#All],[Guest_Count]],,0)</f>
        <v>1200</v>
      </c>
      <c r="G579" cm="1">
        <f t="array" ref="G579">Food_Orders[[#This Row],[Quantity_Orderd]]*_xlfn.XLOOKUP(Food_Orders[[#This Row],[Food_ID]],Food_Catalog[[#All],[Food_ID]],Food_Catalog[[#All],[Price_Per_Unit]],0,0)</f>
        <v>60000</v>
      </c>
      <c r="H579" cm="1">
        <f t="array" ref="H579">Food_Orders[[#This Row],[Quantity_Orderd]]*_xlfn.XLOOKUP(Food_Orders[[#This Row],[Food_ID]],Food_Catalog[[#All],[Food_ID]],Food_Catalog[[#All],[Client_Price_Per_Unit]],0,0)</f>
        <v>72000</v>
      </c>
      <c r="I579">
        <f>Food_Orders[[#This Row],[Client_Price]]-Food_Orders[[#This Row],[Cost]]</f>
        <v>12000</v>
      </c>
    </row>
    <row r="580" spans="1:9" x14ac:dyDescent="0.25">
      <c r="A580">
        <v>26</v>
      </c>
      <c r="B580" t="s">
        <v>67</v>
      </c>
      <c r="C580" t="s">
        <v>61</v>
      </c>
      <c r="D580" t="s">
        <v>68</v>
      </c>
      <c r="E580" t="s">
        <v>10</v>
      </c>
      <c r="F580" cm="1">
        <f t="array" ref="F580">_xlfn.XLOOKUP(Food_Orders[[#This Row],[Event_No]],Event_Master[[#All],[Event_No]],Event_Master[[#All],[Guest_Count]],,0)</f>
        <v>1200</v>
      </c>
      <c r="G580" cm="1">
        <f t="array" ref="G580">Food_Orders[[#This Row],[Quantity_Orderd]]*_xlfn.XLOOKUP(Food_Orders[[#This Row],[Food_ID]],Food_Catalog[[#All],[Food_ID]],Food_Catalog[[#All],[Price_Per_Unit]],0,0)</f>
        <v>36000</v>
      </c>
      <c r="H580" cm="1">
        <f t="array" ref="H580">Food_Orders[[#This Row],[Quantity_Orderd]]*_xlfn.XLOOKUP(Food_Orders[[#This Row],[Food_ID]],Food_Catalog[[#All],[Food_ID]],Food_Catalog[[#All],[Client_Price_Per_Unit]],0,0)</f>
        <v>43200</v>
      </c>
      <c r="I580">
        <f>Food_Orders[[#This Row],[Client_Price]]-Food_Orders[[#This Row],[Cost]]</f>
        <v>7200</v>
      </c>
    </row>
    <row r="581" spans="1:9" x14ac:dyDescent="0.25">
      <c r="A581">
        <v>26</v>
      </c>
      <c r="B581" t="s">
        <v>77</v>
      </c>
      <c r="C581" t="s">
        <v>61</v>
      </c>
      <c r="D581" t="s">
        <v>78</v>
      </c>
      <c r="E581" t="s">
        <v>79</v>
      </c>
      <c r="F581" cm="1">
        <f t="array" ref="F581">_xlfn.XLOOKUP(Food_Orders[[#This Row],[Event_No]],Event_Master[[#All],[Event_No]],Event_Master[[#All],[Guest_Count]],,0)</f>
        <v>1200</v>
      </c>
      <c r="G581" cm="1">
        <f t="array" ref="G581">Food_Orders[[#This Row],[Quantity_Orderd]]*_xlfn.XLOOKUP(Food_Orders[[#This Row],[Food_ID]],Food_Catalog[[#All],[Food_ID]],Food_Catalog[[#All],[Price_Per_Unit]],0,0)</f>
        <v>42000</v>
      </c>
      <c r="H581" cm="1">
        <f t="array" ref="H581">Food_Orders[[#This Row],[Quantity_Orderd]]*_xlfn.XLOOKUP(Food_Orders[[#This Row],[Food_ID]],Food_Catalog[[#All],[Food_ID]],Food_Catalog[[#All],[Client_Price_Per_Unit]],0,0)</f>
        <v>50400</v>
      </c>
      <c r="I581">
        <f>Food_Orders[[#This Row],[Client_Price]]-Food_Orders[[#This Row],[Cost]]</f>
        <v>8400</v>
      </c>
    </row>
    <row r="582" spans="1:9" x14ac:dyDescent="0.25">
      <c r="A582">
        <v>26</v>
      </c>
      <c r="B582" t="s">
        <v>7</v>
      </c>
      <c r="C582" t="s">
        <v>8</v>
      </c>
      <c r="D582" t="s">
        <v>9</v>
      </c>
      <c r="E582" t="s">
        <v>10</v>
      </c>
      <c r="F582" cm="1">
        <f t="array" ref="F582">_xlfn.XLOOKUP(Food_Orders[[#This Row],[Event_No]],Event_Master[[#All],[Event_No]],Event_Master[[#All],[Guest_Count]],,0)</f>
        <v>1200</v>
      </c>
      <c r="G582" cm="1">
        <f t="array" ref="G582">Food_Orders[[#This Row],[Quantity_Orderd]]*_xlfn.XLOOKUP(Food_Orders[[#This Row],[Food_ID]],Food_Catalog[[#All],[Food_ID]],Food_Catalog[[#All],[Price_Per_Unit]],0,0)</f>
        <v>30000</v>
      </c>
      <c r="H582" cm="1">
        <f t="array" ref="H582">Food_Orders[[#This Row],[Quantity_Orderd]]*_xlfn.XLOOKUP(Food_Orders[[#This Row],[Food_ID]],Food_Catalog[[#All],[Food_ID]],Food_Catalog[[#All],[Client_Price_Per_Unit]],0,0)</f>
        <v>36000</v>
      </c>
      <c r="I582">
        <f>Food_Orders[[#This Row],[Client_Price]]-Food_Orders[[#This Row],[Cost]]</f>
        <v>6000</v>
      </c>
    </row>
    <row r="583" spans="1:9" x14ac:dyDescent="0.25">
      <c r="A583">
        <v>26</v>
      </c>
      <c r="B583" t="s">
        <v>13</v>
      </c>
      <c r="C583" t="s">
        <v>8</v>
      </c>
      <c r="D583" t="s">
        <v>14</v>
      </c>
      <c r="E583" t="s">
        <v>10</v>
      </c>
      <c r="F583" cm="1">
        <f t="array" ref="F583">_xlfn.XLOOKUP(Food_Orders[[#This Row],[Event_No]],Event_Master[[#All],[Event_No]],Event_Master[[#All],[Guest_Count]],,0)</f>
        <v>1200</v>
      </c>
      <c r="G583" cm="1">
        <f t="array" ref="G583">Food_Orders[[#This Row],[Quantity_Orderd]]*_xlfn.XLOOKUP(Food_Orders[[#This Row],[Food_ID]],Food_Catalog[[#All],[Food_ID]],Food_Catalog[[#All],[Price_Per_Unit]],0,0)</f>
        <v>42000</v>
      </c>
      <c r="H583" cm="1">
        <f t="array" ref="H583">Food_Orders[[#This Row],[Quantity_Orderd]]*_xlfn.XLOOKUP(Food_Orders[[#This Row],[Food_ID]],Food_Catalog[[#All],[Food_ID]],Food_Catalog[[#All],[Client_Price_Per_Unit]],0,0)</f>
        <v>50400</v>
      </c>
      <c r="I583">
        <f>Food_Orders[[#This Row],[Client_Price]]-Food_Orders[[#This Row],[Cost]]</f>
        <v>8400</v>
      </c>
    </row>
    <row r="584" spans="1:9" x14ac:dyDescent="0.25">
      <c r="A584">
        <v>26</v>
      </c>
      <c r="B584" t="s">
        <v>35</v>
      </c>
      <c r="C584" t="s">
        <v>8</v>
      </c>
      <c r="D584" t="s">
        <v>36</v>
      </c>
      <c r="E584" t="s">
        <v>10</v>
      </c>
      <c r="F584" cm="1">
        <f t="array" ref="F584">_xlfn.XLOOKUP(Food_Orders[[#This Row],[Event_No]],Event_Master[[#All],[Event_No]],Event_Master[[#All],[Guest_Count]],,0)</f>
        <v>1200</v>
      </c>
      <c r="G584" cm="1">
        <f t="array" ref="G584">Food_Orders[[#This Row],[Quantity_Orderd]]*_xlfn.XLOOKUP(Food_Orders[[#This Row],[Food_ID]],Food_Catalog[[#All],[Food_ID]],Food_Catalog[[#All],[Price_Per_Unit]],0,0)</f>
        <v>36000</v>
      </c>
      <c r="H584" cm="1">
        <f t="array" ref="H584">Food_Orders[[#This Row],[Quantity_Orderd]]*_xlfn.XLOOKUP(Food_Orders[[#This Row],[Food_ID]],Food_Catalog[[#All],[Food_ID]],Food_Catalog[[#All],[Client_Price_Per_Unit]],0,0)</f>
        <v>43200</v>
      </c>
      <c r="I584">
        <f>Food_Orders[[#This Row],[Client_Price]]-Food_Orders[[#This Row],[Cost]]</f>
        <v>7200</v>
      </c>
    </row>
    <row r="585" spans="1:9" x14ac:dyDescent="0.25">
      <c r="A585">
        <v>26</v>
      </c>
      <c r="B585" t="s">
        <v>27</v>
      </c>
      <c r="C585" t="s">
        <v>8</v>
      </c>
      <c r="D585" t="s">
        <v>28</v>
      </c>
      <c r="E585" t="s">
        <v>10</v>
      </c>
      <c r="F585" cm="1">
        <f t="array" ref="F585">_xlfn.XLOOKUP(Food_Orders[[#This Row],[Event_No]],Event_Master[[#All],[Event_No]],Event_Master[[#All],[Guest_Count]],,0)</f>
        <v>1200</v>
      </c>
      <c r="G585" cm="1">
        <f t="array" ref="G585">Food_Orders[[#This Row],[Quantity_Orderd]]*_xlfn.XLOOKUP(Food_Orders[[#This Row],[Food_ID]],Food_Catalog[[#All],[Food_ID]],Food_Catalog[[#All],[Price_Per_Unit]],0,0)</f>
        <v>48000</v>
      </c>
      <c r="H585" cm="1">
        <f t="array" ref="H585">Food_Orders[[#This Row],[Quantity_Orderd]]*_xlfn.XLOOKUP(Food_Orders[[#This Row],[Food_ID]],Food_Catalog[[#All],[Food_ID]],Food_Catalog[[#All],[Client_Price_Per_Unit]],0,0)</f>
        <v>57600</v>
      </c>
      <c r="I585">
        <f>Food_Orders[[#This Row],[Client_Price]]-Food_Orders[[#This Row],[Cost]]</f>
        <v>9600</v>
      </c>
    </row>
    <row r="586" spans="1:9" x14ac:dyDescent="0.25">
      <c r="A586">
        <v>26</v>
      </c>
      <c r="B586" t="s">
        <v>31</v>
      </c>
      <c r="C586" t="s">
        <v>8</v>
      </c>
      <c r="D586" t="s">
        <v>32</v>
      </c>
      <c r="E586" t="s">
        <v>10</v>
      </c>
      <c r="F586" cm="1">
        <f t="array" ref="F586">_xlfn.XLOOKUP(Food_Orders[[#This Row],[Event_No]],Event_Master[[#All],[Event_No]],Event_Master[[#All],[Guest_Count]],,0)</f>
        <v>1200</v>
      </c>
      <c r="G586" cm="1">
        <f t="array" ref="G586">Food_Orders[[#This Row],[Quantity_Orderd]]*_xlfn.XLOOKUP(Food_Orders[[#This Row],[Food_ID]],Food_Catalog[[#All],[Food_ID]],Food_Catalog[[#All],[Price_Per_Unit]],0,0)</f>
        <v>36000</v>
      </c>
      <c r="H586" cm="1">
        <f t="array" ref="H586">Food_Orders[[#This Row],[Quantity_Orderd]]*_xlfn.XLOOKUP(Food_Orders[[#This Row],[Food_ID]],Food_Catalog[[#All],[Food_ID]],Food_Catalog[[#All],[Client_Price_Per_Unit]],0,0)</f>
        <v>43200</v>
      </c>
      <c r="I586">
        <f>Food_Orders[[#This Row],[Client_Price]]-Food_Orders[[#This Row],[Cost]]</f>
        <v>7200</v>
      </c>
    </row>
    <row r="587" spans="1:9" x14ac:dyDescent="0.25">
      <c r="A587">
        <v>26</v>
      </c>
      <c r="B587" t="s">
        <v>33</v>
      </c>
      <c r="C587" t="s">
        <v>8</v>
      </c>
      <c r="D587" t="s">
        <v>34</v>
      </c>
      <c r="E587" t="s">
        <v>10</v>
      </c>
      <c r="F587" cm="1">
        <f t="array" ref="F587">_xlfn.XLOOKUP(Food_Orders[[#This Row],[Event_No]],Event_Master[[#All],[Event_No]],Event_Master[[#All],[Guest_Count]],,0)</f>
        <v>1200</v>
      </c>
      <c r="G587" cm="1">
        <f t="array" ref="G587">Food_Orders[[#This Row],[Quantity_Orderd]]*_xlfn.XLOOKUP(Food_Orders[[#This Row],[Food_ID]],Food_Catalog[[#All],[Food_ID]],Food_Catalog[[#All],[Price_Per_Unit]],0,0)</f>
        <v>36000</v>
      </c>
      <c r="H587" cm="1">
        <f t="array" ref="H587">Food_Orders[[#This Row],[Quantity_Orderd]]*_xlfn.XLOOKUP(Food_Orders[[#This Row],[Food_ID]],Food_Catalog[[#All],[Food_ID]],Food_Catalog[[#All],[Client_Price_Per_Unit]],0,0)</f>
        <v>43200</v>
      </c>
      <c r="I587">
        <f>Food_Orders[[#This Row],[Client_Price]]-Food_Orders[[#This Row],[Cost]]</f>
        <v>7200</v>
      </c>
    </row>
    <row r="588" spans="1:9" x14ac:dyDescent="0.25">
      <c r="A588">
        <v>26</v>
      </c>
      <c r="B588" t="s">
        <v>17</v>
      </c>
      <c r="C588" t="s">
        <v>8</v>
      </c>
      <c r="D588" t="s">
        <v>18</v>
      </c>
      <c r="E588" t="s">
        <v>10</v>
      </c>
      <c r="F588" cm="1">
        <f t="array" ref="F588">_xlfn.XLOOKUP(Food_Orders[[#This Row],[Event_No]],Event_Master[[#All],[Event_No]],Event_Master[[#All],[Guest_Count]],,0)</f>
        <v>1200</v>
      </c>
      <c r="G588" cm="1">
        <f t="array" ref="G588">Food_Orders[[#This Row],[Quantity_Orderd]]*_xlfn.XLOOKUP(Food_Orders[[#This Row],[Food_ID]],Food_Catalog[[#All],[Food_ID]],Food_Catalog[[#All],[Price_Per_Unit]],0,0)</f>
        <v>48000</v>
      </c>
      <c r="H588" cm="1">
        <f t="array" ref="H588">Food_Orders[[#This Row],[Quantity_Orderd]]*_xlfn.XLOOKUP(Food_Orders[[#This Row],[Food_ID]],Food_Catalog[[#All],[Food_ID]],Food_Catalog[[#All],[Client_Price_Per_Unit]],0,0)</f>
        <v>57600</v>
      </c>
      <c r="I588">
        <f>Food_Orders[[#This Row],[Client_Price]]-Food_Orders[[#This Row],[Cost]]</f>
        <v>9600</v>
      </c>
    </row>
    <row r="589" spans="1:9" x14ac:dyDescent="0.25">
      <c r="A589">
        <v>26</v>
      </c>
      <c r="B589" t="s">
        <v>29</v>
      </c>
      <c r="C589" t="s">
        <v>8</v>
      </c>
      <c r="D589" t="s">
        <v>30</v>
      </c>
      <c r="E589" t="s">
        <v>10</v>
      </c>
      <c r="F589" cm="1">
        <f t="array" ref="F589">_xlfn.XLOOKUP(Food_Orders[[#This Row],[Event_No]],Event_Master[[#All],[Event_No]],Event_Master[[#All],[Guest_Count]],,0)</f>
        <v>1200</v>
      </c>
      <c r="G589" cm="1">
        <f t="array" ref="G589">Food_Orders[[#This Row],[Quantity_Orderd]]*_xlfn.XLOOKUP(Food_Orders[[#This Row],[Food_ID]],Food_Catalog[[#All],[Food_ID]],Food_Catalog[[#All],[Price_Per_Unit]],0,0)</f>
        <v>36000</v>
      </c>
      <c r="H589" cm="1">
        <f t="array" ref="H589">Food_Orders[[#This Row],[Quantity_Orderd]]*_xlfn.XLOOKUP(Food_Orders[[#This Row],[Food_ID]],Food_Catalog[[#All],[Food_ID]],Food_Catalog[[#All],[Client_Price_Per_Unit]],0,0)</f>
        <v>43200</v>
      </c>
      <c r="I589">
        <f>Food_Orders[[#This Row],[Client_Price]]-Food_Orders[[#This Row],[Cost]]</f>
        <v>7200</v>
      </c>
    </row>
    <row r="590" spans="1:9" x14ac:dyDescent="0.25">
      <c r="A590">
        <v>26</v>
      </c>
      <c r="B590" t="s">
        <v>37</v>
      </c>
      <c r="C590" t="s">
        <v>8</v>
      </c>
      <c r="D590" t="s">
        <v>38</v>
      </c>
      <c r="E590" t="s">
        <v>10</v>
      </c>
      <c r="F590" cm="1">
        <f t="array" ref="F590">_xlfn.XLOOKUP(Food_Orders[[#This Row],[Event_No]],Event_Master[[#All],[Event_No]],Event_Master[[#All],[Guest_Count]],,0)</f>
        <v>1200</v>
      </c>
      <c r="G590" cm="1">
        <f t="array" ref="G590">Food_Orders[[#This Row],[Quantity_Orderd]]*_xlfn.XLOOKUP(Food_Orders[[#This Row],[Food_ID]],Food_Catalog[[#All],[Food_ID]],Food_Catalog[[#All],[Price_Per_Unit]],0,0)</f>
        <v>30000</v>
      </c>
      <c r="H590" cm="1">
        <f t="array" ref="H590">Food_Orders[[#This Row],[Quantity_Orderd]]*_xlfn.XLOOKUP(Food_Orders[[#This Row],[Food_ID]],Food_Catalog[[#All],[Food_ID]],Food_Catalog[[#All],[Client_Price_Per_Unit]],0,0)</f>
        <v>36000</v>
      </c>
      <c r="I590">
        <f>Food_Orders[[#This Row],[Client_Price]]-Food_Orders[[#This Row],[Cost]]</f>
        <v>6000</v>
      </c>
    </row>
    <row r="591" spans="1:9" x14ac:dyDescent="0.25">
      <c r="A591">
        <v>26</v>
      </c>
      <c r="B591" t="s">
        <v>82</v>
      </c>
      <c r="C591" t="s">
        <v>83</v>
      </c>
      <c r="D591" t="s">
        <v>84</v>
      </c>
      <c r="E591" t="s">
        <v>85</v>
      </c>
      <c r="F591" cm="1">
        <f t="array" ref="F591">_xlfn.XLOOKUP(Food_Orders[[#This Row],[Event_No]],Event_Master[[#All],[Event_No]],Event_Master[[#All],[Guest_Count]],,0)</f>
        <v>1200</v>
      </c>
      <c r="G591" cm="1">
        <f t="array" ref="G591">Food_Orders[[#This Row],[Quantity_Orderd]]*_xlfn.XLOOKUP(Food_Orders[[#This Row],[Food_ID]],Food_Catalog[[#All],[Food_ID]],Food_Catalog[[#All],[Price_Per_Unit]],0,0)</f>
        <v>24000</v>
      </c>
      <c r="H591" cm="1">
        <f t="array" ref="H591">Food_Orders[[#This Row],[Quantity_Orderd]]*_xlfn.XLOOKUP(Food_Orders[[#This Row],[Food_ID]],Food_Catalog[[#All],[Food_ID]],Food_Catalog[[#All],[Client_Price_Per_Unit]],0,0)</f>
        <v>28800</v>
      </c>
      <c r="I591">
        <f>Food_Orders[[#This Row],[Client_Price]]-Food_Orders[[#This Row],[Cost]]</f>
        <v>4800</v>
      </c>
    </row>
    <row r="592" spans="1:9" x14ac:dyDescent="0.25">
      <c r="A592">
        <v>26</v>
      </c>
      <c r="B592" t="s">
        <v>86</v>
      </c>
      <c r="C592" t="s">
        <v>83</v>
      </c>
      <c r="D592" t="s">
        <v>87</v>
      </c>
      <c r="E592" t="s">
        <v>85</v>
      </c>
      <c r="F592" cm="1">
        <f t="array" ref="F592">_xlfn.XLOOKUP(Food_Orders[[#This Row],[Event_No]],Event_Master[[#All],[Event_No]],Event_Master[[#All],[Guest_Count]],,0)</f>
        <v>1200</v>
      </c>
      <c r="G592" cm="1">
        <f t="array" ref="G592">Food_Orders[[#This Row],[Quantity_Orderd]]*_xlfn.XLOOKUP(Food_Orders[[#This Row],[Food_ID]],Food_Catalog[[#All],[Food_ID]],Food_Catalog[[#All],[Price_Per_Unit]],0,0)</f>
        <v>24000</v>
      </c>
      <c r="H592" cm="1">
        <f t="array" ref="H592">Food_Orders[[#This Row],[Quantity_Orderd]]*_xlfn.XLOOKUP(Food_Orders[[#This Row],[Food_ID]],Food_Catalog[[#All],[Food_ID]],Food_Catalog[[#All],[Client_Price_Per_Unit]],0,0)</f>
        <v>28800</v>
      </c>
      <c r="I592">
        <f>Food_Orders[[#This Row],[Client_Price]]-Food_Orders[[#This Row],[Cost]]</f>
        <v>4800</v>
      </c>
    </row>
    <row r="593" spans="1:9" x14ac:dyDescent="0.25">
      <c r="A593">
        <v>26</v>
      </c>
      <c r="B593" t="s">
        <v>96</v>
      </c>
      <c r="C593" t="s">
        <v>83</v>
      </c>
      <c r="D593" t="s">
        <v>97</v>
      </c>
      <c r="E593" t="s">
        <v>79</v>
      </c>
      <c r="F593" cm="1">
        <f t="array" ref="F593">_xlfn.XLOOKUP(Food_Orders[[#This Row],[Event_No]],Event_Master[[#All],[Event_No]],Event_Master[[#All],[Guest_Count]],,0)</f>
        <v>1200</v>
      </c>
      <c r="G593" cm="1">
        <f t="array" ref="G593">Food_Orders[[#This Row],[Quantity_Orderd]]*_xlfn.XLOOKUP(Food_Orders[[#This Row],[Food_ID]],Food_Catalog[[#All],[Food_ID]],Food_Catalog[[#All],[Price_Per_Unit]],0,0)</f>
        <v>36000</v>
      </c>
      <c r="H593" cm="1">
        <f t="array" ref="H593">Food_Orders[[#This Row],[Quantity_Orderd]]*_xlfn.XLOOKUP(Food_Orders[[#This Row],[Food_ID]],Food_Catalog[[#All],[Food_ID]],Food_Catalog[[#All],[Client_Price_Per_Unit]],0,0)</f>
        <v>43200</v>
      </c>
      <c r="I593">
        <f>Food_Orders[[#This Row],[Client_Price]]-Food_Orders[[#This Row],[Cost]]</f>
        <v>7200</v>
      </c>
    </row>
    <row r="594" spans="1:9" x14ac:dyDescent="0.25">
      <c r="A594">
        <v>26</v>
      </c>
      <c r="B594" t="s">
        <v>88</v>
      </c>
      <c r="C594" t="s">
        <v>83</v>
      </c>
      <c r="D594" t="s">
        <v>89</v>
      </c>
      <c r="E594" t="s">
        <v>85</v>
      </c>
      <c r="F594" cm="1">
        <f t="array" ref="F594">_xlfn.XLOOKUP(Food_Orders[[#This Row],[Event_No]],Event_Master[[#All],[Event_No]],Event_Master[[#All],[Guest_Count]],,0)</f>
        <v>1200</v>
      </c>
      <c r="G594" cm="1">
        <f t="array" ref="G594">Food_Orders[[#This Row],[Quantity_Orderd]]*_xlfn.XLOOKUP(Food_Orders[[#This Row],[Food_ID]],Food_Catalog[[#All],[Food_ID]],Food_Catalog[[#All],[Price_Per_Unit]],0,0)</f>
        <v>18000</v>
      </c>
      <c r="H594" cm="1">
        <f t="array" ref="H594">Food_Orders[[#This Row],[Quantity_Orderd]]*_xlfn.XLOOKUP(Food_Orders[[#This Row],[Food_ID]],Food_Catalog[[#All],[Food_ID]],Food_Catalog[[#All],[Client_Price_Per_Unit]],0,0)</f>
        <v>21600</v>
      </c>
      <c r="I594">
        <f>Food_Orders[[#This Row],[Client_Price]]-Food_Orders[[#This Row],[Cost]]</f>
        <v>3600</v>
      </c>
    </row>
    <row r="595" spans="1:9" x14ac:dyDescent="0.25">
      <c r="A595">
        <v>26</v>
      </c>
      <c r="B595" t="s">
        <v>92</v>
      </c>
      <c r="C595" t="s">
        <v>83</v>
      </c>
      <c r="D595" t="s">
        <v>93</v>
      </c>
      <c r="E595" t="s">
        <v>85</v>
      </c>
      <c r="F595" cm="1">
        <f t="array" ref="F595">_xlfn.XLOOKUP(Food_Orders[[#This Row],[Event_No]],Event_Master[[#All],[Event_No]],Event_Master[[#All],[Guest_Count]],,0)</f>
        <v>1200</v>
      </c>
      <c r="G595" cm="1">
        <f t="array" ref="G595">Food_Orders[[#This Row],[Quantity_Orderd]]*_xlfn.XLOOKUP(Food_Orders[[#This Row],[Food_ID]],Food_Catalog[[#All],[Food_ID]],Food_Catalog[[#All],[Price_Per_Unit]],0,0)</f>
        <v>18000</v>
      </c>
      <c r="H595" cm="1">
        <f t="array" ref="H595">Food_Orders[[#This Row],[Quantity_Orderd]]*_xlfn.XLOOKUP(Food_Orders[[#This Row],[Food_ID]],Food_Catalog[[#All],[Food_ID]],Food_Catalog[[#All],[Client_Price_Per_Unit]],0,0)</f>
        <v>21600</v>
      </c>
      <c r="I595">
        <f>Food_Orders[[#This Row],[Client_Price]]-Food_Orders[[#This Row],[Cost]]</f>
        <v>3600</v>
      </c>
    </row>
    <row r="596" spans="1:9" x14ac:dyDescent="0.25">
      <c r="A596">
        <v>26</v>
      </c>
      <c r="B596" t="s">
        <v>98</v>
      </c>
      <c r="C596" t="s">
        <v>83</v>
      </c>
      <c r="D596" t="s">
        <v>99</v>
      </c>
      <c r="E596" t="s">
        <v>85</v>
      </c>
      <c r="F596" cm="1">
        <f t="array" ref="F596">_xlfn.XLOOKUP(Food_Orders[[#This Row],[Event_No]],Event_Master[[#All],[Event_No]],Event_Master[[#All],[Guest_Count]],,0)</f>
        <v>1200</v>
      </c>
      <c r="G596" cm="1">
        <f t="array" ref="G596">Food_Orders[[#This Row],[Quantity_Orderd]]*_xlfn.XLOOKUP(Food_Orders[[#This Row],[Food_ID]],Food_Catalog[[#All],[Food_ID]],Food_Catalog[[#All],[Price_Per_Unit]],0,0)</f>
        <v>18000</v>
      </c>
      <c r="H596" cm="1">
        <f t="array" ref="H596">Food_Orders[[#This Row],[Quantity_Orderd]]*_xlfn.XLOOKUP(Food_Orders[[#This Row],[Food_ID]],Food_Catalog[[#All],[Food_ID]],Food_Catalog[[#All],[Client_Price_Per_Unit]],0,0)</f>
        <v>21600</v>
      </c>
      <c r="I596">
        <f>Food_Orders[[#This Row],[Client_Price]]-Food_Orders[[#This Row],[Cost]]</f>
        <v>3600</v>
      </c>
    </row>
    <row r="597" spans="1:9" x14ac:dyDescent="0.25">
      <c r="A597">
        <v>26</v>
      </c>
      <c r="B597" t="s">
        <v>100</v>
      </c>
      <c r="C597" t="s">
        <v>83</v>
      </c>
      <c r="D597" t="s">
        <v>101</v>
      </c>
      <c r="E597" t="s">
        <v>79</v>
      </c>
      <c r="F597" cm="1">
        <f t="array" ref="F597">_xlfn.XLOOKUP(Food_Orders[[#This Row],[Event_No]],Event_Master[[#All],[Event_No]],Event_Master[[#All],[Guest_Count]],,0)</f>
        <v>1200</v>
      </c>
      <c r="G597" cm="1">
        <f t="array" ref="G597">Food_Orders[[#This Row],[Quantity_Orderd]]*_xlfn.XLOOKUP(Food_Orders[[#This Row],[Food_ID]],Food_Catalog[[#All],[Food_ID]],Food_Catalog[[#All],[Price_Per_Unit]],0,0)</f>
        <v>42000</v>
      </c>
      <c r="H597" cm="1">
        <f t="array" ref="H597">Food_Orders[[#This Row],[Quantity_Orderd]]*_xlfn.XLOOKUP(Food_Orders[[#This Row],[Food_ID]],Food_Catalog[[#All],[Food_ID]],Food_Catalog[[#All],[Client_Price_Per_Unit]],0,0)</f>
        <v>50400</v>
      </c>
      <c r="I597">
        <f>Food_Orders[[#This Row],[Client_Price]]-Food_Orders[[#This Row],[Cost]]</f>
        <v>8400</v>
      </c>
    </row>
    <row r="598" spans="1:9" x14ac:dyDescent="0.25">
      <c r="A598">
        <v>26</v>
      </c>
      <c r="B598" t="s">
        <v>104</v>
      </c>
      <c r="C598" t="s">
        <v>105</v>
      </c>
      <c r="D598" t="s">
        <v>106</v>
      </c>
      <c r="E598" t="s">
        <v>107</v>
      </c>
      <c r="F598" cm="1">
        <f t="array" ref="F598">_xlfn.XLOOKUP(Food_Orders[[#This Row],[Event_No]],Event_Master[[#All],[Event_No]],Event_Master[[#All],[Guest_Count]],,0)</f>
        <v>1200</v>
      </c>
      <c r="G598" cm="1">
        <f t="array" ref="G598">Food_Orders[[#This Row],[Quantity_Orderd]]*_xlfn.XLOOKUP(Food_Orders[[#This Row],[Food_ID]],Food_Catalog[[#All],[Food_ID]],Food_Catalog[[#All],[Price_Per_Unit]],0,0)</f>
        <v>12000</v>
      </c>
      <c r="H598" cm="1">
        <f t="array" ref="H598">Food_Orders[[#This Row],[Quantity_Orderd]]*_xlfn.XLOOKUP(Food_Orders[[#This Row],[Food_ID]],Food_Catalog[[#All],[Food_ID]],Food_Catalog[[#All],[Client_Price_Per_Unit]],0,0)</f>
        <v>14400</v>
      </c>
      <c r="I598">
        <f>Food_Orders[[#This Row],[Client_Price]]-Food_Orders[[#This Row],[Cost]]</f>
        <v>2400</v>
      </c>
    </row>
    <row r="599" spans="1:9" x14ac:dyDescent="0.25">
      <c r="A599">
        <v>26</v>
      </c>
      <c r="B599" t="s">
        <v>108</v>
      </c>
      <c r="C599" t="s">
        <v>105</v>
      </c>
      <c r="D599" t="s">
        <v>109</v>
      </c>
      <c r="E599" t="s">
        <v>107</v>
      </c>
      <c r="F599" cm="1">
        <f t="array" ref="F599">_xlfn.XLOOKUP(Food_Orders[[#This Row],[Event_No]],Event_Master[[#All],[Event_No]],Event_Master[[#All],[Guest_Count]],,0)</f>
        <v>1200</v>
      </c>
      <c r="G599" cm="1">
        <f t="array" ref="G599">Food_Orders[[#This Row],[Quantity_Orderd]]*_xlfn.XLOOKUP(Food_Orders[[#This Row],[Food_ID]],Food_Catalog[[#All],[Food_ID]],Food_Catalog[[#All],[Price_Per_Unit]],0,0)</f>
        <v>18000</v>
      </c>
      <c r="H599" cm="1">
        <f t="array" ref="H599">Food_Orders[[#This Row],[Quantity_Orderd]]*_xlfn.XLOOKUP(Food_Orders[[#This Row],[Food_ID]],Food_Catalog[[#All],[Food_ID]],Food_Catalog[[#All],[Client_Price_Per_Unit]],0,0)</f>
        <v>21600</v>
      </c>
      <c r="I599">
        <f>Food_Orders[[#This Row],[Client_Price]]-Food_Orders[[#This Row],[Cost]]</f>
        <v>3600</v>
      </c>
    </row>
    <row r="600" spans="1:9" x14ac:dyDescent="0.25">
      <c r="A600">
        <v>26</v>
      </c>
      <c r="B600" t="s">
        <v>118</v>
      </c>
      <c r="C600" t="s">
        <v>119</v>
      </c>
      <c r="D600" t="s">
        <v>120</v>
      </c>
      <c r="E600" t="s">
        <v>112</v>
      </c>
      <c r="F600" cm="1">
        <f t="array" ref="F600">_xlfn.XLOOKUP(Food_Orders[[#This Row],[Event_No]],Event_Master[[#All],[Event_No]],Event_Master[[#All],[Guest_Count]],,0)</f>
        <v>1200</v>
      </c>
      <c r="G600" cm="1">
        <f t="array" ref="G600">Food_Orders[[#This Row],[Quantity_Orderd]]*_xlfn.XLOOKUP(Food_Orders[[#This Row],[Food_ID]],Food_Catalog[[#All],[Food_ID]],Food_Catalog[[#All],[Price_Per_Unit]],0,0)</f>
        <v>12000</v>
      </c>
      <c r="H600" cm="1">
        <f t="array" ref="H600">Food_Orders[[#This Row],[Quantity_Orderd]]*_xlfn.XLOOKUP(Food_Orders[[#This Row],[Food_ID]],Food_Catalog[[#All],[Food_ID]],Food_Catalog[[#All],[Client_Price_Per_Unit]],0,0)</f>
        <v>14400</v>
      </c>
      <c r="I600">
        <f>Food_Orders[[#This Row],[Client_Price]]-Food_Orders[[#This Row],[Cost]]</f>
        <v>2400</v>
      </c>
    </row>
    <row r="601" spans="1:9" x14ac:dyDescent="0.25">
      <c r="A601">
        <v>26</v>
      </c>
      <c r="B601" t="s">
        <v>129</v>
      </c>
      <c r="C601" t="s">
        <v>119</v>
      </c>
      <c r="D601" t="s">
        <v>130</v>
      </c>
      <c r="E601" t="s">
        <v>112</v>
      </c>
      <c r="F601" cm="1">
        <f t="array" ref="F601">_xlfn.XLOOKUP(Food_Orders[[#This Row],[Event_No]],Event_Master[[#All],[Event_No]],Event_Master[[#All],[Guest_Count]],,0)</f>
        <v>1200</v>
      </c>
      <c r="G601" cm="1">
        <f t="array" ref="G601">Food_Orders[[#This Row],[Quantity_Orderd]]*_xlfn.XLOOKUP(Food_Orders[[#This Row],[Food_ID]],Food_Catalog[[#All],[Food_ID]],Food_Catalog[[#All],[Price_Per_Unit]],0,0)</f>
        <v>12000</v>
      </c>
      <c r="H601" cm="1">
        <f t="array" ref="H601">Food_Orders[[#This Row],[Quantity_Orderd]]*_xlfn.XLOOKUP(Food_Orders[[#This Row],[Food_ID]],Food_Catalog[[#All],[Food_ID]],Food_Catalog[[#All],[Client_Price_Per_Unit]],0,0)</f>
        <v>14400</v>
      </c>
      <c r="I601">
        <f>Food_Orders[[#This Row],[Client_Price]]-Food_Orders[[#This Row],[Cost]]</f>
        <v>2400</v>
      </c>
    </row>
    <row r="602" spans="1:9" x14ac:dyDescent="0.25">
      <c r="A602">
        <v>26</v>
      </c>
      <c r="B602" t="s">
        <v>127</v>
      </c>
      <c r="C602" t="s">
        <v>119</v>
      </c>
      <c r="D602" t="s">
        <v>128</v>
      </c>
      <c r="E602" t="s">
        <v>107</v>
      </c>
      <c r="F602" cm="1">
        <f t="array" ref="F602">_xlfn.XLOOKUP(Food_Orders[[#This Row],[Event_No]],Event_Master[[#All],[Event_No]],Event_Master[[#All],[Guest_Count]],,0)</f>
        <v>1200</v>
      </c>
      <c r="G602" cm="1">
        <f t="array" ref="G602">Food_Orders[[#This Row],[Quantity_Orderd]]*_xlfn.XLOOKUP(Food_Orders[[#This Row],[Food_ID]],Food_Catalog[[#All],[Food_ID]],Food_Catalog[[#All],[Price_Per_Unit]],0,0)</f>
        <v>24000</v>
      </c>
      <c r="H602" cm="1">
        <f t="array" ref="H602">Food_Orders[[#This Row],[Quantity_Orderd]]*_xlfn.XLOOKUP(Food_Orders[[#This Row],[Food_ID]],Food_Catalog[[#All],[Food_ID]],Food_Catalog[[#All],[Client_Price_Per_Unit]],0,0)</f>
        <v>28800</v>
      </c>
      <c r="I602">
        <f>Food_Orders[[#This Row],[Client_Price]]-Food_Orders[[#This Row],[Cost]]</f>
        <v>4800</v>
      </c>
    </row>
    <row r="603" spans="1:9" x14ac:dyDescent="0.25">
      <c r="A603">
        <v>26</v>
      </c>
      <c r="B603" t="s">
        <v>124</v>
      </c>
      <c r="C603" t="s">
        <v>119</v>
      </c>
      <c r="D603" t="s">
        <v>125</v>
      </c>
      <c r="E603" t="s">
        <v>126</v>
      </c>
      <c r="F603" cm="1">
        <f t="array" ref="F603">_xlfn.XLOOKUP(Food_Orders[[#This Row],[Event_No]],Event_Master[[#All],[Event_No]],Event_Master[[#All],[Guest_Count]],,0)</f>
        <v>1200</v>
      </c>
      <c r="G603" cm="1">
        <f t="array" ref="G603">Food_Orders[[#This Row],[Quantity_Orderd]]*_xlfn.XLOOKUP(Food_Orders[[#This Row],[Food_ID]],Food_Catalog[[#All],[Food_ID]],Food_Catalog[[#All],[Price_Per_Unit]],0,0)</f>
        <v>24000</v>
      </c>
      <c r="H603" cm="1">
        <f t="array" ref="H603">Food_Orders[[#This Row],[Quantity_Orderd]]*_xlfn.XLOOKUP(Food_Orders[[#This Row],[Food_ID]],Food_Catalog[[#All],[Food_ID]],Food_Catalog[[#All],[Client_Price_Per_Unit]],0,0)</f>
        <v>28800</v>
      </c>
      <c r="I603">
        <f>Food_Orders[[#This Row],[Client_Price]]-Food_Orders[[#This Row],[Cost]]</f>
        <v>4800</v>
      </c>
    </row>
    <row r="604" spans="1:9" x14ac:dyDescent="0.25">
      <c r="A604">
        <v>27</v>
      </c>
      <c r="B604" t="s">
        <v>60</v>
      </c>
      <c r="C604" t="s">
        <v>61</v>
      </c>
      <c r="D604" t="s">
        <v>62</v>
      </c>
      <c r="E604" t="s">
        <v>10</v>
      </c>
      <c r="F604" cm="1">
        <f t="array" ref="F604">_xlfn.XLOOKUP(Food_Orders[[#This Row],[Event_No]],Event_Master[[#All],[Event_No]],Event_Master[[#All],[Guest_Count]],,0)</f>
        <v>800</v>
      </c>
      <c r="G604" cm="1">
        <f t="array" ref="G604">Food_Orders[[#This Row],[Quantity_Orderd]]*_xlfn.XLOOKUP(Food_Orders[[#This Row],[Food_ID]],Food_Catalog[[#All],[Food_ID]],Food_Catalog[[#All],[Price_Per_Unit]],0,0)</f>
        <v>16000</v>
      </c>
      <c r="H604" cm="1">
        <f t="array" ref="H604">Food_Orders[[#This Row],[Quantity_Orderd]]*_xlfn.XLOOKUP(Food_Orders[[#This Row],[Food_ID]],Food_Catalog[[#All],[Food_ID]],Food_Catalog[[#All],[Client_Price_Per_Unit]],0,0)</f>
        <v>19200</v>
      </c>
      <c r="I604">
        <f>Food_Orders[[#This Row],[Client_Price]]-Food_Orders[[#This Row],[Cost]]</f>
        <v>3200</v>
      </c>
    </row>
    <row r="605" spans="1:9" x14ac:dyDescent="0.25">
      <c r="A605">
        <v>27</v>
      </c>
      <c r="B605" t="s">
        <v>63</v>
      </c>
      <c r="C605" t="s">
        <v>61</v>
      </c>
      <c r="D605" t="s">
        <v>64</v>
      </c>
      <c r="E605" t="s">
        <v>10</v>
      </c>
      <c r="F605" cm="1">
        <f t="array" ref="F605">_xlfn.XLOOKUP(Food_Orders[[#This Row],[Event_No]],Event_Master[[#All],[Event_No]],Event_Master[[#All],[Guest_Count]],,0)</f>
        <v>800</v>
      </c>
      <c r="G605" cm="1">
        <f t="array" ref="G605">Food_Orders[[#This Row],[Quantity_Orderd]]*_xlfn.XLOOKUP(Food_Orders[[#This Row],[Food_ID]],Food_Catalog[[#All],[Food_ID]],Food_Catalog[[#All],[Price_Per_Unit]],0,0)</f>
        <v>24000</v>
      </c>
      <c r="H605" cm="1">
        <f t="array" ref="H605">Food_Orders[[#This Row],[Quantity_Orderd]]*_xlfn.XLOOKUP(Food_Orders[[#This Row],[Food_ID]],Food_Catalog[[#All],[Food_ID]],Food_Catalog[[#All],[Client_Price_Per_Unit]],0,0)</f>
        <v>28800</v>
      </c>
      <c r="I605">
        <f>Food_Orders[[#This Row],[Client_Price]]-Food_Orders[[#This Row],[Cost]]</f>
        <v>4800</v>
      </c>
    </row>
    <row r="606" spans="1:9" x14ac:dyDescent="0.25">
      <c r="A606">
        <v>27</v>
      </c>
      <c r="B606" t="s">
        <v>71</v>
      </c>
      <c r="C606" t="s">
        <v>61</v>
      </c>
      <c r="D606" t="s">
        <v>72</v>
      </c>
      <c r="E606" t="s">
        <v>10</v>
      </c>
      <c r="F606" cm="1">
        <f t="array" ref="F606">_xlfn.XLOOKUP(Food_Orders[[#This Row],[Event_No]],Event_Master[[#All],[Event_No]],Event_Master[[#All],[Guest_Count]],,0)</f>
        <v>800</v>
      </c>
      <c r="G606" cm="1">
        <f t="array" ref="G606">Food_Orders[[#This Row],[Quantity_Orderd]]*_xlfn.XLOOKUP(Food_Orders[[#This Row],[Food_ID]],Food_Catalog[[#All],[Food_ID]],Food_Catalog[[#All],[Price_Per_Unit]],0,0)</f>
        <v>20000</v>
      </c>
      <c r="H606" cm="1">
        <f t="array" ref="H606">Food_Orders[[#This Row],[Quantity_Orderd]]*_xlfn.XLOOKUP(Food_Orders[[#This Row],[Food_ID]],Food_Catalog[[#All],[Food_ID]],Food_Catalog[[#All],[Client_Price_Per_Unit]],0,0)</f>
        <v>24000</v>
      </c>
      <c r="I606">
        <f>Food_Orders[[#This Row],[Client_Price]]-Food_Orders[[#This Row],[Cost]]</f>
        <v>4000</v>
      </c>
    </row>
    <row r="607" spans="1:9" x14ac:dyDescent="0.25">
      <c r="A607">
        <v>27</v>
      </c>
      <c r="B607" t="s">
        <v>80</v>
      </c>
      <c r="C607" t="s">
        <v>61</v>
      </c>
      <c r="D607" t="s">
        <v>81</v>
      </c>
      <c r="E607" t="s">
        <v>10</v>
      </c>
      <c r="F607" cm="1">
        <f t="array" ref="F607">_xlfn.XLOOKUP(Food_Orders[[#This Row],[Event_No]],Event_Master[[#All],[Event_No]],Event_Master[[#All],[Guest_Count]],,0)</f>
        <v>800</v>
      </c>
      <c r="G607" cm="1">
        <f t="array" ref="G607">Food_Orders[[#This Row],[Quantity_Orderd]]*_xlfn.XLOOKUP(Food_Orders[[#This Row],[Food_ID]],Food_Catalog[[#All],[Food_ID]],Food_Catalog[[#All],[Price_Per_Unit]],0,0)</f>
        <v>24000</v>
      </c>
      <c r="H607" cm="1">
        <f t="array" ref="H607">Food_Orders[[#This Row],[Quantity_Orderd]]*_xlfn.XLOOKUP(Food_Orders[[#This Row],[Food_ID]],Food_Catalog[[#All],[Food_ID]],Food_Catalog[[#All],[Client_Price_Per_Unit]],0,0)</f>
        <v>28800</v>
      </c>
      <c r="I607">
        <f>Food_Orders[[#This Row],[Client_Price]]-Food_Orders[[#This Row],[Cost]]</f>
        <v>4800</v>
      </c>
    </row>
    <row r="608" spans="1:9" x14ac:dyDescent="0.25">
      <c r="A608">
        <v>27</v>
      </c>
      <c r="B608" t="s">
        <v>73</v>
      </c>
      <c r="C608" t="s">
        <v>61</v>
      </c>
      <c r="D608" t="s">
        <v>74</v>
      </c>
      <c r="E608" t="s">
        <v>10</v>
      </c>
      <c r="F608" cm="1">
        <f t="array" ref="F608">_xlfn.XLOOKUP(Food_Orders[[#This Row],[Event_No]],Event_Master[[#All],[Event_No]],Event_Master[[#All],[Guest_Count]],,0)</f>
        <v>800</v>
      </c>
      <c r="G608" cm="1">
        <f t="array" ref="G608">Food_Orders[[#This Row],[Quantity_Orderd]]*_xlfn.XLOOKUP(Food_Orders[[#This Row],[Food_ID]],Food_Catalog[[#All],[Food_ID]],Food_Catalog[[#All],[Price_Per_Unit]],0,0)</f>
        <v>32000</v>
      </c>
      <c r="H608" cm="1">
        <f t="array" ref="H608">Food_Orders[[#This Row],[Quantity_Orderd]]*_xlfn.XLOOKUP(Food_Orders[[#This Row],[Food_ID]],Food_Catalog[[#All],[Food_ID]],Food_Catalog[[#All],[Client_Price_Per_Unit]],0,0)</f>
        <v>38400</v>
      </c>
      <c r="I608">
        <f>Food_Orders[[#This Row],[Client_Price]]-Food_Orders[[#This Row],[Cost]]</f>
        <v>6400</v>
      </c>
    </row>
    <row r="609" spans="1:9" x14ac:dyDescent="0.25">
      <c r="A609">
        <v>27</v>
      </c>
      <c r="B609" t="s">
        <v>75</v>
      </c>
      <c r="C609" t="s">
        <v>61</v>
      </c>
      <c r="D609" t="s">
        <v>76</v>
      </c>
      <c r="E609" t="s">
        <v>10</v>
      </c>
      <c r="F609" cm="1">
        <f t="array" ref="F609">_xlfn.XLOOKUP(Food_Orders[[#This Row],[Event_No]],Event_Master[[#All],[Event_No]],Event_Master[[#All],[Guest_Count]],,0)</f>
        <v>800</v>
      </c>
      <c r="G609" cm="1">
        <f t="array" ref="G609">Food_Orders[[#This Row],[Quantity_Orderd]]*_xlfn.XLOOKUP(Food_Orders[[#This Row],[Food_ID]],Food_Catalog[[#All],[Food_ID]],Food_Catalog[[#All],[Price_Per_Unit]],0,0)</f>
        <v>32000</v>
      </c>
      <c r="H609" cm="1">
        <f t="array" ref="H609">Food_Orders[[#This Row],[Quantity_Orderd]]*_xlfn.XLOOKUP(Food_Orders[[#This Row],[Food_ID]],Food_Catalog[[#All],[Food_ID]],Food_Catalog[[#All],[Client_Price_Per_Unit]],0,0)</f>
        <v>38400</v>
      </c>
      <c r="I609">
        <f>Food_Orders[[#This Row],[Client_Price]]-Food_Orders[[#This Row],[Cost]]</f>
        <v>6400</v>
      </c>
    </row>
    <row r="610" spans="1:9" x14ac:dyDescent="0.25">
      <c r="A610">
        <v>27</v>
      </c>
      <c r="B610" t="s">
        <v>69</v>
      </c>
      <c r="C610" t="s">
        <v>61</v>
      </c>
      <c r="D610" t="s">
        <v>70</v>
      </c>
      <c r="E610" t="s">
        <v>10</v>
      </c>
      <c r="F610" cm="1">
        <f t="array" ref="F610">_xlfn.XLOOKUP(Food_Orders[[#This Row],[Event_No]],Event_Master[[#All],[Event_No]],Event_Master[[#All],[Guest_Count]],,0)</f>
        <v>800</v>
      </c>
      <c r="G610" cm="1">
        <f t="array" ref="G610">Food_Orders[[#This Row],[Quantity_Orderd]]*_xlfn.XLOOKUP(Food_Orders[[#This Row],[Food_ID]],Food_Catalog[[#All],[Food_ID]],Food_Catalog[[#All],[Price_Per_Unit]],0,0)</f>
        <v>40000</v>
      </c>
      <c r="H610" cm="1">
        <f t="array" ref="H610">Food_Orders[[#This Row],[Quantity_Orderd]]*_xlfn.XLOOKUP(Food_Orders[[#This Row],[Food_ID]],Food_Catalog[[#All],[Food_ID]],Food_Catalog[[#All],[Client_Price_Per_Unit]],0,0)</f>
        <v>48000</v>
      </c>
      <c r="I610">
        <f>Food_Orders[[#This Row],[Client_Price]]-Food_Orders[[#This Row],[Cost]]</f>
        <v>8000</v>
      </c>
    </row>
    <row r="611" spans="1:9" x14ac:dyDescent="0.25">
      <c r="A611">
        <v>27</v>
      </c>
      <c r="B611" t="s">
        <v>67</v>
      </c>
      <c r="C611" t="s">
        <v>61</v>
      </c>
      <c r="D611" t="s">
        <v>68</v>
      </c>
      <c r="E611" t="s">
        <v>10</v>
      </c>
      <c r="F611" cm="1">
        <f t="array" ref="F611">_xlfn.XLOOKUP(Food_Orders[[#This Row],[Event_No]],Event_Master[[#All],[Event_No]],Event_Master[[#All],[Guest_Count]],,0)</f>
        <v>800</v>
      </c>
      <c r="G611" cm="1">
        <f t="array" ref="G611">Food_Orders[[#This Row],[Quantity_Orderd]]*_xlfn.XLOOKUP(Food_Orders[[#This Row],[Food_ID]],Food_Catalog[[#All],[Food_ID]],Food_Catalog[[#All],[Price_Per_Unit]],0,0)</f>
        <v>24000</v>
      </c>
      <c r="H611" cm="1">
        <f t="array" ref="H611">Food_Orders[[#This Row],[Quantity_Orderd]]*_xlfn.XLOOKUP(Food_Orders[[#This Row],[Food_ID]],Food_Catalog[[#All],[Food_ID]],Food_Catalog[[#All],[Client_Price_Per_Unit]],0,0)</f>
        <v>28800</v>
      </c>
      <c r="I611">
        <f>Food_Orders[[#This Row],[Client_Price]]-Food_Orders[[#This Row],[Cost]]</f>
        <v>4800</v>
      </c>
    </row>
    <row r="612" spans="1:9" x14ac:dyDescent="0.25">
      <c r="A612">
        <v>27</v>
      </c>
      <c r="B612" t="s">
        <v>77</v>
      </c>
      <c r="C612" t="s">
        <v>61</v>
      </c>
      <c r="D612" t="s">
        <v>78</v>
      </c>
      <c r="E612" t="s">
        <v>79</v>
      </c>
      <c r="F612" cm="1">
        <f t="array" ref="F612">_xlfn.XLOOKUP(Food_Orders[[#This Row],[Event_No]],Event_Master[[#All],[Event_No]],Event_Master[[#All],[Guest_Count]],,0)</f>
        <v>800</v>
      </c>
      <c r="G612" cm="1">
        <f t="array" ref="G612">Food_Orders[[#This Row],[Quantity_Orderd]]*_xlfn.XLOOKUP(Food_Orders[[#This Row],[Food_ID]],Food_Catalog[[#All],[Food_ID]],Food_Catalog[[#All],[Price_Per_Unit]],0,0)</f>
        <v>28000</v>
      </c>
      <c r="H612" cm="1">
        <f t="array" ref="H612">Food_Orders[[#This Row],[Quantity_Orderd]]*_xlfn.XLOOKUP(Food_Orders[[#This Row],[Food_ID]],Food_Catalog[[#All],[Food_ID]],Food_Catalog[[#All],[Client_Price_Per_Unit]],0,0)</f>
        <v>33600</v>
      </c>
      <c r="I612">
        <f>Food_Orders[[#This Row],[Client_Price]]-Food_Orders[[#This Row],[Cost]]</f>
        <v>5600</v>
      </c>
    </row>
    <row r="613" spans="1:9" x14ac:dyDescent="0.25">
      <c r="A613">
        <v>27</v>
      </c>
      <c r="B613" t="s">
        <v>7</v>
      </c>
      <c r="C613" t="s">
        <v>8</v>
      </c>
      <c r="D613" t="s">
        <v>9</v>
      </c>
      <c r="E613" t="s">
        <v>10</v>
      </c>
      <c r="F613" cm="1">
        <f t="array" ref="F613">_xlfn.XLOOKUP(Food_Orders[[#This Row],[Event_No]],Event_Master[[#All],[Event_No]],Event_Master[[#All],[Guest_Count]],,0)</f>
        <v>800</v>
      </c>
      <c r="G613" cm="1">
        <f t="array" ref="G613">Food_Orders[[#This Row],[Quantity_Orderd]]*_xlfn.XLOOKUP(Food_Orders[[#This Row],[Food_ID]],Food_Catalog[[#All],[Food_ID]],Food_Catalog[[#All],[Price_Per_Unit]],0,0)</f>
        <v>20000</v>
      </c>
      <c r="H613" cm="1">
        <f t="array" ref="H613">Food_Orders[[#This Row],[Quantity_Orderd]]*_xlfn.XLOOKUP(Food_Orders[[#This Row],[Food_ID]],Food_Catalog[[#All],[Food_ID]],Food_Catalog[[#All],[Client_Price_Per_Unit]],0,0)</f>
        <v>24000</v>
      </c>
      <c r="I613">
        <f>Food_Orders[[#This Row],[Client_Price]]-Food_Orders[[#This Row],[Cost]]</f>
        <v>4000</v>
      </c>
    </row>
    <row r="614" spans="1:9" x14ac:dyDescent="0.25">
      <c r="A614">
        <v>27</v>
      </c>
      <c r="B614" t="s">
        <v>13</v>
      </c>
      <c r="C614" t="s">
        <v>8</v>
      </c>
      <c r="D614" t="s">
        <v>14</v>
      </c>
      <c r="E614" t="s">
        <v>10</v>
      </c>
      <c r="F614" cm="1">
        <f t="array" ref="F614">_xlfn.XLOOKUP(Food_Orders[[#This Row],[Event_No]],Event_Master[[#All],[Event_No]],Event_Master[[#All],[Guest_Count]],,0)</f>
        <v>800</v>
      </c>
      <c r="G614" cm="1">
        <f t="array" ref="G614">Food_Orders[[#This Row],[Quantity_Orderd]]*_xlfn.XLOOKUP(Food_Orders[[#This Row],[Food_ID]],Food_Catalog[[#All],[Food_ID]],Food_Catalog[[#All],[Price_Per_Unit]],0,0)</f>
        <v>28000</v>
      </c>
      <c r="H614" cm="1">
        <f t="array" ref="H614">Food_Orders[[#This Row],[Quantity_Orderd]]*_xlfn.XLOOKUP(Food_Orders[[#This Row],[Food_ID]],Food_Catalog[[#All],[Food_ID]],Food_Catalog[[#All],[Client_Price_Per_Unit]],0,0)</f>
        <v>33600</v>
      </c>
      <c r="I614">
        <f>Food_Orders[[#This Row],[Client_Price]]-Food_Orders[[#This Row],[Cost]]</f>
        <v>5600</v>
      </c>
    </row>
    <row r="615" spans="1:9" x14ac:dyDescent="0.25">
      <c r="A615">
        <v>27</v>
      </c>
      <c r="B615" t="s">
        <v>25</v>
      </c>
      <c r="C615" t="s">
        <v>8</v>
      </c>
      <c r="D615" t="s">
        <v>26</v>
      </c>
      <c r="E615" t="s">
        <v>10</v>
      </c>
      <c r="F615" cm="1">
        <f t="array" ref="F615">_xlfn.XLOOKUP(Food_Orders[[#This Row],[Event_No]],Event_Master[[#All],[Event_No]],Event_Master[[#All],[Guest_Count]],,0)</f>
        <v>800</v>
      </c>
      <c r="G615" cm="1">
        <f t="array" ref="G615">Food_Orders[[#This Row],[Quantity_Orderd]]*_xlfn.XLOOKUP(Food_Orders[[#This Row],[Food_ID]],Food_Catalog[[#All],[Food_ID]],Food_Catalog[[#All],[Price_Per_Unit]],0,0)</f>
        <v>24000</v>
      </c>
      <c r="H615" cm="1">
        <f t="array" ref="H615">Food_Orders[[#This Row],[Quantity_Orderd]]*_xlfn.XLOOKUP(Food_Orders[[#This Row],[Food_ID]],Food_Catalog[[#All],[Food_ID]],Food_Catalog[[#All],[Client_Price_Per_Unit]],0,0)</f>
        <v>28800</v>
      </c>
      <c r="I615">
        <f>Food_Orders[[#This Row],[Client_Price]]-Food_Orders[[#This Row],[Cost]]</f>
        <v>4800</v>
      </c>
    </row>
    <row r="616" spans="1:9" x14ac:dyDescent="0.25">
      <c r="A616">
        <v>27</v>
      </c>
      <c r="B616" t="s">
        <v>15</v>
      </c>
      <c r="C616" t="s">
        <v>8</v>
      </c>
      <c r="D616" t="s">
        <v>16</v>
      </c>
      <c r="E616" t="s">
        <v>10</v>
      </c>
      <c r="F616" cm="1">
        <f t="array" ref="F616">_xlfn.XLOOKUP(Food_Orders[[#This Row],[Event_No]],Event_Master[[#All],[Event_No]],Event_Master[[#All],[Guest_Count]],,0)</f>
        <v>800</v>
      </c>
      <c r="G616" cm="1">
        <f t="array" ref="G616">Food_Orders[[#This Row],[Quantity_Orderd]]*_xlfn.XLOOKUP(Food_Orders[[#This Row],[Food_ID]],Food_Catalog[[#All],[Food_ID]],Food_Catalog[[#All],[Price_Per_Unit]],0,0)</f>
        <v>24000</v>
      </c>
      <c r="H616" cm="1">
        <f t="array" ref="H616">Food_Orders[[#This Row],[Quantity_Orderd]]*_xlfn.XLOOKUP(Food_Orders[[#This Row],[Food_ID]],Food_Catalog[[#All],[Food_ID]],Food_Catalog[[#All],[Client_Price_Per_Unit]],0,0)</f>
        <v>28800</v>
      </c>
      <c r="I616">
        <f>Food_Orders[[#This Row],[Client_Price]]-Food_Orders[[#This Row],[Cost]]</f>
        <v>4800</v>
      </c>
    </row>
    <row r="617" spans="1:9" x14ac:dyDescent="0.25">
      <c r="A617">
        <v>27</v>
      </c>
      <c r="B617" t="s">
        <v>35</v>
      </c>
      <c r="C617" t="s">
        <v>8</v>
      </c>
      <c r="D617" t="s">
        <v>36</v>
      </c>
      <c r="E617" t="s">
        <v>10</v>
      </c>
      <c r="F617" cm="1">
        <f t="array" ref="F617">_xlfn.XLOOKUP(Food_Orders[[#This Row],[Event_No]],Event_Master[[#All],[Event_No]],Event_Master[[#All],[Guest_Count]],,0)</f>
        <v>800</v>
      </c>
      <c r="G617" cm="1">
        <f t="array" ref="G617">Food_Orders[[#This Row],[Quantity_Orderd]]*_xlfn.XLOOKUP(Food_Orders[[#This Row],[Food_ID]],Food_Catalog[[#All],[Food_ID]],Food_Catalog[[#All],[Price_Per_Unit]],0,0)</f>
        <v>24000</v>
      </c>
      <c r="H617" cm="1">
        <f t="array" ref="H617">Food_Orders[[#This Row],[Quantity_Orderd]]*_xlfn.XLOOKUP(Food_Orders[[#This Row],[Food_ID]],Food_Catalog[[#All],[Food_ID]],Food_Catalog[[#All],[Client_Price_Per_Unit]],0,0)</f>
        <v>28800</v>
      </c>
      <c r="I617">
        <f>Food_Orders[[#This Row],[Client_Price]]-Food_Orders[[#This Row],[Cost]]</f>
        <v>4800</v>
      </c>
    </row>
    <row r="618" spans="1:9" x14ac:dyDescent="0.25">
      <c r="A618">
        <v>27</v>
      </c>
      <c r="B618" t="s">
        <v>27</v>
      </c>
      <c r="C618" t="s">
        <v>8</v>
      </c>
      <c r="D618" t="s">
        <v>28</v>
      </c>
      <c r="E618" t="s">
        <v>10</v>
      </c>
      <c r="F618" cm="1">
        <f t="array" ref="F618">_xlfn.XLOOKUP(Food_Orders[[#This Row],[Event_No]],Event_Master[[#All],[Event_No]],Event_Master[[#All],[Guest_Count]],,0)</f>
        <v>800</v>
      </c>
      <c r="G618" cm="1">
        <f t="array" ref="G618">Food_Orders[[#This Row],[Quantity_Orderd]]*_xlfn.XLOOKUP(Food_Orders[[#This Row],[Food_ID]],Food_Catalog[[#All],[Food_ID]],Food_Catalog[[#All],[Price_Per_Unit]],0,0)</f>
        <v>32000</v>
      </c>
      <c r="H618" cm="1">
        <f t="array" ref="H618">Food_Orders[[#This Row],[Quantity_Orderd]]*_xlfn.XLOOKUP(Food_Orders[[#This Row],[Food_ID]],Food_Catalog[[#All],[Food_ID]],Food_Catalog[[#All],[Client_Price_Per_Unit]],0,0)</f>
        <v>38400</v>
      </c>
      <c r="I618">
        <f>Food_Orders[[#This Row],[Client_Price]]-Food_Orders[[#This Row],[Cost]]</f>
        <v>6400</v>
      </c>
    </row>
    <row r="619" spans="1:9" x14ac:dyDescent="0.25">
      <c r="A619">
        <v>27</v>
      </c>
      <c r="B619" t="s">
        <v>31</v>
      </c>
      <c r="C619" t="s">
        <v>8</v>
      </c>
      <c r="D619" t="s">
        <v>32</v>
      </c>
      <c r="E619" t="s">
        <v>10</v>
      </c>
      <c r="F619" cm="1">
        <f t="array" ref="F619">_xlfn.XLOOKUP(Food_Orders[[#This Row],[Event_No]],Event_Master[[#All],[Event_No]],Event_Master[[#All],[Guest_Count]],,0)</f>
        <v>800</v>
      </c>
      <c r="G619" cm="1">
        <f t="array" ref="G619">Food_Orders[[#This Row],[Quantity_Orderd]]*_xlfn.XLOOKUP(Food_Orders[[#This Row],[Food_ID]],Food_Catalog[[#All],[Food_ID]],Food_Catalog[[#All],[Price_Per_Unit]],0,0)</f>
        <v>24000</v>
      </c>
      <c r="H619" cm="1">
        <f t="array" ref="H619">Food_Orders[[#This Row],[Quantity_Orderd]]*_xlfn.XLOOKUP(Food_Orders[[#This Row],[Food_ID]],Food_Catalog[[#All],[Food_ID]],Food_Catalog[[#All],[Client_Price_Per_Unit]],0,0)</f>
        <v>28800</v>
      </c>
      <c r="I619">
        <f>Food_Orders[[#This Row],[Client_Price]]-Food_Orders[[#This Row],[Cost]]</f>
        <v>4800</v>
      </c>
    </row>
    <row r="620" spans="1:9" x14ac:dyDescent="0.25">
      <c r="A620">
        <v>27</v>
      </c>
      <c r="B620" t="s">
        <v>33</v>
      </c>
      <c r="C620" t="s">
        <v>8</v>
      </c>
      <c r="D620" t="s">
        <v>34</v>
      </c>
      <c r="E620" t="s">
        <v>10</v>
      </c>
      <c r="F620" cm="1">
        <f t="array" ref="F620">_xlfn.XLOOKUP(Food_Orders[[#This Row],[Event_No]],Event_Master[[#All],[Event_No]],Event_Master[[#All],[Guest_Count]],,0)</f>
        <v>800</v>
      </c>
      <c r="G620" cm="1">
        <f t="array" ref="G620">Food_Orders[[#This Row],[Quantity_Orderd]]*_xlfn.XLOOKUP(Food_Orders[[#This Row],[Food_ID]],Food_Catalog[[#All],[Food_ID]],Food_Catalog[[#All],[Price_Per_Unit]],0,0)</f>
        <v>24000</v>
      </c>
      <c r="H620" cm="1">
        <f t="array" ref="H620">Food_Orders[[#This Row],[Quantity_Orderd]]*_xlfn.XLOOKUP(Food_Orders[[#This Row],[Food_ID]],Food_Catalog[[#All],[Food_ID]],Food_Catalog[[#All],[Client_Price_Per_Unit]],0,0)</f>
        <v>28800</v>
      </c>
      <c r="I620">
        <f>Food_Orders[[#This Row],[Client_Price]]-Food_Orders[[#This Row],[Cost]]</f>
        <v>4800</v>
      </c>
    </row>
    <row r="621" spans="1:9" x14ac:dyDescent="0.25">
      <c r="A621">
        <v>27</v>
      </c>
      <c r="B621" t="s">
        <v>17</v>
      </c>
      <c r="C621" t="s">
        <v>8</v>
      </c>
      <c r="D621" t="s">
        <v>18</v>
      </c>
      <c r="E621" t="s">
        <v>10</v>
      </c>
      <c r="F621" cm="1">
        <f t="array" ref="F621">_xlfn.XLOOKUP(Food_Orders[[#This Row],[Event_No]],Event_Master[[#All],[Event_No]],Event_Master[[#All],[Guest_Count]],,0)</f>
        <v>800</v>
      </c>
      <c r="G621" cm="1">
        <f t="array" ref="G621">Food_Orders[[#This Row],[Quantity_Orderd]]*_xlfn.XLOOKUP(Food_Orders[[#This Row],[Food_ID]],Food_Catalog[[#All],[Food_ID]],Food_Catalog[[#All],[Price_Per_Unit]],0,0)</f>
        <v>32000</v>
      </c>
      <c r="H621" cm="1">
        <f t="array" ref="H621">Food_Orders[[#This Row],[Quantity_Orderd]]*_xlfn.XLOOKUP(Food_Orders[[#This Row],[Food_ID]],Food_Catalog[[#All],[Food_ID]],Food_Catalog[[#All],[Client_Price_Per_Unit]],0,0)</f>
        <v>38400</v>
      </c>
      <c r="I621">
        <f>Food_Orders[[#This Row],[Client_Price]]-Food_Orders[[#This Row],[Cost]]</f>
        <v>6400</v>
      </c>
    </row>
    <row r="622" spans="1:9" x14ac:dyDescent="0.25">
      <c r="A622">
        <v>27</v>
      </c>
      <c r="B622" t="s">
        <v>21</v>
      </c>
      <c r="C622" t="s">
        <v>8</v>
      </c>
      <c r="D622" t="s">
        <v>22</v>
      </c>
      <c r="E622" t="s">
        <v>10</v>
      </c>
      <c r="F622" cm="1">
        <f t="array" ref="F622">_xlfn.XLOOKUP(Food_Orders[[#This Row],[Event_No]],Event_Master[[#All],[Event_No]],Event_Master[[#All],[Guest_Count]],,0)</f>
        <v>800</v>
      </c>
      <c r="G622" cm="1">
        <f t="array" ref="G622">Food_Orders[[#This Row],[Quantity_Orderd]]*_xlfn.XLOOKUP(Food_Orders[[#This Row],[Food_ID]],Food_Catalog[[#All],[Food_ID]],Food_Catalog[[#All],[Price_Per_Unit]],0,0)</f>
        <v>28000</v>
      </c>
      <c r="H622" cm="1">
        <f t="array" ref="H622">Food_Orders[[#This Row],[Quantity_Orderd]]*_xlfn.XLOOKUP(Food_Orders[[#This Row],[Food_ID]],Food_Catalog[[#All],[Food_ID]],Food_Catalog[[#All],[Client_Price_Per_Unit]],0,0)</f>
        <v>33600</v>
      </c>
      <c r="I622">
        <f>Food_Orders[[#This Row],[Client_Price]]-Food_Orders[[#This Row],[Cost]]</f>
        <v>5600</v>
      </c>
    </row>
    <row r="623" spans="1:9" x14ac:dyDescent="0.25">
      <c r="A623">
        <v>27</v>
      </c>
      <c r="B623" t="s">
        <v>19</v>
      </c>
      <c r="C623" t="s">
        <v>8</v>
      </c>
      <c r="D623" t="s">
        <v>20</v>
      </c>
      <c r="E623" t="s">
        <v>10</v>
      </c>
      <c r="F623" cm="1">
        <f t="array" ref="F623">_xlfn.XLOOKUP(Food_Orders[[#This Row],[Event_No]],Event_Master[[#All],[Event_No]],Event_Master[[#All],[Guest_Count]],,0)</f>
        <v>800</v>
      </c>
      <c r="G623" cm="1">
        <f t="array" ref="G623">Food_Orders[[#This Row],[Quantity_Orderd]]*_xlfn.XLOOKUP(Food_Orders[[#This Row],[Food_ID]],Food_Catalog[[#All],[Food_ID]],Food_Catalog[[#All],[Price_Per_Unit]],0,0)</f>
        <v>28000</v>
      </c>
      <c r="H623" cm="1">
        <f t="array" ref="H623">Food_Orders[[#This Row],[Quantity_Orderd]]*_xlfn.XLOOKUP(Food_Orders[[#This Row],[Food_ID]],Food_Catalog[[#All],[Food_ID]],Food_Catalog[[#All],[Client_Price_Per_Unit]],0,0)</f>
        <v>33600</v>
      </c>
      <c r="I623">
        <f>Food_Orders[[#This Row],[Client_Price]]-Food_Orders[[#This Row],[Cost]]</f>
        <v>5600</v>
      </c>
    </row>
    <row r="624" spans="1:9" x14ac:dyDescent="0.25">
      <c r="A624">
        <v>27</v>
      </c>
      <c r="B624" t="s">
        <v>29</v>
      </c>
      <c r="C624" t="s">
        <v>8</v>
      </c>
      <c r="D624" t="s">
        <v>30</v>
      </c>
      <c r="E624" t="s">
        <v>10</v>
      </c>
      <c r="F624" cm="1">
        <f t="array" ref="F624">_xlfn.XLOOKUP(Food_Orders[[#This Row],[Event_No]],Event_Master[[#All],[Event_No]],Event_Master[[#All],[Guest_Count]],,0)</f>
        <v>800</v>
      </c>
      <c r="G624" cm="1">
        <f t="array" ref="G624">Food_Orders[[#This Row],[Quantity_Orderd]]*_xlfn.XLOOKUP(Food_Orders[[#This Row],[Food_ID]],Food_Catalog[[#All],[Food_ID]],Food_Catalog[[#All],[Price_Per_Unit]],0,0)</f>
        <v>24000</v>
      </c>
      <c r="H624" cm="1">
        <f t="array" ref="H624">Food_Orders[[#This Row],[Quantity_Orderd]]*_xlfn.XLOOKUP(Food_Orders[[#This Row],[Food_ID]],Food_Catalog[[#All],[Food_ID]],Food_Catalog[[#All],[Client_Price_Per_Unit]],0,0)</f>
        <v>28800</v>
      </c>
      <c r="I624">
        <f>Food_Orders[[#This Row],[Client_Price]]-Food_Orders[[#This Row],[Cost]]</f>
        <v>4800</v>
      </c>
    </row>
    <row r="625" spans="1:9" x14ac:dyDescent="0.25">
      <c r="A625">
        <v>27</v>
      </c>
      <c r="B625" t="s">
        <v>37</v>
      </c>
      <c r="C625" t="s">
        <v>8</v>
      </c>
      <c r="D625" t="s">
        <v>38</v>
      </c>
      <c r="E625" t="s">
        <v>10</v>
      </c>
      <c r="F625" cm="1">
        <f t="array" ref="F625">_xlfn.XLOOKUP(Food_Orders[[#This Row],[Event_No]],Event_Master[[#All],[Event_No]],Event_Master[[#All],[Guest_Count]],,0)</f>
        <v>800</v>
      </c>
      <c r="G625" cm="1">
        <f t="array" ref="G625">Food_Orders[[#This Row],[Quantity_Orderd]]*_xlfn.XLOOKUP(Food_Orders[[#This Row],[Food_ID]],Food_Catalog[[#All],[Food_ID]],Food_Catalog[[#All],[Price_Per_Unit]],0,0)</f>
        <v>20000</v>
      </c>
      <c r="H625" cm="1">
        <f t="array" ref="H625">Food_Orders[[#This Row],[Quantity_Orderd]]*_xlfn.XLOOKUP(Food_Orders[[#This Row],[Food_ID]],Food_Catalog[[#All],[Food_ID]],Food_Catalog[[#All],[Client_Price_Per_Unit]],0,0)</f>
        <v>24000</v>
      </c>
      <c r="I625">
        <f>Food_Orders[[#This Row],[Client_Price]]-Food_Orders[[#This Row],[Cost]]</f>
        <v>4000</v>
      </c>
    </row>
    <row r="626" spans="1:9" x14ac:dyDescent="0.25">
      <c r="A626">
        <v>27</v>
      </c>
      <c r="B626" t="s">
        <v>39</v>
      </c>
      <c r="C626" t="s">
        <v>40</v>
      </c>
      <c r="D626" t="s">
        <v>41</v>
      </c>
      <c r="E626" t="s">
        <v>10</v>
      </c>
      <c r="F626" cm="1">
        <f t="array" ref="F626">_xlfn.XLOOKUP(Food_Orders[[#This Row],[Event_No]],Event_Master[[#All],[Event_No]],Event_Master[[#All],[Guest_Count]],,0)</f>
        <v>800</v>
      </c>
      <c r="G626" cm="1">
        <f t="array" ref="G626">Food_Orders[[#This Row],[Quantity_Orderd]]*_xlfn.XLOOKUP(Food_Orders[[#This Row],[Food_ID]],Food_Catalog[[#All],[Food_ID]],Food_Catalog[[#All],[Price_Per_Unit]],0,0)</f>
        <v>48000</v>
      </c>
      <c r="H626" cm="1">
        <f t="array" ref="H626">Food_Orders[[#This Row],[Quantity_Orderd]]*_xlfn.XLOOKUP(Food_Orders[[#This Row],[Food_ID]],Food_Catalog[[#All],[Food_ID]],Food_Catalog[[#All],[Client_Price_Per_Unit]],0,0)</f>
        <v>57600</v>
      </c>
      <c r="I626">
        <f>Food_Orders[[#This Row],[Client_Price]]-Food_Orders[[#This Row],[Cost]]</f>
        <v>9600</v>
      </c>
    </row>
    <row r="627" spans="1:9" x14ac:dyDescent="0.25">
      <c r="A627">
        <v>27</v>
      </c>
      <c r="B627" t="s">
        <v>42</v>
      </c>
      <c r="C627" t="s">
        <v>40</v>
      </c>
      <c r="D627" t="s">
        <v>43</v>
      </c>
      <c r="E627" t="s">
        <v>10</v>
      </c>
      <c r="F627" cm="1">
        <f t="array" ref="F627">_xlfn.XLOOKUP(Food_Orders[[#This Row],[Event_No]],Event_Master[[#All],[Event_No]],Event_Master[[#All],[Guest_Count]],,0)</f>
        <v>800</v>
      </c>
      <c r="G627" cm="1">
        <f t="array" ref="G627">Food_Orders[[#This Row],[Quantity_Orderd]]*_xlfn.XLOOKUP(Food_Orders[[#This Row],[Food_ID]],Food_Catalog[[#All],[Food_ID]],Food_Catalog[[#All],[Price_Per_Unit]],0,0)</f>
        <v>56000</v>
      </c>
      <c r="H627" cm="1">
        <f t="array" ref="H627">Food_Orders[[#This Row],[Quantity_Orderd]]*_xlfn.XLOOKUP(Food_Orders[[#This Row],[Food_ID]],Food_Catalog[[#All],[Food_ID]],Food_Catalog[[#All],[Client_Price_Per_Unit]],0,0)</f>
        <v>67200</v>
      </c>
      <c r="I627">
        <f>Food_Orders[[#This Row],[Client_Price]]-Food_Orders[[#This Row],[Cost]]</f>
        <v>11200</v>
      </c>
    </row>
    <row r="628" spans="1:9" x14ac:dyDescent="0.25">
      <c r="A628">
        <v>27</v>
      </c>
      <c r="B628" t="s">
        <v>46</v>
      </c>
      <c r="C628" t="s">
        <v>40</v>
      </c>
      <c r="D628" t="s">
        <v>47</v>
      </c>
      <c r="E628" t="s">
        <v>10</v>
      </c>
      <c r="F628" cm="1">
        <f t="array" ref="F628">_xlfn.XLOOKUP(Food_Orders[[#This Row],[Event_No]],Event_Master[[#All],[Event_No]],Event_Master[[#All],[Guest_Count]],,0)</f>
        <v>800</v>
      </c>
      <c r="G628" cm="1">
        <f t="array" ref="G628">Food_Orders[[#This Row],[Quantity_Orderd]]*_xlfn.XLOOKUP(Food_Orders[[#This Row],[Food_ID]],Food_Catalog[[#All],[Food_ID]],Food_Catalog[[#All],[Price_Per_Unit]],0,0)</f>
        <v>72000</v>
      </c>
      <c r="H628" cm="1">
        <f t="array" ref="H628">Food_Orders[[#This Row],[Quantity_Orderd]]*_xlfn.XLOOKUP(Food_Orders[[#This Row],[Food_ID]],Food_Catalog[[#All],[Food_ID]],Food_Catalog[[#All],[Client_Price_Per_Unit]],0,0)</f>
        <v>86400</v>
      </c>
      <c r="I628">
        <f>Food_Orders[[#This Row],[Client_Price]]-Food_Orders[[#This Row],[Cost]]</f>
        <v>14400</v>
      </c>
    </row>
    <row r="629" spans="1:9" x14ac:dyDescent="0.25">
      <c r="A629">
        <v>27</v>
      </c>
      <c r="B629" t="s">
        <v>48</v>
      </c>
      <c r="C629" t="s">
        <v>40</v>
      </c>
      <c r="D629" t="s">
        <v>49</v>
      </c>
      <c r="E629" t="s">
        <v>10</v>
      </c>
      <c r="F629" cm="1">
        <f t="array" ref="F629">_xlfn.XLOOKUP(Food_Orders[[#This Row],[Event_No]],Event_Master[[#All],[Event_No]],Event_Master[[#All],[Guest_Count]],,0)</f>
        <v>800</v>
      </c>
      <c r="G629" cm="1">
        <f t="array" ref="G629">Food_Orders[[#This Row],[Quantity_Orderd]]*_xlfn.XLOOKUP(Food_Orders[[#This Row],[Food_ID]],Food_Catalog[[#All],[Food_ID]],Food_Catalog[[#All],[Price_Per_Unit]],0,0)</f>
        <v>80000</v>
      </c>
      <c r="H629" cm="1">
        <f t="array" ref="H629">Food_Orders[[#This Row],[Quantity_Orderd]]*_xlfn.XLOOKUP(Food_Orders[[#This Row],[Food_ID]],Food_Catalog[[#All],[Food_ID]],Food_Catalog[[#All],[Client_Price_Per_Unit]],0,0)</f>
        <v>96000</v>
      </c>
      <c r="I629">
        <f>Food_Orders[[#This Row],[Client_Price]]-Food_Orders[[#This Row],[Cost]]</f>
        <v>16000</v>
      </c>
    </row>
    <row r="630" spans="1:9" x14ac:dyDescent="0.25">
      <c r="A630">
        <v>27</v>
      </c>
      <c r="B630" t="s">
        <v>50</v>
      </c>
      <c r="C630" t="s">
        <v>40</v>
      </c>
      <c r="D630" t="s">
        <v>51</v>
      </c>
      <c r="E630" t="s">
        <v>10</v>
      </c>
      <c r="F630" cm="1">
        <f t="array" ref="F630">_xlfn.XLOOKUP(Food_Orders[[#This Row],[Event_No]],Event_Master[[#All],[Event_No]],Event_Master[[#All],[Guest_Count]],,0)</f>
        <v>800</v>
      </c>
      <c r="G630" cm="1">
        <f t="array" ref="G630">Food_Orders[[#This Row],[Quantity_Orderd]]*_xlfn.XLOOKUP(Food_Orders[[#This Row],[Food_ID]],Food_Catalog[[#All],[Food_ID]],Food_Catalog[[#All],[Price_Per_Unit]],0,0)</f>
        <v>64000</v>
      </c>
      <c r="H630" cm="1">
        <f t="array" ref="H630">Food_Orders[[#This Row],[Quantity_Orderd]]*_xlfn.XLOOKUP(Food_Orders[[#This Row],[Food_ID]],Food_Catalog[[#All],[Food_ID]],Food_Catalog[[#All],[Client_Price_Per_Unit]],0,0)</f>
        <v>76800</v>
      </c>
      <c r="I630">
        <f>Food_Orders[[#This Row],[Client_Price]]-Food_Orders[[#This Row],[Cost]]</f>
        <v>12800</v>
      </c>
    </row>
    <row r="631" spans="1:9" x14ac:dyDescent="0.25">
      <c r="A631">
        <v>27</v>
      </c>
      <c r="B631" t="s">
        <v>52</v>
      </c>
      <c r="C631" t="s">
        <v>40</v>
      </c>
      <c r="D631" t="s">
        <v>53</v>
      </c>
      <c r="E631" t="s">
        <v>10</v>
      </c>
      <c r="F631" cm="1">
        <f t="array" ref="F631">_xlfn.XLOOKUP(Food_Orders[[#This Row],[Event_No]],Event_Master[[#All],[Event_No]],Event_Master[[#All],[Guest_Count]],,0)</f>
        <v>800</v>
      </c>
      <c r="G631" cm="1">
        <f t="array" ref="G631">Food_Orders[[#This Row],[Quantity_Orderd]]*_xlfn.XLOOKUP(Food_Orders[[#This Row],[Food_ID]],Food_Catalog[[#All],[Food_ID]],Food_Catalog[[#All],[Price_Per_Unit]],0,0)</f>
        <v>80000</v>
      </c>
      <c r="H631" cm="1">
        <f t="array" ref="H631">Food_Orders[[#This Row],[Quantity_Orderd]]*_xlfn.XLOOKUP(Food_Orders[[#This Row],[Food_ID]],Food_Catalog[[#All],[Food_ID]],Food_Catalog[[#All],[Client_Price_Per_Unit]],0,0)</f>
        <v>96000</v>
      </c>
      <c r="I631">
        <f>Food_Orders[[#This Row],[Client_Price]]-Food_Orders[[#This Row],[Cost]]</f>
        <v>16000</v>
      </c>
    </row>
    <row r="632" spans="1:9" x14ac:dyDescent="0.25">
      <c r="A632">
        <v>27</v>
      </c>
      <c r="B632" t="s">
        <v>54</v>
      </c>
      <c r="C632" t="s">
        <v>40</v>
      </c>
      <c r="D632" t="s">
        <v>55</v>
      </c>
      <c r="E632" t="s">
        <v>10</v>
      </c>
      <c r="F632" cm="1">
        <f t="array" ref="F632">_xlfn.XLOOKUP(Food_Orders[[#This Row],[Event_No]],Event_Master[[#All],[Event_No]],Event_Master[[#All],[Guest_Count]],,0)</f>
        <v>800</v>
      </c>
      <c r="G632" cm="1">
        <f t="array" ref="G632">Food_Orders[[#This Row],[Quantity_Orderd]]*_xlfn.XLOOKUP(Food_Orders[[#This Row],[Food_ID]],Food_Catalog[[#All],[Food_ID]],Food_Catalog[[#All],[Price_Per_Unit]],0,0)</f>
        <v>32000</v>
      </c>
      <c r="H632" cm="1">
        <f t="array" ref="H632">Food_Orders[[#This Row],[Quantity_Orderd]]*_xlfn.XLOOKUP(Food_Orders[[#This Row],[Food_ID]],Food_Catalog[[#All],[Food_ID]],Food_Catalog[[#All],[Client_Price_Per_Unit]],0,0)</f>
        <v>38400</v>
      </c>
      <c r="I632">
        <f>Food_Orders[[#This Row],[Client_Price]]-Food_Orders[[#This Row],[Cost]]</f>
        <v>6400</v>
      </c>
    </row>
    <row r="633" spans="1:9" x14ac:dyDescent="0.25">
      <c r="A633">
        <v>27</v>
      </c>
      <c r="B633" t="s">
        <v>58</v>
      </c>
      <c r="C633" t="s">
        <v>40</v>
      </c>
      <c r="D633" t="s">
        <v>59</v>
      </c>
      <c r="E633" t="s">
        <v>10</v>
      </c>
      <c r="F633" cm="1">
        <f t="array" ref="F633">_xlfn.XLOOKUP(Food_Orders[[#This Row],[Event_No]],Event_Master[[#All],[Event_No]],Event_Master[[#All],[Guest_Count]],,0)</f>
        <v>800</v>
      </c>
      <c r="G633" cm="1">
        <f t="array" ref="G633">Food_Orders[[#This Row],[Quantity_Orderd]]*_xlfn.XLOOKUP(Food_Orders[[#This Row],[Food_ID]],Food_Catalog[[#All],[Food_ID]],Food_Catalog[[#All],[Price_Per_Unit]],0,0)</f>
        <v>72000</v>
      </c>
      <c r="H633" cm="1">
        <f t="array" ref="H633">Food_Orders[[#This Row],[Quantity_Orderd]]*_xlfn.XLOOKUP(Food_Orders[[#This Row],[Food_ID]],Food_Catalog[[#All],[Food_ID]],Food_Catalog[[#All],[Client_Price_Per_Unit]],0,0)</f>
        <v>86400</v>
      </c>
      <c r="I633">
        <f>Food_Orders[[#This Row],[Client_Price]]-Food_Orders[[#This Row],[Cost]]</f>
        <v>14400</v>
      </c>
    </row>
    <row r="634" spans="1:9" x14ac:dyDescent="0.25">
      <c r="A634">
        <v>27</v>
      </c>
      <c r="B634" t="s">
        <v>82</v>
      </c>
      <c r="C634" t="s">
        <v>83</v>
      </c>
      <c r="D634" t="s">
        <v>84</v>
      </c>
      <c r="E634" t="s">
        <v>85</v>
      </c>
      <c r="F634" cm="1">
        <f t="array" ref="F634">_xlfn.XLOOKUP(Food_Orders[[#This Row],[Event_No]],Event_Master[[#All],[Event_No]],Event_Master[[#All],[Guest_Count]],,0)</f>
        <v>800</v>
      </c>
      <c r="G634" cm="1">
        <f t="array" ref="G634">Food_Orders[[#This Row],[Quantity_Orderd]]*_xlfn.XLOOKUP(Food_Orders[[#This Row],[Food_ID]],Food_Catalog[[#All],[Food_ID]],Food_Catalog[[#All],[Price_Per_Unit]],0,0)</f>
        <v>16000</v>
      </c>
      <c r="H634" cm="1">
        <f t="array" ref="H634">Food_Orders[[#This Row],[Quantity_Orderd]]*_xlfn.XLOOKUP(Food_Orders[[#This Row],[Food_ID]],Food_Catalog[[#All],[Food_ID]],Food_Catalog[[#All],[Client_Price_Per_Unit]],0,0)</f>
        <v>19200</v>
      </c>
      <c r="I634">
        <f>Food_Orders[[#This Row],[Client_Price]]-Food_Orders[[#This Row],[Cost]]</f>
        <v>3200</v>
      </c>
    </row>
    <row r="635" spans="1:9" x14ac:dyDescent="0.25">
      <c r="A635">
        <v>27</v>
      </c>
      <c r="B635" t="s">
        <v>86</v>
      </c>
      <c r="C635" t="s">
        <v>83</v>
      </c>
      <c r="D635" t="s">
        <v>87</v>
      </c>
      <c r="E635" t="s">
        <v>85</v>
      </c>
      <c r="F635" cm="1">
        <f t="array" ref="F635">_xlfn.XLOOKUP(Food_Orders[[#This Row],[Event_No]],Event_Master[[#All],[Event_No]],Event_Master[[#All],[Guest_Count]],,0)</f>
        <v>800</v>
      </c>
      <c r="G635" cm="1">
        <f t="array" ref="G635">Food_Orders[[#This Row],[Quantity_Orderd]]*_xlfn.XLOOKUP(Food_Orders[[#This Row],[Food_ID]],Food_Catalog[[#All],[Food_ID]],Food_Catalog[[#All],[Price_Per_Unit]],0,0)</f>
        <v>16000</v>
      </c>
      <c r="H635" cm="1">
        <f t="array" ref="H635">Food_Orders[[#This Row],[Quantity_Orderd]]*_xlfn.XLOOKUP(Food_Orders[[#This Row],[Food_ID]],Food_Catalog[[#All],[Food_ID]],Food_Catalog[[#All],[Client_Price_Per_Unit]],0,0)</f>
        <v>19200</v>
      </c>
      <c r="I635">
        <f>Food_Orders[[#This Row],[Client_Price]]-Food_Orders[[#This Row],[Cost]]</f>
        <v>3200</v>
      </c>
    </row>
    <row r="636" spans="1:9" x14ac:dyDescent="0.25">
      <c r="A636">
        <v>27</v>
      </c>
      <c r="B636" t="s">
        <v>88</v>
      </c>
      <c r="C636" t="s">
        <v>83</v>
      </c>
      <c r="D636" t="s">
        <v>89</v>
      </c>
      <c r="E636" t="s">
        <v>85</v>
      </c>
      <c r="F636" cm="1">
        <f t="array" ref="F636">_xlfn.XLOOKUP(Food_Orders[[#This Row],[Event_No]],Event_Master[[#All],[Event_No]],Event_Master[[#All],[Guest_Count]],,0)</f>
        <v>800</v>
      </c>
      <c r="G636" cm="1">
        <f t="array" ref="G636">Food_Orders[[#This Row],[Quantity_Orderd]]*_xlfn.XLOOKUP(Food_Orders[[#This Row],[Food_ID]],Food_Catalog[[#All],[Food_ID]],Food_Catalog[[#All],[Price_Per_Unit]],0,0)</f>
        <v>12000</v>
      </c>
      <c r="H636" cm="1">
        <f t="array" ref="H636">Food_Orders[[#This Row],[Quantity_Orderd]]*_xlfn.XLOOKUP(Food_Orders[[#This Row],[Food_ID]],Food_Catalog[[#All],[Food_ID]],Food_Catalog[[#All],[Client_Price_Per_Unit]],0,0)</f>
        <v>14400</v>
      </c>
      <c r="I636">
        <f>Food_Orders[[#This Row],[Client_Price]]-Food_Orders[[#This Row],[Cost]]</f>
        <v>2400</v>
      </c>
    </row>
    <row r="637" spans="1:9" x14ac:dyDescent="0.25">
      <c r="A637">
        <v>27</v>
      </c>
      <c r="B637" t="s">
        <v>100</v>
      </c>
      <c r="C637" t="s">
        <v>83</v>
      </c>
      <c r="D637" t="s">
        <v>101</v>
      </c>
      <c r="E637" t="s">
        <v>79</v>
      </c>
      <c r="F637" cm="1">
        <f t="array" ref="F637">_xlfn.XLOOKUP(Food_Orders[[#This Row],[Event_No]],Event_Master[[#All],[Event_No]],Event_Master[[#All],[Guest_Count]],,0)</f>
        <v>800</v>
      </c>
      <c r="G637" cm="1">
        <f t="array" ref="G637">Food_Orders[[#This Row],[Quantity_Orderd]]*_xlfn.XLOOKUP(Food_Orders[[#This Row],[Food_ID]],Food_Catalog[[#All],[Food_ID]],Food_Catalog[[#All],[Price_Per_Unit]],0,0)</f>
        <v>28000</v>
      </c>
      <c r="H637" cm="1">
        <f t="array" ref="H637">Food_Orders[[#This Row],[Quantity_Orderd]]*_xlfn.XLOOKUP(Food_Orders[[#This Row],[Food_ID]],Food_Catalog[[#All],[Food_ID]],Food_Catalog[[#All],[Client_Price_Per_Unit]],0,0)</f>
        <v>33600</v>
      </c>
      <c r="I637">
        <f>Food_Orders[[#This Row],[Client_Price]]-Food_Orders[[#This Row],[Cost]]</f>
        <v>5600</v>
      </c>
    </row>
    <row r="638" spans="1:9" x14ac:dyDescent="0.25">
      <c r="A638">
        <v>27</v>
      </c>
      <c r="B638" t="s">
        <v>96</v>
      </c>
      <c r="C638" t="s">
        <v>83</v>
      </c>
      <c r="D638" t="s">
        <v>97</v>
      </c>
      <c r="E638" t="s">
        <v>79</v>
      </c>
      <c r="F638" cm="1">
        <f t="array" ref="F638">_xlfn.XLOOKUP(Food_Orders[[#This Row],[Event_No]],Event_Master[[#All],[Event_No]],Event_Master[[#All],[Guest_Count]],,0)</f>
        <v>800</v>
      </c>
      <c r="G638" cm="1">
        <f t="array" ref="G638">Food_Orders[[#This Row],[Quantity_Orderd]]*_xlfn.XLOOKUP(Food_Orders[[#This Row],[Food_ID]],Food_Catalog[[#All],[Food_ID]],Food_Catalog[[#All],[Price_Per_Unit]],0,0)</f>
        <v>24000</v>
      </c>
      <c r="H638" cm="1">
        <f t="array" ref="H638">Food_Orders[[#This Row],[Quantity_Orderd]]*_xlfn.XLOOKUP(Food_Orders[[#This Row],[Food_ID]],Food_Catalog[[#All],[Food_ID]],Food_Catalog[[#All],[Client_Price_Per_Unit]],0,0)</f>
        <v>28800</v>
      </c>
      <c r="I638">
        <f>Food_Orders[[#This Row],[Client_Price]]-Food_Orders[[#This Row],[Cost]]</f>
        <v>4800</v>
      </c>
    </row>
    <row r="639" spans="1:9" x14ac:dyDescent="0.25">
      <c r="A639">
        <v>27</v>
      </c>
      <c r="B639" t="s">
        <v>92</v>
      </c>
      <c r="C639" t="s">
        <v>83</v>
      </c>
      <c r="D639" t="s">
        <v>93</v>
      </c>
      <c r="E639" t="s">
        <v>85</v>
      </c>
      <c r="F639" cm="1">
        <f t="array" ref="F639">_xlfn.XLOOKUP(Food_Orders[[#This Row],[Event_No]],Event_Master[[#All],[Event_No]],Event_Master[[#All],[Guest_Count]],,0)</f>
        <v>800</v>
      </c>
      <c r="G639" cm="1">
        <f t="array" ref="G639">Food_Orders[[#This Row],[Quantity_Orderd]]*_xlfn.XLOOKUP(Food_Orders[[#This Row],[Food_ID]],Food_Catalog[[#All],[Food_ID]],Food_Catalog[[#All],[Price_Per_Unit]],0,0)</f>
        <v>12000</v>
      </c>
      <c r="H639" cm="1">
        <f t="array" ref="H639">Food_Orders[[#This Row],[Quantity_Orderd]]*_xlfn.XLOOKUP(Food_Orders[[#This Row],[Food_ID]],Food_Catalog[[#All],[Food_ID]],Food_Catalog[[#All],[Client_Price_Per_Unit]],0,0)</f>
        <v>14400</v>
      </c>
      <c r="I639">
        <f>Food_Orders[[#This Row],[Client_Price]]-Food_Orders[[#This Row],[Cost]]</f>
        <v>2400</v>
      </c>
    </row>
    <row r="640" spans="1:9" x14ac:dyDescent="0.25">
      <c r="A640">
        <v>27</v>
      </c>
      <c r="B640" t="s">
        <v>102</v>
      </c>
      <c r="C640" t="s">
        <v>83</v>
      </c>
      <c r="D640" t="s">
        <v>103</v>
      </c>
      <c r="E640" t="s">
        <v>85</v>
      </c>
      <c r="F640" cm="1">
        <f t="array" ref="F640">_xlfn.XLOOKUP(Food_Orders[[#This Row],[Event_No]],Event_Master[[#All],[Event_No]],Event_Master[[#All],[Guest_Count]],,0)</f>
        <v>800</v>
      </c>
      <c r="G640" cm="1">
        <f t="array" ref="G640">Food_Orders[[#This Row],[Quantity_Orderd]]*_xlfn.XLOOKUP(Food_Orders[[#This Row],[Food_ID]],Food_Catalog[[#All],[Food_ID]],Food_Catalog[[#All],[Price_Per_Unit]],0,0)</f>
        <v>16000</v>
      </c>
      <c r="H640" cm="1">
        <f t="array" ref="H640">Food_Orders[[#This Row],[Quantity_Orderd]]*_xlfn.XLOOKUP(Food_Orders[[#This Row],[Food_ID]],Food_Catalog[[#All],[Food_ID]],Food_Catalog[[#All],[Client_Price_Per_Unit]],0,0)</f>
        <v>19200</v>
      </c>
      <c r="I640">
        <f>Food_Orders[[#This Row],[Client_Price]]-Food_Orders[[#This Row],[Cost]]</f>
        <v>3200</v>
      </c>
    </row>
    <row r="641" spans="1:9" x14ac:dyDescent="0.25">
      <c r="A641">
        <v>27</v>
      </c>
      <c r="B641" t="s">
        <v>98</v>
      </c>
      <c r="C641" t="s">
        <v>83</v>
      </c>
      <c r="D641" t="s">
        <v>99</v>
      </c>
      <c r="E641" t="s">
        <v>85</v>
      </c>
      <c r="F641" cm="1">
        <f t="array" ref="F641">_xlfn.XLOOKUP(Food_Orders[[#This Row],[Event_No]],Event_Master[[#All],[Event_No]],Event_Master[[#All],[Guest_Count]],,0)</f>
        <v>800</v>
      </c>
      <c r="G641" cm="1">
        <f t="array" ref="G641">Food_Orders[[#This Row],[Quantity_Orderd]]*_xlfn.XLOOKUP(Food_Orders[[#This Row],[Food_ID]],Food_Catalog[[#All],[Food_ID]],Food_Catalog[[#All],[Price_Per_Unit]],0,0)</f>
        <v>12000</v>
      </c>
      <c r="H641" cm="1">
        <f t="array" ref="H641">Food_Orders[[#This Row],[Quantity_Orderd]]*_xlfn.XLOOKUP(Food_Orders[[#This Row],[Food_ID]],Food_Catalog[[#All],[Food_ID]],Food_Catalog[[#All],[Client_Price_Per_Unit]],0,0)</f>
        <v>14400</v>
      </c>
      <c r="I641">
        <f>Food_Orders[[#This Row],[Client_Price]]-Food_Orders[[#This Row],[Cost]]</f>
        <v>2400</v>
      </c>
    </row>
    <row r="642" spans="1:9" x14ac:dyDescent="0.25">
      <c r="A642">
        <v>27</v>
      </c>
      <c r="B642" t="s">
        <v>104</v>
      </c>
      <c r="C642" t="s">
        <v>105</v>
      </c>
      <c r="D642" t="s">
        <v>106</v>
      </c>
      <c r="E642" t="s">
        <v>107</v>
      </c>
      <c r="F642" cm="1">
        <f t="array" ref="F642">_xlfn.XLOOKUP(Food_Orders[[#This Row],[Event_No]],Event_Master[[#All],[Event_No]],Event_Master[[#All],[Guest_Count]],,0)</f>
        <v>800</v>
      </c>
      <c r="G642" cm="1">
        <f t="array" ref="G642">Food_Orders[[#This Row],[Quantity_Orderd]]*_xlfn.XLOOKUP(Food_Orders[[#This Row],[Food_ID]],Food_Catalog[[#All],[Food_ID]],Food_Catalog[[#All],[Price_Per_Unit]],0,0)</f>
        <v>8000</v>
      </c>
      <c r="H642" cm="1">
        <f t="array" ref="H642">Food_Orders[[#This Row],[Quantity_Orderd]]*_xlfn.XLOOKUP(Food_Orders[[#This Row],[Food_ID]],Food_Catalog[[#All],[Food_ID]],Food_Catalog[[#All],[Client_Price_Per_Unit]],0,0)</f>
        <v>9600</v>
      </c>
      <c r="I642">
        <f>Food_Orders[[#This Row],[Client_Price]]-Food_Orders[[#This Row],[Cost]]</f>
        <v>1600</v>
      </c>
    </row>
    <row r="643" spans="1:9" x14ac:dyDescent="0.25">
      <c r="A643">
        <v>27</v>
      </c>
      <c r="B643" t="s">
        <v>108</v>
      </c>
      <c r="C643" t="s">
        <v>105</v>
      </c>
      <c r="D643" t="s">
        <v>109</v>
      </c>
      <c r="E643" t="s">
        <v>107</v>
      </c>
      <c r="F643" cm="1">
        <f t="array" ref="F643">_xlfn.XLOOKUP(Food_Orders[[#This Row],[Event_No]],Event_Master[[#All],[Event_No]],Event_Master[[#All],[Guest_Count]],,0)</f>
        <v>800</v>
      </c>
      <c r="G643" cm="1">
        <f t="array" ref="G643">Food_Orders[[#This Row],[Quantity_Orderd]]*_xlfn.XLOOKUP(Food_Orders[[#This Row],[Food_ID]],Food_Catalog[[#All],[Food_ID]],Food_Catalog[[#All],[Price_Per_Unit]],0,0)</f>
        <v>12000</v>
      </c>
      <c r="H643" cm="1">
        <f t="array" ref="H643">Food_Orders[[#This Row],[Quantity_Orderd]]*_xlfn.XLOOKUP(Food_Orders[[#This Row],[Food_ID]],Food_Catalog[[#All],[Food_ID]],Food_Catalog[[#All],[Client_Price_Per_Unit]],0,0)</f>
        <v>14400</v>
      </c>
      <c r="I643">
        <f>Food_Orders[[#This Row],[Client_Price]]-Food_Orders[[#This Row],[Cost]]</f>
        <v>2400</v>
      </c>
    </row>
    <row r="644" spans="1:9" x14ac:dyDescent="0.25">
      <c r="A644">
        <v>27</v>
      </c>
      <c r="B644" t="s">
        <v>115</v>
      </c>
      <c r="C644" t="s">
        <v>105</v>
      </c>
      <c r="D644" t="s">
        <v>116</v>
      </c>
      <c r="E644" t="s">
        <v>117</v>
      </c>
      <c r="F644" cm="1">
        <f t="array" ref="F644">_xlfn.XLOOKUP(Food_Orders[[#This Row],[Event_No]],Event_Master[[#All],[Event_No]],Event_Master[[#All],[Guest_Count]],,0)</f>
        <v>800</v>
      </c>
      <c r="G644" cm="1">
        <f t="array" ref="G644">Food_Orders[[#This Row],[Quantity_Orderd]]*_xlfn.XLOOKUP(Food_Orders[[#This Row],[Food_ID]],Food_Catalog[[#All],[Food_ID]],Food_Catalog[[#All],[Price_Per_Unit]],0,0)</f>
        <v>20000</v>
      </c>
      <c r="H644" cm="1">
        <f t="array" ref="H644">Food_Orders[[#This Row],[Quantity_Orderd]]*_xlfn.XLOOKUP(Food_Orders[[#This Row],[Food_ID]],Food_Catalog[[#All],[Food_ID]],Food_Catalog[[#All],[Client_Price_Per_Unit]],0,0)</f>
        <v>24000</v>
      </c>
      <c r="I644">
        <f>Food_Orders[[#This Row],[Client_Price]]-Food_Orders[[#This Row],[Cost]]</f>
        <v>4000</v>
      </c>
    </row>
    <row r="645" spans="1:9" x14ac:dyDescent="0.25">
      <c r="A645">
        <v>27</v>
      </c>
      <c r="B645" t="s">
        <v>110</v>
      </c>
      <c r="C645" t="s">
        <v>105</v>
      </c>
      <c r="D645" t="s">
        <v>111</v>
      </c>
      <c r="E645" t="s">
        <v>112</v>
      </c>
      <c r="F645" cm="1">
        <f t="array" ref="F645">_xlfn.XLOOKUP(Food_Orders[[#This Row],[Event_No]],Event_Master[[#All],[Event_No]],Event_Master[[#All],[Guest_Count]],,0)</f>
        <v>800</v>
      </c>
      <c r="G645" cm="1">
        <f t="array" ref="G645">Food_Orders[[#This Row],[Quantity_Orderd]]*_xlfn.XLOOKUP(Food_Orders[[#This Row],[Food_ID]],Food_Catalog[[#All],[Food_ID]],Food_Catalog[[#All],[Price_Per_Unit]],0,0)</f>
        <v>16000</v>
      </c>
      <c r="H645" cm="1">
        <f t="array" ref="H645">Food_Orders[[#This Row],[Quantity_Orderd]]*_xlfn.XLOOKUP(Food_Orders[[#This Row],[Food_ID]],Food_Catalog[[#All],[Food_ID]],Food_Catalog[[#All],[Client_Price_Per_Unit]],0,0)</f>
        <v>19200</v>
      </c>
      <c r="I645">
        <f>Food_Orders[[#This Row],[Client_Price]]-Food_Orders[[#This Row],[Cost]]</f>
        <v>3200</v>
      </c>
    </row>
    <row r="646" spans="1:9" x14ac:dyDescent="0.25">
      <c r="A646">
        <v>27</v>
      </c>
      <c r="B646" t="s">
        <v>118</v>
      </c>
      <c r="C646" t="s">
        <v>119</v>
      </c>
      <c r="D646" t="s">
        <v>120</v>
      </c>
      <c r="E646" t="s">
        <v>112</v>
      </c>
      <c r="F646" cm="1">
        <f t="array" ref="F646">_xlfn.XLOOKUP(Food_Orders[[#This Row],[Event_No]],Event_Master[[#All],[Event_No]],Event_Master[[#All],[Guest_Count]],,0)</f>
        <v>800</v>
      </c>
      <c r="G646" cm="1">
        <f t="array" ref="G646">Food_Orders[[#This Row],[Quantity_Orderd]]*_xlfn.XLOOKUP(Food_Orders[[#This Row],[Food_ID]],Food_Catalog[[#All],[Food_ID]],Food_Catalog[[#All],[Price_Per_Unit]],0,0)</f>
        <v>8000</v>
      </c>
      <c r="H646" cm="1">
        <f t="array" ref="H646">Food_Orders[[#This Row],[Quantity_Orderd]]*_xlfn.XLOOKUP(Food_Orders[[#This Row],[Food_ID]],Food_Catalog[[#All],[Food_ID]],Food_Catalog[[#All],[Client_Price_Per_Unit]],0,0)</f>
        <v>9600</v>
      </c>
      <c r="I646">
        <f>Food_Orders[[#This Row],[Client_Price]]-Food_Orders[[#This Row],[Cost]]</f>
        <v>1600</v>
      </c>
    </row>
    <row r="647" spans="1:9" x14ac:dyDescent="0.25">
      <c r="A647">
        <v>27</v>
      </c>
      <c r="B647" t="s">
        <v>129</v>
      </c>
      <c r="C647" t="s">
        <v>119</v>
      </c>
      <c r="D647" t="s">
        <v>130</v>
      </c>
      <c r="E647" t="s">
        <v>112</v>
      </c>
      <c r="F647" cm="1">
        <f t="array" ref="F647">_xlfn.XLOOKUP(Food_Orders[[#This Row],[Event_No]],Event_Master[[#All],[Event_No]],Event_Master[[#All],[Guest_Count]],,0)</f>
        <v>800</v>
      </c>
      <c r="G647" cm="1">
        <f t="array" ref="G647">Food_Orders[[#This Row],[Quantity_Orderd]]*_xlfn.XLOOKUP(Food_Orders[[#This Row],[Food_ID]],Food_Catalog[[#All],[Food_ID]],Food_Catalog[[#All],[Price_Per_Unit]],0,0)</f>
        <v>8000</v>
      </c>
      <c r="H647" cm="1">
        <f t="array" ref="H647">Food_Orders[[#This Row],[Quantity_Orderd]]*_xlfn.XLOOKUP(Food_Orders[[#This Row],[Food_ID]],Food_Catalog[[#All],[Food_ID]],Food_Catalog[[#All],[Client_Price_Per_Unit]],0,0)</f>
        <v>9600</v>
      </c>
      <c r="I647">
        <f>Food_Orders[[#This Row],[Client_Price]]-Food_Orders[[#This Row],[Cost]]</f>
        <v>1600</v>
      </c>
    </row>
    <row r="648" spans="1:9" x14ac:dyDescent="0.25">
      <c r="A648">
        <v>27</v>
      </c>
      <c r="B648" t="s">
        <v>124</v>
      </c>
      <c r="C648" t="s">
        <v>119</v>
      </c>
      <c r="D648" t="s">
        <v>125</v>
      </c>
      <c r="E648" t="s">
        <v>126</v>
      </c>
      <c r="F648" cm="1">
        <f t="array" ref="F648">_xlfn.XLOOKUP(Food_Orders[[#This Row],[Event_No]],Event_Master[[#All],[Event_No]],Event_Master[[#All],[Guest_Count]],,0)</f>
        <v>800</v>
      </c>
      <c r="G648" cm="1">
        <f t="array" ref="G648">Food_Orders[[#This Row],[Quantity_Orderd]]*_xlfn.XLOOKUP(Food_Orders[[#This Row],[Food_ID]],Food_Catalog[[#All],[Food_ID]],Food_Catalog[[#All],[Price_Per_Unit]],0,0)</f>
        <v>16000</v>
      </c>
      <c r="H648" cm="1">
        <f t="array" ref="H648">Food_Orders[[#This Row],[Quantity_Orderd]]*_xlfn.XLOOKUP(Food_Orders[[#This Row],[Food_ID]],Food_Catalog[[#All],[Food_ID]],Food_Catalog[[#All],[Client_Price_Per_Unit]],0,0)</f>
        <v>19200</v>
      </c>
      <c r="I648">
        <f>Food_Orders[[#This Row],[Client_Price]]-Food_Orders[[#This Row],[Cost]]</f>
        <v>3200</v>
      </c>
    </row>
    <row r="649" spans="1:9" x14ac:dyDescent="0.25">
      <c r="A649">
        <v>27</v>
      </c>
      <c r="B649" t="s">
        <v>127</v>
      </c>
      <c r="C649" t="s">
        <v>119</v>
      </c>
      <c r="D649" t="s">
        <v>128</v>
      </c>
      <c r="E649" t="s">
        <v>107</v>
      </c>
      <c r="F649" cm="1">
        <f t="array" ref="F649">_xlfn.XLOOKUP(Food_Orders[[#This Row],[Event_No]],Event_Master[[#All],[Event_No]],Event_Master[[#All],[Guest_Count]],,0)</f>
        <v>800</v>
      </c>
      <c r="G649" cm="1">
        <f t="array" ref="G649">Food_Orders[[#This Row],[Quantity_Orderd]]*_xlfn.XLOOKUP(Food_Orders[[#This Row],[Food_ID]],Food_Catalog[[#All],[Food_ID]],Food_Catalog[[#All],[Price_Per_Unit]],0,0)</f>
        <v>16000</v>
      </c>
      <c r="H649" cm="1">
        <f t="array" ref="H649">Food_Orders[[#This Row],[Quantity_Orderd]]*_xlfn.XLOOKUP(Food_Orders[[#This Row],[Food_ID]],Food_Catalog[[#All],[Food_ID]],Food_Catalog[[#All],[Client_Price_Per_Unit]],0,0)</f>
        <v>19200</v>
      </c>
      <c r="I649">
        <f>Food_Orders[[#This Row],[Client_Price]]-Food_Orders[[#This Row],[Cost]]</f>
        <v>3200</v>
      </c>
    </row>
    <row r="650" spans="1:9" x14ac:dyDescent="0.25">
      <c r="A650">
        <v>28</v>
      </c>
      <c r="B650" t="s">
        <v>60</v>
      </c>
      <c r="C650" t="s">
        <v>61</v>
      </c>
      <c r="D650" t="s">
        <v>62</v>
      </c>
      <c r="E650" t="s">
        <v>10</v>
      </c>
      <c r="F650" cm="1">
        <f t="array" ref="F650">_xlfn.XLOOKUP(Food_Orders[[#This Row],[Event_No]],Event_Master[[#All],[Event_No]],Event_Master[[#All],[Guest_Count]],,0)</f>
        <v>850</v>
      </c>
      <c r="G650" cm="1">
        <f t="array" ref="G650">Food_Orders[[#This Row],[Quantity_Orderd]]*_xlfn.XLOOKUP(Food_Orders[[#This Row],[Food_ID]],Food_Catalog[[#All],[Food_ID]],Food_Catalog[[#All],[Price_Per_Unit]],0,0)</f>
        <v>17000</v>
      </c>
      <c r="H650" cm="1">
        <f t="array" ref="H650">Food_Orders[[#This Row],[Quantity_Orderd]]*_xlfn.XLOOKUP(Food_Orders[[#This Row],[Food_ID]],Food_Catalog[[#All],[Food_ID]],Food_Catalog[[#All],[Client_Price_Per_Unit]],0,0)</f>
        <v>20400</v>
      </c>
      <c r="I650">
        <f>Food_Orders[[#This Row],[Client_Price]]-Food_Orders[[#This Row],[Cost]]</f>
        <v>3400</v>
      </c>
    </row>
    <row r="651" spans="1:9" x14ac:dyDescent="0.25">
      <c r="A651">
        <v>28</v>
      </c>
      <c r="B651" t="s">
        <v>73</v>
      </c>
      <c r="C651" t="s">
        <v>61</v>
      </c>
      <c r="D651" t="s">
        <v>74</v>
      </c>
      <c r="E651" t="s">
        <v>10</v>
      </c>
      <c r="F651" cm="1">
        <f t="array" ref="F651">_xlfn.XLOOKUP(Food_Orders[[#This Row],[Event_No]],Event_Master[[#All],[Event_No]],Event_Master[[#All],[Guest_Count]],,0)</f>
        <v>850</v>
      </c>
      <c r="G651" cm="1">
        <f t="array" ref="G651">Food_Orders[[#This Row],[Quantity_Orderd]]*_xlfn.XLOOKUP(Food_Orders[[#This Row],[Food_ID]],Food_Catalog[[#All],[Food_ID]],Food_Catalog[[#All],[Price_Per_Unit]],0,0)</f>
        <v>34000</v>
      </c>
      <c r="H651" cm="1">
        <f t="array" ref="H651">Food_Orders[[#This Row],[Quantity_Orderd]]*_xlfn.XLOOKUP(Food_Orders[[#This Row],[Food_ID]],Food_Catalog[[#All],[Food_ID]],Food_Catalog[[#All],[Client_Price_Per_Unit]],0,0)</f>
        <v>40800</v>
      </c>
      <c r="I651">
        <f>Food_Orders[[#This Row],[Client_Price]]-Food_Orders[[#This Row],[Cost]]</f>
        <v>6800</v>
      </c>
    </row>
    <row r="652" spans="1:9" x14ac:dyDescent="0.25">
      <c r="A652">
        <v>28</v>
      </c>
      <c r="B652" t="s">
        <v>75</v>
      </c>
      <c r="C652" t="s">
        <v>61</v>
      </c>
      <c r="D652" t="s">
        <v>76</v>
      </c>
      <c r="E652" t="s">
        <v>10</v>
      </c>
      <c r="F652" cm="1">
        <f t="array" ref="F652">_xlfn.XLOOKUP(Food_Orders[[#This Row],[Event_No]],Event_Master[[#All],[Event_No]],Event_Master[[#All],[Guest_Count]],,0)</f>
        <v>850</v>
      </c>
      <c r="G652" cm="1">
        <f t="array" ref="G652">Food_Orders[[#This Row],[Quantity_Orderd]]*_xlfn.XLOOKUP(Food_Orders[[#This Row],[Food_ID]],Food_Catalog[[#All],[Food_ID]],Food_Catalog[[#All],[Price_Per_Unit]],0,0)</f>
        <v>34000</v>
      </c>
      <c r="H652" cm="1">
        <f t="array" ref="H652">Food_Orders[[#This Row],[Quantity_Orderd]]*_xlfn.XLOOKUP(Food_Orders[[#This Row],[Food_ID]],Food_Catalog[[#All],[Food_ID]],Food_Catalog[[#All],[Client_Price_Per_Unit]],0,0)</f>
        <v>40800</v>
      </c>
      <c r="I652">
        <f>Food_Orders[[#This Row],[Client_Price]]-Food_Orders[[#This Row],[Cost]]</f>
        <v>6800</v>
      </c>
    </row>
    <row r="653" spans="1:9" x14ac:dyDescent="0.25">
      <c r="A653">
        <v>28</v>
      </c>
      <c r="B653" t="s">
        <v>69</v>
      </c>
      <c r="C653" t="s">
        <v>61</v>
      </c>
      <c r="D653" t="s">
        <v>70</v>
      </c>
      <c r="E653" t="s">
        <v>10</v>
      </c>
      <c r="F653" cm="1">
        <f t="array" ref="F653">_xlfn.XLOOKUP(Food_Orders[[#This Row],[Event_No]],Event_Master[[#All],[Event_No]],Event_Master[[#All],[Guest_Count]],,0)</f>
        <v>850</v>
      </c>
      <c r="G653" cm="1">
        <f t="array" ref="G653">Food_Orders[[#This Row],[Quantity_Orderd]]*_xlfn.XLOOKUP(Food_Orders[[#This Row],[Food_ID]],Food_Catalog[[#All],[Food_ID]],Food_Catalog[[#All],[Price_Per_Unit]],0,0)</f>
        <v>42500</v>
      </c>
      <c r="H653" cm="1">
        <f t="array" ref="H653">Food_Orders[[#This Row],[Quantity_Orderd]]*_xlfn.XLOOKUP(Food_Orders[[#This Row],[Food_ID]],Food_Catalog[[#All],[Food_ID]],Food_Catalog[[#All],[Client_Price_Per_Unit]],0,0)</f>
        <v>51000</v>
      </c>
      <c r="I653">
        <f>Food_Orders[[#This Row],[Client_Price]]-Food_Orders[[#This Row],[Cost]]</f>
        <v>8500</v>
      </c>
    </row>
    <row r="654" spans="1:9" x14ac:dyDescent="0.25">
      <c r="A654">
        <v>28</v>
      </c>
      <c r="B654" t="s">
        <v>58</v>
      </c>
      <c r="C654" t="s">
        <v>40</v>
      </c>
      <c r="D654" t="s">
        <v>59</v>
      </c>
      <c r="E654" t="s">
        <v>10</v>
      </c>
      <c r="F654" cm="1">
        <f t="array" ref="F654">_xlfn.XLOOKUP(Food_Orders[[#This Row],[Event_No]],Event_Master[[#All],[Event_No]],Event_Master[[#All],[Guest_Count]],,0)</f>
        <v>850</v>
      </c>
      <c r="G654" cm="1">
        <f t="array" ref="G654">Food_Orders[[#This Row],[Quantity_Orderd]]*_xlfn.XLOOKUP(Food_Orders[[#This Row],[Food_ID]],Food_Catalog[[#All],[Food_ID]],Food_Catalog[[#All],[Price_Per_Unit]],0,0)</f>
        <v>76500</v>
      </c>
      <c r="H654" cm="1">
        <f t="array" ref="H654">Food_Orders[[#This Row],[Quantity_Orderd]]*_xlfn.XLOOKUP(Food_Orders[[#This Row],[Food_ID]],Food_Catalog[[#All],[Food_ID]],Food_Catalog[[#All],[Client_Price_Per_Unit]],0,0)</f>
        <v>91800</v>
      </c>
      <c r="I654">
        <f>Food_Orders[[#This Row],[Client_Price]]-Food_Orders[[#This Row],[Cost]]</f>
        <v>15300</v>
      </c>
    </row>
    <row r="655" spans="1:9" x14ac:dyDescent="0.25">
      <c r="A655">
        <v>28</v>
      </c>
      <c r="B655" t="s">
        <v>39</v>
      </c>
      <c r="C655" t="s">
        <v>40</v>
      </c>
      <c r="D655" t="s">
        <v>41</v>
      </c>
      <c r="E655" t="s">
        <v>10</v>
      </c>
      <c r="F655" cm="1">
        <f t="array" ref="F655">_xlfn.XLOOKUP(Food_Orders[[#This Row],[Event_No]],Event_Master[[#All],[Event_No]],Event_Master[[#All],[Guest_Count]],,0)</f>
        <v>850</v>
      </c>
      <c r="G655" cm="1">
        <f t="array" ref="G655">Food_Orders[[#This Row],[Quantity_Orderd]]*_xlfn.XLOOKUP(Food_Orders[[#This Row],[Food_ID]],Food_Catalog[[#All],[Food_ID]],Food_Catalog[[#All],[Price_Per_Unit]],0,0)</f>
        <v>51000</v>
      </c>
      <c r="H655" cm="1">
        <f t="array" ref="H655">Food_Orders[[#This Row],[Quantity_Orderd]]*_xlfn.XLOOKUP(Food_Orders[[#This Row],[Food_ID]],Food_Catalog[[#All],[Food_ID]],Food_Catalog[[#All],[Client_Price_Per_Unit]],0,0)</f>
        <v>61200</v>
      </c>
      <c r="I655">
        <f>Food_Orders[[#This Row],[Client_Price]]-Food_Orders[[#This Row],[Cost]]</f>
        <v>10200</v>
      </c>
    </row>
    <row r="656" spans="1:9" x14ac:dyDescent="0.25">
      <c r="A656">
        <v>28</v>
      </c>
      <c r="B656" t="s">
        <v>42</v>
      </c>
      <c r="C656" t="s">
        <v>40</v>
      </c>
      <c r="D656" t="s">
        <v>43</v>
      </c>
      <c r="E656" t="s">
        <v>10</v>
      </c>
      <c r="F656" cm="1">
        <f t="array" ref="F656">_xlfn.XLOOKUP(Food_Orders[[#This Row],[Event_No]],Event_Master[[#All],[Event_No]],Event_Master[[#All],[Guest_Count]],,0)</f>
        <v>850</v>
      </c>
      <c r="G656" cm="1">
        <f t="array" ref="G656">Food_Orders[[#This Row],[Quantity_Orderd]]*_xlfn.XLOOKUP(Food_Orders[[#This Row],[Food_ID]],Food_Catalog[[#All],[Food_ID]],Food_Catalog[[#All],[Price_Per_Unit]],0,0)</f>
        <v>59500</v>
      </c>
      <c r="H656" cm="1">
        <f t="array" ref="H656">Food_Orders[[#This Row],[Quantity_Orderd]]*_xlfn.XLOOKUP(Food_Orders[[#This Row],[Food_ID]],Food_Catalog[[#All],[Food_ID]],Food_Catalog[[#All],[Client_Price_Per_Unit]],0,0)</f>
        <v>71400</v>
      </c>
      <c r="I656">
        <f>Food_Orders[[#This Row],[Client_Price]]-Food_Orders[[#This Row],[Cost]]</f>
        <v>11900</v>
      </c>
    </row>
    <row r="657" spans="1:9" x14ac:dyDescent="0.25">
      <c r="A657">
        <v>28</v>
      </c>
      <c r="B657" t="s">
        <v>46</v>
      </c>
      <c r="C657" t="s">
        <v>40</v>
      </c>
      <c r="D657" t="s">
        <v>47</v>
      </c>
      <c r="E657" t="s">
        <v>10</v>
      </c>
      <c r="F657" cm="1">
        <f t="array" ref="F657">_xlfn.XLOOKUP(Food_Orders[[#This Row],[Event_No]],Event_Master[[#All],[Event_No]],Event_Master[[#All],[Guest_Count]],,0)</f>
        <v>850</v>
      </c>
      <c r="G657" cm="1">
        <f t="array" ref="G657">Food_Orders[[#This Row],[Quantity_Orderd]]*_xlfn.XLOOKUP(Food_Orders[[#This Row],[Food_ID]],Food_Catalog[[#All],[Food_ID]],Food_Catalog[[#All],[Price_Per_Unit]],0,0)</f>
        <v>76500</v>
      </c>
      <c r="H657" cm="1">
        <f t="array" ref="H657">Food_Orders[[#This Row],[Quantity_Orderd]]*_xlfn.XLOOKUP(Food_Orders[[#This Row],[Food_ID]],Food_Catalog[[#All],[Food_ID]],Food_Catalog[[#All],[Client_Price_Per_Unit]],0,0)</f>
        <v>91800</v>
      </c>
      <c r="I657">
        <f>Food_Orders[[#This Row],[Client_Price]]-Food_Orders[[#This Row],[Cost]]</f>
        <v>15300</v>
      </c>
    </row>
    <row r="658" spans="1:9" x14ac:dyDescent="0.25">
      <c r="A658">
        <v>28</v>
      </c>
      <c r="B658" t="s">
        <v>48</v>
      </c>
      <c r="C658" t="s">
        <v>40</v>
      </c>
      <c r="D658" t="s">
        <v>49</v>
      </c>
      <c r="E658" t="s">
        <v>10</v>
      </c>
      <c r="F658" cm="1">
        <f t="array" ref="F658">_xlfn.XLOOKUP(Food_Orders[[#This Row],[Event_No]],Event_Master[[#All],[Event_No]],Event_Master[[#All],[Guest_Count]],,0)</f>
        <v>850</v>
      </c>
      <c r="G658" cm="1">
        <f t="array" ref="G658">Food_Orders[[#This Row],[Quantity_Orderd]]*_xlfn.XLOOKUP(Food_Orders[[#This Row],[Food_ID]],Food_Catalog[[#All],[Food_ID]],Food_Catalog[[#All],[Price_Per_Unit]],0,0)</f>
        <v>85000</v>
      </c>
      <c r="H658" cm="1">
        <f t="array" ref="H658">Food_Orders[[#This Row],[Quantity_Orderd]]*_xlfn.XLOOKUP(Food_Orders[[#This Row],[Food_ID]],Food_Catalog[[#All],[Food_ID]],Food_Catalog[[#All],[Client_Price_Per_Unit]],0,0)</f>
        <v>102000</v>
      </c>
      <c r="I658">
        <f>Food_Orders[[#This Row],[Client_Price]]-Food_Orders[[#This Row],[Cost]]</f>
        <v>17000</v>
      </c>
    </row>
    <row r="659" spans="1:9" x14ac:dyDescent="0.25">
      <c r="A659">
        <v>28</v>
      </c>
      <c r="B659" t="s">
        <v>50</v>
      </c>
      <c r="C659" t="s">
        <v>40</v>
      </c>
      <c r="D659" t="s">
        <v>51</v>
      </c>
      <c r="E659" t="s">
        <v>10</v>
      </c>
      <c r="F659" cm="1">
        <f t="array" ref="F659">_xlfn.XLOOKUP(Food_Orders[[#This Row],[Event_No]],Event_Master[[#All],[Event_No]],Event_Master[[#All],[Guest_Count]],,0)</f>
        <v>850</v>
      </c>
      <c r="G659" cm="1">
        <f t="array" ref="G659">Food_Orders[[#This Row],[Quantity_Orderd]]*_xlfn.XLOOKUP(Food_Orders[[#This Row],[Food_ID]],Food_Catalog[[#All],[Food_ID]],Food_Catalog[[#All],[Price_Per_Unit]],0,0)</f>
        <v>68000</v>
      </c>
      <c r="H659" cm="1">
        <f t="array" ref="H659">Food_Orders[[#This Row],[Quantity_Orderd]]*_xlfn.XLOOKUP(Food_Orders[[#This Row],[Food_ID]],Food_Catalog[[#All],[Food_ID]],Food_Catalog[[#All],[Client_Price_Per_Unit]],0,0)</f>
        <v>81600</v>
      </c>
      <c r="I659">
        <f>Food_Orders[[#This Row],[Client_Price]]-Food_Orders[[#This Row],[Cost]]</f>
        <v>13600</v>
      </c>
    </row>
    <row r="660" spans="1:9" x14ac:dyDescent="0.25">
      <c r="A660">
        <v>28</v>
      </c>
      <c r="B660" t="s">
        <v>52</v>
      </c>
      <c r="C660" t="s">
        <v>40</v>
      </c>
      <c r="D660" t="s">
        <v>53</v>
      </c>
      <c r="E660" t="s">
        <v>10</v>
      </c>
      <c r="F660" cm="1">
        <f t="array" ref="F660">_xlfn.XLOOKUP(Food_Orders[[#This Row],[Event_No]],Event_Master[[#All],[Event_No]],Event_Master[[#All],[Guest_Count]],,0)</f>
        <v>850</v>
      </c>
      <c r="G660" cm="1">
        <f t="array" ref="G660">Food_Orders[[#This Row],[Quantity_Orderd]]*_xlfn.XLOOKUP(Food_Orders[[#This Row],[Food_ID]],Food_Catalog[[#All],[Food_ID]],Food_Catalog[[#All],[Price_Per_Unit]],0,0)</f>
        <v>85000</v>
      </c>
      <c r="H660" cm="1">
        <f t="array" ref="H660">Food_Orders[[#This Row],[Quantity_Orderd]]*_xlfn.XLOOKUP(Food_Orders[[#This Row],[Food_ID]],Food_Catalog[[#All],[Food_ID]],Food_Catalog[[#All],[Client_Price_Per_Unit]],0,0)</f>
        <v>102000</v>
      </c>
      <c r="I660">
        <f>Food_Orders[[#This Row],[Client_Price]]-Food_Orders[[#This Row],[Cost]]</f>
        <v>17000</v>
      </c>
    </row>
    <row r="661" spans="1:9" x14ac:dyDescent="0.25">
      <c r="A661">
        <v>28</v>
      </c>
      <c r="B661" t="s">
        <v>77</v>
      </c>
      <c r="C661" t="s">
        <v>61</v>
      </c>
      <c r="D661" t="s">
        <v>78</v>
      </c>
      <c r="E661" t="s">
        <v>79</v>
      </c>
      <c r="F661" cm="1">
        <f t="array" ref="F661">_xlfn.XLOOKUP(Food_Orders[[#This Row],[Event_No]],Event_Master[[#All],[Event_No]],Event_Master[[#All],[Guest_Count]],,0)</f>
        <v>850</v>
      </c>
      <c r="G661" cm="1">
        <f t="array" ref="G661">Food_Orders[[#This Row],[Quantity_Orderd]]*_xlfn.XLOOKUP(Food_Orders[[#This Row],[Food_ID]],Food_Catalog[[#All],[Food_ID]],Food_Catalog[[#All],[Price_Per_Unit]],0,0)</f>
        <v>29750</v>
      </c>
      <c r="H661" cm="1">
        <f t="array" ref="H661">Food_Orders[[#This Row],[Quantity_Orderd]]*_xlfn.XLOOKUP(Food_Orders[[#This Row],[Food_ID]],Food_Catalog[[#All],[Food_ID]],Food_Catalog[[#All],[Client_Price_Per_Unit]],0,0)</f>
        <v>35700</v>
      </c>
      <c r="I661">
        <f>Food_Orders[[#This Row],[Client_Price]]-Food_Orders[[#This Row],[Cost]]</f>
        <v>5950</v>
      </c>
    </row>
    <row r="662" spans="1:9" x14ac:dyDescent="0.25">
      <c r="A662">
        <v>28</v>
      </c>
      <c r="B662" t="s">
        <v>63</v>
      </c>
      <c r="C662" t="s">
        <v>61</v>
      </c>
      <c r="D662" t="s">
        <v>64</v>
      </c>
      <c r="E662" t="s">
        <v>10</v>
      </c>
      <c r="F662" cm="1">
        <f t="array" ref="F662">_xlfn.XLOOKUP(Food_Orders[[#This Row],[Event_No]],Event_Master[[#All],[Event_No]],Event_Master[[#All],[Guest_Count]],,0)</f>
        <v>850</v>
      </c>
      <c r="G662" cm="1">
        <f t="array" ref="G662">Food_Orders[[#This Row],[Quantity_Orderd]]*_xlfn.XLOOKUP(Food_Orders[[#This Row],[Food_ID]],Food_Catalog[[#All],[Food_ID]],Food_Catalog[[#All],[Price_Per_Unit]],0,0)</f>
        <v>25500</v>
      </c>
      <c r="H662" cm="1">
        <f t="array" ref="H662">Food_Orders[[#This Row],[Quantity_Orderd]]*_xlfn.XLOOKUP(Food_Orders[[#This Row],[Food_ID]],Food_Catalog[[#All],[Food_ID]],Food_Catalog[[#All],[Client_Price_Per_Unit]],0,0)</f>
        <v>30600</v>
      </c>
      <c r="I662">
        <f>Food_Orders[[#This Row],[Client_Price]]-Food_Orders[[#This Row],[Cost]]</f>
        <v>5100</v>
      </c>
    </row>
    <row r="663" spans="1:9" x14ac:dyDescent="0.25">
      <c r="A663">
        <v>28</v>
      </c>
      <c r="B663" t="s">
        <v>71</v>
      </c>
      <c r="C663" t="s">
        <v>61</v>
      </c>
      <c r="D663" t="s">
        <v>72</v>
      </c>
      <c r="E663" t="s">
        <v>10</v>
      </c>
      <c r="F663" cm="1">
        <f t="array" ref="F663">_xlfn.XLOOKUP(Food_Orders[[#This Row],[Event_No]],Event_Master[[#All],[Event_No]],Event_Master[[#All],[Guest_Count]],,0)</f>
        <v>850</v>
      </c>
      <c r="G663" cm="1">
        <f t="array" ref="G663">Food_Orders[[#This Row],[Quantity_Orderd]]*_xlfn.XLOOKUP(Food_Orders[[#This Row],[Food_ID]],Food_Catalog[[#All],[Food_ID]],Food_Catalog[[#All],[Price_Per_Unit]],0,0)</f>
        <v>21250</v>
      </c>
      <c r="H663" cm="1">
        <f t="array" ref="H663">Food_Orders[[#This Row],[Quantity_Orderd]]*_xlfn.XLOOKUP(Food_Orders[[#This Row],[Food_ID]],Food_Catalog[[#All],[Food_ID]],Food_Catalog[[#All],[Client_Price_Per_Unit]],0,0)</f>
        <v>25500</v>
      </c>
      <c r="I663">
        <f>Food_Orders[[#This Row],[Client_Price]]-Food_Orders[[#This Row],[Cost]]</f>
        <v>4250</v>
      </c>
    </row>
    <row r="664" spans="1:9" x14ac:dyDescent="0.25">
      <c r="A664">
        <v>28</v>
      </c>
      <c r="B664" t="s">
        <v>7</v>
      </c>
      <c r="C664" t="s">
        <v>8</v>
      </c>
      <c r="D664" t="s">
        <v>9</v>
      </c>
      <c r="E664" t="s">
        <v>10</v>
      </c>
      <c r="F664" cm="1">
        <f t="array" ref="F664">_xlfn.XLOOKUP(Food_Orders[[#This Row],[Event_No]],Event_Master[[#All],[Event_No]],Event_Master[[#All],[Guest_Count]],,0)</f>
        <v>850</v>
      </c>
      <c r="G664" cm="1">
        <f t="array" ref="G664">Food_Orders[[#This Row],[Quantity_Orderd]]*_xlfn.XLOOKUP(Food_Orders[[#This Row],[Food_ID]],Food_Catalog[[#All],[Food_ID]],Food_Catalog[[#All],[Price_Per_Unit]],0,0)</f>
        <v>21250</v>
      </c>
      <c r="H664" cm="1">
        <f t="array" ref="H664">Food_Orders[[#This Row],[Quantity_Orderd]]*_xlfn.XLOOKUP(Food_Orders[[#This Row],[Food_ID]],Food_Catalog[[#All],[Food_ID]],Food_Catalog[[#All],[Client_Price_Per_Unit]],0,0)</f>
        <v>25500</v>
      </c>
      <c r="I664">
        <f>Food_Orders[[#This Row],[Client_Price]]-Food_Orders[[#This Row],[Cost]]</f>
        <v>4250</v>
      </c>
    </row>
    <row r="665" spans="1:9" x14ac:dyDescent="0.25">
      <c r="A665">
        <v>28</v>
      </c>
      <c r="B665" t="s">
        <v>27</v>
      </c>
      <c r="C665" t="s">
        <v>8</v>
      </c>
      <c r="D665" t="s">
        <v>28</v>
      </c>
      <c r="E665" t="s">
        <v>10</v>
      </c>
      <c r="F665" cm="1">
        <f t="array" ref="F665">_xlfn.XLOOKUP(Food_Orders[[#This Row],[Event_No]],Event_Master[[#All],[Event_No]],Event_Master[[#All],[Guest_Count]],,0)</f>
        <v>850</v>
      </c>
      <c r="G665" cm="1">
        <f t="array" ref="G665">Food_Orders[[#This Row],[Quantity_Orderd]]*_xlfn.XLOOKUP(Food_Orders[[#This Row],[Food_ID]],Food_Catalog[[#All],[Food_ID]],Food_Catalog[[#All],[Price_Per_Unit]],0,0)</f>
        <v>34000</v>
      </c>
      <c r="H665" cm="1">
        <f t="array" ref="H665">Food_Orders[[#This Row],[Quantity_Orderd]]*_xlfn.XLOOKUP(Food_Orders[[#This Row],[Food_ID]],Food_Catalog[[#All],[Food_ID]],Food_Catalog[[#All],[Client_Price_Per_Unit]],0,0)</f>
        <v>40800</v>
      </c>
      <c r="I665">
        <f>Food_Orders[[#This Row],[Client_Price]]-Food_Orders[[#This Row],[Cost]]</f>
        <v>6800</v>
      </c>
    </row>
    <row r="666" spans="1:9" x14ac:dyDescent="0.25">
      <c r="A666">
        <v>28</v>
      </c>
      <c r="B666" t="s">
        <v>29</v>
      </c>
      <c r="C666" t="s">
        <v>8</v>
      </c>
      <c r="D666" t="s">
        <v>30</v>
      </c>
      <c r="E666" t="s">
        <v>10</v>
      </c>
      <c r="F666" cm="1">
        <f t="array" ref="F666">_xlfn.XLOOKUP(Food_Orders[[#This Row],[Event_No]],Event_Master[[#All],[Event_No]],Event_Master[[#All],[Guest_Count]],,0)</f>
        <v>850</v>
      </c>
      <c r="G666" cm="1">
        <f t="array" ref="G666">Food_Orders[[#This Row],[Quantity_Orderd]]*_xlfn.XLOOKUP(Food_Orders[[#This Row],[Food_ID]],Food_Catalog[[#All],[Food_ID]],Food_Catalog[[#All],[Price_Per_Unit]],0,0)</f>
        <v>25500</v>
      </c>
      <c r="H666" cm="1">
        <f t="array" ref="H666">Food_Orders[[#This Row],[Quantity_Orderd]]*_xlfn.XLOOKUP(Food_Orders[[#This Row],[Food_ID]],Food_Catalog[[#All],[Food_ID]],Food_Catalog[[#All],[Client_Price_Per_Unit]],0,0)</f>
        <v>30600</v>
      </c>
      <c r="I666">
        <f>Food_Orders[[#This Row],[Client_Price]]-Food_Orders[[#This Row],[Cost]]</f>
        <v>5100</v>
      </c>
    </row>
    <row r="667" spans="1:9" x14ac:dyDescent="0.25">
      <c r="A667">
        <v>28</v>
      </c>
      <c r="B667" t="s">
        <v>37</v>
      </c>
      <c r="C667" t="s">
        <v>8</v>
      </c>
      <c r="D667" t="s">
        <v>38</v>
      </c>
      <c r="E667" t="s">
        <v>10</v>
      </c>
      <c r="F667" cm="1">
        <f t="array" ref="F667">_xlfn.XLOOKUP(Food_Orders[[#This Row],[Event_No]],Event_Master[[#All],[Event_No]],Event_Master[[#All],[Guest_Count]],,0)</f>
        <v>850</v>
      </c>
      <c r="G667" cm="1">
        <f t="array" ref="G667">Food_Orders[[#This Row],[Quantity_Orderd]]*_xlfn.XLOOKUP(Food_Orders[[#This Row],[Food_ID]],Food_Catalog[[#All],[Food_ID]],Food_Catalog[[#All],[Price_Per_Unit]],0,0)</f>
        <v>21250</v>
      </c>
      <c r="H667" cm="1">
        <f t="array" ref="H667">Food_Orders[[#This Row],[Quantity_Orderd]]*_xlfn.XLOOKUP(Food_Orders[[#This Row],[Food_ID]],Food_Catalog[[#All],[Food_ID]],Food_Catalog[[#All],[Client_Price_Per_Unit]],0,0)</f>
        <v>25500</v>
      </c>
      <c r="I667">
        <f>Food_Orders[[#This Row],[Client_Price]]-Food_Orders[[#This Row],[Cost]]</f>
        <v>4250</v>
      </c>
    </row>
    <row r="668" spans="1:9" x14ac:dyDescent="0.25">
      <c r="A668">
        <v>28</v>
      </c>
      <c r="B668" t="s">
        <v>82</v>
      </c>
      <c r="C668" t="s">
        <v>83</v>
      </c>
      <c r="D668" t="s">
        <v>84</v>
      </c>
      <c r="E668" t="s">
        <v>85</v>
      </c>
      <c r="F668" cm="1">
        <f t="array" ref="F668">_xlfn.XLOOKUP(Food_Orders[[#This Row],[Event_No]],Event_Master[[#All],[Event_No]],Event_Master[[#All],[Guest_Count]],,0)</f>
        <v>850</v>
      </c>
      <c r="G668" cm="1">
        <f t="array" ref="G668">Food_Orders[[#This Row],[Quantity_Orderd]]*_xlfn.XLOOKUP(Food_Orders[[#This Row],[Food_ID]],Food_Catalog[[#All],[Food_ID]],Food_Catalog[[#All],[Price_Per_Unit]],0,0)</f>
        <v>17000</v>
      </c>
      <c r="H668" cm="1">
        <f t="array" ref="H668">Food_Orders[[#This Row],[Quantity_Orderd]]*_xlfn.XLOOKUP(Food_Orders[[#This Row],[Food_ID]],Food_Catalog[[#All],[Food_ID]],Food_Catalog[[#All],[Client_Price_Per_Unit]],0,0)</f>
        <v>20400</v>
      </c>
      <c r="I668">
        <f>Food_Orders[[#This Row],[Client_Price]]-Food_Orders[[#This Row],[Cost]]</f>
        <v>3400</v>
      </c>
    </row>
    <row r="669" spans="1:9" x14ac:dyDescent="0.25">
      <c r="A669">
        <v>28</v>
      </c>
      <c r="B669" t="s">
        <v>86</v>
      </c>
      <c r="C669" t="s">
        <v>83</v>
      </c>
      <c r="D669" t="s">
        <v>87</v>
      </c>
      <c r="E669" t="s">
        <v>85</v>
      </c>
      <c r="F669" cm="1">
        <f t="array" ref="F669">_xlfn.XLOOKUP(Food_Orders[[#This Row],[Event_No]],Event_Master[[#All],[Event_No]],Event_Master[[#All],[Guest_Count]],,0)</f>
        <v>850</v>
      </c>
      <c r="G669" cm="1">
        <f t="array" ref="G669">Food_Orders[[#This Row],[Quantity_Orderd]]*_xlfn.XLOOKUP(Food_Orders[[#This Row],[Food_ID]],Food_Catalog[[#All],[Food_ID]],Food_Catalog[[#All],[Price_Per_Unit]],0,0)</f>
        <v>17000</v>
      </c>
      <c r="H669" cm="1">
        <f t="array" ref="H669">Food_Orders[[#This Row],[Quantity_Orderd]]*_xlfn.XLOOKUP(Food_Orders[[#This Row],[Food_ID]],Food_Catalog[[#All],[Food_ID]],Food_Catalog[[#All],[Client_Price_Per_Unit]],0,0)</f>
        <v>20400</v>
      </c>
      <c r="I669">
        <f>Food_Orders[[#This Row],[Client_Price]]-Food_Orders[[#This Row],[Cost]]</f>
        <v>3400</v>
      </c>
    </row>
    <row r="670" spans="1:9" x14ac:dyDescent="0.25">
      <c r="A670">
        <v>28</v>
      </c>
      <c r="B670" t="s">
        <v>96</v>
      </c>
      <c r="C670" t="s">
        <v>83</v>
      </c>
      <c r="D670" t="s">
        <v>97</v>
      </c>
      <c r="E670" t="s">
        <v>79</v>
      </c>
      <c r="F670" cm="1">
        <f t="array" ref="F670">_xlfn.XLOOKUP(Food_Orders[[#This Row],[Event_No]],Event_Master[[#All],[Event_No]],Event_Master[[#All],[Guest_Count]],,0)</f>
        <v>850</v>
      </c>
      <c r="G670" cm="1">
        <f t="array" ref="G670">Food_Orders[[#This Row],[Quantity_Orderd]]*_xlfn.XLOOKUP(Food_Orders[[#This Row],[Food_ID]],Food_Catalog[[#All],[Food_ID]],Food_Catalog[[#All],[Price_Per_Unit]],0,0)</f>
        <v>25500</v>
      </c>
      <c r="H670" cm="1">
        <f t="array" ref="H670">Food_Orders[[#This Row],[Quantity_Orderd]]*_xlfn.XLOOKUP(Food_Orders[[#This Row],[Food_ID]],Food_Catalog[[#All],[Food_ID]],Food_Catalog[[#All],[Client_Price_Per_Unit]],0,0)</f>
        <v>30600</v>
      </c>
      <c r="I670">
        <f>Food_Orders[[#This Row],[Client_Price]]-Food_Orders[[#This Row],[Cost]]</f>
        <v>5100</v>
      </c>
    </row>
    <row r="671" spans="1:9" x14ac:dyDescent="0.25">
      <c r="A671">
        <v>28</v>
      </c>
      <c r="B671" t="s">
        <v>88</v>
      </c>
      <c r="C671" t="s">
        <v>83</v>
      </c>
      <c r="D671" t="s">
        <v>89</v>
      </c>
      <c r="E671" t="s">
        <v>85</v>
      </c>
      <c r="F671" cm="1">
        <f t="array" ref="F671">_xlfn.XLOOKUP(Food_Orders[[#This Row],[Event_No]],Event_Master[[#All],[Event_No]],Event_Master[[#All],[Guest_Count]],,0)</f>
        <v>850</v>
      </c>
      <c r="G671" cm="1">
        <f t="array" ref="G671">Food_Orders[[#This Row],[Quantity_Orderd]]*_xlfn.XLOOKUP(Food_Orders[[#This Row],[Food_ID]],Food_Catalog[[#All],[Food_ID]],Food_Catalog[[#All],[Price_Per_Unit]],0,0)</f>
        <v>12750</v>
      </c>
      <c r="H671" cm="1">
        <f t="array" ref="H671">Food_Orders[[#This Row],[Quantity_Orderd]]*_xlfn.XLOOKUP(Food_Orders[[#This Row],[Food_ID]],Food_Catalog[[#All],[Food_ID]],Food_Catalog[[#All],[Client_Price_Per_Unit]],0,0)</f>
        <v>15300</v>
      </c>
      <c r="I671">
        <f>Food_Orders[[#This Row],[Client_Price]]-Food_Orders[[#This Row],[Cost]]</f>
        <v>2550</v>
      </c>
    </row>
    <row r="672" spans="1:9" x14ac:dyDescent="0.25">
      <c r="A672">
        <v>28</v>
      </c>
      <c r="B672" t="s">
        <v>92</v>
      </c>
      <c r="C672" t="s">
        <v>83</v>
      </c>
      <c r="D672" t="s">
        <v>93</v>
      </c>
      <c r="E672" t="s">
        <v>85</v>
      </c>
      <c r="F672" cm="1">
        <f t="array" ref="F672">_xlfn.XLOOKUP(Food_Orders[[#This Row],[Event_No]],Event_Master[[#All],[Event_No]],Event_Master[[#All],[Guest_Count]],,0)</f>
        <v>850</v>
      </c>
      <c r="G672" cm="1">
        <f t="array" ref="G672">Food_Orders[[#This Row],[Quantity_Orderd]]*_xlfn.XLOOKUP(Food_Orders[[#This Row],[Food_ID]],Food_Catalog[[#All],[Food_ID]],Food_Catalog[[#All],[Price_Per_Unit]],0,0)</f>
        <v>12750</v>
      </c>
      <c r="H672" cm="1">
        <f t="array" ref="H672">Food_Orders[[#This Row],[Quantity_Orderd]]*_xlfn.XLOOKUP(Food_Orders[[#This Row],[Food_ID]],Food_Catalog[[#All],[Food_ID]],Food_Catalog[[#All],[Client_Price_Per_Unit]],0,0)</f>
        <v>15300</v>
      </c>
      <c r="I672">
        <f>Food_Orders[[#This Row],[Client_Price]]-Food_Orders[[#This Row],[Cost]]</f>
        <v>2550</v>
      </c>
    </row>
    <row r="673" spans="1:9" x14ac:dyDescent="0.25">
      <c r="A673">
        <v>28</v>
      </c>
      <c r="B673" t="s">
        <v>98</v>
      </c>
      <c r="C673" t="s">
        <v>83</v>
      </c>
      <c r="D673" t="s">
        <v>99</v>
      </c>
      <c r="E673" t="s">
        <v>85</v>
      </c>
      <c r="F673" cm="1">
        <f t="array" ref="F673">_xlfn.XLOOKUP(Food_Orders[[#This Row],[Event_No]],Event_Master[[#All],[Event_No]],Event_Master[[#All],[Guest_Count]],,0)</f>
        <v>850</v>
      </c>
      <c r="G673" cm="1">
        <f t="array" ref="G673">Food_Orders[[#This Row],[Quantity_Orderd]]*_xlfn.XLOOKUP(Food_Orders[[#This Row],[Food_ID]],Food_Catalog[[#All],[Food_ID]],Food_Catalog[[#All],[Price_Per_Unit]],0,0)</f>
        <v>12750</v>
      </c>
      <c r="H673" cm="1">
        <f t="array" ref="H673">Food_Orders[[#This Row],[Quantity_Orderd]]*_xlfn.XLOOKUP(Food_Orders[[#This Row],[Food_ID]],Food_Catalog[[#All],[Food_ID]],Food_Catalog[[#All],[Client_Price_Per_Unit]],0,0)</f>
        <v>15300</v>
      </c>
      <c r="I673">
        <f>Food_Orders[[#This Row],[Client_Price]]-Food_Orders[[#This Row],[Cost]]</f>
        <v>2550</v>
      </c>
    </row>
    <row r="674" spans="1:9" x14ac:dyDescent="0.25">
      <c r="A674">
        <v>28</v>
      </c>
      <c r="B674" t="s">
        <v>100</v>
      </c>
      <c r="C674" t="s">
        <v>83</v>
      </c>
      <c r="D674" t="s">
        <v>101</v>
      </c>
      <c r="E674" t="s">
        <v>79</v>
      </c>
      <c r="F674" cm="1">
        <f t="array" ref="F674">_xlfn.XLOOKUP(Food_Orders[[#This Row],[Event_No]],Event_Master[[#All],[Event_No]],Event_Master[[#All],[Guest_Count]],,0)</f>
        <v>850</v>
      </c>
      <c r="G674" cm="1">
        <f t="array" ref="G674">Food_Orders[[#This Row],[Quantity_Orderd]]*_xlfn.XLOOKUP(Food_Orders[[#This Row],[Food_ID]],Food_Catalog[[#All],[Food_ID]],Food_Catalog[[#All],[Price_Per_Unit]],0,0)</f>
        <v>29750</v>
      </c>
      <c r="H674" cm="1">
        <f t="array" ref="H674">Food_Orders[[#This Row],[Quantity_Orderd]]*_xlfn.XLOOKUP(Food_Orders[[#This Row],[Food_ID]],Food_Catalog[[#All],[Food_ID]],Food_Catalog[[#All],[Client_Price_Per_Unit]],0,0)</f>
        <v>35700</v>
      </c>
      <c r="I674">
        <f>Food_Orders[[#This Row],[Client_Price]]-Food_Orders[[#This Row],[Cost]]</f>
        <v>5950</v>
      </c>
    </row>
    <row r="675" spans="1:9" x14ac:dyDescent="0.25">
      <c r="A675">
        <v>28</v>
      </c>
      <c r="B675" t="s">
        <v>104</v>
      </c>
      <c r="C675" t="s">
        <v>105</v>
      </c>
      <c r="D675" t="s">
        <v>106</v>
      </c>
      <c r="E675" t="s">
        <v>107</v>
      </c>
      <c r="F675" cm="1">
        <f t="array" ref="F675">_xlfn.XLOOKUP(Food_Orders[[#This Row],[Event_No]],Event_Master[[#All],[Event_No]],Event_Master[[#All],[Guest_Count]],,0)</f>
        <v>850</v>
      </c>
      <c r="G675" cm="1">
        <f t="array" ref="G675">Food_Orders[[#This Row],[Quantity_Orderd]]*_xlfn.XLOOKUP(Food_Orders[[#This Row],[Food_ID]],Food_Catalog[[#All],[Food_ID]],Food_Catalog[[#All],[Price_Per_Unit]],0,0)</f>
        <v>8500</v>
      </c>
      <c r="H675" cm="1">
        <f t="array" ref="H675">Food_Orders[[#This Row],[Quantity_Orderd]]*_xlfn.XLOOKUP(Food_Orders[[#This Row],[Food_ID]],Food_Catalog[[#All],[Food_ID]],Food_Catalog[[#All],[Client_Price_Per_Unit]],0,0)</f>
        <v>10200</v>
      </c>
      <c r="I675">
        <f>Food_Orders[[#This Row],[Client_Price]]-Food_Orders[[#This Row],[Cost]]</f>
        <v>1700</v>
      </c>
    </row>
    <row r="676" spans="1:9" x14ac:dyDescent="0.25">
      <c r="A676">
        <v>28</v>
      </c>
      <c r="B676" t="s">
        <v>108</v>
      </c>
      <c r="C676" t="s">
        <v>105</v>
      </c>
      <c r="D676" t="s">
        <v>109</v>
      </c>
      <c r="E676" t="s">
        <v>107</v>
      </c>
      <c r="F676" cm="1">
        <f t="array" ref="F676">_xlfn.XLOOKUP(Food_Orders[[#This Row],[Event_No]],Event_Master[[#All],[Event_No]],Event_Master[[#All],[Guest_Count]],,0)</f>
        <v>850</v>
      </c>
      <c r="G676" cm="1">
        <f t="array" ref="G676">Food_Orders[[#This Row],[Quantity_Orderd]]*_xlfn.XLOOKUP(Food_Orders[[#This Row],[Food_ID]],Food_Catalog[[#All],[Food_ID]],Food_Catalog[[#All],[Price_Per_Unit]],0,0)</f>
        <v>12750</v>
      </c>
      <c r="H676" cm="1">
        <f t="array" ref="H676">Food_Orders[[#This Row],[Quantity_Orderd]]*_xlfn.XLOOKUP(Food_Orders[[#This Row],[Food_ID]],Food_Catalog[[#All],[Food_ID]],Food_Catalog[[#All],[Client_Price_Per_Unit]],0,0)</f>
        <v>15300</v>
      </c>
      <c r="I676">
        <f>Food_Orders[[#This Row],[Client_Price]]-Food_Orders[[#This Row],[Cost]]</f>
        <v>2550</v>
      </c>
    </row>
    <row r="677" spans="1:9" x14ac:dyDescent="0.25">
      <c r="A677">
        <v>28</v>
      </c>
      <c r="B677" t="s">
        <v>118</v>
      </c>
      <c r="C677" t="s">
        <v>119</v>
      </c>
      <c r="D677" t="s">
        <v>120</v>
      </c>
      <c r="E677" t="s">
        <v>112</v>
      </c>
      <c r="F677" cm="1">
        <f t="array" ref="F677">_xlfn.XLOOKUP(Food_Orders[[#This Row],[Event_No]],Event_Master[[#All],[Event_No]],Event_Master[[#All],[Guest_Count]],,0)</f>
        <v>850</v>
      </c>
      <c r="G677" cm="1">
        <f t="array" ref="G677">Food_Orders[[#This Row],[Quantity_Orderd]]*_xlfn.XLOOKUP(Food_Orders[[#This Row],[Food_ID]],Food_Catalog[[#All],[Food_ID]],Food_Catalog[[#All],[Price_Per_Unit]],0,0)</f>
        <v>8500</v>
      </c>
      <c r="H677" cm="1">
        <f t="array" ref="H677">Food_Orders[[#This Row],[Quantity_Orderd]]*_xlfn.XLOOKUP(Food_Orders[[#This Row],[Food_ID]],Food_Catalog[[#All],[Food_ID]],Food_Catalog[[#All],[Client_Price_Per_Unit]],0,0)</f>
        <v>10200</v>
      </c>
      <c r="I677">
        <f>Food_Orders[[#This Row],[Client_Price]]-Food_Orders[[#This Row],[Cost]]</f>
        <v>1700</v>
      </c>
    </row>
    <row r="678" spans="1:9" x14ac:dyDescent="0.25">
      <c r="A678">
        <v>28</v>
      </c>
      <c r="B678" t="s">
        <v>129</v>
      </c>
      <c r="C678" t="s">
        <v>119</v>
      </c>
      <c r="D678" t="s">
        <v>130</v>
      </c>
      <c r="E678" t="s">
        <v>112</v>
      </c>
      <c r="F678" cm="1">
        <f t="array" ref="F678">_xlfn.XLOOKUP(Food_Orders[[#This Row],[Event_No]],Event_Master[[#All],[Event_No]],Event_Master[[#All],[Guest_Count]],,0)</f>
        <v>850</v>
      </c>
      <c r="G678" cm="1">
        <f t="array" ref="G678">Food_Orders[[#This Row],[Quantity_Orderd]]*_xlfn.XLOOKUP(Food_Orders[[#This Row],[Food_ID]],Food_Catalog[[#All],[Food_ID]],Food_Catalog[[#All],[Price_Per_Unit]],0,0)</f>
        <v>8500</v>
      </c>
      <c r="H678" cm="1">
        <f t="array" ref="H678">Food_Orders[[#This Row],[Quantity_Orderd]]*_xlfn.XLOOKUP(Food_Orders[[#This Row],[Food_ID]],Food_Catalog[[#All],[Food_ID]],Food_Catalog[[#All],[Client_Price_Per_Unit]],0,0)</f>
        <v>10200</v>
      </c>
      <c r="I678">
        <f>Food_Orders[[#This Row],[Client_Price]]-Food_Orders[[#This Row],[Cost]]</f>
        <v>1700</v>
      </c>
    </row>
    <row r="679" spans="1:9" x14ac:dyDescent="0.25">
      <c r="A679">
        <v>28</v>
      </c>
      <c r="B679" t="s">
        <v>127</v>
      </c>
      <c r="C679" t="s">
        <v>119</v>
      </c>
      <c r="D679" t="s">
        <v>128</v>
      </c>
      <c r="E679" t="s">
        <v>107</v>
      </c>
      <c r="F679" cm="1">
        <f t="array" ref="F679">_xlfn.XLOOKUP(Food_Orders[[#This Row],[Event_No]],Event_Master[[#All],[Event_No]],Event_Master[[#All],[Guest_Count]],,0)</f>
        <v>850</v>
      </c>
      <c r="G679" cm="1">
        <f t="array" ref="G679">Food_Orders[[#This Row],[Quantity_Orderd]]*_xlfn.XLOOKUP(Food_Orders[[#This Row],[Food_ID]],Food_Catalog[[#All],[Food_ID]],Food_Catalog[[#All],[Price_Per_Unit]],0,0)</f>
        <v>17000</v>
      </c>
      <c r="H679" cm="1">
        <f t="array" ref="H679">Food_Orders[[#This Row],[Quantity_Orderd]]*_xlfn.XLOOKUP(Food_Orders[[#This Row],[Food_ID]],Food_Catalog[[#All],[Food_ID]],Food_Catalog[[#All],[Client_Price_Per_Unit]],0,0)</f>
        <v>20400</v>
      </c>
      <c r="I679">
        <f>Food_Orders[[#This Row],[Client_Price]]-Food_Orders[[#This Row],[Cost]]</f>
        <v>3400</v>
      </c>
    </row>
    <row r="680" spans="1:9" x14ac:dyDescent="0.25">
      <c r="A680">
        <v>28</v>
      </c>
      <c r="B680" t="s">
        <v>124</v>
      </c>
      <c r="C680" t="s">
        <v>119</v>
      </c>
      <c r="D680" t="s">
        <v>125</v>
      </c>
      <c r="E680" t="s">
        <v>126</v>
      </c>
      <c r="F680" cm="1">
        <f t="array" ref="F680">_xlfn.XLOOKUP(Food_Orders[[#This Row],[Event_No]],Event_Master[[#All],[Event_No]],Event_Master[[#All],[Guest_Count]],,0)</f>
        <v>850</v>
      </c>
      <c r="G680" cm="1">
        <f t="array" ref="G680">Food_Orders[[#This Row],[Quantity_Orderd]]*_xlfn.XLOOKUP(Food_Orders[[#This Row],[Food_ID]],Food_Catalog[[#All],[Food_ID]],Food_Catalog[[#All],[Price_Per_Unit]],0,0)</f>
        <v>17000</v>
      </c>
      <c r="H680" cm="1">
        <f t="array" ref="H680">Food_Orders[[#This Row],[Quantity_Orderd]]*_xlfn.XLOOKUP(Food_Orders[[#This Row],[Food_ID]],Food_Catalog[[#All],[Food_ID]],Food_Catalog[[#All],[Client_Price_Per_Unit]],0,0)</f>
        <v>20400</v>
      </c>
      <c r="I680">
        <f>Food_Orders[[#This Row],[Client_Price]]-Food_Orders[[#This Row],[Cost]]</f>
        <v>3400</v>
      </c>
    </row>
    <row r="681" spans="1:9" x14ac:dyDescent="0.25">
      <c r="A681">
        <v>29</v>
      </c>
      <c r="B681" t="s">
        <v>63</v>
      </c>
      <c r="C681" t="s">
        <v>61</v>
      </c>
      <c r="D681" t="s">
        <v>64</v>
      </c>
      <c r="E681" t="s">
        <v>10</v>
      </c>
      <c r="F681" cm="1">
        <f t="array" ref="F681">_xlfn.XLOOKUP(Food_Orders[[#This Row],[Event_No]],Event_Master[[#All],[Event_No]],Event_Master[[#All],[Guest_Count]],,0)</f>
        <v>500</v>
      </c>
      <c r="G681" cm="1">
        <f t="array" ref="G681">Food_Orders[[#This Row],[Quantity_Orderd]]*_xlfn.XLOOKUP(Food_Orders[[#This Row],[Food_ID]],Food_Catalog[[#All],[Food_ID]],Food_Catalog[[#All],[Price_Per_Unit]],0,0)</f>
        <v>15000</v>
      </c>
      <c r="H681" cm="1">
        <f t="array" ref="H681">Food_Orders[[#This Row],[Quantity_Orderd]]*_xlfn.XLOOKUP(Food_Orders[[#This Row],[Food_ID]],Food_Catalog[[#All],[Food_ID]],Food_Catalog[[#All],[Client_Price_Per_Unit]],0,0)</f>
        <v>18000</v>
      </c>
      <c r="I681">
        <f>Food_Orders[[#This Row],[Client_Price]]-Food_Orders[[#This Row],[Cost]]</f>
        <v>3000</v>
      </c>
    </row>
    <row r="682" spans="1:9" x14ac:dyDescent="0.25">
      <c r="A682">
        <v>29</v>
      </c>
      <c r="B682" t="s">
        <v>71</v>
      </c>
      <c r="C682" t="s">
        <v>61</v>
      </c>
      <c r="D682" t="s">
        <v>72</v>
      </c>
      <c r="E682" t="s">
        <v>10</v>
      </c>
      <c r="F682" cm="1">
        <f t="array" ref="F682">_xlfn.XLOOKUP(Food_Orders[[#This Row],[Event_No]],Event_Master[[#All],[Event_No]],Event_Master[[#All],[Guest_Count]],,0)</f>
        <v>500</v>
      </c>
      <c r="G682" cm="1">
        <f t="array" ref="G682">Food_Orders[[#This Row],[Quantity_Orderd]]*_xlfn.XLOOKUP(Food_Orders[[#This Row],[Food_ID]],Food_Catalog[[#All],[Food_ID]],Food_Catalog[[#All],[Price_Per_Unit]],0,0)</f>
        <v>12500</v>
      </c>
      <c r="H682" cm="1">
        <f t="array" ref="H682">Food_Orders[[#This Row],[Quantity_Orderd]]*_xlfn.XLOOKUP(Food_Orders[[#This Row],[Food_ID]],Food_Catalog[[#All],[Food_ID]],Food_Catalog[[#All],[Client_Price_Per_Unit]],0,0)</f>
        <v>15000</v>
      </c>
      <c r="I682">
        <f>Food_Orders[[#This Row],[Client_Price]]-Food_Orders[[#This Row],[Cost]]</f>
        <v>2500</v>
      </c>
    </row>
    <row r="683" spans="1:9" x14ac:dyDescent="0.25">
      <c r="A683">
        <v>29</v>
      </c>
      <c r="B683" t="s">
        <v>60</v>
      </c>
      <c r="C683" t="s">
        <v>61</v>
      </c>
      <c r="D683" t="s">
        <v>62</v>
      </c>
      <c r="E683" t="s">
        <v>10</v>
      </c>
      <c r="F683" cm="1">
        <f t="array" ref="F683">_xlfn.XLOOKUP(Food_Orders[[#This Row],[Event_No]],Event_Master[[#All],[Event_No]],Event_Master[[#All],[Guest_Count]],,0)</f>
        <v>500</v>
      </c>
      <c r="G683" cm="1">
        <f t="array" ref="G683">Food_Orders[[#This Row],[Quantity_Orderd]]*_xlfn.XLOOKUP(Food_Orders[[#This Row],[Food_ID]],Food_Catalog[[#All],[Food_ID]],Food_Catalog[[#All],[Price_Per_Unit]],0,0)</f>
        <v>10000</v>
      </c>
      <c r="H683" cm="1">
        <f t="array" ref="H683">Food_Orders[[#This Row],[Quantity_Orderd]]*_xlfn.XLOOKUP(Food_Orders[[#This Row],[Food_ID]],Food_Catalog[[#All],[Food_ID]],Food_Catalog[[#All],[Client_Price_Per_Unit]],0,0)</f>
        <v>12000</v>
      </c>
      <c r="I683">
        <f>Food_Orders[[#This Row],[Client_Price]]-Food_Orders[[#This Row],[Cost]]</f>
        <v>2000</v>
      </c>
    </row>
    <row r="684" spans="1:9" x14ac:dyDescent="0.25">
      <c r="A684">
        <v>29</v>
      </c>
      <c r="B684" t="s">
        <v>80</v>
      </c>
      <c r="C684" t="s">
        <v>61</v>
      </c>
      <c r="D684" t="s">
        <v>81</v>
      </c>
      <c r="E684" t="s">
        <v>10</v>
      </c>
      <c r="F684" cm="1">
        <f t="array" ref="F684">_xlfn.XLOOKUP(Food_Orders[[#This Row],[Event_No]],Event_Master[[#All],[Event_No]],Event_Master[[#All],[Guest_Count]],,0)</f>
        <v>500</v>
      </c>
      <c r="G684" cm="1">
        <f t="array" ref="G684">Food_Orders[[#This Row],[Quantity_Orderd]]*_xlfn.XLOOKUP(Food_Orders[[#This Row],[Food_ID]],Food_Catalog[[#All],[Food_ID]],Food_Catalog[[#All],[Price_Per_Unit]],0,0)</f>
        <v>15000</v>
      </c>
      <c r="H684" cm="1">
        <f t="array" ref="H684">Food_Orders[[#This Row],[Quantity_Orderd]]*_xlfn.XLOOKUP(Food_Orders[[#This Row],[Food_ID]],Food_Catalog[[#All],[Food_ID]],Food_Catalog[[#All],[Client_Price_Per_Unit]],0,0)</f>
        <v>18000</v>
      </c>
      <c r="I684">
        <f>Food_Orders[[#This Row],[Client_Price]]-Food_Orders[[#This Row],[Cost]]</f>
        <v>3000</v>
      </c>
    </row>
    <row r="685" spans="1:9" x14ac:dyDescent="0.25">
      <c r="A685">
        <v>29</v>
      </c>
      <c r="B685" t="s">
        <v>73</v>
      </c>
      <c r="C685" t="s">
        <v>61</v>
      </c>
      <c r="D685" t="s">
        <v>74</v>
      </c>
      <c r="E685" t="s">
        <v>10</v>
      </c>
      <c r="F685" cm="1">
        <f t="array" ref="F685">_xlfn.XLOOKUP(Food_Orders[[#This Row],[Event_No]],Event_Master[[#All],[Event_No]],Event_Master[[#All],[Guest_Count]],,0)</f>
        <v>500</v>
      </c>
      <c r="G685" cm="1">
        <f t="array" ref="G685">Food_Orders[[#This Row],[Quantity_Orderd]]*_xlfn.XLOOKUP(Food_Orders[[#This Row],[Food_ID]],Food_Catalog[[#All],[Food_ID]],Food_Catalog[[#All],[Price_Per_Unit]],0,0)</f>
        <v>20000</v>
      </c>
      <c r="H685" cm="1">
        <f t="array" ref="H685">Food_Orders[[#This Row],[Quantity_Orderd]]*_xlfn.XLOOKUP(Food_Orders[[#This Row],[Food_ID]],Food_Catalog[[#All],[Food_ID]],Food_Catalog[[#All],[Client_Price_Per_Unit]],0,0)</f>
        <v>24000</v>
      </c>
      <c r="I685">
        <f>Food_Orders[[#This Row],[Client_Price]]-Food_Orders[[#This Row],[Cost]]</f>
        <v>4000</v>
      </c>
    </row>
    <row r="686" spans="1:9" x14ac:dyDescent="0.25">
      <c r="A686">
        <v>29</v>
      </c>
      <c r="B686" t="s">
        <v>75</v>
      </c>
      <c r="C686" t="s">
        <v>61</v>
      </c>
      <c r="D686" t="s">
        <v>76</v>
      </c>
      <c r="E686" t="s">
        <v>10</v>
      </c>
      <c r="F686" cm="1">
        <f t="array" ref="F686">_xlfn.XLOOKUP(Food_Orders[[#This Row],[Event_No]],Event_Master[[#All],[Event_No]],Event_Master[[#All],[Guest_Count]],,0)</f>
        <v>500</v>
      </c>
      <c r="G686" cm="1">
        <f t="array" ref="G686">Food_Orders[[#This Row],[Quantity_Orderd]]*_xlfn.XLOOKUP(Food_Orders[[#This Row],[Food_ID]],Food_Catalog[[#All],[Food_ID]],Food_Catalog[[#All],[Price_Per_Unit]],0,0)</f>
        <v>20000</v>
      </c>
      <c r="H686" cm="1">
        <f t="array" ref="H686">Food_Orders[[#This Row],[Quantity_Orderd]]*_xlfn.XLOOKUP(Food_Orders[[#This Row],[Food_ID]],Food_Catalog[[#All],[Food_ID]],Food_Catalog[[#All],[Client_Price_Per_Unit]],0,0)</f>
        <v>24000</v>
      </c>
      <c r="I686">
        <f>Food_Orders[[#This Row],[Client_Price]]-Food_Orders[[#This Row],[Cost]]</f>
        <v>4000</v>
      </c>
    </row>
    <row r="687" spans="1:9" x14ac:dyDescent="0.25">
      <c r="A687">
        <v>29</v>
      </c>
      <c r="B687" t="s">
        <v>69</v>
      </c>
      <c r="C687" t="s">
        <v>61</v>
      </c>
      <c r="D687" t="s">
        <v>70</v>
      </c>
      <c r="E687" t="s">
        <v>10</v>
      </c>
      <c r="F687" cm="1">
        <f t="array" ref="F687">_xlfn.XLOOKUP(Food_Orders[[#This Row],[Event_No]],Event_Master[[#All],[Event_No]],Event_Master[[#All],[Guest_Count]],,0)</f>
        <v>500</v>
      </c>
      <c r="G687" cm="1">
        <f t="array" ref="G687">Food_Orders[[#This Row],[Quantity_Orderd]]*_xlfn.XLOOKUP(Food_Orders[[#This Row],[Food_ID]],Food_Catalog[[#All],[Food_ID]],Food_Catalog[[#All],[Price_Per_Unit]],0,0)</f>
        <v>25000</v>
      </c>
      <c r="H687" cm="1">
        <f t="array" ref="H687">Food_Orders[[#This Row],[Quantity_Orderd]]*_xlfn.XLOOKUP(Food_Orders[[#This Row],[Food_ID]],Food_Catalog[[#All],[Food_ID]],Food_Catalog[[#All],[Client_Price_Per_Unit]],0,0)</f>
        <v>30000</v>
      </c>
      <c r="I687">
        <f>Food_Orders[[#This Row],[Client_Price]]-Food_Orders[[#This Row],[Cost]]</f>
        <v>5000</v>
      </c>
    </row>
    <row r="688" spans="1:9" x14ac:dyDescent="0.25">
      <c r="A688">
        <v>29</v>
      </c>
      <c r="B688" t="s">
        <v>77</v>
      </c>
      <c r="C688" t="s">
        <v>61</v>
      </c>
      <c r="D688" t="s">
        <v>78</v>
      </c>
      <c r="E688" t="s">
        <v>79</v>
      </c>
      <c r="F688" cm="1">
        <f t="array" ref="F688">_xlfn.XLOOKUP(Food_Orders[[#This Row],[Event_No]],Event_Master[[#All],[Event_No]],Event_Master[[#All],[Guest_Count]],,0)</f>
        <v>500</v>
      </c>
      <c r="G688" cm="1">
        <f t="array" ref="G688">Food_Orders[[#This Row],[Quantity_Orderd]]*_xlfn.XLOOKUP(Food_Orders[[#This Row],[Food_ID]],Food_Catalog[[#All],[Food_ID]],Food_Catalog[[#All],[Price_Per_Unit]],0,0)</f>
        <v>17500</v>
      </c>
      <c r="H688" cm="1">
        <f t="array" ref="H688">Food_Orders[[#This Row],[Quantity_Orderd]]*_xlfn.XLOOKUP(Food_Orders[[#This Row],[Food_ID]],Food_Catalog[[#All],[Food_ID]],Food_Catalog[[#All],[Client_Price_Per_Unit]],0,0)</f>
        <v>21000</v>
      </c>
      <c r="I688">
        <f>Food_Orders[[#This Row],[Client_Price]]-Food_Orders[[#This Row],[Cost]]</f>
        <v>3500</v>
      </c>
    </row>
    <row r="689" spans="1:9" x14ac:dyDescent="0.25">
      <c r="A689">
        <v>29</v>
      </c>
      <c r="B689" t="s">
        <v>7</v>
      </c>
      <c r="C689" t="s">
        <v>8</v>
      </c>
      <c r="D689" t="s">
        <v>9</v>
      </c>
      <c r="E689" t="s">
        <v>10</v>
      </c>
      <c r="F689" cm="1">
        <f t="array" ref="F689">_xlfn.XLOOKUP(Food_Orders[[#This Row],[Event_No]],Event_Master[[#All],[Event_No]],Event_Master[[#All],[Guest_Count]],,0)</f>
        <v>500</v>
      </c>
      <c r="G689" cm="1">
        <f t="array" ref="G689">Food_Orders[[#This Row],[Quantity_Orderd]]*_xlfn.XLOOKUP(Food_Orders[[#This Row],[Food_ID]],Food_Catalog[[#All],[Food_ID]],Food_Catalog[[#All],[Price_Per_Unit]],0,0)</f>
        <v>12500</v>
      </c>
      <c r="H689" cm="1">
        <f t="array" ref="H689">Food_Orders[[#This Row],[Quantity_Orderd]]*_xlfn.XLOOKUP(Food_Orders[[#This Row],[Food_ID]],Food_Catalog[[#All],[Food_ID]],Food_Catalog[[#All],[Client_Price_Per_Unit]],0,0)</f>
        <v>15000</v>
      </c>
      <c r="I689">
        <f>Food_Orders[[#This Row],[Client_Price]]-Food_Orders[[#This Row],[Cost]]</f>
        <v>2500</v>
      </c>
    </row>
    <row r="690" spans="1:9" x14ac:dyDescent="0.25">
      <c r="A690">
        <v>29</v>
      </c>
      <c r="B690" t="s">
        <v>13</v>
      </c>
      <c r="C690" t="s">
        <v>8</v>
      </c>
      <c r="D690" t="s">
        <v>14</v>
      </c>
      <c r="E690" t="s">
        <v>10</v>
      </c>
      <c r="F690" cm="1">
        <f t="array" ref="F690">_xlfn.XLOOKUP(Food_Orders[[#This Row],[Event_No]],Event_Master[[#All],[Event_No]],Event_Master[[#All],[Guest_Count]],,0)</f>
        <v>500</v>
      </c>
      <c r="G690" cm="1">
        <f t="array" ref="G690">Food_Orders[[#This Row],[Quantity_Orderd]]*_xlfn.XLOOKUP(Food_Orders[[#This Row],[Food_ID]],Food_Catalog[[#All],[Food_ID]],Food_Catalog[[#All],[Price_Per_Unit]],0,0)</f>
        <v>17500</v>
      </c>
      <c r="H690" cm="1">
        <f t="array" ref="H690">Food_Orders[[#This Row],[Quantity_Orderd]]*_xlfn.XLOOKUP(Food_Orders[[#This Row],[Food_ID]],Food_Catalog[[#All],[Food_ID]],Food_Catalog[[#All],[Client_Price_Per_Unit]],0,0)</f>
        <v>21000</v>
      </c>
      <c r="I690">
        <f>Food_Orders[[#This Row],[Client_Price]]-Food_Orders[[#This Row],[Cost]]</f>
        <v>3500</v>
      </c>
    </row>
    <row r="691" spans="1:9" x14ac:dyDescent="0.25">
      <c r="A691">
        <v>29</v>
      </c>
      <c r="B691" t="s">
        <v>35</v>
      </c>
      <c r="C691" t="s">
        <v>8</v>
      </c>
      <c r="D691" t="s">
        <v>36</v>
      </c>
      <c r="E691" t="s">
        <v>10</v>
      </c>
      <c r="F691" cm="1">
        <f t="array" ref="F691">_xlfn.XLOOKUP(Food_Orders[[#This Row],[Event_No]],Event_Master[[#All],[Event_No]],Event_Master[[#All],[Guest_Count]],,0)</f>
        <v>500</v>
      </c>
      <c r="G691" cm="1">
        <f t="array" ref="G691">Food_Orders[[#This Row],[Quantity_Orderd]]*_xlfn.XLOOKUP(Food_Orders[[#This Row],[Food_ID]],Food_Catalog[[#All],[Food_ID]],Food_Catalog[[#All],[Price_Per_Unit]],0,0)</f>
        <v>15000</v>
      </c>
      <c r="H691" cm="1">
        <f t="array" ref="H691">Food_Orders[[#This Row],[Quantity_Orderd]]*_xlfn.XLOOKUP(Food_Orders[[#This Row],[Food_ID]],Food_Catalog[[#All],[Food_ID]],Food_Catalog[[#All],[Client_Price_Per_Unit]],0,0)</f>
        <v>18000</v>
      </c>
      <c r="I691">
        <f>Food_Orders[[#This Row],[Client_Price]]-Food_Orders[[#This Row],[Cost]]</f>
        <v>3000</v>
      </c>
    </row>
    <row r="692" spans="1:9" x14ac:dyDescent="0.25">
      <c r="A692">
        <v>29</v>
      </c>
      <c r="B692" t="s">
        <v>27</v>
      </c>
      <c r="C692" t="s">
        <v>8</v>
      </c>
      <c r="D692" t="s">
        <v>28</v>
      </c>
      <c r="E692" t="s">
        <v>10</v>
      </c>
      <c r="F692" cm="1">
        <f t="array" ref="F692">_xlfn.XLOOKUP(Food_Orders[[#This Row],[Event_No]],Event_Master[[#All],[Event_No]],Event_Master[[#All],[Guest_Count]],,0)</f>
        <v>500</v>
      </c>
      <c r="G692" cm="1">
        <f t="array" ref="G692">Food_Orders[[#This Row],[Quantity_Orderd]]*_xlfn.XLOOKUP(Food_Orders[[#This Row],[Food_ID]],Food_Catalog[[#All],[Food_ID]],Food_Catalog[[#All],[Price_Per_Unit]],0,0)</f>
        <v>20000</v>
      </c>
      <c r="H692" cm="1">
        <f t="array" ref="H692">Food_Orders[[#This Row],[Quantity_Orderd]]*_xlfn.XLOOKUP(Food_Orders[[#This Row],[Food_ID]],Food_Catalog[[#All],[Food_ID]],Food_Catalog[[#All],[Client_Price_Per_Unit]],0,0)</f>
        <v>24000</v>
      </c>
      <c r="I692">
        <f>Food_Orders[[#This Row],[Client_Price]]-Food_Orders[[#This Row],[Cost]]</f>
        <v>4000</v>
      </c>
    </row>
    <row r="693" spans="1:9" x14ac:dyDescent="0.25">
      <c r="A693">
        <v>29</v>
      </c>
      <c r="B693" t="s">
        <v>31</v>
      </c>
      <c r="C693" t="s">
        <v>8</v>
      </c>
      <c r="D693" t="s">
        <v>32</v>
      </c>
      <c r="E693" t="s">
        <v>10</v>
      </c>
      <c r="F693" cm="1">
        <f t="array" ref="F693">_xlfn.XLOOKUP(Food_Orders[[#This Row],[Event_No]],Event_Master[[#All],[Event_No]],Event_Master[[#All],[Guest_Count]],,0)</f>
        <v>500</v>
      </c>
      <c r="G693" cm="1">
        <f t="array" ref="G693">Food_Orders[[#This Row],[Quantity_Orderd]]*_xlfn.XLOOKUP(Food_Orders[[#This Row],[Food_ID]],Food_Catalog[[#All],[Food_ID]],Food_Catalog[[#All],[Price_Per_Unit]],0,0)</f>
        <v>15000</v>
      </c>
      <c r="H693" cm="1">
        <f t="array" ref="H693">Food_Orders[[#This Row],[Quantity_Orderd]]*_xlfn.XLOOKUP(Food_Orders[[#This Row],[Food_ID]],Food_Catalog[[#All],[Food_ID]],Food_Catalog[[#All],[Client_Price_Per_Unit]],0,0)</f>
        <v>18000</v>
      </c>
      <c r="I693">
        <f>Food_Orders[[#This Row],[Client_Price]]-Food_Orders[[#This Row],[Cost]]</f>
        <v>3000</v>
      </c>
    </row>
    <row r="694" spans="1:9" x14ac:dyDescent="0.25">
      <c r="A694">
        <v>29</v>
      </c>
      <c r="B694" t="s">
        <v>33</v>
      </c>
      <c r="C694" t="s">
        <v>8</v>
      </c>
      <c r="D694" t="s">
        <v>34</v>
      </c>
      <c r="E694" t="s">
        <v>10</v>
      </c>
      <c r="F694" cm="1">
        <f t="array" ref="F694">_xlfn.XLOOKUP(Food_Orders[[#This Row],[Event_No]],Event_Master[[#All],[Event_No]],Event_Master[[#All],[Guest_Count]],,0)</f>
        <v>500</v>
      </c>
      <c r="G694" cm="1">
        <f t="array" ref="G694">Food_Orders[[#This Row],[Quantity_Orderd]]*_xlfn.XLOOKUP(Food_Orders[[#This Row],[Food_ID]],Food_Catalog[[#All],[Food_ID]],Food_Catalog[[#All],[Price_Per_Unit]],0,0)</f>
        <v>15000</v>
      </c>
      <c r="H694" cm="1">
        <f t="array" ref="H694">Food_Orders[[#This Row],[Quantity_Orderd]]*_xlfn.XLOOKUP(Food_Orders[[#This Row],[Food_ID]],Food_Catalog[[#All],[Food_ID]],Food_Catalog[[#All],[Client_Price_Per_Unit]],0,0)</f>
        <v>18000</v>
      </c>
      <c r="I694">
        <f>Food_Orders[[#This Row],[Client_Price]]-Food_Orders[[#This Row],[Cost]]</f>
        <v>3000</v>
      </c>
    </row>
    <row r="695" spans="1:9" x14ac:dyDescent="0.25">
      <c r="A695">
        <v>29</v>
      </c>
      <c r="B695" t="s">
        <v>17</v>
      </c>
      <c r="C695" t="s">
        <v>8</v>
      </c>
      <c r="D695" t="s">
        <v>18</v>
      </c>
      <c r="E695" t="s">
        <v>10</v>
      </c>
      <c r="F695" cm="1">
        <f t="array" ref="F695">_xlfn.XLOOKUP(Food_Orders[[#This Row],[Event_No]],Event_Master[[#All],[Event_No]],Event_Master[[#All],[Guest_Count]],,0)</f>
        <v>500</v>
      </c>
      <c r="G695" cm="1">
        <f t="array" ref="G695">Food_Orders[[#This Row],[Quantity_Orderd]]*_xlfn.XLOOKUP(Food_Orders[[#This Row],[Food_ID]],Food_Catalog[[#All],[Food_ID]],Food_Catalog[[#All],[Price_Per_Unit]],0,0)</f>
        <v>20000</v>
      </c>
      <c r="H695" cm="1">
        <f t="array" ref="H695">Food_Orders[[#This Row],[Quantity_Orderd]]*_xlfn.XLOOKUP(Food_Orders[[#This Row],[Food_ID]],Food_Catalog[[#All],[Food_ID]],Food_Catalog[[#All],[Client_Price_Per_Unit]],0,0)</f>
        <v>24000</v>
      </c>
      <c r="I695">
        <f>Food_Orders[[#This Row],[Client_Price]]-Food_Orders[[#This Row],[Cost]]</f>
        <v>4000</v>
      </c>
    </row>
    <row r="696" spans="1:9" x14ac:dyDescent="0.25">
      <c r="A696">
        <v>29</v>
      </c>
      <c r="B696" t="s">
        <v>29</v>
      </c>
      <c r="C696" t="s">
        <v>8</v>
      </c>
      <c r="D696" t="s">
        <v>30</v>
      </c>
      <c r="E696" t="s">
        <v>10</v>
      </c>
      <c r="F696" cm="1">
        <f t="array" ref="F696">_xlfn.XLOOKUP(Food_Orders[[#This Row],[Event_No]],Event_Master[[#All],[Event_No]],Event_Master[[#All],[Guest_Count]],,0)</f>
        <v>500</v>
      </c>
      <c r="G696" cm="1">
        <f t="array" ref="G696">Food_Orders[[#This Row],[Quantity_Orderd]]*_xlfn.XLOOKUP(Food_Orders[[#This Row],[Food_ID]],Food_Catalog[[#All],[Food_ID]],Food_Catalog[[#All],[Price_Per_Unit]],0,0)</f>
        <v>15000</v>
      </c>
      <c r="H696" cm="1">
        <f t="array" ref="H696">Food_Orders[[#This Row],[Quantity_Orderd]]*_xlfn.XLOOKUP(Food_Orders[[#This Row],[Food_ID]],Food_Catalog[[#All],[Food_ID]],Food_Catalog[[#All],[Client_Price_Per_Unit]],0,0)</f>
        <v>18000</v>
      </c>
      <c r="I696">
        <f>Food_Orders[[#This Row],[Client_Price]]-Food_Orders[[#This Row],[Cost]]</f>
        <v>3000</v>
      </c>
    </row>
    <row r="697" spans="1:9" x14ac:dyDescent="0.25">
      <c r="A697">
        <v>29</v>
      </c>
      <c r="B697" t="s">
        <v>37</v>
      </c>
      <c r="C697" t="s">
        <v>8</v>
      </c>
      <c r="D697" t="s">
        <v>38</v>
      </c>
      <c r="E697" t="s">
        <v>10</v>
      </c>
      <c r="F697" cm="1">
        <f t="array" ref="F697">_xlfn.XLOOKUP(Food_Orders[[#This Row],[Event_No]],Event_Master[[#All],[Event_No]],Event_Master[[#All],[Guest_Count]],,0)</f>
        <v>500</v>
      </c>
      <c r="G697" cm="1">
        <f t="array" ref="G697">Food_Orders[[#This Row],[Quantity_Orderd]]*_xlfn.XLOOKUP(Food_Orders[[#This Row],[Food_ID]],Food_Catalog[[#All],[Food_ID]],Food_Catalog[[#All],[Price_Per_Unit]],0,0)</f>
        <v>12500</v>
      </c>
      <c r="H697" cm="1">
        <f t="array" ref="H697">Food_Orders[[#This Row],[Quantity_Orderd]]*_xlfn.XLOOKUP(Food_Orders[[#This Row],[Food_ID]],Food_Catalog[[#All],[Food_ID]],Food_Catalog[[#All],[Client_Price_Per_Unit]],0,0)</f>
        <v>15000</v>
      </c>
      <c r="I697">
        <f>Food_Orders[[#This Row],[Client_Price]]-Food_Orders[[#This Row],[Cost]]</f>
        <v>2500</v>
      </c>
    </row>
    <row r="698" spans="1:9" x14ac:dyDescent="0.25">
      <c r="A698">
        <v>29</v>
      </c>
      <c r="B698" t="s">
        <v>82</v>
      </c>
      <c r="C698" t="s">
        <v>83</v>
      </c>
      <c r="D698" t="s">
        <v>84</v>
      </c>
      <c r="E698" t="s">
        <v>85</v>
      </c>
      <c r="F698" cm="1">
        <f t="array" ref="F698">_xlfn.XLOOKUP(Food_Orders[[#This Row],[Event_No]],Event_Master[[#All],[Event_No]],Event_Master[[#All],[Guest_Count]],,0)</f>
        <v>500</v>
      </c>
      <c r="G698" cm="1">
        <f t="array" ref="G698">Food_Orders[[#This Row],[Quantity_Orderd]]*_xlfn.XLOOKUP(Food_Orders[[#This Row],[Food_ID]],Food_Catalog[[#All],[Food_ID]],Food_Catalog[[#All],[Price_Per_Unit]],0,0)</f>
        <v>10000</v>
      </c>
      <c r="H698" cm="1">
        <f t="array" ref="H698">Food_Orders[[#This Row],[Quantity_Orderd]]*_xlfn.XLOOKUP(Food_Orders[[#This Row],[Food_ID]],Food_Catalog[[#All],[Food_ID]],Food_Catalog[[#All],[Client_Price_Per_Unit]],0,0)</f>
        <v>12000</v>
      </c>
      <c r="I698">
        <f>Food_Orders[[#This Row],[Client_Price]]-Food_Orders[[#This Row],[Cost]]</f>
        <v>2000</v>
      </c>
    </row>
    <row r="699" spans="1:9" x14ac:dyDescent="0.25">
      <c r="A699">
        <v>29</v>
      </c>
      <c r="B699" t="s">
        <v>86</v>
      </c>
      <c r="C699" t="s">
        <v>83</v>
      </c>
      <c r="D699" t="s">
        <v>87</v>
      </c>
      <c r="E699" t="s">
        <v>85</v>
      </c>
      <c r="F699" cm="1">
        <f t="array" ref="F699">_xlfn.XLOOKUP(Food_Orders[[#This Row],[Event_No]],Event_Master[[#All],[Event_No]],Event_Master[[#All],[Guest_Count]],,0)</f>
        <v>500</v>
      </c>
      <c r="G699" cm="1">
        <f t="array" ref="G699">Food_Orders[[#This Row],[Quantity_Orderd]]*_xlfn.XLOOKUP(Food_Orders[[#This Row],[Food_ID]],Food_Catalog[[#All],[Food_ID]],Food_Catalog[[#All],[Price_Per_Unit]],0,0)</f>
        <v>10000</v>
      </c>
      <c r="H699" cm="1">
        <f t="array" ref="H699">Food_Orders[[#This Row],[Quantity_Orderd]]*_xlfn.XLOOKUP(Food_Orders[[#This Row],[Food_ID]],Food_Catalog[[#All],[Food_ID]],Food_Catalog[[#All],[Client_Price_Per_Unit]],0,0)</f>
        <v>12000</v>
      </c>
      <c r="I699">
        <f>Food_Orders[[#This Row],[Client_Price]]-Food_Orders[[#This Row],[Cost]]</f>
        <v>2000</v>
      </c>
    </row>
    <row r="700" spans="1:9" x14ac:dyDescent="0.25">
      <c r="A700">
        <v>29</v>
      </c>
      <c r="B700" t="s">
        <v>96</v>
      </c>
      <c r="C700" t="s">
        <v>83</v>
      </c>
      <c r="D700" t="s">
        <v>97</v>
      </c>
      <c r="E700" t="s">
        <v>79</v>
      </c>
      <c r="F700" cm="1">
        <f t="array" ref="F700">_xlfn.XLOOKUP(Food_Orders[[#This Row],[Event_No]],Event_Master[[#All],[Event_No]],Event_Master[[#All],[Guest_Count]],,0)</f>
        <v>500</v>
      </c>
      <c r="G700" cm="1">
        <f t="array" ref="G700">Food_Orders[[#This Row],[Quantity_Orderd]]*_xlfn.XLOOKUP(Food_Orders[[#This Row],[Food_ID]],Food_Catalog[[#All],[Food_ID]],Food_Catalog[[#All],[Price_Per_Unit]],0,0)</f>
        <v>15000</v>
      </c>
      <c r="H700" cm="1">
        <f t="array" ref="H700">Food_Orders[[#This Row],[Quantity_Orderd]]*_xlfn.XLOOKUP(Food_Orders[[#This Row],[Food_ID]],Food_Catalog[[#All],[Food_ID]],Food_Catalog[[#All],[Client_Price_Per_Unit]],0,0)</f>
        <v>18000</v>
      </c>
      <c r="I700">
        <f>Food_Orders[[#This Row],[Client_Price]]-Food_Orders[[#This Row],[Cost]]</f>
        <v>3000</v>
      </c>
    </row>
    <row r="701" spans="1:9" x14ac:dyDescent="0.25">
      <c r="A701">
        <v>29</v>
      </c>
      <c r="B701" t="s">
        <v>88</v>
      </c>
      <c r="C701" t="s">
        <v>83</v>
      </c>
      <c r="D701" t="s">
        <v>89</v>
      </c>
      <c r="E701" t="s">
        <v>85</v>
      </c>
      <c r="F701" cm="1">
        <f t="array" ref="F701">_xlfn.XLOOKUP(Food_Orders[[#This Row],[Event_No]],Event_Master[[#All],[Event_No]],Event_Master[[#All],[Guest_Count]],,0)</f>
        <v>500</v>
      </c>
      <c r="G701" cm="1">
        <f t="array" ref="G701">Food_Orders[[#This Row],[Quantity_Orderd]]*_xlfn.XLOOKUP(Food_Orders[[#This Row],[Food_ID]],Food_Catalog[[#All],[Food_ID]],Food_Catalog[[#All],[Price_Per_Unit]],0,0)</f>
        <v>7500</v>
      </c>
      <c r="H701" cm="1">
        <f t="array" ref="H701">Food_Orders[[#This Row],[Quantity_Orderd]]*_xlfn.XLOOKUP(Food_Orders[[#This Row],[Food_ID]],Food_Catalog[[#All],[Food_ID]],Food_Catalog[[#All],[Client_Price_Per_Unit]],0,0)</f>
        <v>9000</v>
      </c>
      <c r="I701">
        <f>Food_Orders[[#This Row],[Client_Price]]-Food_Orders[[#This Row],[Cost]]</f>
        <v>1500</v>
      </c>
    </row>
    <row r="702" spans="1:9" x14ac:dyDescent="0.25">
      <c r="A702">
        <v>29</v>
      </c>
      <c r="B702" t="s">
        <v>92</v>
      </c>
      <c r="C702" t="s">
        <v>83</v>
      </c>
      <c r="D702" t="s">
        <v>93</v>
      </c>
      <c r="E702" t="s">
        <v>85</v>
      </c>
      <c r="F702" cm="1">
        <f t="array" ref="F702">_xlfn.XLOOKUP(Food_Orders[[#This Row],[Event_No]],Event_Master[[#All],[Event_No]],Event_Master[[#All],[Guest_Count]],,0)</f>
        <v>500</v>
      </c>
      <c r="G702" cm="1">
        <f t="array" ref="G702">Food_Orders[[#This Row],[Quantity_Orderd]]*_xlfn.XLOOKUP(Food_Orders[[#This Row],[Food_ID]],Food_Catalog[[#All],[Food_ID]],Food_Catalog[[#All],[Price_Per_Unit]],0,0)</f>
        <v>7500</v>
      </c>
      <c r="H702" cm="1">
        <f t="array" ref="H702">Food_Orders[[#This Row],[Quantity_Orderd]]*_xlfn.XLOOKUP(Food_Orders[[#This Row],[Food_ID]],Food_Catalog[[#All],[Food_ID]],Food_Catalog[[#All],[Client_Price_Per_Unit]],0,0)</f>
        <v>9000</v>
      </c>
      <c r="I702">
        <f>Food_Orders[[#This Row],[Client_Price]]-Food_Orders[[#This Row],[Cost]]</f>
        <v>1500</v>
      </c>
    </row>
    <row r="703" spans="1:9" x14ac:dyDescent="0.25">
      <c r="A703">
        <v>29</v>
      </c>
      <c r="B703" t="s">
        <v>98</v>
      </c>
      <c r="C703" t="s">
        <v>83</v>
      </c>
      <c r="D703" t="s">
        <v>99</v>
      </c>
      <c r="E703" t="s">
        <v>85</v>
      </c>
      <c r="F703" cm="1">
        <f t="array" ref="F703">_xlfn.XLOOKUP(Food_Orders[[#This Row],[Event_No]],Event_Master[[#All],[Event_No]],Event_Master[[#All],[Guest_Count]],,0)</f>
        <v>500</v>
      </c>
      <c r="G703" cm="1">
        <f t="array" ref="G703">Food_Orders[[#This Row],[Quantity_Orderd]]*_xlfn.XLOOKUP(Food_Orders[[#This Row],[Food_ID]],Food_Catalog[[#All],[Food_ID]],Food_Catalog[[#All],[Price_Per_Unit]],0,0)</f>
        <v>7500</v>
      </c>
      <c r="H703" cm="1">
        <f t="array" ref="H703">Food_Orders[[#This Row],[Quantity_Orderd]]*_xlfn.XLOOKUP(Food_Orders[[#This Row],[Food_ID]],Food_Catalog[[#All],[Food_ID]],Food_Catalog[[#All],[Client_Price_Per_Unit]],0,0)</f>
        <v>9000</v>
      </c>
      <c r="I703">
        <f>Food_Orders[[#This Row],[Client_Price]]-Food_Orders[[#This Row],[Cost]]</f>
        <v>1500</v>
      </c>
    </row>
    <row r="704" spans="1:9" x14ac:dyDescent="0.25">
      <c r="A704">
        <v>29</v>
      </c>
      <c r="B704" t="s">
        <v>104</v>
      </c>
      <c r="C704" t="s">
        <v>105</v>
      </c>
      <c r="D704" t="s">
        <v>106</v>
      </c>
      <c r="E704" t="s">
        <v>107</v>
      </c>
      <c r="F704" cm="1">
        <f t="array" ref="F704">_xlfn.XLOOKUP(Food_Orders[[#This Row],[Event_No]],Event_Master[[#All],[Event_No]],Event_Master[[#All],[Guest_Count]],,0)</f>
        <v>500</v>
      </c>
      <c r="G704" cm="1">
        <f t="array" ref="G704">Food_Orders[[#This Row],[Quantity_Orderd]]*_xlfn.XLOOKUP(Food_Orders[[#This Row],[Food_ID]],Food_Catalog[[#All],[Food_ID]],Food_Catalog[[#All],[Price_Per_Unit]],0,0)</f>
        <v>5000</v>
      </c>
      <c r="H704" cm="1">
        <f t="array" ref="H704">Food_Orders[[#This Row],[Quantity_Orderd]]*_xlfn.XLOOKUP(Food_Orders[[#This Row],[Food_ID]],Food_Catalog[[#All],[Food_ID]],Food_Catalog[[#All],[Client_Price_Per_Unit]],0,0)</f>
        <v>6000</v>
      </c>
      <c r="I704">
        <f>Food_Orders[[#This Row],[Client_Price]]-Food_Orders[[#This Row],[Cost]]</f>
        <v>1000</v>
      </c>
    </row>
    <row r="705" spans="1:9" x14ac:dyDescent="0.25">
      <c r="A705">
        <v>29</v>
      </c>
      <c r="B705" t="s">
        <v>108</v>
      </c>
      <c r="C705" t="s">
        <v>105</v>
      </c>
      <c r="D705" t="s">
        <v>109</v>
      </c>
      <c r="E705" t="s">
        <v>107</v>
      </c>
      <c r="F705" cm="1">
        <f t="array" ref="F705">_xlfn.XLOOKUP(Food_Orders[[#This Row],[Event_No]],Event_Master[[#All],[Event_No]],Event_Master[[#All],[Guest_Count]],,0)</f>
        <v>500</v>
      </c>
      <c r="G705" cm="1">
        <f t="array" ref="G705">Food_Orders[[#This Row],[Quantity_Orderd]]*_xlfn.XLOOKUP(Food_Orders[[#This Row],[Food_ID]],Food_Catalog[[#All],[Food_ID]],Food_Catalog[[#All],[Price_Per_Unit]],0,0)</f>
        <v>7500</v>
      </c>
      <c r="H705" cm="1">
        <f t="array" ref="H705">Food_Orders[[#This Row],[Quantity_Orderd]]*_xlfn.XLOOKUP(Food_Orders[[#This Row],[Food_ID]],Food_Catalog[[#All],[Food_ID]],Food_Catalog[[#All],[Client_Price_Per_Unit]],0,0)</f>
        <v>9000</v>
      </c>
      <c r="I705">
        <f>Food_Orders[[#This Row],[Client_Price]]-Food_Orders[[#This Row],[Cost]]</f>
        <v>1500</v>
      </c>
    </row>
    <row r="706" spans="1:9" x14ac:dyDescent="0.25">
      <c r="A706">
        <v>29</v>
      </c>
      <c r="B706" t="s">
        <v>118</v>
      </c>
      <c r="C706" t="s">
        <v>119</v>
      </c>
      <c r="D706" t="s">
        <v>120</v>
      </c>
      <c r="E706" t="s">
        <v>112</v>
      </c>
      <c r="F706" cm="1">
        <f t="array" ref="F706">_xlfn.XLOOKUP(Food_Orders[[#This Row],[Event_No]],Event_Master[[#All],[Event_No]],Event_Master[[#All],[Guest_Count]],,0)</f>
        <v>500</v>
      </c>
      <c r="G706" cm="1">
        <f t="array" ref="G706">Food_Orders[[#This Row],[Quantity_Orderd]]*_xlfn.XLOOKUP(Food_Orders[[#This Row],[Food_ID]],Food_Catalog[[#All],[Food_ID]],Food_Catalog[[#All],[Price_Per_Unit]],0,0)</f>
        <v>5000</v>
      </c>
      <c r="H706" cm="1">
        <f t="array" ref="H706">Food_Orders[[#This Row],[Quantity_Orderd]]*_xlfn.XLOOKUP(Food_Orders[[#This Row],[Food_ID]],Food_Catalog[[#All],[Food_ID]],Food_Catalog[[#All],[Client_Price_Per_Unit]],0,0)</f>
        <v>6000</v>
      </c>
      <c r="I706">
        <f>Food_Orders[[#This Row],[Client_Price]]-Food_Orders[[#This Row],[Cost]]</f>
        <v>1000</v>
      </c>
    </row>
    <row r="707" spans="1:9" x14ac:dyDescent="0.25">
      <c r="A707">
        <v>29</v>
      </c>
      <c r="B707" t="s">
        <v>129</v>
      </c>
      <c r="C707" t="s">
        <v>119</v>
      </c>
      <c r="D707" t="s">
        <v>130</v>
      </c>
      <c r="E707" t="s">
        <v>112</v>
      </c>
      <c r="F707" cm="1">
        <f t="array" ref="F707">_xlfn.XLOOKUP(Food_Orders[[#This Row],[Event_No]],Event_Master[[#All],[Event_No]],Event_Master[[#All],[Guest_Count]],,0)</f>
        <v>500</v>
      </c>
      <c r="G707" cm="1">
        <f t="array" ref="G707">Food_Orders[[#This Row],[Quantity_Orderd]]*_xlfn.XLOOKUP(Food_Orders[[#This Row],[Food_ID]],Food_Catalog[[#All],[Food_ID]],Food_Catalog[[#All],[Price_Per_Unit]],0,0)</f>
        <v>5000</v>
      </c>
      <c r="H707" cm="1">
        <f t="array" ref="H707">Food_Orders[[#This Row],[Quantity_Orderd]]*_xlfn.XLOOKUP(Food_Orders[[#This Row],[Food_ID]],Food_Catalog[[#All],[Food_ID]],Food_Catalog[[#All],[Client_Price_Per_Unit]],0,0)</f>
        <v>6000</v>
      </c>
      <c r="I707">
        <f>Food_Orders[[#This Row],[Client_Price]]-Food_Orders[[#This Row],[Cost]]</f>
        <v>1000</v>
      </c>
    </row>
    <row r="708" spans="1:9" x14ac:dyDescent="0.25">
      <c r="A708">
        <v>29</v>
      </c>
      <c r="B708" t="s">
        <v>127</v>
      </c>
      <c r="C708" t="s">
        <v>119</v>
      </c>
      <c r="D708" t="s">
        <v>128</v>
      </c>
      <c r="E708" t="s">
        <v>107</v>
      </c>
      <c r="F708" cm="1">
        <f t="array" ref="F708">_xlfn.XLOOKUP(Food_Orders[[#This Row],[Event_No]],Event_Master[[#All],[Event_No]],Event_Master[[#All],[Guest_Count]],,0)</f>
        <v>500</v>
      </c>
      <c r="G708" cm="1">
        <f t="array" ref="G708">Food_Orders[[#This Row],[Quantity_Orderd]]*_xlfn.XLOOKUP(Food_Orders[[#This Row],[Food_ID]],Food_Catalog[[#All],[Food_ID]],Food_Catalog[[#All],[Price_Per_Unit]],0,0)</f>
        <v>10000</v>
      </c>
      <c r="H708" cm="1">
        <f t="array" ref="H708">Food_Orders[[#This Row],[Quantity_Orderd]]*_xlfn.XLOOKUP(Food_Orders[[#This Row],[Food_ID]],Food_Catalog[[#All],[Food_ID]],Food_Catalog[[#All],[Client_Price_Per_Unit]],0,0)</f>
        <v>12000</v>
      </c>
      <c r="I708">
        <f>Food_Orders[[#This Row],[Client_Price]]-Food_Orders[[#This Row],[Cost]]</f>
        <v>2000</v>
      </c>
    </row>
    <row r="709" spans="1:9" x14ac:dyDescent="0.25">
      <c r="A709">
        <v>29</v>
      </c>
      <c r="B709" t="s">
        <v>124</v>
      </c>
      <c r="C709" t="s">
        <v>119</v>
      </c>
      <c r="D709" t="s">
        <v>125</v>
      </c>
      <c r="E709" t="s">
        <v>126</v>
      </c>
      <c r="F709" cm="1">
        <f t="array" ref="F709">_xlfn.XLOOKUP(Food_Orders[[#This Row],[Event_No]],Event_Master[[#All],[Event_No]],Event_Master[[#All],[Guest_Count]],,0)</f>
        <v>500</v>
      </c>
      <c r="G709" cm="1">
        <f t="array" ref="G709">Food_Orders[[#This Row],[Quantity_Orderd]]*_xlfn.XLOOKUP(Food_Orders[[#This Row],[Food_ID]],Food_Catalog[[#All],[Food_ID]],Food_Catalog[[#All],[Price_Per_Unit]],0,0)</f>
        <v>10000</v>
      </c>
      <c r="H709" cm="1">
        <f t="array" ref="H709">Food_Orders[[#This Row],[Quantity_Orderd]]*_xlfn.XLOOKUP(Food_Orders[[#This Row],[Food_ID]],Food_Catalog[[#All],[Food_ID]],Food_Catalog[[#All],[Client_Price_Per_Unit]],0,0)</f>
        <v>12000</v>
      </c>
      <c r="I709">
        <f>Food_Orders[[#This Row],[Client_Price]]-Food_Orders[[#This Row],[Cost]]</f>
        <v>2000</v>
      </c>
    </row>
    <row r="710" spans="1:9" x14ac:dyDescent="0.25">
      <c r="A710">
        <v>29</v>
      </c>
      <c r="B710" t="s">
        <v>121</v>
      </c>
      <c r="C710" t="s">
        <v>119</v>
      </c>
      <c r="D710" t="s">
        <v>122</v>
      </c>
      <c r="E710" t="s">
        <v>123</v>
      </c>
      <c r="F710" cm="1">
        <f t="array" ref="F710">_xlfn.XLOOKUP(Food_Orders[[#This Row],[Event_No]],Event_Master[[#All],[Event_No]],Event_Master[[#All],[Guest_Count]],,0)</f>
        <v>500</v>
      </c>
      <c r="G710" cm="1">
        <f t="array" ref="G710">Food_Orders[[#This Row],[Quantity_Orderd]]*_xlfn.XLOOKUP(Food_Orders[[#This Row],[Food_ID]],Food_Catalog[[#All],[Food_ID]],Food_Catalog[[#All],[Price_Per_Unit]],0,0)</f>
        <v>5000</v>
      </c>
      <c r="H710" cm="1">
        <f t="array" ref="H710">Food_Orders[[#This Row],[Quantity_Orderd]]*_xlfn.XLOOKUP(Food_Orders[[#This Row],[Food_ID]],Food_Catalog[[#All],[Food_ID]],Food_Catalog[[#All],[Client_Price_Per_Unit]],0,0)</f>
        <v>6000</v>
      </c>
      <c r="I710">
        <f>Food_Orders[[#This Row],[Client_Price]]-Food_Orders[[#This Row],[Cost]]</f>
        <v>1000</v>
      </c>
    </row>
    <row r="711" spans="1:9" x14ac:dyDescent="0.25">
      <c r="A711">
        <v>30</v>
      </c>
      <c r="B711" t="s">
        <v>60</v>
      </c>
      <c r="C711" t="s">
        <v>61</v>
      </c>
      <c r="D711" t="s">
        <v>62</v>
      </c>
      <c r="E711" t="s">
        <v>10</v>
      </c>
      <c r="F711" cm="1">
        <f t="array" ref="F711">_xlfn.XLOOKUP(Food_Orders[[#This Row],[Event_No]],Event_Master[[#All],[Event_No]],Event_Master[[#All],[Guest_Count]],,0)</f>
        <v>750</v>
      </c>
      <c r="G711" cm="1">
        <f t="array" ref="G711">Food_Orders[[#This Row],[Quantity_Orderd]]*_xlfn.XLOOKUP(Food_Orders[[#This Row],[Food_ID]],Food_Catalog[[#All],[Food_ID]],Food_Catalog[[#All],[Price_Per_Unit]],0,0)</f>
        <v>15000</v>
      </c>
      <c r="H711" cm="1">
        <f t="array" ref="H711">Food_Orders[[#This Row],[Quantity_Orderd]]*_xlfn.XLOOKUP(Food_Orders[[#This Row],[Food_ID]],Food_Catalog[[#All],[Food_ID]],Food_Catalog[[#All],[Client_Price_Per_Unit]],0,0)</f>
        <v>18000</v>
      </c>
      <c r="I711">
        <f>Food_Orders[[#This Row],[Client_Price]]-Food_Orders[[#This Row],[Cost]]</f>
        <v>3000</v>
      </c>
    </row>
    <row r="712" spans="1:9" x14ac:dyDescent="0.25">
      <c r="A712">
        <v>30</v>
      </c>
      <c r="B712" t="s">
        <v>63</v>
      </c>
      <c r="C712" t="s">
        <v>61</v>
      </c>
      <c r="D712" t="s">
        <v>64</v>
      </c>
      <c r="E712" t="s">
        <v>10</v>
      </c>
      <c r="F712" cm="1">
        <f t="array" ref="F712">_xlfn.XLOOKUP(Food_Orders[[#This Row],[Event_No]],Event_Master[[#All],[Event_No]],Event_Master[[#All],[Guest_Count]],,0)</f>
        <v>750</v>
      </c>
      <c r="G712" cm="1">
        <f t="array" ref="G712">Food_Orders[[#This Row],[Quantity_Orderd]]*_xlfn.XLOOKUP(Food_Orders[[#This Row],[Food_ID]],Food_Catalog[[#All],[Food_ID]],Food_Catalog[[#All],[Price_Per_Unit]],0,0)</f>
        <v>22500</v>
      </c>
      <c r="H712" cm="1">
        <f t="array" ref="H712">Food_Orders[[#This Row],[Quantity_Orderd]]*_xlfn.XLOOKUP(Food_Orders[[#This Row],[Food_ID]],Food_Catalog[[#All],[Food_ID]],Food_Catalog[[#All],[Client_Price_Per_Unit]],0,0)</f>
        <v>27000</v>
      </c>
      <c r="I712">
        <f>Food_Orders[[#This Row],[Client_Price]]-Food_Orders[[#This Row],[Cost]]</f>
        <v>4500</v>
      </c>
    </row>
    <row r="713" spans="1:9" x14ac:dyDescent="0.25">
      <c r="A713">
        <v>30</v>
      </c>
      <c r="B713" t="s">
        <v>71</v>
      </c>
      <c r="C713" t="s">
        <v>61</v>
      </c>
      <c r="D713" t="s">
        <v>72</v>
      </c>
      <c r="E713" t="s">
        <v>10</v>
      </c>
      <c r="F713" cm="1">
        <f t="array" ref="F713">_xlfn.XLOOKUP(Food_Orders[[#This Row],[Event_No]],Event_Master[[#All],[Event_No]],Event_Master[[#All],[Guest_Count]],,0)</f>
        <v>750</v>
      </c>
      <c r="G713" cm="1">
        <f t="array" ref="G713">Food_Orders[[#This Row],[Quantity_Orderd]]*_xlfn.XLOOKUP(Food_Orders[[#This Row],[Food_ID]],Food_Catalog[[#All],[Food_ID]],Food_Catalog[[#All],[Price_Per_Unit]],0,0)</f>
        <v>18750</v>
      </c>
      <c r="H713" cm="1">
        <f t="array" ref="H713">Food_Orders[[#This Row],[Quantity_Orderd]]*_xlfn.XLOOKUP(Food_Orders[[#This Row],[Food_ID]],Food_Catalog[[#All],[Food_ID]],Food_Catalog[[#All],[Client_Price_Per_Unit]],0,0)</f>
        <v>22500</v>
      </c>
      <c r="I713">
        <f>Food_Orders[[#This Row],[Client_Price]]-Food_Orders[[#This Row],[Cost]]</f>
        <v>3750</v>
      </c>
    </row>
    <row r="714" spans="1:9" x14ac:dyDescent="0.25">
      <c r="A714">
        <v>30</v>
      </c>
      <c r="B714" t="s">
        <v>80</v>
      </c>
      <c r="C714" t="s">
        <v>61</v>
      </c>
      <c r="D714" t="s">
        <v>81</v>
      </c>
      <c r="E714" t="s">
        <v>10</v>
      </c>
      <c r="F714" cm="1">
        <f t="array" ref="F714">_xlfn.XLOOKUP(Food_Orders[[#This Row],[Event_No]],Event_Master[[#All],[Event_No]],Event_Master[[#All],[Guest_Count]],,0)</f>
        <v>750</v>
      </c>
      <c r="G714" cm="1">
        <f t="array" ref="G714">Food_Orders[[#This Row],[Quantity_Orderd]]*_xlfn.XLOOKUP(Food_Orders[[#This Row],[Food_ID]],Food_Catalog[[#All],[Food_ID]],Food_Catalog[[#All],[Price_Per_Unit]],0,0)</f>
        <v>22500</v>
      </c>
      <c r="H714" cm="1">
        <f t="array" ref="H714">Food_Orders[[#This Row],[Quantity_Orderd]]*_xlfn.XLOOKUP(Food_Orders[[#This Row],[Food_ID]],Food_Catalog[[#All],[Food_ID]],Food_Catalog[[#All],[Client_Price_Per_Unit]],0,0)</f>
        <v>27000</v>
      </c>
      <c r="I714">
        <f>Food_Orders[[#This Row],[Client_Price]]-Food_Orders[[#This Row],[Cost]]</f>
        <v>4500</v>
      </c>
    </row>
    <row r="715" spans="1:9" x14ac:dyDescent="0.25">
      <c r="A715">
        <v>30</v>
      </c>
      <c r="B715" t="s">
        <v>73</v>
      </c>
      <c r="C715" t="s">
        <v>61</v>
      </c>
      <c r="D715" t="s">
        <v>74</v>
      </c>
      <c r="E715" t="s">
        <v>10</v>
      </c>
      <c r="F715" cm="1">
        <f t="array" ref="F715">_xlfn.XLOOKUP(Food_Orders[[#This Row],[Event_No]],Event_Master[[#All],[Event_No]],Event_Master[[#All],[Guest_Count]],,0)</f>
        <v>750</v>
      </c>
      <c r="G715" cm="1">
        <f t="array" ref="G715">Food_Orders[[#This Row],[Quantity_Orderd]]*_xlfn.XLOOKUP(Food_Orders[[#This Row],[Food_ID]],Food_Catalog[[#All],[Food_ID]],Food_Catalog[[#All],[Price_Per_Unit]],0,0)</f>
        <v>30000</v>
      </c>
      <c r="H715" cm="1">
        <f t="array" ref="H715">Food_Orders[[#This Row],[Quantity_Orderd]]*_xlfn.XLOOKUP(Food_Orders[[#This Row],[Food_ID]],Food_Catalog[[#All],[Food_ID]],Food_Catalog[[#All],[Client_Price_Per_Unit]],0,0)</f>
        <v>36000</v>
      </c>
      <c r="I715">
        <f>Food_Orders[[#This Row],[Client_Price]]-Food_Orders[[#This Row],[Cost]]</f>
        <v>6000</v>
      </c>
    </row>
    <row r="716" spans="1:9" x14ac:dyDescent="0.25">
      <c r="A716">
        <v>30</v>
      </c>
      <c r="B716" t="s">
        <v>75</v>
      </c>
      <c r="C716" t="s">
        <v>61</v>
      </c>
      <c r="D716" t="s">
        <v>76</v>
      </c>
      <c r="E716" t="s">
        <v>10</v>
      </c>
      <c r="F716" cm="1">
        <f t="array" ref="F716">_xlfn.XLOOKUP(Food_Orders[[#This Row],[Event_No]],Event_Master[[#All],[Event_No]],Event_Master[[#All],[Guest_Count]],,0)</f>
        <v>750</v>
      </c>
      <c r="G716" cm="1">
        <f t="array" ref="G716">Food_Orders[[#This Row],[Quantity_Orderd]]*_xlfn.XLOOKUP(Food_Orders[[#This Row],[Food_ID]],Food_Catalog[[#All],[Food_ID]],Food_Catalog[[#All],[Price_Per_Unit]],0,0)</f>
        <v>30000</v>
      </c>
      <c r="H716" cm="1">
        <f t="array" ref="H716">Food_Orders[[#This Row],[Quantity_Orderd]]*_xlfn.XLOOKUP(Food_Orders[[#This Row],[Food_ID]],Food_Catalog[[#All],[Food_ID]],Food_Catalog[[#All],[Client_Price_Per_Unit]],0,0)</f>
        <v>36000</v>
      </c>
      <c r="I716">
        <f>Food_Orders[[#This Row],[Client_Price]]-Food_Orders[[#This Row],[Cost]]</f>
        <v>6000</v>
      </c>
    </row>
    <row r="717" spans="1:9" x14ac:dyDescent="0.25">
      <c r="A717">
        <v>30</v>
      </c>
      <c r="B717" t="s">
        <v>69</v>
      </c>
      <c r="C717" t="s">
        <v>61</v>
      </c>
      <c r="D717" t="s">
        <v>70</v>
      </c>
      <c r="E717" t="s">
        <v>10</v>
      </c>
      <c r="F717" cm="1">
        <f t="array" ref="F717">_xlfn.XLOOKUP(Food_Orders[[#This Row],[Event_No]],Event_Master[[#All],[Event_No]],Event_Master[[#All],[Guest_Count]],,0)</f>
        <v>750</v>
      </c>
      <c r="G717" cm="1">
        <f t="array" ref="G717">Food_Orders[[#This Row],[Quantity_Orderd]]*_xlfn.XLOOKUP(Food_Orders[[#This Row],[Food_ID]],Food_Catalog[[#All],[Food_ID]],Food_Catalog[[#All],[Price_Per_Unit]],0,0)</f>
        <v>37500</v>
      </c>
      <c r="H717" cm="1">
        <f t="array" ref="H717">Food_Orders[[#This Row],[Quantity_Orderd]]*_xlfn.XLOOKUP(Food_Orders[[#This Row],[Food_ID]],Food_Catalog[[#All],[Food_ID]],Food_Catalog[[#All],[Client_Price_Per_Unit]],0,0)</f>
        <v>45000</v>
      </c>
      <c r="I717">
        <f>Food_Orders[[#This Row],[Client_Price]]-Food_Orders[[#This Row],[Cost]]</f>
        <v>7500</v>
      </c>
    </row>
    <row r="718" spans="1:9" x14ac:dyDescent="0.25">
      <c r="A718">
        <v>30</v>
      </c>
      <c r="B718" t="s">
        <v>77</v>
      </c>
      <c r="C718" t="s">
        <v>61</v>
      </c>
      <c r="D718" t="s">
        <v>78</v>
      </c>
      <c r="E718" t="s">
        <v>79</v>
      </c>
      <c r="F718" cm="1">
        <f t="array" ref="F718">_xlfn.XLOOKUP(Food_Orders[[#This Row],[Event_No]],Event_Master[[#All],[Event_No]],Event_Master[[#All],[Guest_Count]],,0)</f>
        <v>750</v>
      </c>
      <c r="G718" cm="1">
        <f t="array" ref="G718">Food_Orders[[#This Row],[Quantity_Orderd]]*_xlfn.XLOOKUP(Food_Orders[[#This Row],[Food_ID]],Food_Catalog[[#All],[Food_ID]],Food_Catalog[[#All],[Price_Per_Unit]],0,0)</f>
        <v>26250</v>
      </c>
      <c r="H718" cm="1">
        <f t="array" ref="H718">Food_Orders[[#This Row],[Quantity_Orderd]]*_xlfn.XLOOKUP(Food_Orders[[#This Row],[Food_ID]],Food_Catalog[[#All],[Food_ID]],Food_Catalog[[#All],[Client_Price_Per_Unit]],0,0)</f>
        <v>31500</v>
      </c>
      <c r="I718">
        <f>Food_Orders[[#This Row],[Client_Price]]-Food_Orders[[#This Row],[Cost]]</f>
        <v>5250</v>
      </c>
    </row>
    <row r="719" spans="1:9" x14ac:dyDescent="0.25">
      <c r="A719">
        <v>30</v>
      </c>
      <c r="B719" t="s">
        <v>7</v>
      </c>
      <c r="C719" t="s">
        <v>8</v>
      </c>
      <c r="D719" t="s">
        <v>9</v>
      </c>
      <c r="E719" t="s">
        <v>10</v>
      </c>
      <c r="F719" cm="1">
        <f t="array" ref="F719">_xlfn.XLOOKUP(Food_Orders[[#This Row],[Event_No]],Event_Master[[#All],[Event_No]],Event_Master[[#All],[Guest_Count]],,0)</f>
        <v>750</v>
      </c>
      <c r="G719" cm="1">
        <f t="array" ref="G719">Food_Orders[[#This Row],[Quantity_Orderd]]*_xlfn.XLOOKUP(Food_Orders[[#This Row],[Food_ID]],Food_Catalog[[#All],[Food_ID]],Food_Catalog[[#All],[Price_Per_Unit]],0,0)</f>
        <v>18750</v>
      </c>
      <c r="H719" cm="1">
        <f t="array" ref="H719">Food_Orders[[#This Row],[Quantity_Orderd]]*_xlfn.XLOOKUP(Food_Orders[[#This Row],[Food_ID]],Food_Catalog[[#All],[Food_ID]],Food_Catalog[[#All],[Client_Price_Per_Unit]],0,0)</f>
        <v>22500</v>
      </c>
      <c r="I719">
        <f>Food_Orders[[#This Row],[Client_Price]]-Food_Orders[[#This Row],[Cost]]</f>
        <v>3750</v>
      </c>
    </row>
    <row r="720" spans="1:9" x14ac:dyDescent="0.25">
      <c r="A720">
        <v>30</v>
      </c>
      <c r="B720" t="s">
        <v>13</v>
      </c>
      <c r="C720" t="s">
        <v>8</v>
      </c>
      <c r="D720" t="s">
        <v>14</v>
      </c>
      <c r="E720" t="s">
        <v>10</v>
      </c>
      <c r="F720" cm="1">
        <f t="array" ref="F720">_xlfn.XLOOKUP(Food_Orders[[#This Row],[Event_No]],Event_Master[[#All],[Event_No]],Event_Master[[#All],[Guest_Count]],,0)</f>
        <v>750</v>
      </c>
      <c r="G720" cm="1">
        <f t="array" ref="G720">Food_Orders[[#This Row],[Quantity_Orderd]]*_xlfn.XLOOKUP(Food_Orders[[#This Row],[Food_ID]],Food_Catalog[[#All],[Food_ID]],Food_Catalog[[#All],[Price_Per_Unit]],0,0)</f>
        <v>26250</v>
      </c>
      <c r="H720" cm="1">
        <f t="array" ref="H720">Food_Orders[[#This Row],[Quantity_Orderd]]*_xlfn.XLOOKUP(Food_Orders[[#This Row],[Food_ID]],Food_Catalog[[#All],[Food_ID]],Food_Catalog[[#All],[Client_Price_Per_Unit]],0,0)</f>
        <v>31500</v>
      </c>
      <c r="I720">
        <f>Food_Orders[[#This Row],[Client_Price]]-Food_Orders[[#This Row],[Cost]]</f>
        <v>5250</v>
      </c>
    </row>
    <row r="721" spans="1:9" x14ac:dyDescent="0.25">
      <c r="A721">
        <v>30</v>
      </c>
      <c r="B721" t="s">
        <v>35</v>
      </c>
      <c r="C721" t="s">
        <v>8</v>
      </c>
      <c r="D721" t="s">
        <v>36</v>
      </c>
      <c r="E721" t="s">
        <v>10</v>
      </c>
      <c r="F721" cm="1">
        <f t="array" ref="F721">_xlfn.XLOOKUP(Food_Orders[[#This Row],[Event_No]],Event_Master[[#All],[Event_No]],Event_Master[[#All],[Guest_Count]],,0)</f>
        <v>750</v>
      </c>
      <c r="G721" cm="1">
        <f t="array" ref="G721">Food_Orders[[#This Row],[Quantity_Orderd]]*_xlfn.XLOOKUP(Food_Orders[[#This Row],[Food_ID]],Food_Catalog[[#All],[Food_ID]],Food_Catalog[[#All],[Price_Per_Unit]],0,0)</f>
        <v>22500</v>
      </c>
      <c r="H721" cm="1">
        <f t="array" ref="H721">Food_Orders[[#This Row],[Quantity_Orderd]]*_xlfn.XLOOKUP(Food_Orders[[#This Row],[Food_ID]],Food_Catalog[[#All],[Food_ID]],Food_Catalog[[#All],[Client_Price_Per_Unit]],0,0)</f>
        <v>27000</v>
      </c>
      <c r="I721">
        <f>Food_Orders[[#This Row],[Client_Price]]-Food_Orders[[#This Row],[Cost]]</f>
        <v>4500</v>
      </c>
    </row>
    <row r="722" spans="1:9" x14ac:dyDescent="0.25">
      <c r="A722">
        <v>30</v>
      </c>
      <c r="B722" t="s">
        <v>27</v>
      </c>
      <c r="C722" t="s">
        <v>8</v>
      </c>
      <c r="D722" t="s">
        <v>28</v>
      </c>
      <c r="E722" t="s">
        <v>10</v>
      </c>
      <c r="F722" cm="1">
        <f t="array" ref="F722">_xlfn.XLOOKUP(Food_Orders[[#This Row],[Event_No]],Event_Master[[#All],[Event_No]],Event_Master[[#All],[Guest_Count]],,0)</f>
        <v>750</v>
      </c>
      <c r="G722" cm="1">
        <f t="array" ref="G722">Food_Orders[[#This Row],[Quantity_Orderd]]*_xlfn.XLOOKUP(Food_Orders[[#This Row],[Food_ID]],Food_Catalog[[#All],[Food_ID]],Food_Catalog[[#All],[Price_Per_Unit]],0,0)</f>
        <v>30000</v>
      </c>
      <c r="H722" cm="1">
        <f t="array" ref="H722">Food_Orders[[#This Row],[Quantity_Orderd]]*_xlfn.XLOOKUP(Food_Orders[[#This Row],[Food_ID]],Food_Catalog[[#All],[Food_ID]],Food_Catalog[[#All],[Client_Price_Per_Unit]],0,0)</f>
        <v>36000</v>
      </c>
      <c r="I722">
        <f>Food_Orders[[#This Row],[Client_Price]]-Food_Orders[[#This Row],[Cost]]</f>
        <v>6000</v>
      </c>
    </row>
    <row r="723" spans="1:9" x14ac:dyDescent="0.25">
      <c r="A723">
        <v>30</v>
      </c>
      <c r="B723" t="s">
        <v>31</v>
      </c>
      <c r="C723" t="s">
        <v>8</v>
      </c>
      <c r="D723" t="s">
        <v>32</v>
      </c>
      <c r="E723" t="s">
        <v>10</v>
      </c>
      <c r="F723" cm="1">
        <f t="array" ref="F723">_xlfn.XLOOKUP(Food_Orders[[#This Row],[Event_No]],Event_Master[[#All],[Event_No]],Event_Master[[#All],[Guest_Count]],,0)</f>
        <v>750</v>
      </c>
      <c r="G723" cm="1">
        <f t="array" ref="G723">Food_Orders[[#This Row],[Quantity_Orderd]]*_xlfn.XLOOKUP(Food_Orders[[#This Row],[Food_ID]],Food_Catalog[[#All],[Food_ID]],Food_Catalog[[#All],[Price_Per_Unit]],0,0)</f>
        <v>22500</v>
      </c>
      <c r="H723" cm="1">
        <f t="array" ref="H723">Food_Orders[[#This Row],[Quantity_Orderd]]*_xlfn.XLOOKUP(Food_Orders[[#This Row],[Food_ID]],Food_Catalog[[#All],[Food_ID]],Food_Catalog[[#All],[Client_Price_Per_Unit]],0,0)</f>
        <v>27000</v>
      </c>
      <c r="I723">
        <f>Food_Orders[[#This Row],[Client_Price]]-Food_Orders[[#This Row],[Cost]]</f>
        <v>4500</v>
      </c>
    </row>
    <row r="724" spans="1:9" x14ac:dyDescent="0.25">
      <c r="A724">
        <v>30</v>
      </c>
      <c r="B724" t="s">
        <v>33</v>
      </c>
      <c r="C724" t="s">
        <v>8</v>
      </c>
      <c r="D724" t="s">
        <v>34</v>
      </c>
      <c r="E724" t="s">
        <v>10</v>
      </c>
      <c r="F724" cm="1">
        <f t="array" ref="F724">_xlfn.XLOOKUP(Food_Orders[[#This Row],[Event_No]],Event_Master[[#All],[Event_No]],Event_Master[[#All],[Guest_Count]],,0)</f>
        <v>750</v>
      </c>
      <c r="G724" cm="1">
        <f t="array" ref="G724">Food_Orders[[#This Row],[Quantity_Orderd]]*_xlfn.XLOOKUP(Food_Orders[[#This Row],[Food_ID]],Food_Catalog[[#All],[Food_ID]],Food_Catalog[[#All],[Price_Per_Unit]],0,0)</f>
        <v>22500</v>
      </c>
      <c r="H724" cm="1">
        <f t="array" ref="H724">Food_Orders[[#This Row],[Quantity_Orderd]]*_xlfn.XLOOKUP(Food_Orders[[#This Row],[Food_ID]],Food_Catalog[[#All],[Food_ID]],Food_Catalog[[#All],[Client_Price_Per_Unit]],0,0)</f>
        <v>27000</v>
      </c>
      <c r="I724">
        <f>Food_Orders[[#This Row],[Client_Price]]-Food_Orders[[#This Row],[Cost]]</f>
        <v>4500</v>
      </c>
    </row>
    <row r="725" spans="1:9" x14ac:dyDescent="0.25">
      <c r="A725">
        <v>30</v>
      </c>
      <c r="B725" t="s">
        <v>17</v>
      </c>
      <c r="C725" t="s">
        <v>8</v>
      </c>
      <c r="D725" t="s">
        <v>18</v>
      </c>
      <c r="E725" t="s">
        <v>10</v>
      </c>
      <c r="F725" cm="1">
        <f t="array" ref="F725">_xlfn.XLOOKUP(Food_Orders[[#This Row],[Event_No]],Event_Master[[#All],[Event_No]],Event_Master[[#All],[Guest_Count]],,0)</f>
        <v>750</v>
      </c>
      <c r="G725" cm="1">
        <f t="array" ref="G725">Food_Orders[[#This Row],[Quantity_Orderd]]*_xlfn.XLOOKUP(Food_Orders[[#This Row],[Food_ID]],Food_Catalog[[#All],[Food_ID]],Food_Catalog[[#All],[Price_Per_Unit]],0,0)</f>
        <v>30000</v>
      </c>
      <c r="H725" cm="1">
        <f t="array" ref="H725">Food_Orders[[#This Row],[Quantity_Orderd]]*_xlfn.XLOOKUP(Food_Orders[[#This Row],[Food_ID]],Food_Catalog[[#All],[Food_ID]],Food_Catalog[[#All],[Client_Price_Per_Unit]],0,0)</f>
        <v>36000</v>
      </c>
      <c r="I725">
        <f>Food_Orders[[#This Row],[Client_Price]]-Food_Orders[[#This Row],[Cost]]</f>
        <v>6000</v>
      </c>
    </row>
    <row r="726" spans="1:9" x14ac:dyDescent="0.25">
      <c r="A726">
        <v>30</v>
      </c>
      <c r="B726" t="s">
        <v>29</v>
      </c>
      <c r="C726" t="s">
        <v>8</v>
      </c>
      <c r="D726" t="s">
        <v>30</v>
      </c>
      <c r="E726" t="s">
        <v>10</v>
      </c>
      <c r="F726" cm="1">
        <f t="array" ref="F726">_xlfn.XLOOKUP(Food_Orders[[#This Row],[Event_No]],Event_Master[[#All],[Event_No]],Event_Master[[#All],[Guest_Count]],,0)</f>
        <v>750</v>
      </c>
      <c r="G726" cm="1">
        <f t="array" ref="G726">Food_Orders[[#This Row],[Quantity_Orderd]]*_xlfn.XLOOKUP(Food_Orders[[#This Row],[Food_ID]],Food_Catalog[[#All],[Food_ID]],Food_Catalog[[#All],[Price_Per_Unit]],0,0)</f>
        <v>22500</v>
      </c>
      <c r="H726" cm="1">
        <f t="array" ref="H726">Food_Orders[[#This Row],[Quantity_Orderd]]*_xlfn.XLOOKUP(Food_Orders[[#This Row],[Food_ID]],Food_Catalog[[#All],[Food_ID]],Food_Catalog[[#All],[Client_Price_Per_Unit]],0,0)</f>
        <v>27000</v>
      </c>
      <c r="I726">
        <f>Food_Orders[[#This Row],[Client_Price]]-Food_Orders[[#This Row],[Cost]]</f>
        <v>4500</v>
      </c>
    </row>
    <row r="727" spans="1:9" x14ac:dyDescent="0.25">
      <c r="A727">
        <v>30</v>
      </c>
      <c r="B727" t="s">
        <v>37</v>
      </c>
      <c r="C727" t="s">
        <v>8</v>
      </c>
      <c r="D727" t="s">
        <v>38</v>
      </c>
      <c r="E727" t="s">
        <v>10</v>
      </c>
      <c r="F727" cm="1">
        <f t="array" ref="F727">_xlfn.XLOOKUP(Food_Orders[[#This Row],[Event_No]],Event_Master[[#All],[Event_No]],Event_Master[[#All],[Guest_Count]],,0)</f>
        <v>750</v>
      </c>
      <c r="G727" cm="1">
        <f t="array" ref="G727">Food_Orders[[#This Row],[Quantity_Orderd]]*_xlfn.XLOOKUP(Food_Orders[[#This Row],[Food_ID]],Food_Catalog[[#All],[Food_ID]],Food_Catalog[[#All],[Price_Per_Unit]],0,0)</f>
        <v>18750</v>
      </c>
      <c r="H727" cm="1">
        <f t="array" ref="H727">Food_Orders[[#This Row],[Quantity_Orderd]]*_xlfn.XLOOKUP(Food_Orders[[#This Row],[Food_ID]],Food_Catalog[[#All],[Food_ID]],Food_Catalog[[#All],[Client_Price_Per_Unit]],0,0)</f>
        <v>22500</v>
      </c>
      <c r="I727">
        <f>Food_Orders[[#This Row],[Client_Price]]-Food_Orders[[#This Row],[Cost]]</f>
        <v>3750</v>
      </c>
    </row>
    <row r="728" spans="1:9" x14ac:dyDescent="0.25">
      <c r="A728">
        <v>30</v>
      </c>
      <c r="B728" t="s">
        <v>82</v>
      </c>
      <c r="C728" t="s">
        <v>83</v>
      </c>
      <c r="D728" t="s">
        <v>84</v>
      </c>
      <c r="E728" t="s">
        <v>85</v>
      </c>
      <c r="F728" cm="1">
        <f t="array" ref="F728">_xlfn.XLOOKUP(Food_Orders[[#This Row],[Event_No]],Event_Master[[#All],[Event_No]],Event_Master[[#All],[Guest_Count]],,0)</f>
        <v>750</v>
      </c>
      <c r="G728" cm="1">
        <f t="array" ref="G728">Food_Orders[[#This Row],[Quantity_Orderd]]*_xlfn.XLOOKUP(Food_Orders[[#This Row],[Food_ID]],Food_Catalog[[#All],[Food_ID]],Food_Catalog[[#All],[Price_Per_Unit]],0,0)</f>
        <v>15000</v>
      </c>
      <c r="H728" cm="1">
        <f t="array" ref="H728">Food_Orders[[#This Row],[Quantity_Orderd]]*_xlfn.XLOOKUP(Food_Orders[[#This Row],[Food_ID]],Food_Catalog[[#All],[Food_ID]],Food_Catalog[[#All],[Client_Price_Per_Unit]],0,0)</f>
        <v>18000</v>
      </c>
      <c r="I728">
        <f>Food_Orders[[#This Row],[Client_Price]]-Food_Orders[[#This Row],[Cost]]</f>
        <v>3000</v>
      </c>
    </row>
    <row r="729" spans="1:9" x14ac:dyDescent="0.25">
      <c r="A729">
        <v>30</v>
      </c>
      <c r="B729" t="s">
        <v>86</v>
      </c>
      <c r="C729" t="s">
        <v>83</v>
      </c>
      <c r="D729" t="s">
        <v>87</v>
      </c>
      <c r="E729" t="s">
        <v>85</v>
      </c>
      <c r="F729" cm="1">
        <f t="array" ref="F729">_xlfn.XLOOKUP(Food_Orders[[#This Row],[Event_No]],Event_Master[[#All],[Event_No]],Event_Master[[#All],[Guest_Count]],,0)</f>
        <v>750</v>
      </c>
      <c r="G729" cm="1">
        <f t="array" ref="G729">Food_Orders[[#This Row],[Quantity_Orderd]]*_xlfn.XLOOKUP(Food_Orders[[#This Row],[Food_ID]],Food_Catalog[[#All],[Food_ID]],Food_Catalog[[#All],[Price_Per_Unit]],0,0)</f>
        <v>15000</v>
      </c>
      <c r="H729" cm="1">
        <f t="array" ref="H729">Food_Orders[[#This Row],[Quantity_Orderd]]*_xlfn.XLOOKUP(Food_Orders[[#This Row],[Food_ID]],Food_Catalog[[#All],[Food_ID]],Food_Catalog[[#All],[Client_Price_Per_Unit]],0,0)</f>
        <v>18000</v>
      </c>
      <c r="I729">
        <f>Food_Orders[[#This Row],[Client_Price]]-Food_Orders[[#This Row],[Cost]]</f>
        <v>3000</v>
      </c>
    </row>
    <row r="730" spans="1:9" x14ac:dyDescent="0.25">
      <c r="A730">
        <v>30</v>
      </c>
      <c r="B730" t="s">
        <v>96</v>
      </c>
      <c r="C730" t="s">
        <v>83</v>
      </c>
      <c r="D730" t="s">
        <v>97</v>
      </c>
      <c r="E730" t="s">
        <v>79</v>
      </c>
      <c r="F730" cm="1">
        <f t="array" ref="F730">_xlfn.XLOOKUP(Food_Orders[[#This Row],[Event_No]],Event_Master[[#All],[Event_No]],Event_Master[[#All],[Guest_Count]],,0)</f>
        <v>750</v>
      </c>
      <c r="G730" cm="1">
        <f t="array" ref="G730">Food_Orders[[#This Row],[Quantity_Orderd]]*_xlfn.XLOOKUP(Food_Orders[[#This Row],[Food_ID]],Food_Catalog[[#All],[Food_ID]],Food_Catalog[[#All],[Price_Per_Unit]],0,0)</f>
        <v>22500</v>
      </c>
      <c r="H730" cm="1">
        <f t="array" ref="H730">Food_Orders[[#This Row],[Quantity_Orderd]]*_xlfn.XLOOKUP(Food_Orders[[#This Row],[Food_ID]],Food_Catalog[[#All],[Food_ID]],Food_Catalog[[#All],[Client_Price_Per_Unit]],0,0)</f>
        <v>27000</v>
      </c>
      <c r="I730">
        <f>Food_Orders[[#This Row],[Client_Price]]-Food_Orders[[#This Row],[Cost]]</f>
        <v>4500</v>
      </c>
    </row>
    <row r="731" spans="1:9" x14ac:dyDescent="0.25">
      <c r="A731">
        <v>30</v>
      </c>
      <c r="B731" t="s">
        <v>88</v>
      </c>
      <c r="C731" t="s">
        <v>83</v>
      </c>
      <c r="D731" t="s">
        <v>89</v>
      </c>
      <c r="E731" t="s">
        <v>85</v>
      </c>
      <c r="F731" cm="1">
        <f t="array" ref="F731">_xlfn.XLOOKUP(Food_Orders[[#This Row],[Event_No]],Event_Master[[#All],[Event_No]],Event_Master[[#All],[Guest_Count]],,0)</f>
        <v>750</v>
      </c>
      <c r="G731" cm="1">
        <f t="array" ref="G731">Food_Orders[[#This Row],[Quantity_Orderd]]*_xlfn.XLOOKUP(Food_Orders[[#This Row],[Food_ID]],Food_Catalog[[#All],[Food_ID]],Food_Catalog[[#All],[Price_Per_Unit]],0,0)</f>
        <v>11250</v>
      </c>
      <c r="H731" cm="1">
        <f t="array" ref="H731">Food_Orders[[#This Row],[Quantity_Orderd]]*_xlfn.XLOOKUP(Food_Orders[[#This Row],[Food_ID]],Food_Catalog[[#All],[Food_ID]],Food_Catalog[[#All],[Client_Price_Per_Unit]],0,0)</f>
        <v>13500</v>
      </c>
      <c r="I731">
        <f>Food_Orders[[#This Row],[Client_Price]]-Food_Orders[[#This Row],[Cost]]</f>
        <v>2250</v>
      </c>
    </row>
    <row r="732" spans="1:9" x14ac:dyDescent="0.25">
      <c r="A732">
        <v>30</v>
      </c>
      <c r="B732" t="s">
        <v>92</v>
      </c>
      <c r="C732" t="s">
        <v>83</v>
      </c>
      <c r="D732" t="s">
        <v>93</v>
      </c>
      <c r="E732" t="s">
        <v>85</v>
      </c>
      <c r="F732" cm="1">
        <f t="array" ref="F732">_xlfn.XLOOKUP(Food_Orders[[#This Row],[Event_No]],Event_Master[[#All],[Event_No]],Event_Master[[#All],[Guest_Count]],,0)</f>
        <v>750</v>
      </c>
      <c r="G732" cm="1">
        <f t="array" ref="G732">Food_Orders[[#This Row],[Quantity_Orderd]]*_xlfn.XLOOKUP(Food_Orders[[#This Row],[Food_ID]],Food_Catalog[[#All],[Food_ID]],Food_Catalog[[#All],[Price_Per_Unit]],0,0)</f>
        <v>11250</v>
      </c>
      <c r="H732" cm="1">
        <f t="array" ref="H732">Food_Orders[[#This Row],[Quantity_Orderd]]*_xlfn.XLOOKUP(Food_Orders[[#This Row],[Food_ID]],Food_Catalog[[#All],[Food_ID]],Food_Catalog[[#All],[Client_Price_Per_Unit]],0,0)</f>
        <v>13500</v>
      </c>
      <c r="I732">
        <f>Food_Orders[[#This Row],[Client_Price]]-Food_Orders[[#This Row],[Cost]]</f>
        <v>2250</v>
      </c>
    </row>
    <row r="733" spans="1:9" x14ac:dyDescent="0.25">
      <c r="A733">
        <v>30</v>
      </c>
      <c r="B733" t="s">
        <v>98</v>
      </c>
      <c r="C733" t="s">
        <v>83</v>
      </c>
      <c r="D733" t="s">
        <v>99</v>
      </c>
      <c r="E733" t="s">
        <v>85</v>
      </c>
      <c r="F733" cm="1">
        <f t="array" ref="F733">_xlfn.XLOOKUP(Food_Orders[[#This Row],[Event_No]],Event_Master[[#All],[Event_No]],Event_Master[[#All],[Guest_Count]],,0)</f>
        <v>750</v>
      </c>
      <c r="G733" cm="1">
        <f t="array" ref="G733">Food_Orders[[#This Row],[Quantity_Orderd]]*_xlfn.XLOOKUP(Food_Orders[[#This Row],[Food_ID]],Food_Catalog[[#All],[Food_ID]],Food_Catalog[[#All],[Price_Per_Unit]],0,0)</f>
        <v>11250</v>
      </c>
      <c r="H733" cm="1">
        <f t="array" ref="H733">Food_Orders[[#This Row],[Quantity_Orderd]]*_xlfn.XLOOKUP(Food_Orders[[#This Row],[Food_ID]],Food_Catalog[[#All],[Food_ID]],Food_Catalog[[#All],[Client_Price_Per_Unit]],0,0)</f>
        <v>13500</v>
      </c>
      <c r="I733">
        <f>Food_Orders[[#This Row],[Client_Price]]-Food_Orders[[#This Row],[Cost]]</f>
        <v>2250</v>
      </c>
    </row>
    <row r="734" spans="1:9" x14ac:dyDescent="0.25">
      <c r="A734">
        <v>30</v>
      </c>
      <c r="B734" t="s">
        <v>104</v>
      </c>
      <c r="C734" t="s">
        <v>105</v>
      </c>
      <c r="D734" t="s">
        <v>106</v>
      </c>
      <c r="E734" t="s">
        <v>107</v>
      </c>
      <c r="F734" cm="1">
        <f t="array" ref="F734">_xlfn.XLOOKUP(Food_Orders[[#This Row],[Event_No]],Event_Master[[#All],[Event_No]],Event_Master[[#All],[Guest_Count]],,0)</f>
        <v>750</v>
      </c>
      <c r="G734" cm="1">
        <f t="array" ref="G734">Food_Orders[[#This Row],[Quantity_Orderd]]*_xlfn.XLOOKUP(Food_Orders[[#This Row],[Food_ID]],Food_Catalog[[#All],[Food_ID]],Food_Catalog[[#All],[Price_Per_Unit]],0,0)</f>
        <v>7500</v>
      </c>
      <c r="H734" cm="1">
        <f t="array" ref="H734">Food_Orders[[#This Row],[Quantity_Orderd]]*_xlfn.XLOOKUP(Food_Orders[[#This Row],[Food_ID]],Food_Catalog[[#All],[Food_ID]],Food_Catalog[[#All],[Client_Price_Per_Unit]],0,0)</f>
        <v>9000</v>
      </c>
      <c r="I734">
        <f>Food_Orders[[#This Row],[Client_Price]]-Food_Orders[[#This Row],[Cost]]</f>
        <v>1500</v>
      </c>
    </row>
    <row r="735" spans="1:9" x14ac:dyDescent="0.25">
      <c r="A735">
        <v>30</v>
      </c>
      <c r="B735" t="s">
        <v>108</v>
      </c>
      <c r="C735" t="s">
        <v>105</v>
      </c>
      <c r="D735" t="s">
        <v>109</v>
      </c>
      <c r="E735" t="s">
        <v>107</v>
      </c>
      <c r="F735" cm="1">
        <f t="array" ref="F735">_xlfn.XLOOKUP(Food_Orders[[#This Row],[Event_No]],Event_Master[[#All],[Event_No]],Event_Master[[#All],[Guest_Count]],,0)</f>
        <v>750</v>
      </c>
      <c r="G735" cm="1">
        <f t="array" ref="G735">Food_Orders[[#This Row],[Quantity_Orderd]]*_xlfn.XLOOKUP(Food_Orders[[#This Row],[Food_ID]],Food_Catalog[[#All],[Food_ID]],Food_Catalog[[#All],[Price_Per_Unit]],0,0)</f>
        <v>11250</v>
      </c>
      <c r="H735" cm="1">
        <f t="array" ref="H735">Food_Orders[[#This Row],[Quantity_Orderd]]*_xlfn.XLOOKUP(Food_Orders[[#This Row],[Food_ID]],Food_Catalog[[#All],[Food_ID]],Food_Catalog[[#All],[Client_Price_Per_Unit]],0,0)</f>
        <v>13500</v>
      </c>
      <c r="I735">
        <f>Food_Orders[[#This Row],[Client_Price]]-Food_Orders[[#This Row],[Cost]]</f>
        <v>2250</v>
      </c>
    </row>
    <row r="736" spans="1:9" x14ac:dyDescent="0.25">
      <c r="A736">
        <v>30</v>
      </c>
      <c r="B736" t="s">
        <v>118</v>
      </c>
      <c r="C736" t="s">
        <v>119</v>
      </c>
      <c r="D736" t="s">
        <v>120</v>
      </c>
      <c r="E736" t="s">
        <v>112</v>
      </c>
      <c r="F736" cm="1">
        <f t="array" ref="F736">_xlfn.XLOOKUP(Food_Orders[[#This Row],[Event_No]],Event_Master[[#All],[Event_No]],Event_Master[[#All],[Guest_Count]],,0)</f>
        <v>750</v>
      </c>
      <c r="G736" cm="1">
        <f t="array" ref="G736">Food_Orders[[#This Row],[Quantity_Orderd]]*_xlfn.XLOOKUP(Food_Orders[[#This Row],[Food_ID]],Food_Catalog[[#All],[Food_ID]],Food_Catalog[[#All],[Price_Per_Unit]],0,0)</f>
        <v>7500</v>
      </c>
      <c r="H736" cm="1">
        <f t="array" ref="H736">Food_Orders[[#This Row],[Quantity_Orderd]]*_xlfn.XLOOKUP(Food_Orders[[#This Row],[Food_ID]],Food_Catalog[[#All],[Food_ID]],Food_Catalog[[#All],[Client_Price_Per_Unit]],0,0)</f>
        <v>9000</v>
      </c>
      <c r="I736">
        <f>Food_Orders[[#This Row],[Client_Price]]-Food_Orders[[#This Row],[Cost]]</f>
        <v>1500</v>
      </c>
    </row>
    <row r="737" spans="1:9" x14ac:dyDescent="0.25">
      <c r="A737">
        <v>30</v>
      </c>
      <c r="B737" t="s">
        <v>129</v>
      </c>
      <c r="C737" t="s">
        <v>119</v>
      </c>
      <c r="D737" t="s">
        <v>130</v>
      </c>
      <c r="E737" t="s">
        <v>112</v>
      </c>
      <c r="F737" cm="1">
        <f t="array" ref="F737">_xlfn.XLOOKUP(Food_Orders[[#This Row],[Event_No]],Event_Master[[#All],[Event_No]],Event_Master[[#All],[Guest_Count]],,0)</f>
        <v>750</v>
      </c>
      <c r="G737" cm="1">
        <f t="array" ref="G737">Food_Orders[[#This Row],[Quantity_Orderd]]*_xlfn.XLOOKUP(Food_Orders[[#This Row],[Food_ID]],Food_Catalog[[#All],[Food_ID]],Food_Catalog[[#All],[Price_Per_Unit]],0,0)</f>
        <v>7500</v>
      </c>
      <c r="H737" cm="1">
        <f t="array" ref="H737">Food_Orders[[#This Row],[Quantity_Orderd]]*_xlfn.XLOOKUP(Food_Orders[[#This Row],[Food_ID]],Food_Catalog[[#All],[Food_ID]],Food_Catalog[[#All],[Client_Price_Per_Unit]],0,0)</f>
        <v>9000</v>
      </c>
      <c r="I737">
        <f>Food_Orders[[#This Row],[Client_Price]]-Food_Orders[[#This Row],[Cost]]</f>
        <v>1500</v>
      </c>
    </row>
    <row r="738" spans="1:9" x14ac:dyDescent="0.25">
      <c r="A738">
        <v>30</v>
      </c>
      <c r="B738" t="s">
        <v>127</v>
      </c>
      <c r="C738" t="s">
        <v>119</v>
      </c>
      <c r="D738" t="s">
        <v>128</v>
      </c>
      <c r="E738" t="s">
        <v>107</v>
      </c>
      <c r="F738" cm="1">
        <f t="array" ref="F738">_xlfn.XLOOKUP(Food_Orders[[#This Row],[Event_No]],Event_Master[[#All],[Event_No]],Event_Master[[#All],[Guest_Count]],,0)</f>
        <v>750</v>
      </c>
      <c r="G738" cm="1">
        <f t="array" ref="G738">Food_Orders[[#This Row],[Quantity_Orderd]]*_xlfn.XLOOKUP(Food_Orders[[#This Row],[Food_ID]],Food_Catalog[[#All],[Food_ID]],Food_Catalog[[#All],[Price_Per_Unit]],0,0)</f>
        <v>15000</v>
      </c>
      <c r="H738" cm="1">
        <f t="array" ref="H738">Food_Orders[[#This Row],[Quantity_Orderd]]*_xlfn.XLOOKUP(Food_Orders[[#This Row],[Food_ID]],Food_Catalog[[#All],[Food_ID]],Food_Catalog[[#All],[Client_Price_Per_Unit]],0,0)</f>
        <v>18000</v>
      </c>
      <c r="I738">
        <f>Food_Orders[[#This Row],[Client_Price]]-Food_Orders[[#This Row],[Cost]]</f>
        <v>3000</v>
      </c>
    </row>
    <row r="739" spans="1:9" x14ac:dyDescent="0.25">
      <c r="A739">
        <v>31</v>
      </c>
      <c r="B739" t="s">
        <v>63</v>
      </c>
      <c r="C739" t="s">
        <v>61</v>
      </c>
      <c r="D739" t="s">
        <v>64</v>
      </c>
      <c r="E739" t="s">
        <v>10</v>
      </c>
      <c r="F739" cm="1">
        <f t="array" ref="F739">_xlfn.XLOOKUP(Food_Orders[[#This Row],[Event_No]],Event_Master[[#All],[Event_No]],Event_Master[[#All],[Guest_Count]],,0)</f>
        <v>600</v>
      </c>
      <c r="G739" cm="1">
        <f t="array" ref="G739">Food_Orders[[#This Row],[Quantity_Orderd]]*_xlfn.XLOOKUP(Food_Orders[[#This Row],[Food_ID]],Food_Catalog[[#All],[Food_ID]],Food_Catalog[[#All],[Price_Per_Unit]],0,0)</f>
        <v>18000</v>
      </c>
      <c r="H739" cm="1">
        <f t="array" ref="H739">Food_Orders[[#This Row],[Quantity_Orderd]]*_xlfn.XLOOKUP(Food_Orders[[#This Row],[Food_ID]],Food_Catalog[[#All],[Food_ID]],Food_Catalog[[#All],[Client_Price_Per_Unit]],0,0)</f>
        <v>21600</v>
      </c>
      <c r="I739">
        <f>Food_Orders[[#This Row],[Client_Price]]-Food_Orders[[#This Row],[Cost]]</f>
        <v>3600</v>
      </c>
    </row>
    <row r="740" spans="1:9" x14ac:dyDescent="0.25">
      <c r="A740">
        <v>31</v>
      </c>
      <c r="B740" t="s">
        <v>71</v>
      </c>
      <c r="C740" t="s">
        <v>61</v>
      </c>
      <c r="D740" t="s">
        <v>72</v>
      </c>
      <c r="E740" t="s">
        <v>10</v>
      </c>
      <c r="F740" cm="1">
        <f t="array" ref="F740">_xlfn.XLOOKUP(Food_Orders[[#This Row],[Event_No]],Event_Master[[#All],[Event_No]],Event_Master[[#All],[Guest_Count]],,0)</f>
        <v>600</v>
      </c>
      <c r="G740" cm="1">
        <f t="array" ref="G740">Food_Orders[[#This Row],[Quantity_Orderd]]*_xlfn.XLOOKUP(Food_Orders[[#This Row],[Food_ID]],Food_Catalog[[#All],[Food_ID]],Food_Catalog[[#All],[Price_Per_Unit]],0,0)</f>
        <v>15000</v>
      </c>
      <c r="H740" cm="1">
        <f t="array" ref="H740">Food_Orders[[#This Row],[Quantity_Orderd]]*_xlfn.XLOOKUP(Food_Orders[[#This Row],[Food_ID]],Food_Catalog[[#All],[Food_ID]],Food_Catalog[[#All],[Client_Price_Per_Unit]],0,0)</f>
        <v>18000</v>
      </c>
      <c r="I740">
        <f>Food_Orders[[#This Row],[Client_Price]]-Food_Orders[[#This Row],[Cost]]</f>
        <v>3000</v>
      </c>
    </row>
    <row r="741" spans="1:9" x14ac:dyDescent="0.25">
      <c r="A741">
        <v>31</v>
      </c>
      <c r="B741" t="s">
        <v>77</v>
      </c>
      <c r="C741" t="s">
        <v>61</v>
      </c>
      <c r="D741" t="s">
        <v>78</v>
      </c>
      <c r="E741" t="s">
        <v>79</v>
      </c>
      <c r="F741" cm="1">
        <f t="array" ref="F741">_xlfn.XLOOKUP(Food_Orders[[#This Row],[Event_No]],Event_Master[[#All],[Event_No]],Event_Master[[#All],[Guest_Count]],,0)</f>
        <v>600</v>
      </c>
      <c r="G741" cm="1">
        <f t="array" ref="G741">Food_Orders[[#This Row],[Quantity_Orderd]]*_xlfn.XLOOKUP(Food_Orders[[#This Row],[Food_ID]],Food_Catalog[[#All],[Food_ID]],Food_Catalog[[#All],[Price_Per_Unit]],0,0)</f>
        <v>21000</v>
      </c>
      <c r="H741" cm="1">
        <f t="array" ref="H741">Food_Orders[[#This Row],[Quantity_Orderd]]*_xlfn.XLOOKUP(Food_Orders[[#This Row],[Food_ID]],Food_Catalog[[#All],[Food_ID]],Food_Catalog[[#All],[Client_Price_Per_Unit]],0,0)</f>
        <v>25200</v>
      </c>
      <c r="I741">
        <f>Food_Orders[[#This Row],[Client_Price]]-Food_Orders[[#This Row],[Cost]]</f>
        <v>4200</v>
      </c>
    </row>
    <row r="742" spans="1:9" x14ac:dyDescent="0.25">
      <c r="A742">
        <v>31</v>
      </c>
      <c r="B742" t="s">
        <v>7</v>
      </c>
      <c r="C742" t="s">
        <v>8</v>
      </c>
      <c r="D742" t="s">
        <v>9</v>
      </c>
      <c r="E742" t="s">
        <v>10</v>
      </c>
      <c r="F742" cm="1">
        <f t="array" ref="F742">_xlfn.XLOOKUP(Food_Orders[[#This Row],[Event_No]],Event_Master[[#All],[Event_No]],Event_Master[[#All],[Guest_Count]],,0)</f>
        <v>600</v>
      </c>
      <c r="G742" cm="1">
        <f t="array" ref="G742">Food_Orders[[#This Row],[Quantity_Orderd]]*_xlfn.XLOOKUP(Food_Orders[[#This Row],[Food_ID]],Food_Catalog[[#All],[Food_ID]],Food_Catalog[[#All],[Price_Per_Unit]],0,0)</f>
        <v>15000</v>
      </c>
      <c r="H742" cm="1">
        <f t="array" ref="H742">Food_Orders[[#This Row],[Quantity_Orderd]]*_xlfn.XLOOKUP(Food_Orders[[#This Row],[Food_ID]],Food_Catalog[[#All],[Food_ID]],Food_Catalog[[#All],[Client_Price_Per_Unit]],0,0)</f>
        <v>18000</v>
      </c>
      <c r="I742">
        <f>Food_Orders[[#This Row],[Client_Price]]-Food_Orders[[#This Row],[Cost]]</f>
        <v>3000</v>
      </c>
    </row>
    <row r="743" spans="1:9" x14ac:dyDescent="0.25">
      <c r="A743">
        <v>31</v>
      </c>
      <c r="B743" t="s">
        <v>13</v>
      </c>
      <c r="C743" t="s">
        <v>8</v>
      </c>
      <c r="D743" t="s">
        <v>14</v>
      </c>
      <c r="E743" t="s">
        <v>10</v>
      </c>
      <c r="F743" cm="1">
        <f t="array" ref="F743">_xlfn.XLOOKUP(Food_Orders[[#This Row],[Event_No]],Event_Master[[#All],[Event_No]],Event_Master[[#All],[Guest_Count]],,0)</f>
        <v>600</v>
      </c>
      <c r="G743" cm="1">
        <f t="array" ref="G743">Food_Orders[[#This Row],[Quantity_Orderd]]*_xlfn.XLOOKUP(Food_Orders[[#This Row],[Food_ID]],Food_Catalog[[#All],[Food_ID]],Food_Catalog[[#All],[Price_Per_Unit]],0,0)</f>
        <v>21000</v>
      </c>
      <c r="H743" cm="1">
        <f t="array" ref="H743">Food_Orders[[#This Row],[Quantity_Orderd]]*_xlfn.XLOOKUP(Food_Orders[[#This Row],[Food_ID]],Food_Catalog[[#All],[Food_ID]],Food_Catalog[[#All],[Client_Price_Per_Unit]],0,0)</f>
        <v>25200</v>
      </c>
      <c r="I743">
        <f>Food_Orders[[#This Row],[Client_Price]]-Food_Orders[[#This Row],[Cost]]</f>
        <v>4200</v>
      </c>
    </row>
    <row r="744" spans="1:9" x14ac:dyDescent="0.25">
      <c r="A744">
        <v>31</v>
      </c>
      <c r="B744" t="s">
        <v>31</v>
      </c>
      <c r="C744" t="s">
        <v>8</v>
      </c>
      <c r="D744" t="s">
        <v>32</v>
      </c>
      <c r="E744" t="s">
        <v>10</v>
      </c>
      <c r="F744" cm="1">
        <f t="array" ref="F744">_xlfn.XLOOKUP(Food_Orders[[#This Row],[Event_No]],Event_Master[[#All],[Event_No]],Event_Master[[#All],[Guest_Count]],,0)</f>
        <v>600</v>
      </c>
      <c r="G744" cm="1">
        <f t="array" ref="G744">Food_Orders[[#This Row],[Quantity_Orderd]]*_xlfn.XLOOKUP(Food_Orders[[#This Row],[Food_ID]],Food_Catalog[[#All],[Food_ID]],Food_Catalog[[#All],[Price_Per_Unit]],0,0)</f>
        <v>18000</v>
      </c>
      <c r="H744" cm="1">
        <f t="array" ref="H744">Food_Orders[[#This Row],[Quantity_Orderd]]*_xlfn.XLOOKUP(Food_Orders[[#This Row],[Food_ID]],Food_Catalog[[#All],[Food_ID]],Food_Catalog[[#All],[Client_Price_Per_Unit]],0,0)</f>
        <v>21600</v>
      </c>
      <c r="I744">
        <f>Food_Orders[[#This Row],[Client_Price]]-Food_Orders[[#This Row],[Cost]]</f>
        <v>3600</v>
      </c>
    </row>
    <row r="745" spans="1:9" x14ac:dyDescent="0.25">
      <c r="A745">
        <v>31</v>
      </c>
      <c r="B745" t="s">
        <v>29</v>
      </c>
      <c r="C745" t="s">
        <v>8</v>
      </c>
      <c r="D745" t="s">
        <v>30</v>
      </c>
      <c r="E745" t="s">
        <v>10</v>
      </c>
      <c r="F745" cm="1">
        <f t="array" ref="F745">_xlfn.XLOOKUP(Food_Orders[[#This Row],[Event_No]],Event_Master[[#All],[Event_No]],Event_Master[[#All],[Guest_Count]],,0)</f>
        <v>600</v>
      </c>
      <c r="G745" cm="1">
        <f t="array" ref="G745">Food_Orders[[#This Row],[Quantity_Orderd]]*_xlfn.XLOOKUP(Food_Orders[[#This Row],[Food_ID]],Food_Catalog[[#All],[Food_ID]],Food_Catalog[[#All],[Price_Per_Unit]],0,0)</f>
        <v>18000</v>
      </c>
      <c r="H745" cm="1">
        <f t="array" ref="H745">Food_Orders[[#This Row],[Quantity_Orderd]]*_xlfn.XLOOKUP(Food_Orders[[#This Row],[Food_ID]],Food_Catalog[[#All],[Food_ID]],Food_Catalog[[#All],[Client_Price_Per_Unit]],0,0)</f>
        <v>21600</v>
      </c>
      <c r="I745">
        <f>Food_Orders[[#This Row],[Client_Price]]-Food_Orders[[#This Row],[Cost]]</f>
        <v>3600</v>
      </c>
    </row>
    <row r="746" spans="1:9" x14ac:dyDescent="0.25">
      <c r="A746">
        <v>31</v>
      </c>
      <c r="B746" t="s">
        <v>37</v>
      </c>
      <c r="C746" t="s">
        <v>8</v>
      </c>
      <c r="D746" t="s">
        <v>38</v>
      </c>
      <c r="E746" t="s">
        <v>10</v>
      </c>
      <c r="F746" cm="1">
        <f t="array" ref="F746">_xlfn.XLOOKUP(Food_Orders[[#This Row],[Event_No]],Event_Master[[#All],[Event_No]],Event_Master[[#All],[Guest_Count]],,0)</f>
        <v>600</v>
      </c>
      <c r="G746" cm="1">
        <f t="array" ref="G746">Food_Orders[[#This Row],[Quantity_Orderd]]*_xlfn.XLOOKUP(Food_Orders[[#This Row],[Food_ID]],Food_Catalog[[#All],[Food_ID]],Food_Catalog[[#All],[Price_Per_Unit]],0,0)</f>
        <v>15000</v>
      </c>
      <c r="H746" cm="1">
        <f t="array" ref="H746">Food_Orders[[#This Row],[Quantity_Orderd]]*_xlfn.XLOOKUP(Food_Orders[[#This Row],[Food_ID]],Food_Catalog[[#All],[Food_ID]],Food_Catalog[[#All],[Client_Price_Per_Unit]],0,0)</f>
        <v>18000</v>
      </c>
      <c r="I746">
        <f>Food_Orders[[#This Row],[Client_Price]]-Food_Orders[[#This Row],[Cost]]</f>
        <v>3000</v>
      </c>
    </row>
    <row r="747" spans="1:9" x14ac:dyDescent="0.25">
      <c r="A747">
        <v>31</v>
      </c>
      <c r="B747" t="s">
        <v>82</v>
      </c>
      <c r="C747" t="s">
        <v>83</v>
      </c>
      <c r="D747" t="s">
        <v>84</v>
      </c>
      <c r="E747" t="s">
        <v>85</v>
      </c>
      <c r="F747" cm="1">
        <f t="array" ref="F747">_xlfn.XLOOKUP(Food_Orders[[#This Row],[Event_No]],Event_Master[[#All],[Event_No]],Event_Master[[#All],[Guest_Count]],,0)</f>
        <v>600</v>
      </c>
      <c r="G747" cm="1">
        <f t="array" ref="G747">Food_Orders[[#This Row],[Quantity_Orderd]]*_xlfn.XLOOKUP(Food_Orders[[#This Row],[Food_ID]],Food_Catalog[[#All],[Food_ID]],Food_Catalog[[#All],[Price_Per_Unit]],0,0)</f>
        <v>12000</v>
      </c>
      <c r="H747" cm="1">
        <f t="array" ref="H747">Food_Orders[[#This Row],[Quantity_Orderd]]*_xlfn.XLOOKUP(Food_Orders[[#This Row],[Food_ID]],Food_Catalog[[#All],[Food_ID]],Food_Catalog[[#All],[Client_Price_Per_Unit]],0,0)</f>
        <v>14400</v>
      </c>
      <c r="I747">
        <f>Food_Orders[[#This Row],[Client_Price]]-Food_Orders[[#This Row],[Cost]]</f>
        <v>2400</v>
      </c>
    </row>
    <row r="748" spans="1:9" x14ac:dyDescent="0.25">
      <c r="A748">
        <v>31</v>
      </c>
      <c r="B748" t="s">
        <v>86</v>
      </c>
      <c r="C748" t="s">
        <v>83</v>
      </c>
      <c r="D748" t="s">
        <v>87</v>
      </c>
      <c r="E748" t="s">
        <v>85</v>
      </c>
      <c r="F748" cm="1">
        <f t="array" ref="F748">_xlfn.XLOOKUP(Food_Orders[[#This Row],[Event_No]],Event_Master[[#All],[Event_No]],Event_Master[[#All],[Guest_Count]],,0)</f>
        <v>600</v>
      </c>
      <c r="G748" cm="1">
        <f t="array" ref="G748">Food_Orders[[#This Row],[Quantity_Orderd]]*_xlfn.XLOOKUP(Food_Orders[[#This Row],[Food_ID]],Food_Catalog[[#All],[Food_ID]],Food_Catalog[[#All],[Price_Per_Unit]],0,0)</f>
        <v>12000</v>
      </c>
      <c r="H748" cm="1">
        <f t="array" ref="H748">Food_Orders[[#This Row],[Quantity_Orderd]]*_xlfn.XLOOKUP(Food_Orders[[#This Row],[Food_ID]],Food_Catalog[[#All],[Food_ID]],Food_Catalog[[#All],[Client_Price_Per_Unit]],0,0)</f>
        <v>14400</v>
      </c>
      <c r="I748">
        <f>Food_Orders[[#This Row],[Client_Price]]-Food_Orders[[#This Row],[Cost]]</f>
        <v>2400</v>
      </c>
    </row>
    <row r="749" spans="1:9" x14ac:dyDescent="0.25">
      <c r="A749">
        <v>31</v>
      </c>
      <c r="B749" t="s">
        <v>96</v>
      </c>
      <c r="C749" t="s">
        <v>83</v>
      </c>
      <c r="D749" t="s">
        <v>97</v>
      </c>
      <c r="E749" t="s">
        <v>79</v>
      </c>
      <c r="F749" cm="1">
        <f t="array" ref="F749">_xlfn.XLOOKUP(Food_Orders[[#This Row],[Event_No]],Event_Master[[#All],[Event_No]],Event_Master[[#All],[Guest_Count]],,0)</f>
        <v>600</v>
      </c>
      <c r="G749" cm="1">
        <f t="array" ref="G749">Food_Orders[[#This Row],[Quantity_Orderd]]*_xlfn.XLOOKUP(Food_Orders[[#This Row],[Food_ID]],Food_Catalog[[#All],[Food_ID]],Food_Catalog[[#All],[Price_Per_Unit]],0,0)</f>
        <v>18000</v>
      </c>
      <c r="H749" cm="1">
        <f t="array" ref="H749">Food_Orders[[#This Row],[Quantity_Orderd]]*_xlfn.XLOOKUP(Food_Orders[[#This Row],[Food_ID]],Food_Catalog[[#All],[Food_ID]],Food_Catalog[[#All],[Client_Price_Per_Unit]],0,0)</f>
        <v>21600</v>
      </c>
      <c r="I749">
        <f>Food_Orders[[#This Row],[Client_Price]]-Food_Orders[[#This Row],[Cost]]</f>
        <v>3600</v>
      </c>
    </row>
    <row r="750" spans="1:9" x14ac:dyDescent="0.25">
      <c r="A750">
        <v>31</v>
      </c>
      <c r="B750" t="s">
        <v>88</v>
      </c>
      <c r="C750" t="s">
        <v>83</v>
      </c>
      <c r="D750" t="s">
        <v>89</v>
      </c>
      <c r="E750" t="s">
        <v>85</v>
      </c>
      <c r="F750" cm="1">
        <f t="array" ref="F750">_xlfn.XLOOKUP(Food_Orders[[#This Row],[Event_No]],Event_Master[[#All],[Event_No]],Event_Master[[#All],[Guest_Count]],,0)</f>
        <v>600</v>
      </c>
      <c r="G750" cm="1">
        <f t="array" ref="G750">Food_Orders[[#This Row],[Quantity_Orderd]]*_xlfn.XLOOKUP(Food_Orders[[#This Row],[Food_ID]],Food_Catalog[[#All],[Food_ID]],Food_Catalog[[#All],[Price_Per_Unit]],0,0)</f>
        <v>9000</v>
      </c>
      <c r="H750" cm="1">
        <f t="array" ref="H750">Food_Orders[[#This Row],[Quantity_Orderd]]*_xlfn.XLOOKUP(Food_Orders[[#This Row],[Food_ID]],Food_Catalog[[#All],[Food_ID]],Food_Catalog[[#All],[Client_Price_Per_Unit]],0,0)</f>
        <v>10800</v>
      </c>
      <c r="I750">
        <f>Food_Orders[[#This Row],[Client_Price]]-Food_Orders[[#This Row],[Cost]]</f>
        <v>1800</v>
      </c>
    </row>
    <row r="751" spans="1:9" x14ac:dyDescent="0.25">
      <c r="A751">
        <v>31</v>
      </c>
      <c r="B751" t="s">
        <v>118</v>
      </c>
      <c r="C751" t="s">
        <v>119</v>
      </c>
      <c r="D751" t="s">
        <v>120</v>
      </c>
      <c r="E751" t="s">
        <v>112</v>
      </c>
      <c r="F751" cm="1">
        <f t="array" ref="F751">_xlfn.XLOOKUP(Food_Orders[[#This Row],[Event_No]],Event_Master[[#All],[Event_No]],Event_Master[[#All],[Guest_Count]],,0)</f>
        <v>600</v>
      </c>
      <c r="G751" cm="1">
        <f t="array" ref="G751">Food_Orders[[#This Row],[Quantity_Orderd]]*_xlfn.XLOOKUP(Food_Orders[[#This Row],[Food_ID]],Food_Catalog[[#All],[Food_ID]],Food_Catalog[[#All],[Price_Per_Unit]],0,0)</f>
        <v>6000</v>
      </c>
      <c r="H751" cm="1">
        <f t="array" ref="H751">Food_Orders[[#This Row],[Quantity_Orderd]]*_xlfn.XLOOKUP(Food_Orders[[#This Row],[Food_ID]],Food_Catalog[[#All],[Food_ID]],Food_Catalog[[#All],[Client_Price_Per_Unit]],0,0)</f>
        <v>7200</v>
      </c>
      <c r="I751">
        <f>Food_Orders[[#This Row],[Client_Price]]-Food_Orders[[#This Row],[Cost]]</f>
        <v>1200</v>
      </c>
    </row>
    <row r="752" spans="1:9" x14ac:dyDescent="0.25">
      <c r="A752">
        <v>31</v>
      </c>
      <c r="B752" t="s">
        <v>104</v>
      </c>
      <c r="C752" t="s">
        <v>105</v>
      </c>
      <c r="D752" t="s">
        <v>106</v>
      </c>
      <c r="E752" t="s">
        <v>107</v>
      </c>
      <c r="F752" cm="1">
        <f t="array" ref="F752">_xlfn.XLOOKUP(Food_Orders[[#This Row],[Event_No]],Event_Master[[#All],[Event_No]],Event_Master[[#All],[Guest_Count]],,0)</f>
        <v>600</v>
      </c>
      <c r="G752" cm="1">
        <f t="array" ref="G752">Food_Orders[[#This Row],[Quantity_Orderd]]*_xlfn.XLOOKUP(Food_Orders[[#This Row],[Food_ID]],Food_Catalog[[#All],[Food_ID]],Food_Catalog[[#All],[Price_Per_Unit]],0,0)</f>
        <v>6000</v>
      </c>
      <c r="H752" cm="1">
        <f t="array" ref="H752">Food_Orders[[#This Row],[Quantity_Orderd]]*_xlfn.XLOOKUP(Food_Orders[[#This Row],[Food_ID]],Food_Catalog[[#All],[Food_ID]],Food_Catalog[[#All],[Client_Price_Per_Unit]],0,0)</f>
        <v>7200</v>
      </c>
      <c r="I752">
        <f>Food_Orders[[#This Row],[Client_Price]]-Food_Orders[[#This Row],[Cost]]</f>
        <v>1200</v>
      </c>
    </row>
    <row r="753" spans="1:9" x14ac:dyDescent="0.25">
      <c r="A753">
        <v>32</v>
      </c>
      <c r="B753" t="s">
        <v>118</v>
      </c>
      <c r="C753" t="s">
        <v>119</v>
      </c>
      <c r="D753" t="s">
        <v>120</v>
      </c>
      <c r="E753" t="s">
        <v>112</v>
      </c>
      <c r="F753" cm="1">
        <f t="array" ref="F753">_xlfn.XLOOKUP(Food_Orders[[#This Row],[Event_No]],Event_Master[[#All],[Event_No]],Event_Master[[#All],[Guest_Count]],,0)</f>
        <v>400</v>
      </c>
      <c r="G753" cm="1">
        <f t="array" ref="G753">Food_Orders[[#This Row],[Quantity_Orderd]]*_xlfn.XLOOKUP(Food_Orders[[#This Row],[Food_ID]],Food_Catalog[[#All],[Food_ID]],Food_Catalog[[#All],[Price_Per_Unit]],0,0)</f>
        <v>4000</v>
      </c>
      <c r="H753" cm="1">
        <f t="array" ref="H753">Food_Orders[[#This Row],[Quantity_Orderd]]*_xlfn.XLOOKUP(Food_Orders[[#This Row],[Food_ID]],Food_Catalog[[#All],[Food_ID]],Food_Catalog[[#All],[Client_Price_Per_Unit]],0,0)</f>
        <v>4800</v>
      </c>
      <c r="I753">
        <f>Food_Orders[[#This Row],[Client_Price]]-Food_Orders[[#This Row],[Cost]]</f>
        <v>800</v>
      </c>
    </row>
    <row r="754" spans="1:9" x14ac:dyDescent="0.25">
      <c r="A754">
        <v>32</v>
      </c>
      <c r="B754" t="s">
        <v>129</v>
      </c>
      <c r="C754" t="s">
        <v>119</v>
      </c>
      <c r="D754" t="s">
        <v>130</v>
      </c>
      <c r="E754" t="s">
        <v>112</v>
      </c>
      <c r="F754" cm="1">
        <f t="array" ref="F754">_xlfn.XLOOKUP(Food_Orders[[#This Row],[Event_No]],Event_Master[[#All],[Event_No]],Event_Master[[#All],[Guest_Count]],,0)</f>
        <v>400</v>
      </c>
      <c r="G754" cm="1">
        <f t="array" ref="G754">Food_Orders[[#This Row],[Quantity_Orderd]]*_xlfn.XLOOKUP(Food_Orders[[#This Row],[Food_ID]],Food_Catalog[[#All],[Food_ID]],Food_Catalog[[#All],[Price_Per_Unit]],0,0)</f>
        <v>4000</v>
      </c>
      <c r="H754" cm="1">
        <f t="array" ref="H754">Food_Orders[[#This Row],[Quantity_Orderd]]*_xlfn.XLOOKUP(Food_Orders[[#This Row],[Food_ID]],Food_Catalog[[#All],[Food_ID]],Food_Catalog[[#All],[Client_Price_Per_Unit]],0,0)</f>
        <v>4800</v>
      </c>
      <c r="I754">
        <f>Food_Orders[[#This Row],[Client_Price]]-Food_Orders[[#This Row],[Cost]]</f>
        <v>800</v>
      </c>
    </row>
    <row r="755" spans="1:9" x14ac:dyDescent="0.25">
      <c r="A755">
        <v>32</v>
      </c>
      <c r="B755" t="s">
        <v>104</v>
      </c>
      <c r="C755" t="s">
        <v>105</v>
      </c>
      <c r="D755" t="s">
        <v>106</v>
      </c>
      <c r="E755" t="s">
        <v>107</v>
      </c>
      <c r="F755" cm="1">
        <f t="array" ref="F755">_xlfn.XLOOKUP(Food_Orders[[#This Row],[Event_No]],Event_Master[[#All],[Event_No]],Event_Master[[#All],[Guest_Count]],,0)</f>
        <v>400</v>
      </c>
      <c r="G755" cm="1">
        <f t="array" ref="G755">Food_Orders[[#This Row],[Quantity_Orderd]]*_xlfn.XLOOKUP(Food_Orders[[#This Row],[Food_ID]],Food_Catalog[[#All],[Food_ID]],Food_Catalog[[#All],[Price_Per_Unit]],0,0)</f>
        <v>4000</v>
      </c>
      <c r="H755" cm="1">
        <f t="array" ref="H755">Food_Orders[[#This Row],[Quantity_Orderd]]*_xlfn.XLOOKUP(Food_Orders[[#This Row],[Food_ID]],Food_Catalog[[#All],[Food_ID]],Food_Catalog[[#All],[Client_Price_Per_Unit]],0,0)</f>
        <v>4800</v>
      </c>
      <c r="I755">
        <f>Food_Orders[[#This Row],[Client_Price]]-Food_Orders[[#This Row],[Cost]]</f>
        <v>800</v>
      </c>
    </row>
    <row r="756" spans="1:9" x14ac:dyDescent="0.25">
      <c r="A756">
        <v>32</v>
      </c>
      <c r="B756" t="s">
        <v>108</v>
      </c>
      <c r="C756" t="s">
        <v>105</v>
      </c>
      <c r="D756" t="s">
        <v>109</v>
      </c>
      <c r="E756" t="s">
        <v>107</v>
      </c>
      <c r="F756" cm="1">
        <f t="array" ref="F756">_xlfn.XLOOKUP(Food_Orders[[#This Row],[Event_No]],Event_Master[[#All],[Event_No]],Event_Master[[#All],[Guest_Count]],,0)</f>
        <v>400</v>
      </c>
      <c r="G756" cm="1">
        <f t="array" ref="G756">Food_Orders[[#This Row],[Quantity_Orderd]]*_xlfn.XLOOKUP(Food_Orders[[#This Row],[Food_ID]],Food_Catalog[[#All],[Food_ID]],Food_Catalog[[#All],[Price_Per_Unit]],0,0)</f>
        <v>6000</v>
      </c>
      <c r="H756" cm="1">
        <f t="array" ref="H756">Food_Orders[[#This Row],[Quantity_Orderd]]*_xlfn.XLOOKUP(Food_Orders[[#This Row],[Food_ID]],Food_Catalog[[#All],[Food_ID]],Food_Catalog[[#All],[Client_Price_Per_Unit]],0,0)</f>
        <v>7200</v>
      </c>
      <c r="I756">
        <f>Food_Orders[[#This Row],[Client_Price]]-Food_Orders[[#This Row],[Cost]]</f>
        <v>1200</v>
      </c>
    </row>
    <row r="757" spans="1:9" x14ac:dyDescent="0.25">
      <c r="A757">
        <v>32</v>
      </c>
      <c r="B757" t="s">
        <v>127</v>
      </c>
      <c r="C757" t="s">
        <v>119</v>
      </c>
      <c r="D757" t="s">
        <v>128</v>
      </c>
      <c r="E757" t="s">
        <v>107</v>
      </c>
      <c r="F757" cm="1">
        <f t="array" ref="F757">_xlfn.XLOOKUP(Food_Orders[[#This Row],[Event_No]],Event_Master[[#All],[Event_No]],Event_Master[[#All],[Guest_Count]],,0)</f>
        <v>400</v>
      </c>
      <c r="G757" cm="1">
        <f t="array" ref="G757">Food_Orders[[#This Row],[Quantity_Orderd]]*_xlfn.XLOOKUP(Food_Orders[[#This Row],[Food_ID]],Food_Catalog[[#All],[Food_ID]],Food_Catalog[[#All],[Price_Per_Unit]],0,0)</f>
        <v>8000</v>
      </c>
      <c r="H757" cm="1">
        <f t="array" ref="H757">Food_Orders[[#This Row],[Quantity_Orderd]]*_xlfn.XLOOKUP(Food_Orders[[#This Row],[Food_ID]],Food_Catalog[[#All],[Food_ID]],Food_Catalog[[#All],[Client_Price_Per_Unit]],0,0)</f>
        <v>9600</v>
      </c>
      <c r="I757">
        <f>Food_Orders[[#This Row],[Client_Price]]-Food_Orders[[#This Row],[Cost]]</f>
        <v>1600</v>
      </c>
    </row>
    <row r="758" spans="1:9" x14ac:dyDescent="0.25">
      <c r="A758">
        <v>32</v>
      </c>
      <c r="B758" t="s">
        <v>121</v>
      </c>
      <c r="C758" t="s">
        <v>119</v>
      </c>
      <c r="D758" t="s">
        <v>122</v>
      </c>
      <c r="E758" t="s">
        <v>123</v>
      </c>
      <c r="F758" cm="1">
        <f t="array" ref="F758">_xlfn.XLOOKUP(Food_Orders[[#This Row],[Event_No]],Event_Master[[#All],[Event_No]],Event_Master[[#All],[Guest_Count]],,0)</f>
        <v>400</v>
      </c>
      <c r="G758" cm="1">
        <f t="array" ref="G758">Food_Orders[[#This Row],[Quantity_Orderd]]*_xlfn.XLOOKUP(Food_Orders[[#This Row],[Food_ID]],Food_Catalog[[#All],[Food_ID]],Food_Catalog[[#All],[Price_Per_Unit]],0,0)</f>
        <v>4000</v>
      </c>
      <c r="H758" cm="1">
        <f t="array" ref="H758">Food_Orders[[#This Row],[Quantity_Orderd]]*_xlfn.XLOOKUP(Food_Orders[[#This Row],[Food_ID]],Food_Catalog[[#All],[Food_ID]],Food_Catalog[[#All],[Client_Price_Per_Unit]],0,0)</f>
        <v>4800</v>
      </c>
      <c r="I758">
        <f>Food_Orders[[#This Row],[Client_Price]]-Food_Orders[[#This Row],[Cost]]</f>
        <v>800</v>
      </c>
    </row>
    <row r="759" spans="1:9" x14ac:dyDescent="0.25">
      <c r="A759">
        <v>32</v>
      </c>
      <c r="B759" t="s">
        <v>124</v>
      </c>
      <c r="C759" t="s">
        <v>119</v>
      </c>
      <c r="D759" t="s">
        <v>125</v>
      </c>
      <c r="E759" t="s">
        <v>126</v>
      </c>
      <c r="F759" cm="1">
        <f t="array" ref="F759">_xlfn.XLOOKUP(Food_Orders[[#This Row],[Event_No]],Event_Master[[#All],[Event_No]],Event_Master[[#All],[Guest_Count]],,0)</f>
        <v>400</v>
      </c>
      <c r="G759" cm="1">
        <f t="array" ref="G759">Food_Orders[[#This Row],[Quantity_Orderd]]*_xlfn.XLOOKUP(Food_Orders[[#This Row],[Food_ID]],Food_Catalog[[#All],[Food_ID]],Food_Catalog[[#All],[Price_Per_Unit]],0,0)</f>
        <v>8000</v>
      </c>
      <c r="H759" cm="1">
        <f t="array" ref="H759">Food_Orders[[#This Row],[Quantity_Orderd]]*_xlfn.XLOOKUP(Food_Orders[[#This Row],[Food_ID]],Food_Catalog[[#All],[Food_ID]],Food_Catalog[[#All],[Client_Price_Per_Unit]],0,0)</f>
        <v>9600</v>
      </c>
      <c r="I759">
        <f>Food_Orders[[#This Row],[Client_Price]]-Food_Orders[[#This Row],[Cost]]</f>
        <v>1600</v>
      </c>
    </row>
    <row r="760" spans="1:9" x14ac:dyDescent="0.25">
      <c r="A760">
        <v>32</v>
      </c>
      <c r="B760" t="s">
        <v>63</v>
      </c>
      <c r="C760" t="s">
        <v>61</v>
      </c>
      <c r="D760" t="s">
        <v>64</v>
      </c>
      <c r="E760" t="s">
        <v>10</v>
      </c>
      <c r="F760" cm="1">
        <f t="array" ref="F760">_xlfn.XLOOKUP(Food_Orders[[#This Row],[Event_No]],Event_Master[[#All],[Event_No]],Event_Master[[#All],[Guest_Count]],,0)</f>
        <v>400</v>
      </c>
      <c r="G760" cm="1">
        <f t="array" ref="G760">Food_Orders[[#This Row],[Quantity_Orderd]]*_xlfn.XLOOKUP(Food_Orders[[#This Row],[Food_ID]],Food_Catalog[[#All],[Food_ID]],Food_Catalog[[#All],[Price_Per_Unit]],0,0)</f>
        <v>12000</v>
      </c>
      <c r="H760" cm="1">
        <f t="array" ref="H760">Food_Orders[[#This Row],[Quantity_Orderd]]*_xlfn.XLOOKUP(Food_Orders[[#This Row],[Food_ID]],Food_Catalog[[#All],[Food_ID]],Food_Catalog[[#All],[Client_Price_Per_Unit]],0,0)</f>
        <v>14400</v>
      </c>
      <c r="I760">
        <f>Food_Orders[[#This Row],[Client_Price]]-Food_Orders[[#This Row],[Cost]]</f>
        <v>2400</v>
      </c>
    </row>
    <row r="761" spans="1:9" x14ac:dyDescent="0.25">
      <c r="A761">
        <v>32</v>
      </c>
      <c r="B761" t="s">
        <v>71</v>
      </c>
      <c r="C761" t="s">
        <v>61</v>
      </c>
      <c r="D761" t="s">
        <v>72</v>
      </c>
      <c r="E761" t="s">
        <v>10</v>
      </c>
      <c r="F761" cm="1">
        <f t="array" ref="F761">_xlfn.XLOOKUP(Food_Orders[[#This Row],[Event_No]],Event_Master[[#All],[Event_No]],Event_Master[[#All],[Guest_Count]],,0)</f>
        <v>400</v>
      </c>
      <c r="G761" cm="1">
        <f t="array" ref="G761">Food_Orders[[#This Row],[Quantity_Orderd]]*_xlfn.XLOOKUP(Food_Orders[[#This Row],[Food_ID]],Food_Catalog[[#All],[Food_ID]],Food_Catalog[[#All],[Price_Per_Unit]],0,0)</f>
        <v>10000</v>
      </c>
      <c r="H761" cm="1">
        <f t="array" ref="H761">Food_Orders[[#This Row],[Quantity_Orderd]]*_xlfn.XLOOKUP(Food_Orders[[#This Row],[Food_ID]],Food_Catalog[[#All],[Food_ID]],Food_Catalog[[#All],[Client_Price_Per_Unit]],0,0)</f>
        <v>12000</v>
      </c>
      <c r="I761">
        <f>Food_Orders[[#This Row],[Client_Price]]-Food_Orders[[#This Row],[Cost]]</f>
        <v>2000</v>
      </c>
    </row>
    <row r="762" spans="1:9" x14ac:dyDescent="0.25">
      <c r="A762">
        <v>32</v>
      </c>
      <c r="B762" t="s">
        <v>29</v>
      </c>
      <c r="C762" t="s">
        <v>8</v>
      </c>
      <c r="D762" t="s">
        <v>30</v>
      </c>
      <c r="E762" t="s">
        <v>10</v>
      </c>
      <c r="F762" cm="1">
        <f t="array" ref="F762">_xlfn.XLOOKUP(Food_Orders[[#This Row],[Event_No]],Event_Master[[#All],[Event_No]],Event_Master[[#All],[Guest_Count]],,0)</f>
        <v>400</v>
      </c>
      <c r="G762" cm="1">
        <f t="array" ref="G762">Food_Orders[[#This Row],[Quantity_Orderd]]*_xlfn.XLOOKUP(Food_Orders[[#This Row],[Food_ID]],Food_Catalog[[#All],[Food_ID]],Food_Catalog[[#All],[Price_Per_Unit]],0,0)</f>
        <v>12000</v>
      </c>
      <c r="H762" cm="1">
        <f t="array" ref="H762">Food_Orders[[#This Row],[Quantity_Orderd]]*_xlfn.XLOOKUP(Food_Orders[[#This Row],[Food_ID]],Food_Catalog[[#All],[Food_ID]],Food_Catalog[[#All],[Client_Price_Per_Unit]],0,0)</f>
        <v>14400</v>
      </c>
      <c r="I762">
        <f>Food_Orders[[#This Row],[Client_Price]]-Food_Orders[[#This Row],[Cost]]</f>
        <v>2400</v>
      </c>
    </row>
    <row r="763" spans="1:9" x14ac:dyDescent="0.25">
      <c r="A763">
        <v>32</v>
      </c>
      <c r="B763" t="s">
        <v>37</v>
      </c>
      <c r="C763" t="s">
        <v>8</v>
      </c>
      <c r="D763" t="s">
        <v>38</v>
      </c>
      <c r="E763" t="s">
        <v>10</v>
      </c>
      <c r="F763" cm="1">
        <f t="array" ref="F763">_xlfn.XLOOKUP(Food_Orders[[#This Row],[Event_No]],Event_Master[[#All],[Event_No]],Event_Master[[#All],[Guest_Count]],,0)</f>
        <v>400</v>
      </c>
      <c r="G763" cm="1">
        <f t="array" ref="G763">Food_Orders[[#This Row],[Quantity_Orderd]]*_xlfn.XLOOKUP(Food_Orders[[#This Row],[Food_ID]],Food_Catalog[[#All],[Food_ID]],Food_Catalog[[#All],[Price_Per_Unit]],0,0)</f>
        <v>10000</v>
      </c>
      <c r="H763" cm="1">
        <f t="array" ref="H763">Food_Orders[[#This Row],[Quantity_Orderd]]*_xlfn.XLOOKUP(Food_Orders[[#This Row],[Food_ID]],Food_Catalog[[#All],[Food_ID]],Food_Catalog[[#All],[Client_Price_Per_Unit]],0,0)</f>
        <v>12000</v>
      </c>
      <c r="I763">
        <f>Food_Orders[[#This Row],[Client_Price]]-Food_Orders[[#This Row],[Cost]]</f>
        <v>2000</v>
      </c>
    </row>
    <row r="764" spans="1:9" x14ac:dyDescent="0.25">
      <c r="A764">
        <v>32</v>
      </c>
      <c r="B764" t="s">
        <v>82</v>
      </c>
      <c r="C764" t="s">
        <v>83</v>
      </c>
      <c r="D764" t="s">
        <v>84</v>
      </c>
      <c r="E764" t="s">
        <v>85</v>
      </c>
      <c r="F764" cm="1">
        <f t="array" ref="F764">_xlfn.XLOOKUP(Food_Orders[[#This Row],[Event_No]],Event_Master[[#All],[Event_No]],Event_Master[[#All],[Guest_Count]],,0)</f>
        <v>400</v>
      </c>
      <c r="G764" cm="1">
        <f t="array" ref="G764">Food_Orders[[#This Row],[Quantity_Orderd]]*_xlfn.XLOOKUP(Food_Orders[[#This Row],[Food_ID]],Food_Catalog[[#All],[Food_ID]],Food_Catalog[[#All],[Price_Per_Unit]],0,0)</f>
        <v>8000</v>
      </c>
      <c r="H764" cm="1">
        <f t="array" ref="H764">Food_Orders[[#This Row],[Quantity_Orderd]]*_xlfn.XLOOKUP(Food_Orders[[#This Row],[Food_ID]],Food_Catalog[[#All],[Food_ID]],Food_Catalog[[#All],[Client_Price_Per_Unit]],0,0)</f>
        <v>9600</v>
      </c>
      <c r="I764">
        <f>Food_Orders[[#This Row],[Client_Price]]-Food_Orders[[#This Row],[Cost]]</f>
        <v>1600</v>
      </c>
    </row>
    <row r="765" spans="1:9" x14ac:dyDescent="0.25">
      <c r="A765">
        <v>32</v>
      </c>
      <c r="B765" t="s">
        <v>96</v>
      </c>
      <c r="C765" t="s">
        <v>83</v>
      </c>
      <c r="D765" t="s">
        <v>97</v>
      </c>
      <c r="E765" t="s">
        <v>79</v>
      </c>
      <c r="F765" cm="1">
        <f t="array" ref="F765">_xlfn.XLOOKUP(Food_Orders[[#This Row],[Event_No]],Event_Master[[#All],[Event_No]],Event_Master[[#All],[Guest_Count]],,0)</f>
        <v>400</v>
      </c>
      <c r="G765" cm="1">
        <f t="array" ref="G765">Food_Orders[[#This Row],[Quantity_Orderd]]*_xlfn.XLOOKUP(Food_Orders[[#This Row],[Food_ID]],Food_Catalog[[#All],[Food_ID]],Food_Catalog[[#All],[Price_Per_Unit]],0,0)</f>
        <v>12000</v>
      </c>
      <c r="H765" cm="1">
        <f t="array" ref="H765">Food_Orders[[#This Row],[Quantity_Orderd]]*_xlfn.XLOOKUP(Food_Orders[[#This Row],[Food_ID]],Food_Catalog[[#All],[Food_ID]],Food_Catalog[[#All],[Client_Price_Per_Unit]],0,0)</f>
        <v>14400</v>
      </c>
      <c r="I765">
        <f>Food_Orders[[#This Row],[Client_Price]]-Food_Orders[[#This Row],[Cost]]</f>
        <v>2400</v>
      </c>
    </row>
    <row r="766" spans="1:9" x14ac:dyDescent="0.25">
      <c r="A766">
        <v>33</v>
      </c>
      <c r="B766" t="s">
        <v>118</v>
      </c>
      <c r="C766" t="s">
        <v>119</v>
      </c>
      <c r="D766" t="s">
        <v>120</v>
      </c>
      <c r="E766" t="s">
        <v>112</v>
      </c>
      <c r="F766" cm="1">
        <f t="array" ref="F766">_xlfn.XLOOKUP(Food_Orders[[#This Row],[Event_No]],Event_Master[[#All],[Event_No]],Event_Master[[#All],[Guest_Count]],,0)</f>
        <v>300</v>
      </c>
      <c r="G766" cm="1">
        <f t="array" ref="G766">Food_Orders[[#This Row],[Quantity_Orderd]]*_xlfn.XLOOKUP(Food_Orders[[#This Row],[Food_ID]],Food_Catalog[[#All],[Food_ID]],Food_Catalog[[#All],[Price_Per_Unit]],0,0)</f>
        <v>3000</v>
      </c>
      <c r="H766" cm="1">
        <f t="array" ref="H766">Food_Orders[[#This Row],[Quantity_Orderd]]*_xlfn.XLOOKUP(Food_Orders[[#This Row],[Food_ID]],Food_Catalog[[#All],[Food_ID]],Food_Catalog[[#All],[Client_Price_Per_Unit]],0,0)</f>
        <v>3600</v>
      </c>
      <c r="I766">
        <f>Food_Orders[[#This Row],[Client_Price]]-Food_Orders[[#This Row],[Cost]]</f>
        <v>600</v>
      </c>
    </row>
    <row r="767" spans="1:9" x14ac:dyDescent="0.25">
      <c r="A767">
        <v>33</v>
      </c>
      <c r="B767" t="s">
        <v>129</v>
      </c>
      <c r="C767" t="s">
        <v>119</v>
      </c>
      <c r="D767" t="s">
        <v>130</v>
      </c>
      <c r="E767" t="s">
        <v>112</v>
      </c>
      <c r="F767" cm="1">
        <f t="array" ref="F767">_xlfn.XLOOKUP(Food_Orders[[#This Row],[Event_No]],Event_Master[[#All],[Event_No]],Event_Master[[#All],[Guest_Count]],,0)</f>
        <v>300</v>
      </c>
      <c r="G767" cm="1">
        <f t="array" ref="G767">Food_Orders[[#This Row],[Quantity_Orderd]]*_xlfn.XLOOKUP(Food_Orders[[#This Row],[Food_ID]],Food_Catalog[[#All],[Food_ID]],Food_Catalog[[#All],[Price_Per_Unit]],0,0)</f>
        <v>3000</v>
      </c>
      <c r="H767" cm="1">
        <f t="array" ref="H767">Food_Orders[[#This Row],[Quantity_Orderd]]*_xlfn.XLOOKUP(Food_Orders[[#This Row],[Food_ID]],Food_Catalog[[#All],[Food_ID]],Food_Catalog[[#All],[Client_Price_Per_Unit]],0,0)</f>
        <v>3600</v>
      </c>
      <c r="I767">
        <f>Food_Orders[[#This Row],[Client_Price]]-Food_Orders[[#This Row],[Cost]]</f>
        <v>600</v>
      </c>
    </row>
    <row r="768" spans="1:9" x14ac:dyDescent="0.25">
      <c r="A768">
        <v>33</v>
      </c>
      <c r="B768" t="s">
        <v>104</v>
      </c>
      <c r="C768" t="s">
        <v>105</v>
      </c>
      <c r="D768" t="s">
        <v>106</v>
      </c>
      <c r="E768" t="s">
        <v>107</v>
      </c>
      <c r="F768" cm="1">
        <f t="array" ref="F768">_xlfn.XLOOKUP(Food_Orders[[#This Row],[Event_No]],Event_Master[[#All],[Event_No]],Event_Master[[#All],[Guest_Count]],,0)</f>
        <v>300</v>
      </c>
      <c r="G768" cm="1">
        <f t="array" ref="G768">Food_Orders[[#This Row],[Quantity_Orderd]]*_xlfn.XLOOKUP(Food_Orders[[#This Row],[Food_ID]],Food_Catalog[[#All],[Food_ID]],Food_Catalog[[#All],[Price_Per_Unit]],0,0)</f>
        <v>3000</v>
      </c>
      <c r="H768" cm="1">
        <f t="array" ref="H768">Food_Orders[[#This Row],[Quantity_Orderd]]*_xlfn.XLOOKUP(Food_Orders[[#This Row],[Food_ID]],Food_Catalog[[#All],[Food_ID]],Food_Catalog[[#All],[Client_Price_Per_Unit]],0,0)</f>
        <v>3600</v>
      </c>
      <c r="I768">
        <f>Food_Orders[[#This Row],[Client_Price]]-Food_Orders[[#This Row],[Cost]]</f>
        <v>600</v>
      </c>
    </row>
    <row r="769" spans="1:9" x14ac:dyDescent="0.25">
      <c r="A769">
        <v>33</v>
      </c>
      <c r="B769" t="s">
        <v>108</v>
      </c>
      <c r="C769" t="s">
        <v>105</v>
      </c>
      <c r="D769" t="s">
        <v>109</v>
      </c>
      <c r="E769" t="s">
        <v>107</v>
      </c>
      <c r="F769" cm="1">
        <f t="array" ref="F769">_xlfn.XLOOKUP(Food_Orders[[#This Row],[Event_No]],Event_Master[[#All],[Event_No]],Event_Master[[#All],[Guest_Count]],,0)</f>
        <v>300</v>
      </c>
      <c r="G769" cm="1">
        <f t="array" ref="G769">Food_Orders[[#This Row],[Quantity_Orderd]]*_xlfn.XLOOKUP(Food_Orders[[#This Row],[Food_ID]],Food_Catalog[[#All],[Food_ID]],Food_Catalog[[#All],[Price_Per_Unit]],0,0)</f>
        <v>4500</v>
      </c>
      <c r="H769" cm="1">
        <f t="array" ref="H769">Food_Orders[[#This Row],[Quantity_Orderd]]*_xlfn.XLOOKUP(Food_Orders[[#This Row],[Food_ID]],Food_Catalog[[#All],[Food_ID]],Food_Catalog[[#All],[Client_Price_Per_Unit]],0,0)</f>
        <v>5400</v>
      </c>
      <c r="I769">
        <f>Food_Orders[[#This Row],[Client_Price]]-Food_Orders[[#This Row],[Cost]]</f>
        <v>900</v>
      </c>
    </row>
    <row r="770" spans="1:9" x14ac:dyDescent="0.25">
      <c r="A770">
        <v>33</v>
      </c>
      <c r="B770" t="s">
        <v>127</v>
      </c>
      <c r="C770" t="s">
        <v>119</v>
      </c>
      <c r="D770" t="s">
        <v>128</v>
      </c>
      <c r="E770" t="s">
        <v>107</v>
      </c>
      <c r="F770" cm="1">
        <f t="array" ref="F770">_xlfn.XLOOKUP(Food_Orders[[#This Row],[Event_No]],Event_Master[[#All],[Event_No]],Event_Master[[#All],[Guest_Count]],,0)</f>
        <v>300</v>
      </c>
      <c r="G770" cm="1">
        <f t="array" ref="G770">Food_Orders[[#This Row],[Quantity_Orderd]]*_xlfn.XLOOKUP(Food_Orders[[#This Row],[Food_ID]],Food_Catalog[[#All],[Food_ID]],Food_Catalog[[#All],[Price_Per_Unit]],0,0)</f>
        <v>6000</v>
      </c>
      <c r="H770" cm="1">
        <f t="array" ref="H770">Food_Orders[[#This Row],[Quantity_Orderd]]*_xlfn.XLOOKUP(Food_Orders[[#This Row],[Food_ID]],Food_Catalog[[#All],[Food_ID]],Food_Catalog[[#All],[Client_Price_Per_Unit]],0,0)</f>
        <v>7200</v>
      </c>
      <c r="I770">
        <f>Food_Orders[[#This Row],[Client_Price]]-Food_Orders[[#This Row],[Cost]]</f>
        <v>1200</v>
      </c>
    </row>
    <row r="771" spans="1:9" x14ac:dyDescent="0.25">
      <c r="A771">
        <v>33</v>
      </c>
      <c r="B771" t="s">
        <v>121</v>
      </c>
      <c r="C771" t="s">
        <v>119</v>
      </c>
      <c r="D771" t="s">
        <v>122</v>
      </c>
      <c r="E771" t="s">
        <v>123</v>
      </c>
      <c r="F771" cm="1">
        <f t="array" ref="F771">_xlfn.XLOOKUP(Food_Orders[[#This Row],[Event_No]],Event_Master[[#All],[Event_No]],Event_Master[[#All],[Guest_Count]],,0)</f>
        <v>300</v>
      </c>
      <c r="G771" cm="1">
        <f t="array" ref="G771">Food_Orders[[#This Row],[Quantity_Orderd]]*_xlfn.XLOOKUP(Food_Orders[[#This Row],[Food_ID]],Food_Catalog[[#All],[Food_ID]],Food_Catalog[[#All],[Price_Per_Unit]],0,0)</f>
        <v>3000</v>
      </c>
      <c r="H771" cm="1">
        <f t="array" ref="H771">Food_Orders[[#This Row],[Quantity_Orderd]]*_xlfn.XLOOKUP(Food_Orders[[#This Row],[Food_ID]],Food_Catalog[[#All],[Food_ID]],Food_Catalog[[#All],[Client_Price_Per_Unit]],0,0)</f>
        <v>3600</v>
      </c>
      <c r="I771">
        <f>Food_Orders[[#This Row],[Client_Price]]-Food_Orders[[#This Row],[Cost]]</f>
        <v>600</v>
      </c>
    </row>
    <row r="772" spans="1:9" x14ac:dyDescent="0.25">
      <c r="A772">
        <v>33</v>
      </c>
      <c r="B772" t="s">
        <v>124</v>
      </c>
      <c r="C772" t="s">
        <v>119</v>
      </c>
      <c r="D772" t="s">
        <v>125</v>
      </c>
      <c r="E772" t="s">
        <v>126</v>
      </c>
      <c r="F772" cm="1">
        <f t="array" ref="F772">_xlfn.XLOOKUP(Food_Orders[[#This Row],[Event_No]],Event_Master[[#All],[Event_No]],Event_Master[[#All],[Guest_Count]],,0)</f>
        <v>300</v>
      </c>
      <c r="G772" cm="1">
        <f t="array" ref="G772">Food_Orders[[#This Row],[Quantity_Orderd]]*_xlfn.XLOOKUP(Food_Orders[[#This Row],[Food_ID]],Food_Catalog[[#All],[Food_ID]],Food_Catalog[[#All],[Price_Per_Unit]],0,0)</f>
        <v>6000</v>
      </c>
      <c r="H772" cm="1">
        <f t="array" ref="H772">Food_Orders[[#This Row],[Quantity_Orderd]]*_xlfn.XLOOKUP(Food_Orders[[#This Row],[Food_ID]],Food_Catalog[[#All],[Food_ID]],Food_Catalog[[#All],[Client_Price_Per_Unit]],0,0)</f>
        <v>7200</v>
      </c>
      <c r="I772">
        <f>Food_Orders[[#This Row],[Client_Price]]-Food_Orders[[#This Row],[Cost]]</f>
        <v>1200</v>
      </c>
    </row>
    <row r="773" spans="1:9" x14ac:dyDescent="0.25">
      <c r="A773">
        <v>33</v>
      </c>
      <c r="B773" t="s">
        <v>63</v>
      </c>
      <c r="C773" t="s">
        <v>61</v>
      </c>
      <c r="D773" t="s">
        <v>64</v>
      </c>
      <c r="E773" t="s">
        <v>10</v>
      </c>
      <c r="F773" cm="1">
        <f t="array" ref="F773">_xlfn.XLOOKUP(Food_Orders[[#This Row],[Event_No]],Event_Master[[#All],[Event_No]],Event_Master[[#All],[Guest_Count]],,0)</f>
        <v>300</v>
      </c>
      <c r="G773" cm="1">
        <f t="array" ref="G773">Food_Orders[[#This Row],[Quantity_Orderd]]*_xlfn.XLOOKUP(Food_Orders[[#This Row],[Food_ID]],Food_Catalog[[#All],[Food_ID]],Food_Catalog[[#All],[Price_Per_Unit]],0,0)</f>
        <v>9000</v>
      </c>
      <c r="H773" cm="1">
        <f t="array" ref="H773">Food_Orders[[#This Row],[Quantity_Orderd]]*_xlfn.XLOOKUP(Food_Orders[[#This Row],[Food_ID]],Food_Catalog[[#All],[Food_ID]],Food_Catalog[[#All],[Client_Price_Per_Unit]],0,0)</f>
        <v>10800</v>
      </c>
      <c r="I773">
        <f>Food_Orders[[#This Row],[Client_Price]]-Food_Orders[[#This Row],[Cost]]</f>
        <v>1800</v>
      </c>
    </row>
    <row r="774" spans="1:9" x14ac:dyDescent="0.25">
      <c r="A774">
        <v>33</v>
      </c>
      <c r="B774" t="s">
        <v>71</v>
      </c>
      <c r="C774" t="s">
        <v>61</v>
      </c>
      <c r="D774" t="s">
        <v>72</v>
      </c>
      <c r="E774" t="s">
        <v>10</v>
      </c>
      <c r="F774" cm="1">
        <f t="array" ref="F774">_xlfn.XLOOKUP(Food_Orders[[#This Row],[Event_No]],Event_Master[[#All],[Event_No]],Event_Master[[#All],[Guest_Count]],,0)</f>
        <v>300</v>
      </c>
      <c r="G774" cm="1">
        <f t="array" ref="G774">Food_Orders[[#This Row],[Quantity_Orderd]]*_xlfn.XLOOKUP(Food_Orders[[#This Row],[Food_ID]],Food_Catalog[[#All],[Food_ID]],Food_Catalog[[#All],[Price_Per_Unit]],0,0)</f>
        <v>7500</v>
      </c>
      <c r="H774" cm="1">
        <f t="array" ref="H774">Food_Orders[[#This Row],[Quantity_Orderd]]*_xlfn.XLOOKUP(Food_Orders[[#This Row],[Food_ID]],Food_Catalog[[#All],[Food_ID]],Food_Catalog[[#All],[Client_Price_Per_Unit]],0,0)</f>
        <v>9000</v>
      </c>
      <c r="I774">
        <f>Food_Orders[[#This Row],[Client_Price]]-Food_Orders[[#This Row],[Cost]]</f>
        <v>1500</v>
      </c>
    </row>
    <row r="775" spans="1:9" x14ac:dyDescent="0.25">
      <c r="A775">
        <v>33</v>
      </c>
      <c r="B775" t="s">
        <v>29</v>
      </c>
      <c r="C775" t="s">
        <v>8</v>
      </c>
      <c r="D775" t="s">
        <v>30</v>
      </c>
      <c r="E775" t="s">
        <v>10</v>
      </c>
      <c r="F775" cm="1">
        <f t="array" ref="F775">_xlfn.XLOOKUP(Food_Orders[[#This Row],[Event_No]],Event_Master[[#All],[Event_No]],Event_Master[[#All],[Guest_Count]],,0)</f>
        <v>300</v>
      </c>
      <c r="G775" cm="1">
        <f t="array" ref="G775">Food_Orders[[#This Row],[Quantity_Orderd]]*_xlfn.XLOOKUP(Food_Orders[[#This Row],[Food_ID]],Food_Catalog[[#All],[Food_ID]],Food_Catalog[[#All],[Price_Per_Unit]],0,0)</f>
        <v>9000</v>
      </c>
      <c r="H775" cm="1">
        <f t="array" ref="H775">Food_Orders[[#This Row],[Quantity_Orderd]]*_xlfn.XLOOKUP(Food_Orders[[#This Row],[Food_ID]],Food_Catalog[[#All],[Food_ID]],Food_Catalog[[#All],[Client_Price_Per_Unit]],0,0)</f>
        <v>10800</v>
      </c>
      <c r="I775">
        <f>Food_Orders[[#This Row],[Client_Price]]-Food_Orders[[#This Row],[Cost]]</f>
        <v>1800</v>
      </c>
    </row>
    <row r="776" spans="1:9" x14ac:dyDescent="0.25">
      <c r="A776">
        <v>33</v>
      </c>
      <c r="B776" t="s">
        <v>37</v>
      </c>
      <c r="C776" t="s">
        <v>8</v>
      </c>
      <c r="D776" t="s">
        <v>38</v>
      </c>
      <c r="E776" t="s">
        <v>10</v>
      </c>
      <c r="F776" cm="1">
        <f t="array" ref="F776">_xlfn.XLOOKUP(Food_Orders[[#This Row],[Event_No]],Event_Master[[#All],[Event_No]],Event_Master[[#All],[Guest_Count]],,0)</f>
        <v>300</v>
      </c>
      <c r="G776" cm="1">
        <f t="array" ref="G776">Food_Orders[[#This Row],[Quantity_Orderd]]*_xlfn.XLOOKUP(Food_Orders[[#This Row],[Food_ID]],Food_Catalog[[#All],[Food_ID]],Food_Catalog[[#All],[Price_Per_Unit]],0,0)</f>
        <v>7500</v>
      </c>
      <c r="H776" cm="1">
        <f t="array" ref="H776">Food_Orders[[#This Row],[Quantity_Orderd]]*_xlfn.XLOOKUP(Food_Orders[[#This Row],[Food_ID]],Food_Catalog[[#All],[Food_ID]],Food_Catalog[[#All],[Client_Price_Per_Unit]],0,0)</f>
        <v>9000</v>
      </c>
      <c r="I776">
        <f>Food_Orders[[#This Row],[Client_Price]]-Food_Orders[[#This Row],[Cost]]</f>
        <v>1500</v>
      </c>
    </row>
    <row r="777" spans="1:9" x14ac:dyDescent="0.25">
      <c r="A777">
        <v>33</v>
      </c>
      <c r="B777" t="s">
        <v>82</v>
      </c>
      <c r="C777" t="s">
        <v>83</v>
      </c>
      <c r="D777" t="s">
        <v>84</v>
      </c>
      <c r="E777" t="s">
        <v>85</v>
      </c>
      <c r="F777" cm="1">
        <f t="array" ref="F777">_xlfn.XLOOKUP(Food_Orders[[#This Row],[Event_No]],Event_Master[[#All],[Event_No]],Event_Master[[#All],[Guest_Count]],,0)</f>
        <v>300</v>
      </c>
      <c r="G777" cm="1">
        <f t="array" ref="G777">Food_Orders[[#This Row],[Quantity_Orderd]]*_xlfn.XLOOKUP(Food_Orders[[#This Row],[Food_ID]],Food_Catalog[[#All],[Food_ID]],Food_Catalog[[#All],[Price_Per_Unit]],0,0)</f>
        <v>6000</v>
      </c>
      <c r="H777" cm="1">
        <f t="array" ref="H777">Food_Orders[[#This Row],[Quantity_Orderd]]*_xlfn.XLOOKUP(Food_Orders[[#This Row],[Food_ID]],Food_Catalog[[#All],[Food_ID]],Food_Catalog[[#All],[Client_Price_Per_Unit]],0,0)</f>
        <v>7200</v>
      </c>
      <c r="I777">
        <f>Food_Orders[[#This Row],[Client_Price]]-Food_Orders[[#This Row],[Cost]]</f>
        <v>1200</v>
      </c>
    </row>
    <row r="778" spans="1:9" x14ac:dyDescent="0.25">
      <c r="A778">
        <v>33</v>
      </c>
      <c r="B778" t="s">
        <v>96</v>
      </c>
      <c r="C778" t="s">
        <v>83</v>
      </c>
      <c r="D778" t="s">
        <v>97</v>
      </c>
      <c r="E778" t="s">
        <v>79</v>
      </c>
      <c r="F778" cm="1">
        <f t="array" ref="F778">_xlfn.XLOOKUP(Food_Orders[[#This Row],[Event_No]],Event_Master[[#All],[Event_No]],Event_Master[[#All],[Guest_Count]],,0)</f>
        <v>300</v>
      </c>
      <c r="G778" cm="1">
        <f t="array" ref="G778">Food_Orders[[#This Row],[Quantity_Orderd]]*_xlfn.XLOOKUP(Food_Orders[[#This Row],[Food_ID]],Food_Catalog[[#All],[Food_ID]],Food_Catalog[[#All],[Price_Per_Unit]],0,0)</f>
        <v>9000</v>
      </c>
      <c r="H778" cm="1">
        <f t="array" ref="H778">Food_Orders[[#This Row],[Quantity_Orderd]]*_xlfn.XLOOKUP(Food_Orders[[#This Row],[Food_ID]],Food_Catalog[[#All],[Food_ID]],Food_Catalog[[#All],[Client_Price_Per_Unit]],0,0)</f>
        <v>10800</v>
      </c>
      <c r="I778">
        <f>Food_Orders[[#This Row],[Client_Price]]-Food_Orders[[#This Row],[Cost]]</f>
        <v>1800</v>
      </c>
    </row>
    <row r="779" spans="1:9" x14ac:dyDescent="0.25">
      <c r="A779">
        <v>34</v>
      </c>
      <c r="B779" t="s">
        <v>118</v>
      </c>
      <c r="C779" t="s">
        <v>119</v>
      </c>
      <c r="D779" t="s">
        <v>120</v>
      </c>
      <c r="E779" t="s">
        <v>112</v>
      </c>
      <c r="F779" cm="1">
        <f t="array" ref="F779">_xlfn.XLOOKUP(Food_Orders[[#This Row],[Event_No]],Event_Master[[#All],[Event_No]],Event_Master[[#All],[Guest_Count]],,0)</f>
        <v>350</v>
      </c>
      <c r="G779" cm="1">
        <f t="array" ref="G779">Food_Orders[[#This Row],[Quantity_Orderd]]*_xlfn.XLOOKUP(Food_Orders[[#This Row],[Food_ID]],Food_Catalog[[#All],[Food_ID]],Food_Catalog[[#All],[Price_Per_Unit]],0,0)</f>
        <v>3500</v>
      </c>
      <c r="H779" cm="1">
        <f t="array" ref="H779">Food_Orders[[#This Row],[Quantity_Orderd]]*_xlfn.XLOOKUP(Food_Orders[[#This Row],[Food_ID]],Food_Catalog[[#All],[Food_ID]],Food_Catalog[[#All],[Client_Price_Per_Unit]],0,0)</f>
        <v>4200</v>
      </c>
      <c r="I779">
        <f>Food_Orders[[#This Row],[Client_Price]]-Food_Orders[[#This Row],[Cost]]</f>
        <v>700</v>
      </c>
    </row>
    <row r="780" spans="1:9" x14ac:dyDescent="0.25">
      <c r="A780">
        <v>34</v>
      </c>
      <c r="B780" t="s">
        <v>129</v>
      </c>
      <c r="C780" t="s">
        <v>119</v>
      </c>
      <c r="D780" t="s">
        <v>130</v>
      </c>
      <c r="E780" t="s">
        <v>112</v>
      </c>
      <c r="F780" cm="1">
        <f t="array" ref="F780">_xlfn.XLOOKUP(Food_Orders[[#This Row],[Event_No]],Event_Master[[#All],[Event_No]],Event_Master[[#All],[Guest_Count]],,0)</f>
        <v>350</v>
      </c>
      <c r="G780" cm="1">
        <f t="array" ref="G780">Food_Orders[[#This Row],[Quantity_Orderd]]*_xlfn.XLOOKUP(Food_Orders[[#This Row],[Food_ID]],Food_Catalog[[#All],[Food_ID]],Food_Catalog[[#All],[Price_Per_Unit]],0,0)</f>
        <v>3500</v>
      </c>
      <c r="H780" cm="1">
        <f t="array" ref="H780">Food_Orders[[#This Row],[Quantity_Orderd]]*_xlfn.XLOOKUP(Food_Orders[[#This Row],[Food_ID]],Food_Catalog[[#All],[Food_ID]],Food_Catalog[[#All],[Client_Price_Per_Unit]],0,0)</f>
        <v>4200</v>
      </c>
      <c r="I780">
        <f>Food_Orders[[#This Row],[Client_Price]]-Food_Orders[[#This Row],[Cost]]</f>
        <v>700</v>
      </c>
    </row>
    <row r="781" spans="1:9" x14ac:dyDescent="0.25">
      <c r="A781">
        <v>34</v>
      </c>
      <c r="B781" t="s">
        <v>104</v>
      </c>
      <c r="C781" t="s">
        <v>105</v>
      </c>
      <c r="D781" t="s">
        <v>106</v>
      </c>
      <c r="E781" t="s">
        <v>107</v>
      </c>
      <c r="F781" cm="1">
        <f t="array" ref="F781">_xlfn.XLOOKUP(Food_Orders[[#This Row],[Event_No]],Event_Master[[#All],[Event_No]],Event_Master[[#All],[Guest_Count]],,0)</f>
        <v>350</v>
      </c>
      <c r="G781" cm="1">
        <f t="array" ref="G781">Food_Orders[[#This Row],[Quantity_Orderd]]*_xlfn.XLOOKUP(Food_Orders[[#This Row],[Food_ID]],Food_Catalog[[#All],[Food_ID]],Food_Catalog[[#All],[Price_Per_Unit]],0,0)</f>
        <v>3500</v>
      </c>
      <c r="H781" cm="1">
        <f t="array" ref="H781">Food_Orders[[#This Row],[Quantity_Orderd]]*_xlfn.XLOOKUP(Food_Orders[[#This Row],[Food_ID]],Food_Catalog[[#All],[Food_ID]],Food_Catalog[[#All],[Client_Price_Per_Unit]],0,0)</f>
        <v>4200</v>
      </c>
      <c r="I781">
        <f>Food_Orders[[#This Row],[Client_Price]]-Food_Orders[[#This Row],[Cost]]</f>
        <v>700</v>
      </c>
    </row>
    <row r="782" spans="1:9" x14ac:dyDescent="0.25">
      <c r="A782">
        <v>34</v>
      </c>
      <c r="B782" t="s">
        <v>108</v>
      </c>
      <c r="C782" t="s">
        <v>105</v>
      </c>
      <c r="D782" t="s">
        <v>109</v>
      </c>
      <c r="E782" t="s">
        <v>107</v>
      </c>
      <c r="F782" cm="1">
        <f t="array" ref="F782">_xlfn.XLOOKUP(Food_Orders[[#This Row],[Event_No]],Event_Master[[#All],[Event_No]],Event_Master[[#All],[Guest_Count]],,0)</f>
        <v>350</v>
      </c>
      <c r="G782" cm="1">
        <f t="array" ref="G782">Food_Orders[[#This Row],[Quantity_Orderd]]*_xlfn.XLOOKUP(Food_Orders[[#This Row],[Food_ID]],Food_Catalog[[#All],[Food_ID]],Food_Catalog[[#All],[Price_Per_Unit]],0,0)</f>
        <v>5250</v>
      </c>
      <c r="H782" cm="1">
        <f t="array" ref="H782">Food_Orders[[#This Row],[Quantity_Orderd]]*_xlfn.XLOOKUP(Food_Orders[[#This Row],[Food_ID]],Food_Catalog[[#All],[Food_ID]],Food_Catalog[[#All],[Client_Price_Per_Unit]],0,0)</f>
        <v>6300</v>
      </c>
      <c r="I782">
        <f>Food_Orders[[#This Row],[Client_Price]]-Food_Orders[[#This Row],[Cost]]</f>
        <v>1050</v>
      </c>
    </row>
    <row r="783" spans="1:9" x14ac:dyDescent="0.25">
      <c r="A783">
        <v>34</v>
      </c>
      <c r="B783" t="s">
        <v>124</v>
      </c>
      <c r="C783" t="s">
        <v>119</v>
      </c>
      <c r="D783" t="s">
        <v>125</v>
      </c>
      <c r="E783" t="s">
        <v>126</v>
      </c>
      <c r="F783" cm="1">
        <f t="array" ref="F783">_xlfn.XLOOKUP(Food_Orders[[#This Row],[Event_No]],Event_Master[[#All],[Event_No]],Event_Master[[#All],[Guest_Count]],,0)</f>
        <v>350</v>
      </c>
      <c r="G783" cm="1">
        <f t="array" ref="G783">Food_Orders[[#This Row],[Quantity_Orderd]]*_xlfn.XLOOKUP(Food_Orders[[#This Row],[Food_ID]],Food_Catalog[[#All],[Food_ID]],Food_Catalog[[#All],[Price_Per_Unit]],0,0)</f>
        <v>7000</v>
      </c>
      <c r="H783" cm="1">
        <f t="array" ref="H783">Food_Orders[[#This Row],[Quantity_Orderd]]*_xlfn.XLOOKUP(Food_Orders[[#This Row],[Food_ID]],Food_Catalog[[#All],[Food_ID]],Food_Catalog[[#All],[Client_Price_Per_Unit]],0,0)</f>
        <v>8400</v>
      </c>
      <c r="I783">
        <f>Food_Orders[[#This Row],[Client_Price]]-Food_Orders[[#This Row],[Cost]]</f>
        <v>1400</v>
      </c>
    </row>
    <row r="784" spans="1:9" x14ac:dyDescent="0.25">
      <c r="A784">
        <v>34</v>
      </c>
      <c r="B784" t="s">
        <v>121</v>
      </c>
      <c r="C784" t="s">
        <v>119</v>
      </c>
      <c r="D784" t="s">
        <v>122</v>
      </c>
      <c r="E784" t="s">
        <v>123</v>
      </c>
      <c r="F784" cm="1">
        <f t="array" ref="F784">_xlfn.XLOOKUP(Food_Orders[[#This Row],[Event_No]],Event_Master[[#All],[Event_No]],Event_Master[[#All],[Guest_Count]],,0)</f>
        <v>350</v>
      </c>
      <c r="G784" cm="1">
        <f t="array" ref="G784">Food_Orders[[#This Row],[Quantity_Orderd]]*_xlfn.XLOOKUP(Food_Orders[[#This Row],[Food_ID]],Food_Catalog[[#All],[Food_ID]],Food_Catalog[[#All],[Price_Per_Unit]],0,0)</f>
        <v>3500</v>
      </c>
      <c r="H784" cm="1">
        <f t="array" ref="H784">Food_Orders[[#This Row],[Quantity_Orderd]]*_xlfn.XLOOKUP(Food_Orders[[#This Row],[Food_ID]],Food_Catalog[[#All],[Food_ID]],Food_Catalog[[#All],[Client_Price_Per_Unit]],0,0)</f>
        <v>4200</v>
      </c>
      <c r="I784">
        <f>Food_Orders[[#This Row],[Client_Price]]-Food_Orders[[#This Row],[Cost]]</f>
        <v>700</v>
      </c>
    </row>
    <row r="785" spans="1:9" x14ac:dyDescent="0.25">
      <c r="A785">
        <v>34</v>
      </c>
      <c r="B785" t="s">
        <v>127</v>
      </c>
      <c r="C785" t="s">
        <v>119</v>
      </c>
      <c r="D785" t="s">
        <v>128</v>
      </c>
      <c r="E785" t="s">
        <v>107</v>
      </c>
      <c r="F785" cm="1">
        <f t="array" ref="F785">_xlfn.XLOOKUP(Food_Orders[[#This Row],[Event_No]],Event_Master[[#All],[Event_No]],Event_Master[[#All],[Guest_Count]],,0)</f>
        <v>350</v>
      </c>
      <c r="G785" cm="1">
        <f t="array" ref="G785">Food_Orders[[#This Row],[Quantity_Orderd]]*_xlfn.XLOOKUP(Food_Orders[[#This Row],[Food_ID]],Food_Catalog[[#All],[Food_ID]],Food_Catalog[[#All],[Price_Per_Unit]],0,0)</f>
        <v>7000</v>
      </c>
      <c r="H785" cm="1">
        <f t="array" ref="H785">Food_Orders[[#This Row],[Quantity_Orderd]]*_xlfn.XLOOKUP(Food_Orders[[#This Row],[Food_ID]],Food_Catalog[[#All],[Food_ID]],Food_Catalog[[#All],[Client_Price_Per_Unit]],0,0)</f>
        <v>8400</v>
      </c>
      <c r="I785">
        <f>Food_Orders[[#This Row],[Client_Price]]-Food_Orders[[#This Row],[Cost]]</f>
        <v>1400</v>
      </c>
    </row>
    <row r="786" spans="1:9" x14ac:dyDescent="0.25">
      <c r="A786">
        <v>34</v>
      </c>
      <c r="B786" t="s">
        <v>63</v>
      </c>
      <c r="C786" t="s">
        <v>61</v>
      </c>
      <c r="D786" t="s">
        <v>64</v>
      </c>
      <c r="E786" t="s">
        <v>10</v>
      </c>
      <c r="F786" cm="1">
        <f t="array" ref="F786">_xlfn.XLOOKUP(Food_Orders[[#This Row],[Event_No]],Event_Master[[#All],[Event_No]],Event_Master[[#All],[Guest_Count]],,0)</f>
        <v>350</v>
      </c>
      <c r="G786" cm="1">
        <f t="array" ref="G786">Food_Orders[[#This Row],[Quantity_Orderd]]*_xlfn.XLOOKUP(Food_Orders[[#This Row],[Food_ID]],Food_Catalog[[#All],[Food_ID]],Food_Catalog[[#All],[Price_Per_Unit]],0,0)</f>
        <v>10500</v>
      </c>
      <c r="H786" cm="1">
        <f t="array" ref="H786">Food_Orders[[#This Row],[Quantity_Orderd]]*_xlfn.XLOOKUP(Food_Orders[[#This Row],[Food_ID]],Food_Catalog[[#All],[Food_ID]],Food_Catalog[[#All],[Client_Price_Per_Unit]],0,0)</f>
        <v>12600</v>
      </c>
      <c r="I786">
        <f>Food_Orders[[#This Row],[Client_Price]]-Food_Orders[[#This Row],[Cost]]</f>
        <v>2100</v>
      </c>
    </row>
    <row r="787" spans="1:9" x14ac:dyDescent="0.25">
      <c r="A787">
        <v>34</v>
      </c>
      <c r="B787" t="s">
        <v>71</v>
      </c>
      <c r="C787" t="s">
        <v>61</v>
      </c>
      <c r="D787" t="s">
        <v>72</v>
      </c>
      <c r="E787" t="s">
        <v>10</v>
      </c>
      <c r="F787" cm="1">
        <f t="array" ref="F787">_xlfn.XLOOKUP(Food_Orders[[#This Row],[Event_No]],Event_Master[[#All],[Event_No]],Event_Master[[#All],[Guest_Count]],,0)</f>
        <v>350</v>
      </c>
      <c r="G787" cm="1">
        <f t="array" ref="G787">Food_Orders[[#This Row],[Quantity_Orderd]]*_xlfn.XLOOKUP(Food_Orders[[#This Row],[Food_ID]],Food_Catalog[[#All],[Food_ID]],Food_Catalog[[#All],[Price_Per_Unit]],0,0)</f>
        <v>8750</v>
      </c>
      <c r="H787" cm="1">
        <f t="array" ref="H787">Food_Orders[[#This Row],[Quantity_Orderd]]*_xlfn.XLOOKUP(Food_Orders[[#This Row],[Food_ID]],Food_Catalog[[#All],[Food_ID]],Food_Catalog[[#All],[Client_Price_Per_Unit]],0,0)</f>
        <v>10500</v>
      </c>
      <c r="I787">
        <f>Food_Orders[[#This Row],[Client_Price]]-Food_Orders[[#This Row],[Cost]]</f>
        <v>1750</v>
      </c>
    </row>
    <row r="788" spans="1:9" x14ac:dyDescent="0.25">
      <c r="A788">
        <v>34</v>
      </c>
      <c r="B788" t="s">
        <v>29</v>
      </c>
      <c r="C788" t="s">
        <v>8</v>
      </c>
      <c r="D788" t="s">
        <v>30</v>
      </c>
      <c r="E788" t="s">
        <v>10</v>
      </c>
      <c r="F788" cm="1">
        <f t="array" ref="F788">_xlfn.XLOOKUP(Food_Orders[[#This Row],[Event_No]],Event_Master[[#All],[Event_No]],Event_Master[[#All],[Guest_Count]],,0)</f>
        <v>350</v>
      </c>
      <c r="G788" cm="1">
        <f t="array" ref="G788">Food_Orders[[#This Row],[Quantity_Orderd]]*_xlfn.XLOOKUP(Food_Orders[[#This Row],[Food_ID]],Food_Catalog[[#All],[Food_ID]],Food_Catalog[[#All],[Price_Per_Unit]],0,0)</f>
        <v>10500</v>
      </c>
      <c r="H788" cm="1">
        <f t="array" ref="H788">Food_Orders[[#This Row],[Quantity_Orderd]]*_xlfn.XLOOKUP(Food_Orders[[#This Row],[Food_ID]],Food_Catalog[[#All],[Food_ID]],Food_Catalog[[#All],[Client_Price_Per_Unit]],0,0)</f>
        <v>12600</v>
      </c>
      <c r="I788">
        <f>Food_Orders[[#This Row],[Client_Price]]-Food_Orders[[#This Row],[Cost]]</f>
        <v>2100</v>
      </c>
    </row>
    <row r="789" spans="1:9" x14ac:dyDescent="0.25">
      <c r="A789">
        <v>34</v>
      </c>
      <c r="B789" t="s">
        <v>37</v>
      </c>
      <c r="C789" t="s">
        <v>8</v>
      </c>
      <c r="D789" t="s">
        <v>38</v>
      </c>
      <c r="E789" t="s">
        <v>10</v>
      </c>
      <c r="F789" cm="1">
        <f t="array" ref="F789">_xlfn.XLOOKUP(Food_Orders[[#This Row],[Event_No]],Event_Master[[#All],[Event_No]],Event_Master[[#All],[Guest_Count]],,0)</f>
        <v>350</v>
      </c>
      <c r="G789" cm="1">
        <f t="array" ref="G789">Food_Orders[[#This Row],[Quantity_Orderd]]*_xlfn.XLOOKUP(Food_Orders[[#This Row],[Food_ID]],Food_Catalog[[#All],[Food_ID]],Food_Catalog[[#All],[Price_Per_Unit]],0,0)</f>
        <v>8750</v>
      </c>
      <c r="H789" cm="1">
        <f t="array" ref="H789">Food_Orders[[#This Row],[Quantity_Orderd]]*_xlfn.XLOOKUP(Food_Orders[[#This Row],[Food_ID]],Food_Catalog[[#All],[Food_ID]],Food_Catalog[[#All],[Client_Price_Per_Unit]],0,0)</f>
        <v>10500</v>
      </c>
      <c r="I789">
        <f>Food_Orders[[#This Row],[Client_Price]]-Food_Orders[[#This Row],[Cost]]</f>
        <v>1750</v>
      </c>
    </row>
    <row r="790" spans="1:9" x14ac:dyDescent="0.25">
      <c r="A790">
        <v>34</v>
      </c>
      <c r="B790" t="s">
        <v>82</v>
      </c>
      <c r="C790" t="s">
        <v>83</v>
      </c>
      <c r="D790" t="s">
        <v>84</v>
      </c>
      <c r="E790" t="s">
        <v>85</v>
      </c>
      <c r="F790" cm="1">
        <f t="array" ref="F790">_xlfn.XLOOKUP(Food_Orders[[#This Row],[Event_No]],Event_Master[[#All],[Event_No]],Event_Master[[#All],[Guest_Count]],,0)</f>
        <v>350</v>
      </c>
      <c r="G790" cm="1">
        <f t="array" ref="G790">Food_Orders[[#This Row],[Quantity_Orderd]]*_xlfn.XLOOKUP(Food_Orders[[#This Row],[Food_ID]],Food_Catalog[[#All],[Food_ID]],Food_Catalog[[#All],[Price_Per_Unit]],0,0)</f>
        <v>7000</v>
      </c>
      <c r="H790" cm="1">
        <f t="array" ref="H790">Food_Orders[[#This Row],[Quantity_Orderd]]*_xlfn.XLOOKUP(Food_Orders[[#This Row],[Food_ID]],Food_Catalog[[#All],[Food_ID]],Food_Catalog[[#All],[Client_Price_Per_Unit]],0,0)</f>
        <v>8400</v>
      </c>
      <c r="I790">
        <f>Food_Orders[[#This Row],[Client_Price]]-Food_Orders[[#This Row],[Cost]]</f>
        <v>1400</v>
      </c>
    </row>
    <row r="791" spans="1:9" x14ac:dyDescent="0.25">
      <c r="A791">
        <v>34</v>
      </c>
      <c r="B791" t="s">
        <v>96</v>
      </c>
      <c r="C791" t="s">
        <v>83</v>
      </c>
      <c r="D791" t="s">
        <v>97</v>
      </c>
      <c r="E791" t="s">
        <v>79</v>
      </c>
      <c r="F791" cm="1">
        <f t="array" ref="F791">_xlfn.XLOOKUP(Food_Orders[[#This Row],[Event_No]],Event_Master[[#All],[Event_No]],Event_Master[[#All],[Guest_Count]],,0)</f>
        <v>350</v>
      </c>
      <c r="G791" cm="1">
        <f t="array" ref="G791">Food_Orders[[#This Row],[Quantity_Orderd]]*_xlfn.XLOOKUP(Food_Orders[[#This Row],[Food_ID]],Food_Catalog[[#All],[Food_ID]],Food_Catalog[[#All],[Price_Per_Unit]],0,0)</f>
        <v>10500</v>
      </c>
      <c r="H791" cm="1">
        <f t="array" ref="H791">Food_Orders[[#This Row],[Quantity_Orderd]]*_xlfn.XLOOKUP(Food_Orders[[#This Row],[Food_ID]],Food_Catalog[[#All],[Food_ID]],Food_Catalog[[#All],[Client_Price_Per_Unit]],0,0)</f>
        <v>12600</v>
      </c>
      <c r="I791">
        <f>Food_Orders[[#This Row],[Client_Price]]-Food_Orders[[#This Row],[Cost]]</f>
        <v>2100</v>
      </c>
    </row>
    <row r="792" spans="1:9" x14ac:dyDescent="0.25">
      <c r="A792">
        <v>34</v>
      </c>
      <c r="B792" t="s">
        <v>92</v>
      </c>
      <c r="C792" t="s">
        <v>83</v>
      </c>
      <c r="D792" t="s">
        <v>93</v>
      </c>
      <c r="E792" t="s">
        <v>85</v>
      </c>
      <c r="F792" cm="1">
        <f t="array" ref="F792">_xlfn.XLOOKUP(Food_Orders[[#This Row],[Event_No]],Event_Master[[#All],[Event_No]],Event_Master[[#All],[Guest_Count]],,0)</f>
        <v>350</v>
      </c>
      <c r="G792" cm="1">
        <f t="array" ref="G792">Food_Orders[[#This Row],[Quantity_Orderd]]*_xlfn.XLOOKUP(Food_Orders[[#This Row],[Food_ID]],Food_Catalog[[#All],[Food_ID]],Food_Catalog[[#All],[Price_Per_Unit]],0,0)</f>
        <v>5250</v>
      </c>
      <c r="H792" cm="1">
        <f t="array" ref="H792">Food_Orders[[#This Row],[Quantity_Orderd]]*_xlfn.XLOOKUP(Food_Orders[[#This Row],[Food_ID]],Food_Catalog[[#All],[Food_ID]],Food_Catalog[[#All],[Client_Price_Per_Unit]],0,0)</f>
        <v>6300</v>
      </c>
      <c r="I792">
        <f>Food_Orders[[#This Row],[Client_Price]]-Food_Orders[[#This Row],[Cost]]</f>
        <v>1050</v>
      </c>
    </row>
    <row r="793" spans="1:9" x14ac:dyDescent="0.25">
      <c r="A793">
        <v>35</v>
      </c>
      <c r="B793" t="s">
        <v>118</v>
      </c>
      <c r="C793" t="s">
        <v>119</v>
      </c>
      <c r="D793" t="s">
        <v>120</v>
      </c>
      <c r="E793" t="s">
        <v>112</v>
      </c>
      <c r="F793" cm="1">
        <f t="array" ref="F793">_xlfn.XLOOKUP(Food_Orders[[#This Row],[Event_No]],Event_Master[[#All],[Event_No]],Event_Master[[#All],[Guest_Count]],,0)</f>
        <v>450</v>
      </c>
      <c r="G793" cm="1">
        <f t="array" ref="G793">Food_Orders[[#This Row],[Quantity_Orderd]]*_xlfn.XLOOKUP(Food_Orders[[#This Row],[Food_ID]],Food_Catalog[[#All],[Food_ID]],Food_Catalog[[#All],[Price_Per_Unit]],0,0)</f>
        <v>4500</v>
      </c>
      <c r="H793" cm="1">
        <f t="array" ref="H793">Food_Orders[[#This Row],[Quantity_Orderd]]*_xlfn.XLOOKUP(Food_Orders[[#This Row],[Food_ID]],Food_Catalog[[#All],[Food_ID]],Food_Catalog[[#All],[Client_Price_Per_Unit]],0,0)</f>
        <v>5400</v>
      </c>
      <c r="I793">
        <f>Food_Orders[[#This Row],[Client_Price]]-Food_Orders[[#This Row],[Cost]]</f>
        <v>900</v>
      </c>
    </row>
    <row r="794" spans="1:9" x14ac:dyDescent="0.25">
      <c r="A794">
        <v>35</v>
      </c>
      <c r="B794" t="s">
        <v>129</v>
      </c>
      <c r="C794" t="s">
        <v>119</v>
      </c>
      <c r="D794" t="s">
        <v>130</v>
      </c>
      <c r="E794" t="s">
        <v>112</v>
      </c>
      <c r="F794" cm="1">
        <f t="array" ref="F794">_xlfn.XLOOKUP(Food_Orders[[#This Row],[Event_No]],Event_Master[[#All],[Event_No]],Event_Master[[#All],[Guest_Count]],,0)</f>
        <v>450</v>
      </c>
      <c r="G794" cm="1">
        <f t="array" ref="G794">Food_Orders[[#This Row],[Quantity_Orderd]]*_xlfn.XLOOKUP(Food_Orders[[#This Row],[Food_ID]],Food_Catalog[[#All],[Food_ID]],Food_Catalog[[#All],[Price_Per_Unit]],0,0)</f>
        <v>4500</v>
      </c>
      <c r="H794" cm="1">
        <f t="array" ref="H794">Food_Orders[[#This Row],[Quantity_Orderd]]*_xlfn.XLOOKUP(Food_Orders[[#This Row],[Food_ID]],Food_Catalog[[#All],[Food_ID]],Food_Catalog[[#All],[Client_Price_Per_Unit]],0,0)</f>
        <v>5400</v>
      </c>
      <c r="I794">
        <f>Food_Orders[[#This Row],[Client_Price]]-Food_Orders[[#This Row],[Cost]]</f>
        <v>900</v>
      </c>
    </row>
    <row r="795" spans="1:9" x14ac:dyDescent="0.25">
      <c r="A795">
        <v>35</v>
      </c>
      <c r="B795" t="s">
        <v>104</v>
      </c>
      <c r="C795" t="s">
        <v>105</v>
      </c>
      <c r="D795" t="s">
        <v>106</v>
      </c>
      <c r="E795" t="s">
        <v>107</v>
      </c>
      <c r="F795" cm="1">
        <f t="array" ref="F795">_xlfn.XLOOKUP(Food_Orders[[#This Row],[Event_No]],Event_Master[[#All],[Event_No]],Event_Master[[#All],[Guest_Count]],,0)</f>
        <v>450</v>
      </c>
      <c r="G795" cm="1">
        <f t="array" ref="G795">Food_Orders[[#This Row],[Quantity_Orderd]]*_xlfn.XLOOKUP(Food_Orders[[#This Row],[Food_ID]],Food_Catalog[[#All],[Food_ID]],Food_Catalog[[#All],[Price_Per_Unit]],0,0)</f>
        <v>4500</v>
      </c>
      <c r="H795" cm="1">
        <f t="array" ref="H795">Food_Orders[[#This Row],[Quantity_Orderd]]*_xlfn.XLOOKUP(Food_Orders[[#This Row],[Food_ID]],Food_Catalog[[#All],[Food_ID]],Food_Catalog[[#All],[Client_Price_Per_Unit]],0,0)</f>
        <v>5400</v>
      </c>
      <c r="I795">
        <f>Food_Orders[[#This Row],[Client_Price]]-Food_Orders[[#This Row],[Cost]]</f>
        <v>900</v>
      </c>
    </row>
    <row r="796" spans="1:9" x14ac:dyDescent="0.25">
      <c r="A796">
        <v>35</v>
      </c>
      <c r="B796" t="s">
        <v>108</v>
      </c>
      <c r="C796" t="s">
        <v>105</v>
      </c>
      <c r="D796" t="s">
        <v>109</v>
      </c>
      <c r="E796" t="s">
        <v>107</v>
      </c>
      <c r="F796" cm="1">
        <f t="array" ref="F796">_xlfn.XLOOKUP(Food_Orders[[#This Row],[Event_No]],Event_Master[[#All],[Event_No]],Event_Master[[#All],[Guest_Count]],,0)</f>
        <v>450</v>
      </c>
      <c r="G796" cm="1">
        <f t="array" ref="G796">Food_Orders[[#This Row],[Quantity_Orderd]]*_xlfn.XLOOKUP(Food_Orders[[#This Row],[Food_ID]],Food_Catalog[[#All],[Food_ID]],Food_Catalog[[#All],[Price_Per_Unit]],0,0)</f>
        <v>6750</v>
      </c>
      <c r="H796" cm="1">
        <f t="array" ref="H796">Food_Orders[[#This Row],[Quantity_Orderd]]*_xlfn.XLOOKUP(Food_Orders[[#This Row],[Food_ID]],Food_Catalog[[#All],[Food_ID]],Food_Catalog[[#All],[Client_Price_Per_Unit]],0,0)</f>
        <v>8100</v>
      </c>
      <c r="I796">
        <f>Food_Orders[[#This Row],[Client_Price]]-Food_Orders[[#This Row],[Cost]]</f>
        <v>1350</v>
      </c>
    </row>
    <row r="797" spans="1:9" x14ac:dyDescent="0.25">
      <c r="A797">
        <v>35</v>
      </c>
      <c r="B797" t="s">
        <v>127</v>
      </c>
      <c r="C797" t="s">
        <v>119</v>
      </c>
      <c r="D797" t="s">
        <v>128</v>
      </c>
      <c r="E797" t="s">
        <v>107</v>
      </c>
      <c r="F797" cm="1">
        <f t="array" ref="F797">_xlfn.XLOOKUP(Food_Orders[[#This Row],[Event_No]],Event_Master[[#All],[Event_No]],Event_Master[[#All],[Guest_Count]],,0)</f>
        <v>450</v>
      </c>
      <c r="G797" cm="1">
        <f t="array" ref="G797">Food_Orders[[#This Row],[Quantity_Orderd]]*_xlfn.XLOOKUP(Food_Orders[[#This Row],[Food_ID]],Food_Catalog[[#All],[Food_ID]],Food_Catalog[[#All],[Price_Per_Unit]],0,0)</f>
        <v>9000</v>
      </c>
      <c r="H797" cm="1">
        <f t="array" ref="H797">Food_Orders[[#This Row],[Quantity_Orderd]]*_xlfn.XLOOKUP(Food_Orders[[#This Row],[Food_ID]],Food_Catalog[[#All],[Food_ID]],Food_Catalog[[#All],[Client_Price_Per_Unit]],0,0)</f>
        <v>10800</v>
      </c>
      <c r="I797">
        <f>Food_Orders[[#This Row],[Client_Price]]-Food_Orders[[#This Row],[Cost]]</f>
        <v>1800</v>
      </c>
    </row>
    <row r="798" spans="1:9" x14ac:dyDescent="0.25">
      <c r="A798">
        <v>35</v>
      </c>
      <c r="B798" t="s">
        <v>121</v>
      </c>
      <c r="C798" t="s">
        <v>119</v>
      </c>
      <c r="D798" t="s">
        <v>122</v>
      </c>
      <c r="E798" t="s">
        <v>123</v>
      </c>
      <c r="F798" cm="1">
        <f t="array" ref="F798">_xlfn.XLOOKUP(Food_Orders[[#This Row],[Event_No]],Event_Master[[#All],[Event_No]],Event_Master[[#All],[Guest_Count]],,0)</f>
        <v>450</v>
      </c>
      <c r="G798" cm="1">
        <f t="array" ref="G798">Food_Orders[[#This Row],[Quantity_Orderd]]*_xlfn.XLOOKUP(Food_Orders[[#This Row],[Food_ID]],Food_Catalog[[#All],[Food_ID]],Food_Catalog[[#All],[Price_Per_Unit]],0,0)</f>
        <v>4500</v>
      </c>
      <c r="H798" cm="1">
        <f t="array" ref="H798">Food_Orders[[#This Row],[Quantity_Orderd]]*_xlfn.XLOOKUP(Food_Orders[[#This Row],[Food_ID]],Food_Catalog[[#All],[Food_ID]],Food_Catalog[[#All],[Client_Price_Per_Unit]],0,0)</f>
        <v>5400</v>
      </c>
      <c r="I798">
        <f>Food_Orders[[#This Row],[Client_Price]]-Food_Orders[[#This Row],[Cost]]</f>
        <v>900</v>
      </c>
    </row>
    <row r="799" spans="1:9" x14ac:dyDescent="0.25">
      <c r="A799">
        <v>35</v>
      </c>
      <c r="B799" t="s">
        <v>124</v>
      </c>
      <c r="C799" t="s">
        <v>119</v>
      </c>
      <c r="D799" t="s">
        <v>125</v>
      </c>
      <c r="E799" t="s">
        <v>126</v>
      </c>
      <c r="F799" cm="1">
        <f t="array" ref="F799">_xlfn.XLOOKUP(Food_Orders[[#This Row],[Event_No]],Event_Master[[#All],[Event_No]],Event_Master[[#All],[Guest_Count]],,0)</f>
        <v>450</v>
      </c>
      <c r="G799" cm="1">
        <f t="array" ref="G799">Food_Orders[[#This Row],[Quantity_Orderd]]*_xlfn.XLOOKUP(Food_Orders[[#This Row],[Food_ID]],Food_Catalog[[#All],[Food_ID]],Food_Catalog[[#All],[Price_Per_Unit]],0,0)</f>
        <v>9000</v>
      </c>
      <c r="H799" cm="1">
        <f t="array" ref="H799">Food_Orders[[#This Row],[Quantity_Orderd]]*_xlfn.XLOOKUP(Food_Orders[[#This Row],[Food_ID]],Food_Catalog[[#All],[Food_ID]],Food_Catalog[[#All],[Client_Price_Per_Unit]],0,0)</f>
        <v>10800</v>
      </c>
      <c r="I799">
        <f>Food_Orders[[#This Row],[Client_Price]]-Food_Orders[[#This Row],[Cost]]</f>
        <v>1800</v>
      </c>
    </row>
    <row r="800" spans="1:9" x14ac:dyDescent="0.25">
      <c r="A800">
        <v>35</v>
      </c>
      <c r="B800" t="s">
        <v>82</v>
      </c>
      <c r="C800" t="s">
        <v>83</v>
      </c>
      <c r="D800" t="s">
        <v>84</v>
      </c>
      <c r="E800" t="s">
        <v>85</v>
      </c>
      <c r="F800" cm="1">
        <f t="array" ref="F800">_xlfn.XLOOKUP(Food_Orders[[#This Row],[Event_No]],Event_Master[[#All],[Event_No]],Event_Master[[#All],[Guest_Count]],,0)</f>
        <v>450</v>
      </c>
      <c r="G800" cm="1">
        <f t="array" ref="G800">Food_Orders[[#This Row],[Quantity_Orderd]]*_xlfn.XLOOKUP(Food_Orders[[#This Row],[Food_ID]],Food_Catalog[[#All],[Food_ID]],Food_Catalog[[#All],[Price_Per_Unit]],0,0)</f>
        <v>9000</v>
      </c>
      <c r="H800" cm="1">
        <f t="array" ref="H800">Food_Orders[[#This Row],[Quantity_Orderd]]*_xlfn.XLOOKUP(Food_Orders[[#This Row],[Food_ID]],Food_Catalog[[#All],[Food_ID]],Food_Catalog[[#All],[Client_Price_Per_Unit]],0,0)</f>
        <v>10800</v>
      </c>
      <c r="I800">
        <f>Food_Orders[[#This Row],[Client_Price]]-Food_Orders[[#This Row],[Cost]]</f>
        <v>1800</v>
      </c>
    </row>
    <row r="801" spans="1:9" x14ac:dyDescent="0.25">
      <c r="A801">
        <v>35</v>
      </c>
      <c r="B801" t="s">
        <v>96</v>
      </c>
      <c r="C801" t="s">
        <v>83</v>
      </c>
      <c r="D801" t="s">
        <v>97</v>
      </c>
      <c r="E801" t="s">
        <v>79</v>
      </c>
      <c r="F801" cm="1">
        <f t="array" ref="F801">_xlfn.XLOOKUP(Food_Orders[[#This Row],[Event_No]],Event_Master[[#All],[Event_No]],Event_Master[[#All],[Guest_Count]],,0)</f>
        <v>450</v>
      </c>
      <c r="G801" cm="1">
        <f t="array" ref="G801">Food_Orders[[#This Row],[Quantity_Orderd]]*_xlfn.XLOOKUP(Food_Orders[[#This Row],[Food_ID]],Food_Catalog[[#All],[Food_ID]],Food_Catalog[[#All],[Price_Per_Unit]],0,0)</f>
        <v>13500</v>
      </c>
      <c r="H801" cm="1">
        <f t="array" ref="H801">Food_Orders[[#This Row],[Quantity_Orderd]]*_xlfn.XLOOKUP(Food_Orders[[#This Row],[Food_ID]],Food_Catalog[[#All],[Food_ID]],Food_Catalog[[#All],[Client_Price_Per_Unit]],0,0)</f>
        <v>16200</v>
      </c>
      <c r="I801">
        <f>Food_Orders[[#This Row],[Client_Price]]-Food_Orders[[#This Row],[Cost]]</f>
        <v>2700</v>
      </c>
    </row>
    <row r="802" spans="1:9" x14ac:dyDescent="0.25">
      <c r="A802">
        <v>35</v>
      </c>
      <c r="B802" t="s">
        <v>92</v>
      </c>
      <c r="C802" t="s">
        <v>83</v>
      </c>
      <c r="D802" t="s">
        <v>93</v>
      </c>
      <c r="E802" t="s">
        <v>85</v>
      </c>
      <c r="F802" cm="1">
        <f t="array" ref="F802">_xlfn.XLOOKUP(Food_Orders[[#This Row],[Event_No]],Event_Master[[#All],[Event_No]],Event_Master[[#All],[Guest_Count]],,0)</f>
        <v>450</v>
      </c>
      <c r="G802" cm="1">
        <f t="array" ref="G802">Food_Orders[[#This Row],[Quantity_Orderd]]*_xlfn.XLOOKUP(Food_Orders[[#This Row],[Food_ID]],Food_Catalog[[#All],[Food_ID]],Food_Catalog[[#All],[Price_Per_Unit]],0,0)</f>
        <v>6750</v>
      </c>
      <c r="H802" cm="1">
        <f t="array" ref="H802">Food_Orders[[#This Row],[Quantity_Orderd]]*_xlfn.XLOOKUP(Food_Orders[[#This Row],[Food_ID]],Food_Catalog[[#All],[Food_ID]],Food_Catalog[[#All],[Client_Price_Per_Unit]],0,0)</f>
        <v>8100</v>
      </c>
      <c r="I802">
        <f>Food_Orders[[#This Row],[Client_Price]]-Food_Orders[[#This Row],[Cost]]</f>
        <v>1350</v>
      </c>
    </row>
    <row r="803" spans="1:9" x14ac:dyDescent="0.25">
      <c r="A803">
        <v>35</v>
      </c>
      <c r="B803" t="s">
        <v>98</v>
      </c>
      <c r="C803" t="s">
        <v>83</v>
      </c>
      <c r="D803" t="s">
        <v>99</v>
      </c>
      <c r="E803" t="s">
        <v>85</v>
      </c>
      <c r="F803" cm="1">
        <f t="array" ref="F803">_xlfn.XLOOKUP(Food_Orders[[#This Row],[Event_No]],Event_Master[[#All],[Event_No]],Event_Master[[#All],[Guest_Count]],,0)</f>
        <v>450</v>
      </c>
      <c r="G803" cm="1">
        <f t="array" ref="G803">Food_Orders[[#This Row],[Quantity_Orderd]]*_xlfn.XLOOKUP(Food_Orders[[#This Row],[Food_ID]],Food_Catalog[[#All],[Food_ID]],Food_Catalog[[#All],[Price_Per_Unit]],0,0)</f>
        <v>6750</v>
      </c>
      <c r="H803" cm="1">
        <f t="array" ref="H803">Food_Orders[[#This Row],[Quantity_Orderd]]*_xlfn.XLOOKUP(Food_Orders[[#This Row],[Food_ID]],Food_Catalog[[#All],[Food_ID]],Food_Catalog[[#All],[Client_Price_Per_Unit]],0,0)</f>
        <v>8100</v>
      </c>
      <c r="I803">
        <f>Food_Orders[[#This Row],[Client_Price]]-Food_Orders[[#This Row],[Cost]]</f>
        <v>1350</v>
      </c>
    </row>
    <row r="804" spans="1:9" x14ac:dyDescent="0.25">
      <c r="A804">
        <v>35</v>
      </c>
      <c r="B804" t="s">
        <v>63</v>
      </c>
      <c r="C804" t="s">
        <v>61</v>
      </c>
      <c r="D804" t="s">
        <v>64</v>
      </c>
      <c r="E804" t="s">
        <v>10</v>
      </c>
      <c r="F804" cm="1">
        <f t="array" ref="F804">_xlfn.XLOOKUP(Food_Orders[[#This Row],[Event_No]],Event_Master[[#All],[Event_No]],Event_Master[[#All],[Guest_Count]],,0)</f>
        <v>450</v>
      </c>
      <c r="G804" cm="1">
        <f t="array" ref="G804">Food_Orders[[#This Row],[Quantity_Orderd]]*_xlfn.XLOOKUP(Food_Orders[[#This Row],[Food_ID]],Food_Catalog[[#All],[Food_ID]],Food_Catalog[[#All],[Price_Per_Unit]],0,0)</f>
        <v>13500</v>
      </c>
      <c r="H804" cm="1">
        <f t="array" ref="H804">Food_Orders[[#This Row],[Quantity_Orderd]]*_xlfn.XLOOKUP(Food_Orders[[#This Row],[Food_ID]],Food_Catalog[[#All],[Food_ID]],Food_Catalog[[#All],[Client_Price_Per_Unit]],0,0)</f>
        <v>16200</v>
      </c>
      <c r="I804">
        <f>Food_Orders[[#This Row],[Client_Price]]-Food_Orders[[#This Row],[Cost]]</f>
        <v>2700</v>
      </c>
    </row>
    <row r="805" spans="1:9" x14ac:dyDescent="0.25">
      <c r="A805">
        <v>35</v>
      </c>
      <c r="B805" t="s">
        <v>71</v>
      </c>
      <c r="C805" t="s">
        <v>61</v>
      </c>
      <c r="D805" t="s">
        <v>72</v>
      </c>
      <c r="E805" t="s">
        <v>10</v>
      </c>
      <c r="F805" cm="1">
        <f t="array" ref="F805">_xlfn.XLOOKUP(Food_Orders[[#This Row],[Event_No]],Event_Master[[#All],[Event_No]],Event_Master[[#All],[Guest_Count]],,0)</f>
        <v>450</v>
      </c>
      <c r="G805" cm="1">
        <f t="array" ref="G805">Food_Orders[[#This Row],[Quantity_Orderd]]*_xlfn.XLOOKUP(Food_Orders[[#This Row],[Food_ID]],Food_Catalog[[#All],[Food_ID]],Food_Catalog[[#All],[Price_Per_Unit]],0,0)</f>
        <v>11250</v>
      </c>
      <c r="H805" cm="1">
        <f t="array" ref="H805">Food_Orders[[#This Row],[Quantity_Orderd]]*_xlfn.XLOOKUP(Food_Orders[[#This Row],[Food_ID]],Food_Catalog[[#All],[Food_ID]],Food_Catalog[[#All],[Client_Price_Per_Unit]],0,0)</f>
        <v>13500</v>
      </c>
      <c r="I805">
        <f>Food_Orders[[#This Row],[Client_Price]]-Food_Orders[[#This Row],[Cost]]</f>
        <v>2250</v>
      </c>
    </row>
    <row r="806" spans="1:9" x14ac:dyDescent="0.25">
      <c r="A806">
        <v>35</v>
      </c>
      <c r="B806" t="s">
        <v>29</v>
      </c>
      <c r="C806" t="s">
        <v>8</v>
      </c>
      <c r="D806" t="s">
        <v>30</v>
      </c>
      <c r="E806" t="s">
        <v>10</v>
      </c>
      <c r="F806" cm="1">
        <f t="array" ref="F806">_xlfn.XLOOKUP(Food_Orders[[#This Row],[Event_No]],Event_Master[[#All],[Event_No]],Event_Master[[#All],[Guest_Count]],,0)</f>
        <v>450</v>
      </c>
      <c r="G806" cm="1">
        <f t="array" ref="G806">Food_Orders[[#This Row],[Quantity_Orderd]]*_xlfn.XLOOKUP(Food_Orders[[#This Row],[Food_ID]],Food_Catalog[[#All],[Food_ID]],Food_Catalog[[#All],[Price_Per_Unit]],0,0)</f>
        <v>13500</v>
      </c>
      <c r="H806" cm="1">
        <f t="array" ref="H806">Food_Orders[[#This Row],[Quantity_Orderd]]*_xlfn.XLOOKUP(Food_Orders[[#This Row],[Food_ID]],Food_Catalog[[#All],[Food_ID]],Food_Catalog[[#All],[Client_Price_Per_Unit]],0,0)</f>
        <v>16200</v>
      </c>
      <c r="I806">
        <f>Food_Orders[[#This Row],[Client_Price]]-Food_Orders[[#This Row],[Cost]]</f>
        <v>2700</v>
      </c>
    </row>
    <row r="807" spans="1:9" x14ac:dyDescent="0.25">
      <c r="A807">
        <v>35</v>
      </c>
      <c r="B807" t="s">
        <v>37</v>
      </c>
      <c r="C807" t="s">
        <v>8</v>
      </c>
      <c r="D807" t="s">
        <v>38</v>
      </c>
      <c r="E807" t="s">
        <v>10</v>
      </c>
      <c r="F807" cm="1">
        <f t="array" ref="F807">_xlfn.XLOOKUP(Food_Orders[[#This Row],[Event_No]],Event_Master[[#All],[Event_No]],Event_Master[[#All],[Guest_Count]],,0)</f>
        <v>450</v>
      </c>
      <c r="G807" cm="1">
        <f t="array" ref="G807">Food_Orders[[#This Row],[Quantity_Orderd]]*_xlfn.XLOOKUP(Food_Orders[[#This Row],[Food_ID]],Food_Catalog[[#All],[Food_ID]],Food_Catalog[[#All],[Price_Per_Unit]],0,0)</f>
        <v>11250</v>
      </c>
      <c r="H807" cm="1">
        <f t="array" ref="H807">Food_Orders[[#This Row],[Quantity_Orderd]]*_xlfn.XLOOKUP(Food_Orders[[#This Row],[Food_ID]],Food_Catalog[[#All],[Food_ID]],Food_Catalog[[#All],[Client_Price_Per_Unit]],0,0)</f>
        <v>13500</v>
      </c>
      <c r="I807">
        <f>Food_Orders[[#This Row],[Client_Price]]-Food_Orders[[#This Row],[Cost]]</f>
        <v>2250</v>
      </c>
    </row>
    <row r="808" spans="1:9" x14ac:dyDescent="0.25">
      <c r="A808">
        <v>36</v>
      </c>
      <c r="B808" t="s">
        <v>118</v>
      </c>
      <c r="C808" t="s">
        <v>119</v>
      </c>
      <c r="D808" t="s">
        <v>120</v>
      </c>
      <c r="E808" t="s">
        <v>112</v>
      </c>
      <c r="F808" cm="1">
        <f t="array" ref="F808">_xlfn.XLOOKUP(Food_Orders[[#This Row],[Event_No]],Event_Master[[#All],[Event_No]],Event_Master[[#All],[Guest_Count]],,0)</f>
        <v>600</v>
      </c>
      <c r="G808" cm="1">
        <f t="array" ref="G808">Food_Orders[[#This Row],[Quantity_Orderd]]*_xlfn.XLOOKUP(Food_Orders[[#This Row],[Food_ID]],Food_Catalog[[#All],[Food_ID]],Food_Catalog[[#All],[Price_Per_Unit]],0,0)</f>
        <v>6000</v>
      </c>
      <c r="H808" cm="1">
        <f t="array" ref="H808">Food_Orders[[#This Row],[Quantity_Orderd]]*_xlfn.XLOOKUP(Food_Orders[[#This Row],[Food_ID]],Food_Catalog[[#All],[Food_ID]],Food_Catalog[[#All],[Client_Price_Per_Unit]],0,0)</f>
        <v>7200</v>
      </c>
      <c r="I808">
        <f>Food_Orders[[#This Row],[Client_Price]]-Food_Orders[[#This Row],[Cost]]</f>
        <v>1200</v>
      </c>
    </row>
    <row r="809" spans="1:9" x14ac:dyDescent="0.25">
      <c r="A809">
        <v>36</v>
      </c>
      <c r="B809" t="s">
        <v>129</v>
      </c>
      <c r="C809" t="s">
        <v>119</v>
      </c>
      <c r="D809" t="s">
        <v>130</v>
      </c>
      <c r="E809" t="s">
        <v>112</v>
      </c>
      <c r="F809" cm="1">
        <f t="array" ref="F809">_xlfn.XLOOKUP(Food_Orders[[#This Row],[Event_No]],Event_Master[[#All],[Event_No]],Event_Master[[#All],[Guest_Count]],,0)</f>
        <v>600</v>
      </c>
      <c r="G809" cm="1">
        <f t="array" ref="G809">Food_Orders[[#This Row],[Quantity_Orderd]]*_xlfn.XLOOKUP(Food_Orders[[#This Row],[Food_ID]],Food_Catalog[[#All],[Food_ID]],Food_Catalog[[#All],[Price_Per_Unit]],0,0)</f>
        <v>6000</v>
      </c>
      <c r="H809" cm="1">
        <f t="array" ref="H809">Food_Orders[[#This Row],[Quantity_Orderd]]*_xlfn.XLOOKUP(Food_Orders[[#This Row],[Food_ID]],Food_Catalog[[#All],[Food_ID]],Food_Catalog[[#All],[Client_Price_Per_Unit]],0,0)</f>
        <v>7200</v>
      </c>
      <c r="I809">
        <f>Food_Orders[[#This Row],[Client_Price]]-Food_Orders[[#This Row],[Cost]]</f>
        <v>1200</v>
      </c>
    </row>
    <row r="810" spans="1:9" x14ac:dyDescent="0.25">
      <c r="A810">
        <v>36</v>
      </c>
      <c r="B810" t="s">
        <v>104</v>
      </c>
      <c r="C810" t="s">
        <v>105</v>
      </c>
      <c r="D810" t="s">
        <v>106</v>
      </c>
      <c r="E810" t="s">
        <v>107</v>
      </c>
      <c r="F810" cm="1">
        <f t="array" ref="F810">_xlfn.XLOOKUP(Food_Orders[[#This Row],[Event_No]],Event_Master[[#All],[Event_No]],Event_Master[[#All],[Guest_Count]],,0)</f>
        <v>600</v>
      </c>
      <c r="G810" cm="1">
        <f t="array" ref="G810">Food_Orders[[#This Row],[Quantity_Orderd]]*_xlfn.XLOOKUP(Food_Orders[[#This Row],[Food_ID]],Food_Catalog[[#All],[Food_ID]],Food_Catalog[[#All],[Price_Per_Unit]],0,0)</f>
        <v>6000</v>
      </c>
      <c r="H810" cm="1">
        <f t="array" ref="H810">Food_Orders[[#This Row],[Quantity_Orderd]]*_xlfn.XLOOKUP(Food_Orders[[#This Row],[Food_ID]],Food_Catalog[[#All],[Food_ID]],Food_Catalog[[#All],[Client_Price_Per_Unit]],0,0)</f>
        <v>7200</v>
      </c>
      <c r="I810">
        <f>Food_Orders[[#This Row],[Client_Price]]-Food_Orders[[#This Row],[Cost]]</f>
        <v>1200</v>
      </c>
    </row>
    <row r="811" spans="1:9" x14ac:dyDescent="0.25">
      <c r="A811">
        <v>36</v>
      </c>
      <c r="B811" t="s">
        <v>108</v>
      </c>
      <c r="C811" t="s">
        <v>105</v>
      </c>
      <c r="D811" t="s">
        <v>109</v>
      </c>
      <c r="E811" t="s">
        <v>107</v>
      </c>
      <c r="F811" cm="1">
        <f t="array" ref="F811">_xlfn.XLOOKUP(Food_Orders[[#This Row],[Event_No]],Event_Master[[#All],[Event_No]],Event_Master[[#All],[Guest_Count]],,0)</f>
        <v>600</v>
      </c>
      <c r="G811" cm="1">
        <f t="array" ref="G811">Food_Orders[[#This Row],[Quantity_Orderd]]*_xlfn.XLOOKUP(Food_Orders[[#This Row],[Food_ID]],Food_Catalog[[#All],[Food_ID]],Food_Catalog[[#All],[Price_Per_Unit]],0,0)</f>
        <v>9000</v>
      </c>
      <c r="H811" cm="1">
        <f t="array" ref="H811">Food_Orders[[#This Row],[Quantity_Orderd]]*_xlfn.XLOOKUP(Food_Orders[[#This Row],[Food_ID]],Food_Catalog[[#All],[Food_ID]],Food_Catalog[[#All],[Client_Price_Per_Unit]],0,0)</f>
        <v>10800</v>
      </c>
      <c r="I811">
        <f>Food_Orders[[#This Row],[Client_Price]]-Food_Orders[[#This Row],[Cost]]</f>
        <v>1800</v>
      </c>
    </row>
    <row r="812" spans="1:9" x14ac:dyDescent="0.25">
      <c r="A812">
        <v>36</v>
      </c>
      <c r="B812" t="s">
        <v>127</v>
      </c>
      <c r="C812" t="s">
        <v>119</v>
      </c>
      <c r="D812" t="s">
        <v>128</v>
      </c>
      <c r="E812" t="s">
        <v>107</v>
      </c>
      <c r="F812" cm="1">
        <f t="array" ref="F812">_xlfn.XLOOKUP(Food_Orders[[#This Row],[Event_No]],Event_Master[[#All],[Event_No]],Event_Master[[#All],[Guest_Count]],,0)</f>
        <v>600</v>
      </c>
      <c r="G812" cm="1">
        <f t="array" ref="G812">Food_Orders[[#This Row],[Quantity_Orderd]]*_xlfn.XLOOKUP(Food_Orders[[#This Row],[Food_ID]],Food_Catalog[[#All],[Food_ID]],Food_Catalog[[#All],[Price_Per_Unit]],0,0)</f>
        <v>12000</v>
      </c>
      <c r="H812" cm="1">
        <f t="array" ref="H812">Food_Orders[[#This Row],[Quantity_Orderd]]*_xlfn.XLOOKUP(Food_Orders[[#This Row],[Food_ID]],Food_Catalog[[#All],[Food_ID]],Food_Catalog[[#All],[Client_Price_Per_Unit]],0,0)</f>
        <v>14400</v>
      </c>
      <c r="I812">
        <f>Food_Orders[[#This Row],[Client_Price]]-Food_Orders[[#This Row],[Cost]]</f>
        <v>2400</v>
      </c>
    </row>
    <row r="813" spans="1:9" x14ac:dyDescent="0.25">
      <c r="A813">
        <v>36</v>
      </c>
      <c r="B813" t="s">
        <v>124</v>
      </c>
      <c r="C813" t="s">
        <v>119</v>
      </c>
      <c r="D813" t="s">
        <v>125</v>
      </c>
      <c r="E813" t="s">
        <v>126</v>
      </c>
      <c r="F813" cm="1">
        <f t="array" ref="F813">_xlfn.XLOOKUP(Food_Orders[[#This Row],[Event_No]],Event_Master[[#All],[Event_No]],Event_Master[[#All],[Guest_Count]],,0)</f>
        <v>600</v>
      </c>
      <c r="G813" cm="1">
        <f t="array" ref="G813">Food_Orders[[#This Row],[Quantity_Orderd]]*_xlfn.XLOOKUP(Food_Orders[[#This Row],[Food_ID]],Food_Catalog[[#All],[Food_ID]],Food_Catalog[[#All],[Price_Per_Unit]],0,0)</f>
        <v>12000</v>
      </c>
      <c r="H813" cm="1">
        <f t="array" ref="H813">Food_Orders[[#This Row],[Quantity_Orderd]]*_xlfn.XLOOKUP(Food_Orders[[#This Row],[Food_ID]],Food_Catalog[[#All],[Food_ID]],Food_Catalog[[#All],[Client_Price_Per_Unit]],0,0)</f>
        <v>14400</v>
      </c>
      <c r="I813">
        <f>Food_Orders[[#This Row],[Client_Price]]-Food_Orders[[#This Row],[Cost]]</f>
        <v>2400</v>
      </c>
    </row>
    <row r="814" spans="1:9" x14ac:dyDescent="0.25">
      <c r="A814">
        <v>36</v>
      </c>
      <c r="B814" t="s">
        <v>121</v>
      </c>
      <c r="C814" t="s">
        <v>119</v>
      </c>
      <c r="D814" t="s">
        <v>122</v>
      </c>
      <c r="E814" t="s">
        <v>123</v>
      </c>
      <c r="F814" cm="1">
        <f t="array" ref="F814">_xlfn.XLOOKUP(Food_Orders[[#This Row],[Event_No]],Event_Master[[#All],[Event_No]],Event_Master[[#All],[Guest_Count]],,0)</f>
        <v>600</v>
      </c>
      <c r="G814" cm="1">
        <f t="array" ref="G814">Food_Orders[[#This Row],[Quantity_Orderd]]*_xlfn.XLOOKUP(Food_Orders[[#This Row],[Food_ID]],Food_Catalog[[#All],[Food_ID]],Food_Catalog[[#All],[Price_Per_Unit]],0,0)</f>
        <v>6000</v>
      </c>
      <c r="H814" cm="1">
        <f t="array" ref="H814">Food_Orders[[#This Row],[Quantity_Orderd]]*_xlfn.XLOOKUP(Food_Orders[[#This Row],[Food_ID]],Food_Catalog[[#All],[Food_ID]],Food_Catalog[[#All],[Client_Price_Per_Unit]],0,0)</f>
        <v>7200</v>
      </c>
      <c r="I814">
        <f>Food_Orders[[#This Row],[Client_Price]]-Food_Orders[[#This Row],[Cost]]</f>
        <v>1200</v>
      </c>
    </row>
    <row r="815" spans="1:9" x14ac:dyDescent="0.25">
      <c r="A815">
        <v>36</v>
      </c>
      <c r="B815" t="s">
        <v>63</v>
      </c>
      <c r="C815" t="s">
        <v>61</v>
      </c>
      <c r="D815" t="s">
        <v>64</v>
      </c>
      <c r="E815" t="s">
        <v>10</v>
      </c>
      <c r="F815" cm="1">
        <f t="array" ref="F815">_xlfn.XLOOKUP(Food_Orders[[#This Row],[Event_No]],Event_Master[[#All],[Event_No]],Event_Master[[#All],[Guest_Count]],,0)</f>
        <v>600</v>
      </c>
      <c r="G815" cm="1">
        <f t="array" ref="G815">Food_Orders[[#This Row],[Quantity_Orderd]]*_xlfn.XLOOKUP(Food_Orders[[#This Row],[Food_ID]],Food_Catalog[[#All],[Food_ID]],Food_Catalog[[#All],[Price_Per_Unit]],0,0)</f>
        <v>18000</v>
      </c>
      <c r="H815" cm="1">
        <f t="array" ref="H815">Food_Orders[[#This Row],[Quantity_Orderd]]*_xlfn.XLOOKUP(Food_Orders[[#This Row],[Food_ID]],Food_Catalog[[#All],[Food_ID]],Food_Catalog[[#All],[Client_Price_Per_Unit]],0,0)</f>
        <v>21600</v>
      </c>
      <c r="I815">
        <f>Food_Orders[[#This Row],[Client_Price]]-Food_Orders[[#This Row],[Cost]]</f>
        <v>3600</v>
      </c>
    </row>
    <row r="816" spans="1:9" x14ac:dyDescent="0.25">
      <c r="A816">
        <v>36</v>
      </c>
      <c r="B816" t="s">
        <v>71</v>
      </c>
      <c r="C816" t="s">
        <v>61</v>
      </c>
      <c r="D816" t="s">
        <v>72</v>
      </c>
      <c r="E816" t="s">
        <v>10</v>
      </c>
      <c r="F816" cm="1">
        <f t="array" ref="F816">_xlfn.XLOOKUP(Food_Orders[[#This Row],[Event_No]],Event_Master[[#All],[Event_No]],Event_Master[[#All],[Guest_Count]],,0)</f>
        <v>600</v>
      </c>
      <c r="G816" cm="1">
        <f t="array" ref="G816">Food_Orders[[#This Row],[Quantity_Orderd]]*_xlfn.XLOOKUP(Food_Orders[[#This Row],[Food_ID]],Food_Catalog[[#All],[Food_ID]],Food_Catalog[[#All],[Price_Per_Unit]],0,0)</f>
        <v>15000</v>
      </c>
      <c r="H816" cm="1">
        <f t="array" ref="H816">Food_Orders[[#This Row],[Quantity_Orderd]]*_xlfn.XLOOKUP(Food_Orders[[#This Row],[Food_ID]],Food_Catalog[[#All],[Food_ID]],Food_Catalog[[#All],[Client_Price_Per_Unit]],0,0)</f>
        <v>18000</v>
      </c>
      <c r="I816">
        <f>Food_Orders[[#This Row],[Client_Price]]-Food_Orders[[#This Row],[Cost]]</f>
        <v>3000</v>
      </c>
    </row>
    <row r="817" spans="1:9" x14ac:dyDescent="0.25">
      <c r="A817">
        <v>36</v>
      </c>
      <c r="B817" t="s">
        <v>29</v>
      </c>
      <c r="C817" t="s">
        <v>8</v>
      </c>
      <c r="D817" t="s">
        <v>30</v>
      </c>
      <c r="E817" t="s">
        <v>10</v>
      </c>
      <c r="F817" cm="1">
        <f t="array" ref="F817">_xlfn.XLOOKUP(Food_Orders[[#This Row],[Event_No]],Event_Master[[#All],[Event_No]],Event_Master[[#All],[Guest_Count]],,0)</f>
        <v>600</v>
      </c>
      <c r="G817" cm="1">
        <f t="array" ref="G817">Food_Orders[[#This Row],[Quantity_Orderd]]*_xlfn.XLOOKUP(Food_Orders[[#This Row],[Food_ID]],Food_Catalog[[#All],[Food_ID]],Food_Catalog[[#All],[Price_Per_Unit]],0,0)</f>
        <v>18000</v>
      </c>
      <c r="H817" cm="1">
        <f t="array" ref="H817">Food_Orders[[#This Row],[Quantity_Orderd]]*_xlfn.XLOOKUP(Food_Orders[[#This Row],[Food_ID]],Food_Catalog[[#All],[Food_ID]],Food_Catalog[[#All],[Client_Price_Per_Unit]],0,0)</f>
        <v>21600</v>
      </c>
      <c r="I817">
        <f>Food_Orders[[#This Row],[Client_Price]]-Food_Orders[[#This Row],[Cost]]</f>
        <v>3600</v>
      </c>
    </row>
    <row r="818" spans="1:9" x14ac:dyDescent="0.25">
      <c r="A818">
        <v>36</v>
      </c>
      <c r="B818" t="s">
        <v>37</v>
      </c>
      <c r="C818" t="s">
        <v>8</v>
      </c>
      <c r="D818" t="s">
        <v>38</v>
      </c>
      <c r="E818" t="s">
        <v>10</v>
      </c>
      <c r="F818" cm="1">
        <f t="array" ref="F818">_xlfn.XLOOKUP(Food_Orders[[#This Row],[Event_No]],Event_Master[[#All],[Event_No]],Event_Master[[#All],[Guest_Count]],,0)</f>
        <v>600</v>
      </c>
      <c r="G818" cm="1">
        <f t="array" ref="G818">Food_Orders[[#This Row],[Quantity_Orderd]]*_xlfn.XLOOKUP(Food_Orders[[#This Row],[Food_ID]],Food_Catalog[[#All],[Food_ID]],Food_Catalog[[#All],[Price_Per_Unit]],0,0)</f>
        <v>15000</v>
      </c>
      <c r="H818" cm="1">
        <f t="array" ref="H818">Food_Orders[[#This Row],[Quantity_Orderd]]*_xlfn.XLOOKUP(Food_Orders[[#This Row],[Food_ID]],Food_Catalog[[#All],[Food_ID]],Food_Catalog[[#All],[Client_Price_Per_Unit]],0,0)</f>
        <v>18000</v>
      </c>
      <c r="I818">
        <f>Food_Orders[[#This Row],[Client_Price]]-Food_Orders[[#This Row],[Cost]]</f>
        <v>3000</v>
      </c>
    </row>
    <row r="819" spans="1:9" x14ac:dyDescent="0.25">
      <c r="A819">
        <v>36</v>
      </c>
      <c r="B819" t="s">
        <v>69</v>
      </c>
      <c r="C819" t="s">
        <v>61</v>
      </c>
      <c r="D819" t="s">
        <v>70</v>
      </c>
      <c r="E819" t="s">
        <v>10</v>
      </c>
      <c r="F819" cm="1">
        <f t="array" ref="F819">_xlfn.XLOOKUP(Food_Orders[[#This Row],[Event_No]],Event_Master[[#All],[Event_No]],Event_Master[[#All],[Guest_Count]],,0)</f>
        <v>600</v>
      </c>
      <c r="G819" cm="1">
        <f t="array" ref="G819">Food_Orders[[#This Row],[Quantity_Orderd]]*_xlfn.XLOOKUP(Food_Orders[[#This Row],[Food_ID]],Food_Catalog[[#All],[Food_ID]],Food_Catalog[[#All],[Price_Per_Unit]],0,0)</f>
        <v>30000</v>
      </c>
      <c r="H819" cm="1">
        <f t="array" ref="H819">Food_Orders[[#This Row],[Quantity_Orderd]]*_xlfn.XLOOKUP(Food_Orders[[#This Row],[Food_ID]],Food_Catalog[[#All],[Food_ID]],Food_Catalog[[#All],[Client_Price_Per_Unit]],0,0)</f>
        <v>36000</v>
      </c>
      <c r="I819">
        <f>Food_Orders[[#This Row],[Client_Price]]-Food_Orders[[#This Row],[Cost]]</f>
        <v>6000</v>
      </c>
    </row>
    <row r="820" spans="1:9" x14ac:dyDescent="0.25">
      <c r="A820">
        <v>36</v>
      </c>
      <c r="B820" t="s">
        <v>27</v>
      </c>
      <c r="C820" t="s">
        <v>8</v>
      </c>
      <c r="D820" t="s">
        <v>28</v>
      </c>
      <c r="E820" t="s">
        <v>10</v>
      </c>
      <c r="F820" cm="1">
        <f t="array" ref="F820">_xlfn.XLOOKUP(Food_Orders[[#This Row],[Event_No]],Event_Master[[#All],[Event_No]],Event_Master[[#All],[Guest_Count]],,0)</f>
        <v>600</v>
      </c>
      <c r="G820" cm="1">
        <f t="array" ref="G820">Food_Orders[[#This Row],[Quantity_Orderd]]*_xlfn.XLOOKUP(Food_Orders[[#This Row],[Food_ID]],Food_Catalog[[#All],[Food_ID]],Food_Catalog[[#All],[Price_Per_Unit]],0,0)</f>
        <v>24000</v>
      </c>
      <c r="H820" cm="1">
        <f t="array" ref="H820">Food_Orders[[#This Row],[Quantity_Orderd]]*_xlfn.XLOOKUP(Food_Orders[[#This Row],[Food_ID]],Food_Catalog[[#All],[Food_ID]],Food_Catalog[[#All],[Client_Price_Per_Unit]],0,0)</f>
        <v>28800</v>
      </c>
      <c r="I820">
        <f>Food_Orders[[#This Row],[Client_Price]]-Food_Orders[[#This Row],[Cost]]</f>
        <v>4800</v>
      </c>
    </row>
    <row r="821" spans="1:9" x14ac:dyDescent="0.25">
      <c r="A821">
        <v>36</v>
      </c>
      <c r="B821" t="s">
        <v>82</v>
      </c>
      <c r="C821" t="s">
        <v>83</v>
      </c>
      <c r="D821" t="s">
        <v>84</v>
      </c>
      <c r="E821" t="s">
        <v>85</v>
      </c>
      <c r="F821" cm="1">
        <f t="array" ref="F821">_xlfn.XLOOKUP(Food_Orders[[#This Row],[Event_No]],Event_Master[[#All],[Event_No]],Event_Master[[#All],[Guest_Count]],,0)</f>
        <v>600</v>
      </c>
      <c r="G821" cm="1">
        <f t="array" ref="G821">Food_Orders[[#This Row],[Quantity_Orderd]]*_xlfn.XLOOKUP(Food_Orders[[#This Row],[Food_ID]],Food_Catalog[[#All],[Food_ID]],Food_Catalog[[#All],[Price_Per_Unit]],0,0)</f>
        <v>12000</v>
      </c>
      <c r="H821" cm="1">
        <f t="array" ref="H821">Food_Orders[[#This Row],[Quantity_Orderd]]*_xlfn.XLOOKUP(Food_Orders[[#This Row],[Food_ID]],Food_Catalog[[#All],[Food_ID]],Food_Catalog[[#All],[Client_Price_Per_Unit]],0,0)</f>
        <v>14400</v>
      </c>
      <c r="I821">
        <f>Food_Orders[[#This Row],[Client_Price]]-Food_Orders[[#This Row],[Cost]]</f>
        <v>2400</v>
      </c>
    </row>
    <row r="822" spans="1:9" x14ac:dyDescent="0.25">
      <c r="A822">
        <v>36</v>
      </c>
      <c r="B822" t="s">
        <v>96</v>
      </c>
      <c r="C822" t="s">
        <v>83</v>
      </c>
      <c r="D822" t="s">
        <v>97</v>
      </c>
      <c r="E822" t="s">
        <v>79</v>
      </c>
      <c r="F822" cm="1">
        <f t="array" ref="F822">_xlfn.XLOOKUP(Food_Orders[[#This Row],[Event_No]],Event_Master[[#All],[Event_No]],Event_Master[[#All],[Guest_Count]],,0)</f>
        <v>600</v>
      </c>
      <c r="G822" cm="1">
        <f t="array" ref="G822">Food_Orders[[#This Row],[Quantity_Orderd]]*_xlfn.XLOOKUP(Food_Orders[[#This Row],[Food_ID]],Food_Catalog[[#All],[Food_ID]],Food_Catalog[[#All],[Price_Per_Unit]],0,0)</f>
        <v>18000</v>
      </c>
      <c r="H822" cm="1">
        <f t="array" ref="H822">Food_Orders[[#This Row],[Quantity_Orderd]]*_xlfn.XLOOKUP(Food_Orders[[#This Row],[Food_ID]],Food_Catalog[[#All],[Food_ID]],Food_Catalog[[#All],[Client_Price_Per_Unit]],0,0)</f>
        <v>21600</v>
      </c>
      <c r="I822">
        <f>Food_Orders[[#This Row],[Client_Price]]-Food_Orders[[#This Row],[Cost]]</f>
        <v>3600</v>
      </c>
    </row>
    <row r="823" spans="1:9" x14ac:dyDescent="0.25">
      <c r="A823">
        <v>36</v>
      </c>
      <c r="B823" t="s">
        <v>92</v>
      </c>
      <c r="C823" t="s">
        <v>83</v>
      </c>
      <c r="D823" t="s">
        <v>93</v>
      </c>
      <c r="E823" t="s">
        <v>85</v>
      </c>
      <c r="F823" cm="1">
        <f t="array" ref="F823">_xlfn.XLOOKUP(Food_Orders[[#This Row],[Event_No]],Event_Master[[#All],[Event_No]],Event_Master[[#All],[Guest_Count]],,0)</f>
        <v>600</v>
      </c>
      <c r="G823" cm="1">
        <f t="array" ref="G823">Food_Orders[[#This Row],[Quantity_Orderd]]*_xlfn.XLOOKUP(Food_Orders[[#This Row],[Food_ID]],Food_Catalog[[#All],[Food_ID]],Food_Catalog[[#All],[Price_Per_Unit]],0,0)</f>
        <v>9000</v>
      </c>
      <c r="H823" cm="1">
        <f t="array" ref="H823">Food_Orders[[#This Row],[Quantity_Orderd]]*_xlfn.XLOOKUP(Food_Orders[[#This Row],[Food_ID]],Food_Catalog[[#All],[Food_ID]],Food_Catalog[[#All],[Client_Price_Per_Unit]],0,0)</f>
        <v>10800</v>
      </c>
      <c r="I823">
        <f>Food_Orders[[#This Row],[Client_Price]]-Food_Orders[[#This Row],[Cost]]</f>
        <v>1800</v>
      </c>
    </row>
    <row r="824" spans="1:9" x14ac:dyDescent="0.25">
      <c r="A824">
        <v>36</v>
      </c>
      <c r="B824" t="s">
        <v>98</v>
      </c>
      <c r="C824" t="s">
        <v>83</v>
      </c>
      <c r="D824" t="s">
        <v>99</v>
      </c>
      <c r="E824" t="s">
        <v>85</v>
      </c>
      <c r="F824" cm="1">
        <f t="array" ref="F824">_xlfn.XLOOKUP(Food_Orders[[#This Row],[Event_No]],Event_Master[[#All],[Event_No]],Event_Master[[#All],[Guest_Count]],,0)</f>
        <v>600</v>
      </c>
      <c r="G824" cm="1">
        <f t="array" ref="G824">Food_Orders[[#This Row],[Quantity_Orderd]]*_xlfn.XLOOKUP(Food_Orders[[#This Row],[Food_ID]],Food_Catalog[[#All],[Food_ID]],Food_Catalog[[#All],[Price_Per_Unit]],0,0)</f>
        <v>9000</v>
      </c>
      <c r="H824" cm="1">
        <f t="array" ref="H824">Food_Orders[[#This Row],[Quantity_Orderd]]*_xlfn.XLOOKUP(Food_Orders[[#This Row],[Food_ID]],Food_Catalog[[#All],[Food_ID]],Food_Catalog[[#All],[Client_Price_Per_Unit]],0,0)</f>
        <v>10800</v>
      </c>
      <c r="I824">
        <f>Food_Orders[[#This Row],[Client_Price]]-Food_Orders[[#This Row],[Cost]]</f>
        <v>1800</v>
      </c>
    </row>
    <row r="825" spans="1:9" x14ac:dyDescent="0.25">
      <c r="A825">
        <v>37</v>
      </c>
      <c r="B825" t="s">
        <v>60</v>
      </c>
      <c r="C825" t="s">
        <v>61</v>
      </c>
      <c r="D825" t="s">
        <v>62</v>
      </c>
      <c r="E825" t="s">
        <v>10</v>
      </c>
      <c r="F825" cm="1">
        <f t="array" ref="F825">_xlfn.XLOOKUP(Food_Orders[[#This Row],[Event_No]],Event_Master[[#All],[Event_No]],Event_Master[[#All],[Guest_Count]],,0)</f>
        <v>900</v>
      </c>
      <c r="G825" cm="1">
        <f t="array" ref="G825">Food_Orders[[#This Row],[Quantity_Orderd]]*_xlfn.XLOOKUP(Food_Orders[[#This Row],[Food_ID]],Food_Catalog[[#All],[Food_ID]],Food_Catalog[[#All],[Price_Per_Unit]],0,0)</f>
        <v>18000</v>
      </c>
      <c r="H825" cm="1">
        <f t="array" ref="H825">Food_Orders[[#This Row],[Quantity_Orderd]]*_xlfn.XLOOKUP(Food_Orders[[#This Row],[Food_ID]],Food_Catalog[[#All],[Food_ID]],Food_Catalog[[#All],[Client_Price_Per_Unit]],0,0)</f>
        <v>21600</v>
      </c>
      <c r="I825">
        <f>Food_Orders[[#This Row],[Client_Price]]-Food_Orders[[#This Row],[Cost]]</f>
        <v>3600</v>
      </c>
    </row>
    <row r="826" spans="1:9" x14ac:dyDescent="0.25">
      <c r="A826">
        <v>37</v>
      </c>
      <c r="B826" t="s">
        <v>63</v>
      </c>
      <c r="C826" t="s">
        <v>61</v>
      </c>
      <c r="D826" t="s">
        <v>64</v>
      </c>
      <c r="E826" t="s">
        <v>10</v>
      </c>
      <c r="F826" cm="1">
        <f t="array" ref="F826">_xlfn.XLOOKUP(Food_Orders[[#This Row],[Event_No]],Event_Master[[#All],[Event_No]],Event_Master[[#All],[Guest_Count]],,0)</f>
        <v>900</v>
      </c>
      <c r="G826" cm="1">
        <f t="array" ref="G826">Food_Orders[[#This Row],[Quantity_Orderd]]*_xlfn.XLOOKUP(Food_Orders[[#This Row],[Food_ID]],Food_Catalog[[#All],[Food_ID]],Food_Catalog[[#All],[Price_Per_Unit]],0,0)</f>
        <v>27000</v>
      </c>
      <c r="H826" cm="1">
        <f t="array" ref="H826">Food_Orders[[#This Row],[Quantity_Orderd]]*_xlfn.XLOOKUP(Food_Orders[[#This Row],[Food_ID]],Food_Catalog[[#All],[Food_ID]],Food_Catalog[[#All],[Client_Price_Per_Unit]],0,0)</f>
        <v>32400</v>
      </c>
      <c r="I826">
        <f>Food_Orders[[#This Row],[Client_Price]]-Food_Orders[[#This Row],[Cost]]</f>
        <v>5400</v>
      </c>
    </row>
    <row r="827" spans="1:9" x14ac:dyDescent="0.25">
      <c r="A827">
        <v>37</v>
      </c>
      <c r="B827" t="s">
        <v>71</v>
      </c>
      <c r="C827" t="s">
        <v>61</v>
      </c>
      <c r="D827" t="s">
        <v>72</v>
      </c>
      <c r="E827" t="s">
        <v>10</v>
      </c>
      <c r="F827" cm="1">
        <f t="array" ref="F827">_xlfn.XLOOKUP(Food_Orders[[#This Row],[Event_No]],Event_Master[[#All],[Event_No]],Event_Master[[#All],[Guest_Count]],,0)</f>
        <v>900</v>
      </c>
      <c r="G827" cm="1">
        <f t="array" ref="G827">Food_Orders[[#This Row],[Quantity_Orderd]]*_xlfn.XLOOKUP(Food_Orders[[#This Row],[Food_ID]],Food_Catalog[[#All],[Food_ID]],Food_Catalog[[#All],[Price_Per_Unit]],0,0)</f>
        <v>22500</v>
      </c>
      <c r="H827" cm="1">
        <f t="array" ref="H827">Food_Orders[[#This Row],[Quantity_Orderd]]*_xlfn.XLOOKUP(Food_Orders[[#This Row],[Food_ID]],Food_Catalog[[#All],[Food_ID]],Food_Catalog[[#All],[Client_Price_Per_Unit]],0,0)</f>
        <v>27000</v>
      </c>
      <c r="I827">
        <f>Food_Orders[[#This Row],[Client_Price]]-Food_Orders[[#This Row],[Cost]]</f>
        <v>4500</v>
      </c>
    </row>
    <row r="828" spans="1:9" x14ac:dyDescent="0.25">
      <c r="A828">
        <v>37</v>
      </c>
      <c r="B828" t="s">
        <v>80</v>
      </c>
      <c r="C828" t="s">
        <v>61</v>
      </c>
      <c r="D828" t="s">
        <v>81</v>
      </c>
      <c r="E828" t="s">
        <v>10</v>
      </c>
      <c r="F828" cm="1">
        <f t="array" ref="F828">_xlfn.XLOOKUP(Food_Orders[[#This Row],[Event_No]],Event_Master[[#All],[Event_No]],Event_Master[[#All],[Guest_Count]],,0)</f>
        <v>900</v>
      </c>
      <c r="G828" cm="1">
        <f t="array" ref="G828">Food_Orders[[#This Row],[Quantity_Orderd]]*_xlfn.XLOOKUP(Food_Orders[[#This Row],[Food_ID]],Food_Catalog[[#All],[Food_ID]],Food_Catalog[[#All],[Price_Per_Unit]],0,0)</f>
        <v>27000</v>
      </c>
      <c r="H828" cm="1">
        <f t="array" ref="H828">Food_Orders[[#This Row],[Quantity_Orderd]]*_xlfn.XLOOKUP(Food_Orders[[#This Row],[Food_ID]],Food_Catalog[[#All],[Food_ID]],Food_Catalog[[#All],[Client_Price_Per_Unit]],0,0)</f>
        <v>32400</v>
      </c>
      <c r="I828">
        <f>Food_Orders[[#This Row],[Client_Price]]-Food_Orders[[#This Row],[Cost]]</f>
        <v>5400</v>
      </c>
    </row>
    <row r="829" spans="1:9" x14ac:dyDescent="0.25">
      <c r="A829">
        <v>37</v>
      </c>
      <c r="B829" t="s">
        <v>73</v>
      </c>
      <c r="C829" t="s">
        <v>61</v>
      </c>
      <c r="D829" t="s">
        <v>74</v>
      </c>
      <c r="E829" t="s">
        <v>10</v>
      </c>
      <c r="F829" cm="1">
        <f t="array" ref="F829">_xlfn.XLOOKUP(Food_Orders[[#This Row],[Event_No]],Event_Master[[#All],[Event_No]],Event_Master[[#All],[Guest_Count]],,0)</f>
        <v>900</v>
      </c>
      <c r="G829" cm="1">
        <f t="array" ref="G829">Food_Orders[[#This Row],[Quantity_Orderd]]*_xlfn.XLOOKUP(Food_Orders[[#This Row],[Food_ID]],Food_Catalog[[#All],[Food_ID]],Food_Catalog[[#All],[Price_Per_Unit]],0,0)</f>
        <v>36000</v>
      </c>
      <c r="H829" cm="1">
        <f t="array" ref="H829">Food_Orders[[#This Row],[Quantity_Orderd]]*_xlfn.XLOOKUP(Food_Orders[[#This Row],[Food_ID]],Food_Catalog[[#All],[Food_ID]],Food_Catalog[[#All],[Client_Price_Per_Unit]],0,0)</f>
        <v>43200</v>
      </c>
      <c r="I829">
        <f>Food_Orders[[#This Row],[Client_Price]]-Food_Orders[[#This Row],[Cost]]</f>
        <v>7200</v>
      </c>
    </row>
    <row r="830" spans="1:9" x14ac:dyDescent="0.25">
      <c r="A830">
        <v>37</v>
      </c>
      <c r="B830" t="s">
        <v>75</v>
      </c>
      <c r="C830" t="s">
        <v>61</v>
      </c>
      <c r="D830" t="s">
        <v>76</v>
      </c>
      <c r="E830" t="s">
        <v>10</v>
      </c>
      <c r="F830" cm="1">
        <f t="array" ref="F830">_xlfn.XLOOKUP(Food_Orders[[#This Row],[Event_No]],Event_Master[[#All],[Event_No]],Event_Master[[#All],[Guest_Count]],,0)</f>
        <v>900</v>
      </c>
      <c r="G830" cm="1">
        <f t="array" ref="G830">Food_Orders[[#This Row],[Quantity_Orderd]]*_xlfn.XLOOKUP(Food_Orders[[#This Row],[Food_ID]],Food_Catalog[[#All],[Food_ID]],Food_Catalog[[#All],[Price_Per_Unit]],0,0)</f>
        <v>36000</v>
      </c>
      <c r="H830" cm="1">
        <f t="array" ref="H830">Food_Orders[[#This Row],[Quantity_Orderd]]*_xlfn.XLOOKUP(Food_Orders[[#This Row],[Food_ID]],Food_Catalog[[#All],[Food_ID]],Food_Catalog[[#All],[Client_Price_Per_Unit]],0,0)</f>
        <v>43200</v>
      </c>
      <c r="I830">
        <f>Food_Orders[[#This Row],[Client_Price]]-Food_Orders[[#This Row],[Cost]]</f>
        <v>7200</v>
      </c>
    </row>
    <row r="831" spans="1:9" x14ac:dyDescent="0.25">
      <c r="A831">
        <v>37</v>
      </c>
      <c r="B831" t="s">
        <v>69</v>
      </c>
      <c r="C831" t="s">
        <v>61</v>
      </c>
      <c r="D831" t="s">
        <v>70</v>
      </c>
      <c r="E831" t="s">
        <v>10</v>
      </c>
      <c r="F831" cm="1">
        <f t="array" ref="F831">_xlfn.XLOOKUP(Food_Orders[[#This Row],[Event_No]],Event_Master[[#All],[Event_No]],Event_Master[[#All],[Guest_Count]],,0)</f>
        <v>900</v>
      </c>
      <c r="G831" cm="1">
        <f t="array" ref="G831">Food_Orders[[#This Row],[Quantity_Orderd]]*_xlfn.XLOOKUP(Food_Orders[[#This Row],[Food_ID]],Food_Catalog[[#All],[Food_ID]],Food_Catalog[[#All],[Price_Per_Unit]],0,0)</f>
        <v>45000</v>
      </c>
      <c r="H831" cm="1">
        <f t="array" ref="H831">Food_Orders[[#This Row],[Quantity_Orderd]]*_xlfn.XLOOKUP(Food_Orders[[#This Row],[Food_ID]],Food_Catalog[[#All],[Food_ID]],Food_Catalog[[#All],[Client_Price_Per_Unit]],0,0)</f>
        <v>54000</v>
      </c>
      <c r="I831">
        <f>Food_Orders[[#This Row],[Client_Price]]-Food_Orders[[#This Row],[Cost]]</f>
        <v>9000</v>
      </c>
    </row>
    <row r="832" spans="1:9" x14ac:dyDescent="0.25">
      <c r="A832">
        <v>37</v>
      </c>
      <c r="B832" t="s">
        <v>67</v>
      </c>
      <c r="C832" t="s">
        <v>61</v>
      </c>
      <c r="D832" t="s">
        <v>68</v>
      </c>
      <c r="E832" t="s">
        <v>10</v>
      </c>
      <c r="F832" cm="1">
        <f t="array" ref="F832">_xlfn.XLOOKUP(Food_Orders[[#This Row],[Event_No]],Event_Master[[#All],[Event_No]],Event_Master[[#All],[Guest_Count]],,0)</f>
        <v>900</v>
      </c>
      <c r="G832" cm="1">
        <f t="array" ref="G832">Food_Orders[[#This Row],[Quantity_Orderd]]*_xlfn.XLOOKUP(Food_Orders[[#This Row],[Food_ID]],Food_Catalog[[#All],[Food_ID]],Food_Catalog[[#All],[Price_Per_Unit]],0,0)</f>
        <v>27000</v>
      </c>
      <c r="H832" cm="1">
        <f t="array" ref="H832">Food_Orders[[#This Row],[Quantity_Orderd]]*_xlfn.XLOOKUP(Food_Orders[[#This Row],[Food_ID]],Food_Catalog[[#All],[Food_ID]],Food_Catalog[[#All],[Client_Price_Per_Unit]],0,0)</f>
        <v>32400</v>
      </c>
      <c r="I832">
        <f>Food_Orders[[#This Row],[Client_Price]]-Food_Orders[[#This Row],[Cost]]</f>
        <v>5400</v>
      </c>
    </row>
    <row r="833" spans="1:9" x14ac:dyDescent="0.25">
      <c r="A833">
        <v>37</v>
      </c>
      <c r="B833" t="s">
        <v>77</v>
      </c>
      <c r="C833" t="s">
        <v>61</v>
      </c>
      <c r="D833" t="s">
        <v>78</v>
      </c>
      <c r="E833" t="s">
        <v>79</v>
      </c>
      <c r="F833" cm="1">
        <f t="array" ref="F833">_xlfn.XLOOKUP(Food_Orders[[#This Row],[Event_No]],Event_Master[[#All],[Event_No]],Event_Master[[#All],[Guest_Count]],,0)</f>
        <v>900</v>
      </c>
      <c r="G833" cm="1">
        <f t="array" ref="G833">Food_Orders[[#This Row],[Quantity_Orderd]]*_xlfn.XLOOKUP(Food_Orders[[#This Row],[Food_ID]],Food_Catalog[[#All],[Food_ID]],Food_Catalog[[#All],[Price_Per_Unit]],0,0)</f>
        <v>31500</v>
      </c>
      <c r="H833" cm="1">
        <f t="array" ref="H833">Food_Orders[[#This Row],[Quantity_Orderd]]*_xlfn.XLOOKUP(Food_Orders[[#This Row],[Food_ID]],Food_Catalog[[#All],[Food_ID]],Food_Catalog[[#All],[Client_Price_Per_Unit]],0,0)</f>
        <v>37800</v>
      </c>
      <c r="I833">
        <f>Food_Orders[[#This Row],[Client_Price]]-Food_Orders[[#This Row],[Cost]]</f>
        <v>6300</v>
      </c>
    </row>
    <row r="834" spans="1:9" x14ac:dyDescent="0.25">
      <c r="A834">
        <v>37</v>
      </c>
      <c r="B834" t="s">
        <v>7</v>
      </c>
      <c r="C834" t="s">
        <v>8</v>
      </c>
      <c r="D834" t="s">
        <v>9</v>
      </c>
      <c r="E834" t="s">
        <v>10</v>
      </c>
      <c r="F834" cm="1">
        <f t="array" ref="F834">_xlfn.XLOOKUP(Food_Orders[[#This Row],[Event_No]],Event_Master[[#All],[Event_No]],Event_Master[[#All],[Guest_Count]],,0)</f>
        <v>900</v>
      </c>
      <c r="G834" cm="1">
        <f t="array" ref="G834">Food_Orders[[#This Row],[Quantity_Orderd]]*_xlfn.XLOOKUP(Food_Orders[[#This Row],[Food_ID]],Food_Catalog[[#All],[Food_ID]],Food_Catalog[[#All],[Price_Per_Unit]],0,0)</f>
        <v>22500</v>
      </c>
      <c r="H834" cm="1">
        <f t="array" ref="H834">Food_Orders[[#This Row],[Quantity_Orderd]]*_xlfn.XLOOKUP(Food_Orders[[#This Row],[Food_ID]],Food_Catalog[[#All],[Food_ID]],Food_Catalog[[#All],[Client_Price_Per_Unit]],0,0)</f>
        <v>27000</v>
      </c>
      <c r="I834">
        <f>Food_Orders[[#This Row],[Client_Price]]-Food_Orders[[#This Row],[Cost]]</f>
        <v>4500</v>
      </c>
    </row>
    <row r="835" spans="1:9" x14ac:dyDescent="0.25">
      <c r="A835">
        <v>37</v>
      </c>
      <c r="B835" t="s">
        <v>13</v>
      </c>
      <c r="C835" t="s">
        <v>8</v>
      </c>
      <c r="D835" t="s">
        <v>14</v>
      </c>
      <c r="E835" t="s">
        <v>10</v>
      </c>
      <c r="F835" cm="1">
        <f t="array" ref="F835">_xlfn.XLOOKUP(Food_Orders[[#This Row],[Event_No]],Event_Master[[#All],[Event_No]],Event_Master[[#All],[Guest_Count]],,0)</f>
        <v>900</v>
      </c>
      <c r="G835" cm="1">
        <f t="array" ref="G835">Food_Orders[[#This Row],[Quantity_Orderd]]*_xlfn.XLOOKUP(Food_Orders[[#This Row],[Food_ID]],Food_Catalog[[#All],[Food_ID]],Food_Catalog[[#All],[Price_Per_Unit]],0,0)</f>
        <v>31500</v>
      </c>
      <c r="H835" cm="1">
        <f t="array" ref="H835">Food_Orders[[#This Row],[Quantity_Orderd]]*_xlfn.XLOOKUP(Food_Orders[[#This Row],[Food_ID]],Food_Catalog[[#All],[Food_ID]],Food_Catalog[[#All],[Client_Price_Per_Unit]],0,0)</f>
        <v>37800</v>
      </c>
      <c r="I835">
        <f>Food_Orders[[#This Row],[Client_Price]]-Food_Orders[[#This Row],[Cost]]</f>
        <v>6300</v>
      </c>
    </row>
    <row r="836" spans="1:9" x14ac:dyDescent="0.25">
      <c r="A836">
        <v>37</v>
      </c>
      <c r="B836" t="s">
        <v>25</v>
      </c>
      <c r="C836" t="s">
        <v>8</v>
      </c>
      <c r="D836" t="s">
        <v>26</v>
      </c>
      <c r="E836" t="s">
        <v>10</v>
      </c>
      <c r="F836" cm="1">
        <f t="array" ref="F836">_xlfn.XLOOKUP(Food_Orders[[#This Row],[Event_No]],Event_Master[[#All],[Event_No]],Event_Master[[#All],[Guest_Count]],,0)</f>
        <v>900</v>
      </c>
      <c r="G836" cm="1">
        <f t="array" ref="G836">Food_Orders[[#This Row],[Quantity_Orderd]]*_xlfn.XLOOKUP(Food_Orders[[#This Row],[Food_ID]],Food_Catalog[[#All],[Food_ID]],Food_Catalog[[#All],[Price_Per_Unit]],0,0)</f>
        <v>27000</v>
      </c>
      <c r="H836" cm="1">
        <f t="array" ref="H836">Food_Orders[[#This Row],[Quantity_Orderd]]*_xlfn.XLOOKUP(Food_Orders[[#This Row],[Food_ID]],Food_Catalog[[#All],[Food_ID]],Food_Catalog[[#All],[Client_Price_Per_Unit]],0,0)</f>
        <v>32400</v>
      </c>
      <c r="I836">
        <f>Food_Orders[[#This Row],[Client_Price]]-Food_Orders[[#This Row],[Cost]]</f>
        <v>5400</v>
      </c>
    </row>
    <row r="837" spans="1:9" x14ac:dyDescent="0.25">
      <c r="A837">
        <v>37</v>
      </c>
      <c r="B837" t="s">
        <v>15</v>
      </c>
      <c r="C837" t="s">
        <v>8</v>
      </c>
      <c r="D837" t="s">
        <v>16</v>
      </c>
      <c r="E837" t="s">
        <v>10</v>
      </c>
      <c r="F837" cm="1">
        <f t="array" ref="F837">_xlfn.XLOOKUP(Food_Orders[[#This Row],[Event_No]],Event_Master[[#All],[Event_No]],Event_Master[[#All],[Guest_Count]],,0)</f>
        <v>900</v>
      </c>
      <c r="G837" cm="1">
        <f t="array" ref="G837">Food_Orders[[#This Row],[Quantity_Orderd]]*_xlfn.XLOOKUP(Food_Orders[[#This Row],[Food_ID]],Food_Catalog[[#All],[Food_ID]],Food_Catalog[[#All],[Price_Per_Unit]],0,0)</f>
        <v>27000</v>
      </c>
      <c r="H837" cm="1">
        <f t="array" ref="H837">Food_Orders[[#This Row],[Quantity_Orderd]]*_xlfn.XLOOKUP(Food_Orders[[#This Row],[Food_ID]],Food_Catalog[[#All],[Food_ID]],Food_Catalog[[#All],[Client_Price_Per_Unit]],0,0)</f>
        <v>32400</v>
      </c>
      <c r="I837">
        <f>Food_Orders[[#This Row],[Client_Price]]-Food_Orders[[#This Row],[Cost]]</f>
        <v>5400</v>
      </c>
    </row>
    <row r="838" spans="1:9" x14ac:dyDescent="0.25">
      <c r="A838">
        <v>37</v>
      </c>
      <c r="B838" t="s">
        <v>35</v>
      </c>
      <c r="C838" t="s">
        <v>8</v>
      </c>
      <c r="D838" t="s">
        <v>36</v>
      </c>
      <c r="E838" t="s">
        <v>10</v>
      </c>
      <c r="F838" cm="1">
        <f t="array" ref="F838">_xlfn.XLOOKUP(Food_Orders[[#This Row],[Event_No]],Event_Master[[#All],[Event_No]],Event_Master[[#All],[Guest_Count]],,0)</f>
        <v>900</v>
      </c>
      <c r="G838" cm="1">
        <f t="array" ref="G838">Food_Orders[[#This Row],[Quantity_Orderd]]*_xlfn.XLOOKUP(Food_Orders[[#This Row],[Food_ID]],Food_Catalog[[#All],[Food_ID]],Food_Catalog[[#All],[Price_Per_Unit]],0,0)</f>
        <v>27000</v>
      </c>
      <c r="H838" cm="1">
        <f t="array" ref="H838">Food_Orders[[#This Row],[Quantity_Orderd]]*_xlfn.XLOOKUP(Food_Orders[[#This Row],[Food_ID]],Food_Catalog[[#All],[Food_ID]],Food_Catalog[[#All],[Client_Price_Per_Unit]],0,0)</f>
        <v>32400</v>
      </c>
      <c r="I838">
        <f>Food_Orders[[#This Row],[Client_Price]]-Food_Orders[[#This Row],[Cost]]</f>
        <v>5400</v>
      </c>
    </row>
    <row r="839" spans="1:9" x14ac:dyDescent="0.25">
      <c r="A839">
        <v>37</v>
      </c>
      <c r="B839" t="s">
        <v>27</v>
      </c>
      <c r="C839" t="s">
        <v>8</v>
      </c>
      <c r="D839" t="s">
        <v>28</v>
      </c>
      <c r="E839" t="s">
        <v>10</v>
      </c>
      <c r="F839" cm="1">
        <f t="array" ref="F839">_xlfn.XLOOKUP(Food_Orders[[#This Row],[Event_No]],Event_Master[[#All],[Event_No]],Event_Master[[#All],[Guest_Count]],,0)</f>
        <v>900</v>
      </c>
      <c r="G839" cm="1">
        <f t="array" ref="G839">Food_Orders[[#This Row],[Quantity_Orderd]]*_xlfn.XLOOKUP(Food_Orders[[#This Row],[Food_ID]],Food_Catalog[[#All],[Food_ID]],Food_Catalog[[#All],[Price_Per_Unit]],0,0)</f>
        <v>36000</v>
      </c>
      <c r="H839" cm="1">
        <f t="array" ref="H839">Food_Orders[[#This Row],[Quantity_Orderd]]*_xlfn.XLOOKUP(Food_Orders[[#This Row],[Food_ID]],Food_Catalog[[#All],[Food_ID]],Food_Catalog[[#All],[Client_Price_Per_Unit]],0,0)</f>
        <v>43200</v>
      </c>
      <c r="I839">
        <f>Food_Orders[[#This Row],[Client_Price]]-Food_Orders[[#This Row],[Cost]]</f>
        <v>7200</v>
      </c>
    </row>
    <row r="840" spans="1:9" x14ac:dyDescent="0.25">
      <c r="A840">
        <v>37</v>
      </c>
      <c r="B840" t="s">
        <v>31</v>
      </c>
      <c r="C840" t="s">
        <v>8</v>
      </c>
      <c r="D840" t="s">
        <v>32</v>
      </c>
      <c r="E840" t="s">
        <v>10</v>
      </c>
      <c r="F840" cm="1">
        <f t="array" ref="F840">_xlfn.XLOOKUP(Food_Orders[[#This Row],[Event_No]],Event_Master[[#All],[Event_No]],Event_Master[[#All],[Guest_Count]],,0)</f>
        <v>900</v>
      </c>
      <c r="G840" cm="1">
        <f t="array" ref="G840">Food_Orders[[#This Row],[Quantity_Orderd]]*_xlfn.XLOOKUP(Food_Orders[[#This Row],[Food_ID]],Food_Catalog[[#All],[Food_ID]],Food_Catalog[[#All],[Price_Per_Unit]],0,0)</f>
        <v>27000</v>
      </c>
      <c r="H840" cm="1">
        <f t="array" ref="H840">Food_Orders[[#This Row],[Quantity_Orderd]]*_xlfn.XLOOKUP(Food_Orders[[#This Row],[Food_ID]],Food_Catalog[[#All],[Food_ID]],Food_Catalog[[#All],[Client_Price_Per_Unit]],0,0)</f>
        <v>32400</v>
      </c>
      <c r="I840">
        <f>Food_Orders[[#This Row],[Client_Price]]-Food_Orders[[#This Row],[Cost]]</f>
        <v>5400</v>
      </c>
    </row>
    <row r="841" spans="1:9" x14ac:dyDescent="0.25">
      <c r="A841">
        <v>37</v>
      </c>
      <c r="B841" t="s">
        <v>33</v>
      </c>
      <c r="C841" t="s">
        <v>8</v>
      </c>
      <c r="D841" t="s">
        <v>34</v>
      </c>
      <c r="E841" t="s">
        <v>10</v>
      </c>
      <c r="F841" cm="1">
        <f t="array" ref="F841">_xlfn.XLOOKUP(Food_Orders[[#This Row],[Event_No]],Event_Master[[#All],[Event_No]],Event_Master[[#All],[Guest_Count]],,0)</f>
        <v>900</v>
      </c>
      <c r="G841" cm="1">
        <f t="array" ref="G841">Food_Orders[[#This Row],[Quantity_Orderd]]*_xlfn.XLOOKUP(Food_Orders[[#This Row],[Food_ID]],Food_Catalog[[#All],[Food_ID]],Food_Catalog[[#All],[Price_Per_Unit]],0,0)</f>
        <v>27000</v>
      </c>
      <c r="H841" cm="1">
        <f t="array" ref="H841">Food_Orders[[#This Row],[Quantity_Orderd]]*_xlfn.XLOOKUP(Food_Orders[[#This Row],[Food_ID]],Food_Catalog[[#All],[Food_ID]],Food_Catalog[[#All],[Client_Price_Per_Unit]],0,0)</f>
        <v>32400</v>
      </c>
      <c r="I841">
        <f>Food_Orders[[#This Row],[Client_Price]]-Food_Orders[[#This Row],[Cost]]</f>
        <v>5400</v>
      </c>
    </row>
    <row r="842" spans="1:9" x14ac:dyDescent="0.25">
      <c r="A842">
        <v>37</v>
      </c>
      <c r="B842" t="s">
        <v>17</v>
      </c>
      <c r="C842" t="s">
        <v>8</v>
      </c>
      <c r="D842" t="s">
        <v>18</v>
      </c>
      <c r="E842" t="s">
        <v>10</v>
      </c>
      <c r="F842" cm="1">
        <f t="array" ref="F842">_xlfn.XLOOKUP(Food_Orders[[#This Row],[Event_No]],Event_Master[[#All],[Event_No]],Event_Master[[#All],[Guest_Count]],,0)</f>
        <v>900</v>
      </c>
      <c r="G842" cm="1">
        <f t="array" ref="G842">Food_Orders[[#This Row],[Quantity_Orderd]]*_xlfn.XLOOKUP(Food_Orders[[#This Row],[Food_ID]],Food_Catalog[[#All],[Food_ID]],Food_Catalog[[#All],[Price_Per_Unit]],0,0)</f>
        <v>36000</v>
      </c>
      <c r="H842" cm="1">
        <f t="array" ref="H842">Food_Orders[[#This Row],[Quantity_Orderd]]*_xlfn.XLOOKUP(Food_Orders[[#This Row],[Food_ID]],Food_Catalog[[#All],[Food_ID]],Food_Catalog[[#All],[Client_Price_Per_Unit]],0,0)</f>
        <v>43200</v>
      </c>
      <c r="I842">
        <f>Food_Orders[[#This Row],[Client_Price]]-Food_Orders[[#This Row],[Cost]]</f>
        <v>7200</v>
      </c>
    </row>
    <row r="843" spans="1:9" x14ac:dyDescent="0.25">
      <c r="A843">
        <v>37</v>
      </c>
      <c r="B843" t="s">
        <v>21</v>
      </c>
      <c r="C843" t="s">
        <v>8</v>
      </c>
      <c r="D843" t="s">
        <v>22</v>
      </c>
      <c r="E843" t="s">
        <v>10</v>
      </c>
      <c r="F843" cm="1">
        <f t="array" ref="F843">_xlfn.XLOOKUP(Food_Orders[[#This Row],[Event_No]],Event_Master[[#All],[Event_No]],Event_Master[[#All],[Guest_Count]],,0)</f>
        <v>900</v>
      </c>
      <c r="G843" cm="1">
        <f t="array" ref="G843">Food_Orders[[#This Row],[Quantity_Orderd]]*_xlfn.XLOOKUP(Food_Orders[[#This Row],[Food_ID]],Food_Catalog[[#All],[Food_ID]],Food_Catalog[[#All],[Price_Per_Unit]],0,0)</f>
        <v>31500</v>
      </c>
      <c r="H843" cm="1">
        <f t="array" ref="H843">Food_Orders[[#This Row],[Quantity_Orderd]]*_xlfn.XLOOKUP(Food_Orders[[#This Row],[Food_ID]],Food_Catalog[[#All],[Food_ID]],Food_Catalog[[#All],[Client_Price_Per_Unit]],0,0)</f>
        <v>37800</v>
      </c>
      <c r="I843">
        <f>Food_Orders[[#This Row],[Client_Price]]-Food_Orders[[#This Row],[Cost]]</f>
        <v>6300</v>
      </c>
    </row>
    <row r="844" spans="1:9" x14ac:dyDescent="0.25">
      <c r="A844">
        <v>37</v>
      </c>
      <c r="B844" t="s">
        <v>19</v>
      </c>
      <c r="C844" t="s">
        <v>8</v>
      </c>
      <c r="D844" t="s">
        <v>20</v>
      </c>
      <c r="E844" t="s">
        <v>10</v>
      </c>
      <c r="F844" cm="1">
        <f t="array" ref="F844">_xlfn.XLOOKUP(Food_Orders[[#This Row],[Event_No]],Event_Master[[#All],[Event_No]],Event_Master[[#All],[Guest_Count]],,0)</f>
        <v>900</v>
      </c>
      <c r="G844" cm="1">
        <f t="array" ref="G844">Food_Orders[[#This Row],[Quantity_Orderd]]*_xlfn.XLOOKUP(Food_Orders[[#This Row],[Food_ID]],Food_Catalog[[#All],[Food_ID]],Food_Catalog[[#All],[Price_Per_Unit]],0,0)</f>
        <v>31500</v>
      </c>
      <c r="H844" cm="1">
        <f t="array" ref="H844">Food_Orders[[#This Row],[Quantity_Orderd]]*_xlfn.XLOOKUP(Food_Orders[[#This Row],[Food_ID]],Food_Catalog[[#All],[Food_ID]],Food_Catalog[[#All],[Client_Price_Per_Unit]],0,0)</f>
        <v>37800</v>
      </c>
      <c r="I844">
        <f>Food_Orders[[#This Row],[Client_Price]]-Food_Orders[[#This Row],[Cost]]</f>
        <v>6300</v>
      </c>
    </row>
    <row r="845" spans="1:9" x14ac:dyDescent="0.25">
      <c r="A845">
        <v>37</v>
      </c>
      <c r="B845" t="s">
        <v>29</v>
      </c>
      <c r="C845" t="s">
        <v>8</v>
      </c>
      <c r="D845" t="s">
        <v>30</v>
      </c>
      <c r="E845" t="s">
        <v>10</v>
      </c>
      <c r="F845" cm="1">
        <f t="array" ref="F845">_xlfn.XLOOKUP(Food_Orders[[#This Row],[Event_No]],Event_Master[[#All],[Event_No]],Event_Master[[#All],[Guest_Count]],,0)</f>
        <v>900</v>
      </c>
      <c r="G845" cm="1">
        <f t="array" ref="G845">Food_Orders[[#This Row],[Quantity_Orderd]]*_xlfn.XLOOKUP(Food_Orders[[#This Row],[Food_ID]],Food_Catalog[[#All],[Food_ID]],Food_Catalog[[#All],[Price_Per_Unit]],0,0)</f>
        <v>27000</v>
      </c>
      <c r="H845" cm="1">
        <f t="array" ref="H845">Food_Orders[[#This Row],[Quantity_Orderd]]*_xlfn.XLOOKUP(Food_Orders[[#This Row],[Food_ID]],Food_Catalog[[#All],[Food_ID]],Food_Catalog[[#All],[Client_Price_Per_Unit]],0,0)</f>
        <v>32400</v>
      </c>
      <c r="I845">
        <f>Food_Orders[[#This Row],[Client_Price]]-Food_Orders[[#This Row],[Cost]]</f>
        <v>5400</v>
      </c>
    </row>
    <row r="846" spans="1:9" x14ac:dyDescent="0.25">
      <c r="A846">
        <v>37</v>
      </c>
      <c r="B846" t="s">
        <v>37</v>
      </c>
      <c r="C846" t="s">
        <v>8</v>
      </c>
      <c r="D846" t="s">
        <v>38</v>
      </c>
      <c r="E846" t="s">
        <v>10</v>
      </c>
      <c r="F846" cm="1">
        <f t="array" ref="F846">_xlfn.XLOOKUP(Food_Orders[[#This Row],[Event_No]],Event_Master[[#All],[Event_No]],Event_Master[[#All],[Guest_Count]],,0)</f>
        <v>900</v>
      </c>
      <c r="G846" cm="1">
        <f t="array" ref="G846">Food_Orders[[#This Row],[Quantity_Orderd]]*_xlfn.XLOOKUP(Food_Orders[[#This Row],[Food_ID]],Food_Catalog[[#All],[Food_ID]],Food_Catalog[[#All],[Price_Per_Unit]],0,0)</f>
        <v>22500</v>
      </c>
      <c r="H846" cm="1">
        <f t="array" ref="H846">Food_Orders[[#This Row],[Quantity_Orderd]]*_xlfn.XLOOKUP(Food_Orders[[#This Row],[Food_ID]],Food_Catalog[[#All],[Food_ID]],Food_Catalog[[#All],[Client_Price_Per_Unit]],0,0)</f>
        <v>27000</v>
      </c>
      <c r="I846">
        <f>Food_Orders[[#This Row],[Client_Price]]-Food_Orders[[#This Row],[Cost]]</f>
        <v>4500</v>
      </c>
    </row>
    <row r="847" spans="1:9" x14ac:dyDescent="0.25">
      <c r="A847">
        <v>37</v>
      </c>
      <c r="B847" t="s">
        <v>39</v>
      </c>
      <c r="C847" t="s">
        <v>40</v>
      </c>
      <c r="D847" t="s">
        <v>41</v>
      </c>
      <c r="E847" t="s">
        <v>10</v>
      </c>
      <c r="F847" cm="1">
        <f t="array" ref="F847">_xlfn.XLOOKUP(Food_Orders[[#This Row],[Event_No]],Event_Master[[#All],[Event_No]],Event_Master[[#All],[Guest_Count]],,0)</f>
        <v>900</v>
      </c>
      <c r="G847" cm="1">
        <f t="array" ref="G847">Food_Orders[[#This Row],[Quantity_Orderd]]*_xlfn.XLOOKUP(Food_Orders[[#This Row],[Food_ID]],Food_Catalog[[#All],[Food_ID]],Food_Catalog[[#All],[Price_Per_Unit]],0,0)</f>
        <v>54000</v>
      </c>
      <c r="H847" cm="1">
        <f t="array" ref="H847">Food_Orders[[#This Row],[Quantity_Orderd]]*_xlfn.XLOOKUP(Food_Orders[[#This Row],[Food_ID]],Food_Catalog[[#All],[Food_ID]],Food_Catalog[[#All],[Client_Price_Per_Unit]],0,0)</f>
        <v>64800</v>
      </c>
      <c r="I847">
        <f>Food_Orders[[#This Row],[Client_Price]]-Food_Orders[[#This Row],[Cost]]</f>
        <v>10800</v>
      </c>
    </row>
    <row r="848" spans="1:9" x14ac:dyDescent="0.25">
      <c r="A848">
        <v>37</v>
      </c>
      <c r="B848" t="s">
        <v>42</v>
      </c>
      <c r="C848" t="s">
        <v>40</v>
      </c>
      <c r="D848" t="s">
        <v>43</v>
      </c>
      <c r="E848" t="s">
        <v>10</v>
      </c>
      <c r="F848" cm="1">
        <f t="array" ref="F848">_xlfn.XLOOKUP(Food_Orders[[#This Row],[Event_No]],Event_Master[[#All],[Event_No]],Event_Master[[#All],[Guest_Count]],,0)</f>
        <v>900</v>
      </c>
      <c r="G848" cm="1">
        <f t="array" ref="G848">Food_Orders[[#This Row],[Quantity_Orderd]]*_xlfn.XLOOKUP(Food_Orders[[#This Row],[Food_ID]],Food_Catalog[[#All],[Food_ID]],Food_Catalog[[#All],[Price_Per_Unit]],0,0)</f>
        <v>63000</v>
      </c>
      <c r="H848" cm="1">
        <f t="array" ref="H848">Food_Orders[[#This Row],[Quantity_Orderd]]*_xlfn.XLOOKUP(Food_Orders[[#This Row],[Food_ID]],Food_Catalog[[#All],[Food_ID]],Food_Catalog[[#All],[Client_Price_Per_Unit]],0,0)</f>
        <v>75600</v>
      </c>
      <c r="I848">
        <f>Food_Orders[[#This Row],[Client_Price]]-Food_Orders[[#This Row],[Cost]]</f>
        <v>12600</v>
      </c>
    </row>
    <row r="849" spans="1:9" x14ac:dyDescent="0.25">
      <c r="A849">
        <v>37</v>
      </c>
      <c r="B849" t="s">
        <v>46</v>
      </c>
      <c r="C849" t="s">
        <v>40</v>
      </c>
      <c r="D849" t="s">
        <v>47</v>
      </c>
      <c r="E849" t="s">
        <v>10</v>
      </c>
      <c r="F849" cm="1">
        <f t="array" ref="F849">_xlfn.XLOOKUP(Food_Orders[[#This Row],[Event_No]],Event_Master[[#All],[Event_No]],Event_Master[[#All],[Guest_Count]],,0)</f>
        <v>900</v>
      </c>
      <c r="G849" cm="1">
        <f t="array" ref="G849">Food_Orders[[#This Row],[Quantity_Orderd]]*_xlfn.XLOOKUP(Food_Orders[[#This Row],[Food_ID]],Food_Catalog[[#All],[Food_ID]],Food_Catalog[[#All],[Price_Per_Unit]],0,0)</f>
        <v>81000</v>
      </c>
      <c r="H849" cm="1">
        <f t="array" ref="H849">Food_Orders[[#This Row],[Quantity_Orderd]]*_xlfn.XLOOKUP(Food_Orders[[#This Row],[Food_ID]],Food_Catalog[[#All],[Food_ID]],Food_Catalog[[#All],[Client_Price_Per_Unit]],0,0)</f>
        <v>97200</v>
      </c>
      <c r="I849">
        <f>Food_Orders[[#This Row],[Client_Price]]-Food_Orders[[#This Row],[Cost]]</f>
        <v>16200</v>
      </c>
    </row>
    <row r="850" spans="1:9" x14ac:dyDescent="0.25">
      <c r="A850">
        <v>37</v>
      </c>
      <c r="B850" t="s">
        <v>48</v>
      </c>
      <c r="C850" t="s">
        <v>40</v>
      </c>
      <c r="D850" t="s">
        <v>49</v>
      </c>
      <c r="E850" t="s">
        <v>10</v>
      </c>
      <c r="F850" cm="1">
        <f t="array" ref="F850">_xlfn.XLOOKUP(Food_Orders[[#This Row],[Event_No]],Event_Master[[#All],[Event_No]],Event_Master[[#All],[Guest_Count]],,0)</f>
        <v>900</v>
      </c>
      <c r="G850" cm="1">
        <f t="array" ref="G850">Food_Orders[[#This Row],[Quantity_Orderd]]*_xlfn.XLOOKUP(Food_Orders[[#This Row],[Food_ID]],Food_Catalog[[#All],[Food_ID]],Food_Catalog[[#All],[Price_Per_Unit]],0,0)</f>
        <v>90000</v>
      </c>
      <c r="H850" cm="1">
        <f t="array" ref="H850">Food_Orders[[#This Row],[Quantity_Orderd]]*_xlfn.XLOOKUP(Food_Orders[[#This Row],[Food_ID]],Food_Catalog[[#All],[Food_ID]],Food_Catalog[[#All],[Client_Price_Per_Unit]],0,0)</f>
        <v>108000</v>
      </c>
      <c r="I850">
        <f>Food_Orders[[#This Row],[Client_Price]]-Food_Orders[[#This Row],[Cost]]</f>
        <v>18000</v>
      </c>
    </row>
    <row r="851" spans="1:9" x14ac:dyDescent="0.25">
      <c r="A851">
        <v>37</v>
      </c>
      <c r="B851" t="s">
        <v>50</v>
      </c>
      <c r="C851" t="s">
        <v>40</v>
      </c>
      <c r="D851" t="s">
        <v>51</v>
      </c>
      <c r="E851" t="s">
        <v>10</v>
      </c>
      <c r="F851" cm="1">
        <f t="array" ref="F851">_xlfn.XLOOKUP(Food_Orders[[#This Row],[Event_No]],Event_Master[[#All],[Event_No]],Event_Master[[#All],[Guest_Count]],,0)</f>
        <v>900</v>
      </c>
      <c r="G851" cm="1">
        <f t="array" ref="G851">Food_Orders[[#This Row],[Quantity_Orderd]]*_xlfn.XLOOKUP(Food_Orders[[#This Row],[Food_ID]],Food_Catalog[[#All],[Food_ID]],Food_Catalog[[#All],[Price_Per_Unit]],0,0)</f>
        <v>72000</v>
      </c>
      <c r="H851" cm="1">
        <f t="array" ref="H851">Food_Orders[[#This Row],[Quantity_Orderd]]*_xlfn.XLOOKUP(Food_Orders[[#This Row],[Food_ID]],Food_Catalog[[#All],[Food_ID]],Food_Catalog[[#All],[Client_Price_Per_Unit]],0,0)</f>
        <v>86400</v>
      </c>
      <c r="I851">
        <f>Food_Orders[[#This Row],[Client_Price]]-Food_Orders[[#This Row],[Cost]]</f>
        <v>14400</v>
      </c>
    </row>
    <row r="852" spans="1:9" x14ac:dyDescent="0.25">
      <c r="A852">
        <v>37</v>
      </c>
      <c r="B852" t="s">
        <v>52</v>
      </c>
      <c r="C852" t="s">
        <v>40</v>
      </c>
      <c r="D852" t="s">
        <v>53</v>
      </c>
      <c r="E852" t="s">
        <v>10</v>
      </c>
      <c r="F852" cm="1">
        <f t="array" ref="F852">_xlfn.XLOOKUP(Food_Orders[[#This Row],[Event_No]],Event_Master[[#All],[Event_No]],Event_Master[[#All],[Guest_Count]],,0)</f>
        <v>900</v>
      </c>
      <c r="G852" cm="1">
        <f t="array" ref="G852">Food_Orders[[#This Row],[Quantity_Orderd]]*_xlfn.XLOOKUP(Food_Orders[[#This Row],[Food_ID]],Food_Catalog[[#All],[Food_ID]],Food_Catalog[[#All],[Price_Per_Unit]],0,0)</f>
        <v>90000</v>
      </c>
      <c r="H852" cm="1">
        <f t="array" ref="H852">Food_Orders[[#This Row],[Quantity_Orderd]]*_xlfn.XLOOKUP(Food_Orders[[#This Row],[Food_ID]],Food_Catalog[[#All],[Food_ID]],Food_Catalog[[#All],[Client_Price_Per_Unit]],0,0)</f>
        <v>108000</v>
      </c>
      <c r="I852">
        <f>Food_Orders[[#This Row],[Client_Price]]-Food_Orders[[#This Row],[Cost]]</f>
        <v>18000</v>
      </c>
    </row>
    <row r="853" spans="1:9" x14ac:dyDescent="0.25">
      <c r="A853">
        <v>37</v>
      </c>
      <c r="B853" t="s">
        <v>54</v>
      </c>
      <c r="C853" t="s">
        <v>40</v>
      </c>
      <c r="D853" t="s">
        <v>55</v>
      </c>
      <c r="E853" t="s">
        <v>10</v>
      </c>
      <c r="F853" cm="1">
        <f t="array" ref="F853">_xlfn.XLOOKUP(Food_Orders[[#This Row],[Event_No]],Event_Master[[#All],[Event_No]],Event_Master[[#All],[Guest_Count]],,0)</f>
        <v>900</v>
      </c>
      <c r="G853" cm="1">
        <f t="array" ref="G853">Food_Orders[[#This Row],[Quantity_Orderd]]*_xlfn.XLOOKUP(Food_Orders[[#This Row],[Food_ID]],Food_Catalog[[#All],[Food_ID]],Food_Catalog[[#All],[Price_Per_Unit]],0,0)</f>
        <v>36000</v>
      </c>
      <c r="H853" cm="1">
        <f t="array" ref="H853">Food_Orders[[#This Row],[Quantity_Orderd]]*_xlfn.XLOOKUP(Food_Orders[[#This Row],[Food_ID]],Food_Catalog[[#All],[Food_ID]],Food_Catalog[[#All],[Client_Price_Per_Unit]],0,0)</f>
        <v>43200</v>
      </c>
      <c r="I853">
        <f>Food_Orders[[#This Row],[Client_Price]]-Food_Orders[[#This Row],[Cost]]</f>
        <v>7200</v>
      </c>
    </row>
    <row r="854" spans="1:9" x14ac:dyDescent="0.25">
      <c r="A854">
        <v>37</v>
      </c>
      <c r="B854" t="s">
        <v>58</v>
      </c>
      <c r="C854" t="s">
        <v>40</v>
      </c>
      <c r="D854" t="s">
        <v>59</v>
      </c>
      <c r="E854" t="s">
        <v>10</v>
      </c>
      <c r="F854" cm="1">
        <f t="array" ref="F854">_xlfn.XLOOKUP(Food_Orders[[#This Row],[Event_No]],Event_Master[[#All],[Event_No]],Event_Master[[#All],[Guest_Count]],,0)</f>
        <v>900</v>
      </c>
      <c r="G854" cm="1">
        <f t="array" ref="G854">Food_Orders[[#This Row],[Quantity_Orderd]]*_xlfn.XLOOKUP(Food_Orders[[#This Row],[Food_ID]],Food_Catalog[[#All],[Food_ID]],Food_Catalog[[#All],[Price_Per_Unit]],0,0)</f>
        <v>81000</v>
      </c>
      <c r="H854" cm="1">
        <f t="array" ref="H854">Food_Orders[[#This Row],[Quantity_Orderd]]*_xlfn.XLOOKUP(Food_Orders[[#This Row],[Food_ID]],Food_Catalog[[#All],[Food_ID]],Food_Catalog[[#All],[Client_Price_Per_Unit]],0,0)</f>
        <v>97200</v>
      </c>
      <c r="I854">
        <f>Food_Orders[[#This Row],[Client_Price]]-Food_Orders[[#This Row],[Cost]]</f>
        <v>16200</v>
      </c>
    </row>
    <row r="855" spans="1:9" x14ac:dyDescent="0.25">
      <c r="A855">
        <v>37</v>
      </c>
      <c r="B855" t="s">
        <v>82</v>
      </c>
      <c r="C855" t="s">
        <v>83</v>
      </c>
      <c r="D855" t="s">
        <v>84</v>
      </c>
      <c r="E855" t="s">
        <v>85</v>
      </c>
      <c r="F855" cm="1">
        <f t="array" ref="F855">_xlfn.XLOOKUP(Food_Orders[[#This Row],[Event_No]],Event_Master[[#All],[Event_No]],Event_Master[[#All],[Guest_Count]],,0)</f>
        <v>900</v>
      </c>
      <c r="G855" cm="1">
        <f t="array" ref="G855">Food_Orders[[#This Row],[Quantity_Orderd]]*_xlfn.XLOOKUP(Food_Orders[[#This Row],[Food_ID]],Food_Catalog[[#All],[Food_ID]],Food_Catalog[[#All],[Price_Per_Unit]],0,0)</f>
        <v>18000</v>
      </c>
      <c r="H855" cm="1">
        <f t="array" ref="H855">Food_Orders[[#This Row],[Quantity_Orderd]]*_xlfn.XLOOKUP(Food_Orders[[#This Row],[Food_ID]],Food_Catalog[[#All],[Food_ID]],Food_Catalog[[#All],[Client_Price_Per_Unit]],0,0)</f>
        <v>21600</v>
      </c>
      <c r="I855">
        <f>Food_Orders[[#This Row],[Client_Price]]-Food_Orders[[#This Row],[Cost]]</f>
        <v>3600</v>
      </c>
    </row>
    <row r="856" spans="1:9" x14ac:dyDescent="0.25">
      <c r="A856">
        <v>37</v>
      </c>
      <c r="B856" t="s">
        <v>86</v>
      </c>
      <c r="C856" t="s">
        <v>83</v>
      </c>
      <c r="D856" t="s">
        <v>87</v>
      </c>
      <c r="E856" t="s">
        <v>85</v>
      </c>
      <c r="F856" cm="1">
        <f t="array" ref="F856">_xlfn.XLOOKUP(Food_Orders[[#This Row],[Event_No]],Event_Master[[#All],[Event_No]],Event_Master[[#All],[Guest_Count]],,0)</f>
        <v>900</v>
      </c>
      <c r="G856" cm="1">
        <f t="array" ref="G856">Food_Orders[[#This Row],[Quantity_Orderd]]*_xlfn.XLOOKUP(Food_Orders[[#This Row],[Food_ID]],Food_Catalog[[#All],[Food_ID]],Food_Catalog[[#All],[Price_Per_Unit]],0,0)</f>
        <v>18000</v>
      </c>
      <c r="H856" cm="1">
        <f t="array" ref="H856">Food_Orders[[#This Row],[Quantity_Orderd]]*_xlfn.XLOOKUP(Food_Orders[[#This Row],[Food_ID]],Food_Catalog[[#All],[Food_ID]],Food_Catalog[[#All],[Client_Price_Per_Unit]],0,0)</f>
        <v>21600</v>
      </c>
      <c r="I856">
        <f>Food_Orders[[#This Row],[Client_Price]]-Food_Orders[[#This Row],[Cost]]</f>
        <v>3600</v>
      </c>
    </row>
    <row r="857" spans="1:9" x14ac:dyDescent="0.25">
      <c r="A857">
        <v>37</v>
      </c>
      <c r="B857" t="s">
        <v>88</v>
      </c>
      <c r="C857" t="s">
        <v>83</v>
      </c>
      <c r="D857" t="s">
        <v>89</v>
      </c>
      <c r="E857" t="s">
        <v>85</v>
      </c>
      <c r="F857" cm="1">
        <f t="array" ref="F857">_xlfn.XLOOKUP(Food_Orders[[#This Row],[Event_No]],Event_Master[[#All],[Event_No]],Event_Master[[#All],[Guest_Count]],,0)</f>
        <v>900</v>
      </c>
      <c r="G857" cm="1">
        <f t="array" ref="G857">Food_Orders[[#This Row],[Quantity_Orderd]]*_xlfn.XLOOKUP(Food_Orders[[#This Row],[Food_ID]],Food_Catalog[[#All],[Food_ID]],Food_Catalog[[#All],[Price_Per_Unit]],0,0)</f>
        <v>13500</v>
      </c>
      <c r="H857" cm="1">
        <f t="array" ref="H857">Food_Orders[[#This Row],[Quantity_Orderd]]*_xlfn.XLOOKUP(Food_Orders[[#This Row],[Food_ID]],Food_Catalog[[#All],[Food_ID]],Food_Catalog[[#All],[Client_Price_Per_Unit]],0,0)</f>
        <v>16200</v>
      </c>
      <c r="I857">
        <f>Food_Orders[[#This Row],[Client_Price]]-Food_Orders[[#This Row],[Cost]]</f>
        <v>2700</v>
      </c>
    </row>
    <row r="858" spans="1:9" x14ac:dyDescent="0.25">
      <c r="A858">
        <v>37</v>
      </c>
      <c r="B858" t="s">
        <v>100</v>
      </c>
      <c r="C858" t="s">
        <v>83</v>
      </c>
      <c r="D858" t="s">
        <v>101</v>
      </c>
      <c r="E858" t="s">
        <v>79</v>
      </c>
      <c r="F858" cm="1">
        <f t="array" ref="F858">_xlfn.XLOOKUP(Food_Orders[[#This Row],[Event_No]],Event_Master[[#All],[Event_No]],Event_Master[[#All],[Guest_Count]],,0)</f>
        <v>900</v>
      </c>
      <c r="G858" cm="1">
        <f t="array" ref="G858">Food_Orders[[#This Row],[Quantity_Orderd]]*_xlfn.XLOOKUP(Food_Orders[[#This Row],[Food_ID]],Food_Catalog[[#All],[Food_ID]],Food_Catalog[[#All],[Price_Per_Unit]],0,0)</f>
        <v>31500</v>
      </c>
      <c r="H858" cm="1">
        <f t="array" ref="H858">Food_Orders[[#This Row],[Quantity_Orderd]]*_xlfn.XLOOKUP(Food_Orders[[#This Row],[Food_ID]],Food_Catalog[[#All],[Food_ID]],Food_Catalog[[#All],[Client_Price_Per_Unit]],0,0)</f>
        <v>37800</v>
      </c>
      <c r="I858">
        <f>Food_Orders[[#This Row],[Client_Price]]-Food_Orders[[#This Row],[Cost]]</f>
        <v>6300</v>
      </c>
    </row>
    <row r="859" spans="1:9" x14ac:dyDescent="0.25">
      <c r="A859">
        <v>37</v>
      </c>
      <c r="B859" t="s">
        <v>96</v>
      </c>
      <c r="C859" t="s">
        <v>83</v>
      </c>
      <c r="D859" t="s">
        <v>97</v>
      </c>
      <c r="E859" t="s">
        <v>79</v>
      </c>
      <c r="F859" cm="1">
        <f t="array" ref="F859">_xlfn.XLOOKUP(Food_Orders[[#This Row],[Event_No]],Event_Master[[#All],[Event_No]],Event_Master[[#All],[Guest_Count]],,0)</f>
        <v>900</v>
      </c>
      <c r="G859" cm="1">
        <f t="array" ref="G859">Food_Orders[[#This Row],[Quantity_Orderd]]*_xlfn.XLOOKUP(Food_Orders[[#This Row],[Food_ID]],Food_Catalog[[#All],[Food_ID]],Food_Catalog[[#All],[Price_Per_Unit]],0,0)</f>
        <v>27000</v>
      </c>
      <c r="H859" cm="1">
        <f t="array" ref="H859">Food_Orders[[#This Row],[Quantity_Orderd]]*_xlfn.XLOOKUP(Food_Orders[[#This Row],[Food_ID]],Food_Catalog[[#All],[Food_ID]],Food_Catalog[[#All],[Client_Price_Per_Unit]],0,0)</f>
        <v>32400</v>
      </c>
      <c r="I859">
        <f>Food_Orders[[#This Row],[Client_Price]]-Food_Orders[[#This Row],[Cost]]</f>
        <v>5400</v>
      </c>
    </row>
    <row r="860" spans="1:9" x14ac:dyDescent="0.25">
      <c r="A860">
        <v>37</v>
      </c>
      <c r="B860" t="s">
        <v>92</v>
      </c>
      <c r="C860" t="s">
        <v>83</v>
      </c>
      <c r="D860" t="s">
        <v>93</v>
      </c>
      <c r="E860" t="s">
        <v>85</v>
      </c>
      <c r="F860" cm="1">
        <f t="array" ref="F860">_xlfn.XLOOKUP(Food_Orders[[#This Row],[Event_No]],Event_Master[[#All],[Event_No]],Event_Master[[#All],[Guest_Count]],,0)</f>
        <v>900</v>
      </c>
      <c r="G860" cm="1">
        <f t="array" ref="G860">Food_Orders[[#This Row],[Quantity_Orderd]]*_xlfn.XLOOKUP(Food_Orders[[#This Row],[Food_ID]],Food_Catalog[[#All],[Food_ID]],Food_Catalog[[#All],[Price_Per_Unit]],0,0)</f>
        <v>13500</v>
      </c>
      <c r="H860" cm="1">
        <f t="array" ref="H860">Food_Orders[[#This Row],[Quantity_Orderd]]*_xlfn.XLOOKUP(Food_Orders[[#This Row],[Food_ID]],Food_Catalog[[#All],[Food_ID]],Food_Catalog[[#All],[Client_Price_Per_Unit]],0,0)</f>
        <v>16200</v>
      </c>
      <c r="I860">
        <f>Food_Orders[[#This Row],[Client_Price]]-Food_Orders[[#This Row],[Cost]]</f>
        <v>2700</v>
      </c>
    </row>
    <row r="861" spans="1:9" x14ac:dyDescent="0.25">
      <c r="A861">
        <v>37</v>
      </c>
      <c r="B861" t="s">
        <v>102</v>
      </c>
      <c r="C861" t="s">
        <v>83</v>
      </c>
      <c r="D861" t="s">
        <v>103</v>
      </c>
      <c r="E861" t="s">
        <v>85</v>
      </c>
      <c r="F861" cm="1">
        <f t="array" ref="F861">_xlfn.XLOOKUP(Food_Orders[[#This Row],[Event_No]],Event_Master[[#All],[Event_No]],Event_Master[[#All],[Guest_Count]],,0)</f>
        <v>900</v>
      </c>
      <c r="G861" cm="1">
        <f t="array" ref="G861">Food_Orders[[#This Row],[Quantity_Orderd]]*_xlfn.XLOOKUP(Food_Orders[[#This Row],[Food_ID]],Food_Catalog[[#All],[Food_ID]],Food_Catalog[[#All],[Price_Per_Unit]],0,0)</f>
        <v>18000</v>
      </c>
      <c r="H861" cm="1">
        <f t="array" ref="H861">Food_Orders[[#This Row],[Quantity_Orderd]]*_xlfn.XLOOKUP(Food_Orders[[#This Row],[Food_ID]],Food_Catalog[[#All],[Food_ID]],Food_Catalog[[#All],[Client_Price_Per_Unit]],0,0)</f>
        <v>21600</v>
      </c>
      <c r="I861">
        <f>Food_Orders[[#This Row],[Client_Price]]-Food_Orders[[#This Row],[Cost]]</f>
        <v>3600</v>
      </c>
    </row>
    <row r="862" spans="1:9" x14ac:dyDescent="0.25">
      <c r="A862">
        <v>37</v>
      </c>
      <c r="B862" t="s">
        <v>98</v>
      </c>
      <c r="C862" t="s">
        <v>83</v>
      </c>
      <c r="D862" t="s">
        <v>99</v>
      </c>
      <c r="E862" t="s">
        <v>85</v>
      </c>
      <c r="F862" cm="1">
        <f t="array" ref="F862">_xlfn.XLOOKUP(Food_Orders[[#This Row],[Event_No]],Event_Master[[#All],[Event_No]],Event_Master[[#All],[Guest_Count]],,0)</f>
        <v>900</v>
      </c>
      <c r="G862" cm="1">
        <f t="array" ref="G862">Food_Orders[[#This Row],[Quantity_Orderd]]*_xlfn.XLOOKUP(Food_Orders[[#This Row],[Food_ID]],Food_Catalog[[#All],[Food_ID]],Food_Catalog[[#All],[Price_Per_Unit]],0,0)</f>
        <v>13500</v>
      </c>
      <c r="H862" cm="1">
        <f t="array" ref="H862">Food_Orders[[#This Row],[Quantity_Orderd]]*_xlfn.XLOOKUP(Food_Orders[[#This Row],[Food_ID]],Food_Catalog[[#All],[Food_ID]],Food_Catalog[[#All],[Client_Price_Per_Unit]],0,0)</f>
        <v>16200</v>
      </c>
      <c r="I862">
        <f>Food_Orders[[#This Row],[Client_Price]]-Food_Orders[[#This Row],[Cost]]</f>
        <v>2700</v>
      </c>
    </row>
    <row r="863" spans="1:9" x14ac:dyDescent="0.25">
      <c r="A863">
        <v>37</v>
      </c>
      <c r="B863" t="s">
        <v>104</v>
      </c>
      <c r="C863" t="s">
        <v>105</v>
      </c>
      <c r="D863" t="s">
        <v>106</v>
      </c>
      <c r="E863" t="s">
        <v>107</v>
      </c>
      <c r="F863" cm="1">
        <f t="array" ref="F863">_xlfn.XLOOKUP(Food_Orders[[#This Row],[Event_No]],Event_Master[[#All],[Event_No]],Event_Master[[#All],[Guest_Count]],,0)</f>
        <v>900</v>
      </c>
      <c r="G863" cm="1">
        <f t="array" ref="G863">Food_Orders[[#This Row],[Quantity_Orderd]]*_xlfn.XLOOKUP(Food_Orders[[#This Row],[Food_ID]],Food_Catalog[[#All],[Food_ID]],Food_Catalog[[#All],[Price_Per_Unit]],0,0)</f>
        <v>9000</v>
      </c>
      <c r="H863" cm="1">
        <f t="array" ref="H863">Food_Orders[[#This Row],[Quantity_Orderd]]*_xlfn.XLOOKUP(Food_Orders[[#This Row],[Food_ID]],Food_Catalog[[#All],[Food_ID]],Food_Catalog[[#All],[Client_Price_Per_Unit]],0,0)</f>
        <v>10800</v>
      </c>
      <c r="I863">
        <f>Food_Orders[[#This Row],[Client_Price]]-Food_Orders[[#This Row],[Cost]]</f>
        <v>1800</v>
      </c>
    </row>
    <row r="864" spans="1:9" x14ac:dyDescent="0.25">
      <c r="A864">
        <v>37</v>
      </c>
      <c r="B864" t="s">
        <v>108</v>
      </c>
      <c r="C864" t="s">
        <v>105</v>
      </c>
      <c r="D864" t="s">
        <v>109</v>
      </c>
      <c r="E864" t="s">
        <v>107</v>
      </c>
      <c r="F864" cm="1">
        <f t="array" ref="F864">_xlfn.XLOOKUP(Food_Orders[[#This Row],[Event_No]],Event_Master[[#All],[Event_No]],Event_Master[[#All],[Guest_Count]],,0)</f>
        <v>900</v>
      </c>
      <c r="G864" cm="1">
        <f t="array" ref="G864">Food_Orders[[#This Row],[Quantity_Orderd]]*_xlfn.XLOOKUP(Food_Orders[[#This Row],[Food_ID]],Food_Catalog[[#All],[Food_ID]],Food_Catalog[[#All],[Price_Per_Unit]],0,0)</f>
        <v>13500</v>
      </c>
      <c r="H864" cm="1">
        <f t="array" ref="H864">Food_Orders[[#This Row],[Quantity_Orderd]]*_xlfn.XLOOKUP(Food_Orders[[#This Row],[Food_ID]],Food_Catalog[[#All],[Food_ID]],Food_Catalog[[#All],[Client_Price_Per_Unit]],0,0)</f>
        <v>16200</v>
      </c>
      <c r="I864">
        <f>Food_Orders[[#This Row],[Client_Price]]-Food_Orders[[#This Row],[Cost]]</f>
        <v>2700</v>
      </c>
    </row>
    <row r="865" spans="1:9" x14ac:dyDescent="0.25">
      <c r="A865">
        <v>37</v>
      </c>
      <c r="B865" t="s">
        <v>115</v>
      </c>
      <c r="C865" t="s">
        <v>105</v>
      </c>
      <c r="D865" t="s">
        <v>116</v>
      </c>
      <c r="E865" t="s">
        <v>117</v>
      </c>
      <c r="F865" cm="1">
        <f t="array" ref="F865">_xlfn.XLOOKUP(Food_Orders[[#This Row],[Event_No]],Event_Master[[#All],[Event_No]],Event_Master[[#All],[Guest_Count]],,0)</f>
        <v>900</v>
      </c>
      <c r="G865" cm="1">
        <f t="array" ref="G865">Food_Orders[[#This Row],[Quantity_Orderd]]*_xlfn.XLOOKUP(Food_Orders[[#This Row],[Food_ID]],Food_Catalog[[#All],[Food_ID]],Food_Catalog[[#All],[Price_Per_Unit]],0,0)</f>
        <v>22500</v>
      </c>
      <c r="H865" cm="1">
        <f t="array" ref="H865">Food_Orders[[#This Row],[Quantity_Orderd]]*_xlfn.XLOOKUP(Food_Orders[[#This Row],[Food_ID]],Food_Catalog[[#All],[Food_ID]],Food_Catalog[[#All],[Client_Price_Per_Unit]],0,0)</f>
        <v>27000</v>
      </c>
      <c r="I865">
        <f>Food_Orders[[#This Row],[Client_Price]]-Food_Orders[[#This Row],[Cost]]</f>
        <v>4500</v>
      </c>
    </row>
    <row r="866" spans="1:9" x14ac:dyDescent="0.25">
      <c r="A866">
        <v>37</v>
      </c>
      <c r="B866" t="s">
        <v>110</v>
      </c>
      <c r="C866" t="s">
        <v>105</v>
      </c>
      <c r="D866" t="s">
        <v>111</v>
      </c>
      <c r="E866" t="s">
        <v>112</v>
      </c>
      <c r="F866" cm="1">
        <f t="array" ref="F866">_xlfn.XLOOKUP(Food_Orders[[#This Row],[Event_No]],Event_Master[[#All],[Event_No]],Event_Master[[#All],[Guest_Count]],,0)</f>
        <v>900</v>
      </c>
      <c r="G866" cm="1">
        <f t="array" ref="G866">Food_Orders[[#This Row],[Quantity_Orderd]]*_xlfn.XLOOKUP(Food_Orders[[#This Row],[Food_ID]],Food_Catalog[[#All],[Food_ID]],Food_Catalog[[#All],[Price_Per_Unit]],0,0)</f>
        <v>18000</v>
      </c>
      <c r="H866" cm="1">
        <f t="array" ref="H866">Food_Orders[[#This Row],[Quantity_Orderd]]*_xlfn.XLOOKUP(Food_Orders[[#This Row],[Food_ID]],Food_Catalog[[#All],[Food_ID]],Food_Catalog[[#All],[Client_Price_Per_Unit]],0,0)</f>
        <v>21600</v>
      </c>
      <c r="I866">
        <f>Food_Orders[[#This Row],[Client_Price]]-Food_Orders[[#This Row],[Cost]]</f>
        <v>3600</v>
      </c>
    </row>
    <row r="867" spans="1:9" x14ac:dyDescent="0.25">
      <c r="A867">
        <v>37</v>
      </c>
      <c r="B867" t="s">
        <v>118</v>
      </c>
      <c r="C867" t="s">
        <v>119</v>
      </c>
      <c r="D867" t="s">
        <v>120</v>
      </c>
      <c r="E867" t="s">
        <v>112</v>
      </c>
      <c r="F867" cm="1">
        <f t="array" ref="F867">_xlfn.XLOOKUP(Food_Orders[[#This Row],[Event_No]],Event_Master[[#All],[Event_No]],Event_Master[[#All],[Guest_Count]],,0)</f>
        <v>900</v>
      </c>
      <c r="G867" cm="1">
        <f t="array" ref="G867">Food_Orders[[#This Row],[Quantity_Orderd]]*_xlfn.XLOOKUP(Food_Orders[[#This Row],[Food_ID]],Food_Catalog[[#All],[Food_ID]],Food_Catalog[[#All],[Price_Per_Unit]],0,0)</f>
        <v>9000</v>
      </c>
      <c r="H867" cm="1">
        <f t="array" ref="H867">Food_Orders[[#This Row],[Quantity_Orderd]]*_xlfn.XLOOKUP(Food_Orders[[#This Row],[Food_ID]],Food_Catalog[[#All],[Food_ID]],Food_Catalog[[#All],[Client_Price_Per_Unit]],0,0)</f>
        <v>10800</v>
      </c>
      <c r="I867">
        <f>Food_Orders[[#This Row],[Client_Price]]-Food_Orders[[#This Row],[Cost]]</f>
        <v>1800</v>
      </c>
    </row>
    <row r="868" spans="1:9" x14ac:dyDescent="0.25">
      <c r="A868">
        <v>37</v>
      </c>
      <c r="B868" t="s">
        <v>129</v>
      </c>
      <c r="C868" t="s">
        <v>119</v>
      </c>
      <c r="D868" t="s">
        <v>130</v>
      </c>
      <c r="E868" t="s">
        <v>112</v>
      </c>
      <c r="F868" cm="1">
        <f t="array" ref="F868">_xlfn.XLOOKUP(Food_Orders[[#This Row],[Event_No]],Event_Master[[#All],[Event_No]],Event_Master[[#All],[Guest_Count]],,0)</f>
        <v>900</v>
      </c>
      <c r="G868" cm="1">
        <f t="array" ref="G868">Food_Orders[[#This Row],[Quantity_Orderd]]*_xlfn.XLOOKUP(Food_Orders[[#This Row],[Food_ID]],Food_Catalog[[#All],[Food_ID]],Food_Catalog[[#All],[Price_Per_Unit]],0,0)</f>
        <v>9000</v>
      </c>
      <c r="H868" cm="1">
        <f t="array" ref="H868">Food_Orders[[#This Row],[Quantity_Orderd]]*_xlfn.XLOOKUP(Food_Orders[[#This Row],[Food_ID]],Food_Catalog[[#All],[Food_ID]],Food_Catalog[[#All],[Client_Price_Per_Unit]],0,0)</f>
        <v>10800</v>
      </c>
      <c r="I868">
        <f>Food_Orders[[#This Row],[Client_Price]]-Food_Orders[[#This Row],[Cost]]</f>
        <v>1800</v>
      </c>
    </row>
    <row r="869" spans="1:9" x14ac:dyDescent="0.25">
      <c r="A869">
        <v>37</v>
      </c>
      <c r="B869" t="s">
        <v>124</v>
      </c>
      <c r="C869" t="s">
        <v>119</v>
      </c>
      <c r="D869" t="s">
        <v>125</v>
      </c>
      <c r="E869" t="s">
        <v>126</v>
      </c>
      <c r="F869" cm="1">
        <f t="array" ref="F869">_xlfn.XLOOKUP(Food_Orders[[#This Row],[Event_No]],Event_Master[[#All],[Event_No]],Event_Master[[#All],[Guest_Count]],,0)</f>
        <v>900</v>
      </c>
      <c r="G869" cm="1">
        <f t="array" ref="G869">Food_Orders[[#This Row],[Quantity_Orderd]]*_xlfn.XLOOKUP(Food_Orders[[#This Row],[Food_ID]],Food_Catalog[[#All],[Food_ID]],Food_Catalog[[#All],[Price_Per_Unit]],0,0)</f>
        <v>18000</v>
      </c>
      <c r="H869" cm="1">
        <f t="array" ref="H869">Food_Orders[[#This Row],[Quantity_Orderd]]*_xlfn.XLOOKUP(Food_Orders[[#This Row],[Food_ID]],Food_Catalog[[#All],[Food_ID]],Food_Catalog[[#All],[Client_Price_Per_Unit]],0,0)</f>
        <v>21600</v>
      </c>
      <c r="I869">
        <f>Food_Orders[[#This Row],[Client_Price]]-Food_Orders[[#This Row],[Cost]]</f>
        <v>3600</v>
      </c>
    </row>
    <row r="870" spans="1:9" x14ac:dyDescent="0.25">
      <c r="A870">
        <v>37</v>
      </c>
      <c r="B870" t="s">
        <v>127</v>
      </c>
      <c r="C870" t="s">
        <v>119</v>
      </c>
      <c r="D870" t="s">
        <v>128</v>
      </c>
      <c r="E870" t="s">
        <v>107</v>
      </c>
      <c r="F870" cm="1">
        <f t="array" ref="F870">_xlfn.XLOOKUP(Food_Orders[[#This Row],[Event_No]],Event_Master[[#All],[Event_No]],Event_Master[[#All],[Guest_Count]],,0)</f>
        <v>900</v>
      </c>
      <c r="G870" cm="1">
        <f t="array" ref="G870">Food_Orders[[#This Row],[Quantity_Orderd]]*_xlfn.XLOOKUP(Food_Orders[[#This Row],[Food_ID]],Food_Catalog[[#All],[Food_ID]],Food_Catalog[[#All],[Price_Per_Unit]],0,0)</f>
        <v>18000</v>
      </c>
      <c r="H870" cm="1">
        <f t="array" ref="H870">Food_Orders[[#This Row],[Quantity_Orderd]]*_xlfn.XLOOKUP(Food_Orders[[#This Row],[Food_ID]],Food_Catalog[[#All],[Food_ID]],Food_Catalog[[#All],[Client_Price_Per_Unit]],0,0)</f>
        <v>21600</v>
      </c>
      <c r="I870">
        <f>Food_Orders[[#This Row],[Client_Price]]-Food_Orders[[#This Row],[Cost]]</f>
        <v>3600</v>
      </c>
    </row>
    <row r="871" spans="1:9" x14ac:dyDescent="0.25">
      <c r="A871">
        <v>38</v>
      </c>
      <c r="B871" t="s">
        <v>60</v>
      </c>
      <c r="C871" t="s">
        <v>61</v>
      </c>
      <c r="D871" t="s">
        <v>62</v>
      </c>
      <c r="E871" t="s">
        <v>10</v>
      </c>
      <c r="F871" cm="1">
        <f t="array" ref="F871">_xlfn.XLOOKUP(Food_Orders[[#This Row],[Event_No]],Event_Master[[#All],[Event_No]],Event_Master[[#All],[Guest_Count]],,0)</f>
        <v>500</v>
      </c>
      <c r="G871" cm="1">
        <f t="array" ref="G871">Food_Orders[[#This Row],[Quantity_Orderd]]*_xlfn.XLOOKUP(Food_Orders[[#This Row],[Food_ID]],Food_Catalog[[#All],[Food_ID]],Food_Catalog[[#All],[Price_Per_Unit]],0,0)</f>
        <v>10000</v>
      </c>
      <c r="H871" cm="1">
        <f t="array" ref="H871">Food_Orders[[#This Row],[Quantity_Orderd]]*_xlfn.XLOOKUP(Food_Orders[[#This Row],[Food_ID]],Food_Catalog[[#All],[Food_ID]],Food_Catalog[[#All],[Client_Price_Per_Unit]],0,0)</f>
        <v>12000</v>
      </c>
      <c r="I871">
        <f>Food_Orders[[#This Row],[Client_Price]]-Food_Orders[[#This Row],[Cost]]</f>
        <v>2000</v>
      </c>
    </row>
    <row r="872" spans="1:9" x14ac:dyDescent="0.25">
      <c r="A872">
        <v>38</v>
      </c>
      <c r="B872" t="s">
        <v>71</v>
      </c>
      <c r="C872" t="s">
        <v>61</v>
      </c>
      <c r="D872" t="s">
        <v>72</v>
      </c>
      <c r="E872" t="s">
        <v>10</v>
      </c>
      <c r="F872" cm="1">
        <f t="array" ref="F872">_xlfn.XLOOKUP(Food_Orders[[#This Row],[Event_No]],Event_Master[[#All],[Event_No]],Event_Master[[#All],[Guest_Count]],,0)</f>
        <v>500</v>
      </c>
      <c r="G872" cm="1">
        <f t="array" ref="G872">Food_Orders[[#This Row],[Quantity_Orderd]]*_xlfn.XLOOKUP(Food_Orders[[#This Row],[Food_ID]],Food_Catalog[[#All],[Food_ID]],Food_Catalog[[#All],[Price_Per_Unit]],0,0)</f>
        <v>12500</v>
      </c>
      <c r="H872" cm="1">
        <f t="array" ref="H872">Food_Orders[[#This Row],[Quantity_Orderd]]*_xlfn.XLOOKUP(Food_Orders[[#This Row],[Food_ID]],Food_Catalog[[#All],[Food_ID]],Food_Catalog[[#All],[Client_Price_Per_Unit]],0,0)</f>
        <v>15000</v>
      </c>
      <c r="I872">
        <f>Food_Orders[[#This Row],[Client_Price]]-Food_Orders[[#This Row],[Cost]]</f>
        <v>2500</v>
      </c>
    </row>
    <row r="873" spans="1:9" x14ac:dyDescent="0.25">
      <c r="A873">
        <v>38</v>
      </c>
      <c r="B873" t="s">
        <v>80</v>
      </c>
      <c r="C873" t="s">
        <v>61</v>
      </c>
      <c r="D873" t="s">
        <v>81</v>
      </c>
      <c r="E873" t="s">
        <v>10</v>
      </c>
      <c r="F873" cm="1">
        <f t="array" ref="F873">_xlfn.XLOOKUP(Food_Orders[[#This Row],[Event_No]],Event_Master[[#All],[Event_No]],Event_Master[[#All],[Guest_Count]],,0)</f>
        <v>500</v>
      </c>
      <c r="G873" cm="1">
        <f t="array" ref="G873">Food_Orders[[#This Row],[Quantity_Orderd]]*_xlfn.XLOOKUP(Food_Orders[[#This Row],[Food_ID]],Food_Catalog[[#All],[Food_ID]],Food_Catalog[[#All],[Price_Per_Unit]],0,0)</f>
        <v>15000</v>
      </c>
      <c r="H873" cm="1">
        <f t="array" ref="H873">Food_Orders[[#This Row],[Quantity_Orderd]]*_xlfn.XLOOKUP(Food_Orders[[#This Row],[Food_ID]],Food_Catalog[[#All],[Food_ID]],Food_Catalog[[#All],[Client_Price_Per_Unit]],0,0)</f>
        <v>18000</v>
      </c>
      <c r="I873">
        <f>Food_Orders[[#This Row],[Client_Price]]-Food_Orders[[#This Row],[Cost]]</f>
        <v>3000</v>
      </c>
    </row>
    <row r="874" spans="1:9" x14ac:dyDescent="0.25">
      <c r="A874">
        <v>38</v>
      </c>
      <c r="B874" t="s">
        <v>73</v>
      </c>
      <c r="C874" t="s">
        <v>61</v>
      </c>
      <c r="D874" t="s">
        <v>74</v>
      </c>
      <c r="E874" t="s">
        <v>10</v>
      </c>
      <c r="F874" cm="1">
        <f t="array" ref="F874">_xlfn.XLOOKUP(Food_Orders[[#This Row],[Event_No]],Event_Master[[#All],[Event_No]],Event_Master[[#All],[Guest_Count]],,0)</f>
        <v>500</v>
      </c>
      <c r="G874" cm="1">
        <f t="array" ref="G874">Food_Orders[[#This Row],[Quantity_Orderd]]*_xlfn.XLOOKUP(Food_Orders[[#This Row],[Food_ID]],Food_Catalog[[#All],[Food_ID]],Food_Catalog[[#All],[Price_Per_Unit]],0,0)</f>
        <v>20000</v>
      </c>
      <c r="H874" cm="1">
        <f t="array" ref="H874">Food_Orders[[#This Row],[Quantity_Orderd]]*_xlfn.XLOOKUP(Food_Orders[[#This Row],[Food_ID]],Food_Catalog[[#All],[Food_ID]],Food_Catalog[[#All],[Client_Price_Per_Unit]],0,0)</f>
        <v>24000</v>
      </c>
      <c r="I874">
        <f>Food_Orders[[#This Row],[Client_Price]]-Food_Orders[[#This Row],[Cost]]</f>
        <v>4000</v>
      </c>
    </row>
    <row r="875" spans="1:9" x14ac:dyDescent="0.25">
      <c r="A875">
        <v>38</v>
      </c>
      <c r="B875" t="s">
        <v>69</v>
      </c>
      <c r="C875" t="s">
        <v>61</v>
      </c>
      <c r="D875" t="s">
        <v>70</v>
      </c>
      <c r="E875" t="s">
        <v>10</v>
      </c>
      <c r="F875" cm="1">
        <f t="array" ref="F875">_xlfn.XLOOKUP(Food_Orders[[#This Row],[Event_No]],Event_Master[[#All],[Event_No]],Event_Master[[#All],[Guest_Count]],,0)</f>
        <v>500</v>
      </c>
      <c r="G875" cm="1">
        <f t="array" ref="G875">Food_Orders[[#This Row],[Quantity_Orderd]]*_xlfn.XLOOKUP(Food_Orders[[#This Row],[Food_ID]],Food_Catalog[[#All],[Food_ID]],Food_Catalog[[#All],[Price_Per_Unit]],0,0)</f>
        <v>25000</v>
      </c>
      <c r="H875" cm="1">
        <f t="array" ref="H875">Food_Orders[[#This Row],[Quantity_Orderd]]*_xlfn.XLOOKUP(Food_Orders[[#This Row],[Food_ID]],Food_Catalog[[#All],[Food_ID]],Food_Catalog[[#All],[Client_Price_Per_Unit]],0,0)</f>
        <v>30000</v>
      </c>
      <c r="I875">
        <f>Food_Orders[[#This Row],[Client_Price]]-Food_Orders[[#This Row],[Cost]]</f>
        <v>5000</v>
      </c>
    </row>
    <row r="876" spans="1:9" x14ac:dyDescent="0.25">
      <c r="A876">
        <v>38</v>
      </c>
      <c r="B876" t="s">
        <v>67</v>
      </c>
      <c r="C876" t="s">
        <v>61</v>
      </c>
      <c r="D876" t="s">
        <v>68</v>
      </c>
      <c r="E876" t="s">
        <v>10</v>
      </c>
      <c r="F876" cm="1">
        <f t="array" ref="F876">_xlfn.XLOOKUP(Food_Orders[[#This Row],[Event_No]],Event_Master[[#All],[Event_No]],Event_Master[[#All],[Guest_Count]],,0)</f>
        <v>500</v>
      </c>
      <c r="G876" cm="1">
        <f t="array" ref="G876">Food_Orders[[#This Row],[Quantity_Orderd]]*_xlfn.XLOOKUP(Food_Orders[[#This Row],[Food_ID]],Food_Catalog[[#All],[Food_ID]],Food_Catalog[[#All],[Price_Per_Unit]],0,0)</f>
        <v>15000</v>
      </c>
      <c r="H876" cm="1">
        <f t="array" ref="H876">Food_Orders[[#This Row],[Quantity_Orderd]]*_xlfn.XLOOKUP(Food_Orders[[#This Row],[Food_ID]],Food_Catalog[[#All],[Food_ID]],Food_Catalog[[#All],[Client_Price_Per_Unit]],0,0)</f>
        <v>18000</v>
      </c>
      <c r="I876">
        <f>Food_Orders[[#This Row],[Client_Price]]-Food_Orders[[#This Row],[Cost]]</f>
        <v>3000</v>
      </c>
    </row>
    <row r="877" spans="1:9" x14ac:dyDescent="0.25">
      <c r="A877">
        <v>38</v>
      </c>
      <c r="B877" t="s">
        <v>77</v>
      </c>
      <c r="C877" t="s">
        <v>61</v>
      </c>
      <c r="D877" t="s">
        <v>78</v>
      </c>
      <c r="E877" t="s">
        <v>79</v>
      </c>
      <c r="F877" cm="1">
        <f t="array" ref="F877">_xlfn.XLOOKUP(Food_Orders[[#This Row],[Event_No]],Event_Master[[#All],[Event_No]],Event_Master[[#All],[Guest_Count]],,0)</f>
        <v>500</v>
      </c>
      <c r="G877" cm="1">
        <f t="array" ref="G877">Food_Orders[[#This Row],[Quantity_Orderd]]*_xlfn.XLOOKUP(Food_Orders[[#This Row],[Food_ID]],Food_Catalog[[#All],[Food_ID]],Food_Catalog[[#All],[Price_Per_Unit]],0,0)</f>
        <v>17500</v>
      </c>
      <c r="H877" cm="1">
        <f t="array" ref="H877">Food_Orders[[#This Row],[Quantity_Orderd]]*_xlfn.XLOOKUP(Food_Orders[[#This Row],[Food_ID]],Food_Catalog[[#All],[Food_ID]],Food_Catalog[[#All],[Client_Price_Per_Unit]],0,0)</f>
        <v>21000</v>
      </c>
      <c r="I877">
        <f>Food_Orders[[#This Row],[Client_Price]]-Food_Orders[[#This Row],[Cost]]</f>
        <v>3500</v>
      </c>
    </row>
    <row r="878" spans="1:9" x14ac:dyDescent="0.25">
      <c r="A878">
        <v>38</v>
      </c>
      <c r="B878" t="s">
        <v>7</v>
      </c>
      <c r="C878" t="s">
        <v>8</v>
      </c>
      <c r="D878" t="s">
        <v>9</v>
      </c>
      <c r="E878" t="s">
        <v>10</v>
      </c>
      <c r="F878" cm="1">
        <f t="array" ref="F878">_xlfn.XLOOKUP(Food_Orders[[#This Row],[Event_No]],Event_Master[[#All],[Event_No]],Event_Master[[#All],[Guest_Count]],,0)</f>
        <v>500</v>
      </c>
      <c r="G878" cm="1">
        <f t="array" ref="G878">Food_Orders[[#This Row],[Quantity_Orderd]]*_xlfn.XLOOKUP(Food_Orders[[#This Row],[Food_ID]],Food_Catalog[[#All],[Food_ID]],Food_Catalog[[#All],[Price_Per_Unit]],0,0)</f>
        <v>12500</v>
      </c>
      <c r="H878" cm="1">
        <f t="array" ref="H878">Food_Orders[[#This Row],[Quantity_Orderd]]*_xlfn.XLOOKUP(Food_Orders[[#This Row],[Food_ID]],Food_Catalog[[#All],[Food_ID]],Food_Catalog[[#All],[Client_Price_Per_Unit]],0,0)</f>
        <v>15000</v>
      </c>
      <c r="I878">
        <f>Food_Orders[[#This Row],[Client_Price]]-Food_Orders[[#This Row],[Cost]]</f>
        <v>2500</v>
      </c>
    </row>
    <row r="879" spans="1:9" x14ac:dyDescent="0.25">
      <c r="A879">
        <v>38</v>
      </c>
      <c r="B879" t="s">
        <v>13</v>
      </c>
      <c r="C879" t="s">
        <v>8</v>
      </c>
      <c r="D879" t="s">
        <v>14</v>
      </c>
      <c r="E879" t="s">
        <v>10</v>
      </c>
      <c r="F879" cm="1">
        <f t="array" ref="F879">_xlfn.XLOOKUP(Food_Orders[[#This Row],[Event_No]],Event_Master[[#All],[Event_No]],Event_Master[[#All],[Guest_Count]],,0)</f>
        <v>500</v>
      </c>
      <c r="G879" cm="1">
        <f t="array" ref="G879">Food_Orders[[#This Row],[Quantity_Orderd]]*_xlfn.XLOOKUP(Food_Orders[[#This Row],[Food_ID]],Food_Catalog[[#All],[Food_ID]],Food_Catalog[[#All],[Price_Per_Unit]],0,0)</f>
        <v>17500</v>
      </c>
      <c r="H879" cm="1">
        <f t="array" ref="H879">Food_Orders[[#This Row],[Quantity_Orderd]]*_xlfn.XLOOKUP(Food_Orders[[#This Row],[Food_ID]],Food_Catalog[[#All],[Food_ID]],Food_Catalog[[#All],[Client_Price_Per_Unit]],0,0)</f>
        <v>21000</v>
      </c>
      <c r="I879">
        <f>Food_Orders[[#This Row],[Client_Price]]-Food_Orders[[#This Row],[Cost]]</f>
        <v>3500</v>
      </c>
    </row>
    <row r="880" spans="1:9" x14ac:dyDescent="0.25">
      <c r="A880">
        <v>38</v>
      </c>
      <c r="B880" t="s">
        <v>25</v>
      </c>
      <c r="C880" t="s">
        <v>8</v>
      </c>
      <c r="D880" t="s">
        <v>26</v>
      </c>
      <c r="E880" t="s">
        <v>10</v>
      </c>
      <c r="F880" cm="1">
        <f t="array" ref="F880">_xlfn.XLOOKUP(Food_Orders[[#This Row],[Event_No]],Event_Master[[#All],[Event_No]],Event_Master[[#All],[Guest_Count]],,0)</f>
        <v>500</v>
      </c>
      <c r="G880" cm="1">
        <f t="array" ref="G880">Food_Orders[[#This Row],[Quantity_Orderd]]*_xlfn.XLOOKUP(Food_Orders[[#This Row],[Food_ID]],Food_Catalog[[#All],[Food_ID]],Food_Catalog[[#All],[Price_Per_Unit]],0,0)</f>
        <v>15000</v>
      </c>
      <c r="H880" cm="1">
        <f t="array" ref="H880">Food_Orders[[#This Row],[Quantity_Orderd]]*_xlfn.XLOOKUP(Food_Orders[[#This Row],[Food_ID]],Food_Catalog[[#All],[Food_ID]],Food_Catalog[[#All],[Client_Price_Per_Unit]],0,0)</f>
        <v>18000</v>
      </c>
      <c r="I880">
        <f>Food_Orders[[#This Row],[Client_Price]]-Food_Orders[[#This Row],[Cost]]</f>
        <v>3000</v>
      </c>
    </row>
    <row r="881" spans="1:9" x14ac:dyDescent="0.25">
      <c r="A881">
        <v>38</v>
      </c>
      <c r="B881" t="s">
        <v>15</v>
      </c>
      <c r="C881" t="s">
        <v>8</v>
      </c>
      <c r="D881" t="s">
        <v>16</v>
      </c>
      <c r="E881" t="s">
        <v>10</v>
      </c>
      <c r="F881" cm="1">
        <f t="array" ref="F881">_xlfn.XLOOKUP(Food_Orders[[#This Row],[Event_No]],Event_Master[[#All],[Event_No]],Event_Master[[#All],[Guest_Count]],,0)</f>
        <v>500</v>
      </c>
      <c r="G881" cm="1">
        <f t="array" ref="G881">Food_Orders[[#This Row],[Quantity_Orderd]]*_xlfn.XLOOKUP(Food_Orders[[#This Row],[Food_ID]],Food_Catalog[[#All],[Food_ID]],Food_Catalog[[#All],[Price_Per_Unit]],0,0)</f>
        <v>15000</v>
      </c>
      <c r="H881" cm="1">
        <f t="array" ref="H881">Food_Orders[[#This Row],[Quantity_Orderd]]*_xlfn.XLOOKUP(Food_Orders[[#This Row],[Food_ID]],Food_Catalog[[#All],[Food_ID]],Food_Catalog[[#All],[Client_Price_Per_Unit]],0,0)</f>
        <v>18000</v>
      </c>
      <c r="I881">
        <f>Food_Orders[[#This Row],[Client_Price]]-Food_Orders[[#This Row],[Cost]]</f>
        <v>3000</v>
      </c>
    </row>
    <row r="882" spans="1:9" x14ac:dyDescent="0.25">
      <c r="A882">
        <v>38</v>
      </c>
      <c r="B882" t="s">
        <v>35</v>
      </c>
      <c r="C882" t="s">
        <v>8</v>
      </c>
      <c r="D882" t="s">
        <v>36</v>
      </c>
      <c r="E882" t="s">
        <v>10</v>
      </c>
      <c r="F882" cm="1">
        <f t="array" ref="F882">_xlfn.XLOOKUP(Food_Orders[[#This Row],[Event_No]],Event_Master[[#All],[Event_No]],Event_Master[[#All],[Guest_Count]],,0)</f>
        <v>500</v>
      </c>
      <c r="G882" cm="1">
        <f t="array" ref="G882">Food_Orders[[#This Row],[Quantity_Orderd]]*_xlfn.XLOOKUP(Food_Orders[[#This Row],[Food_ID]],Food_Catalog[[#All],[Food_ID]],Food_Catalog[[#All],[Price_Per_Unit]],0,0)</f>
        <v>15000</v>
      </c>
      <c r="H882" cm="1">
        <f t="array" ref="H882">Food_Orders[[#This Row],[Quantity_Orderd]]*_xlfn.XLOOKUP(Food_Orders[[#This Row],[Food_ID]],Food_Catalog[[#All],[Food_ID]],Food_Catalog[[#All],[Client_Price_Per_Unit]],0,0)</f>
        <v>18000</v>
      </c>
      <c r="I882">
        <f>Food_Orders[[#This Row],[Client_Price]]-Food_Orders[[#This Row],[Cost]]</f>
        <v>3000</v>
      </c>
    </row>
    <row r="883" spans="1:9" x14ac:dyDescent="0.25">
      <c r="A883">
        <v>38</v>
      </c>
      <c r="B883" t="s">
        <v>27</v>
      </c>
      <c r="C883" t="s">
        <v>8</v>
      </c>
      <c r="D883" t="s">
        <v>28</v>
      </c>
      <c r="E883" t="s">
        <v>10</v>
      </c>
      <c r="F883" cm="1">
        <f t="array" ref="F883">_xlfn.XLOOKUP(Food_Orders[[#This Row],[Event_No]],Event_Master[[#All],[Event_No]],Event_Master[[#All],[Guest_Count]],,0)</f>
        <v>500</v>
      </c>
      <c r="G883" cm="1">
        <f t="array" ref="G883">Food_Orders[[#This Row],[Quantity_Orderd]]*_xlfn.XLOOKUP(Food_Orders[[#This Row],[Food_ID]],Food_Catalog[[#All],[Food_ID]],Food_Catalog[[#All],[Price_Per_Unit]],0,0)</f>
        <v>20000</v>
      </c>
      <c r="H883" cm="1">
        <f t="array" ref="H883">Food_Orders[[#This Row],[Quantity_Orderd]]*_xlfn.XLOOKUP(Food_Orders[[#This Row],[Food_ID]],Food_Catalog[[#All],[Food_ID]],Food_Catalog[[#All],[Client_Price_Per_Unit]],0,0)</f>
        <v>24000</v>
      </c>
      <c r="I883">
        <f>Food_Orders[[#This Row],[Client_Price]]-Food_Orders[[#This Row],[Cost]]</f>
        <v>4000</v>
      </c>
    </row>
    <row r="884" spans="1:9" x14ac:dyDescent="0.25">
      <c r="A884">
        <v>38</v>
      </c>
      <c r="B884" t="s">
        <v>17</v>
      </c>
      <c r="C884" t="s">
        <v>8</v>
      </c>
      <c r="D884" t="s">
        <v>18</v>
      </c>
      <c r="E884" t="s">
        <v>10</v>
      </c>
      <c r="F884" cm="1">
        <f t="array" ref="F884">_xlfn.XLOOKUP(Food_Orders[[#This Row],[Event_No]],Event_Master[[#All],[Event_No]],Event_Master[[#All],[Guest_Count]],,0)</f>
        <v>500</v>
      </c>
      <c r="G884" cm="1">
        <f t="array" ref="G884">Food_Orders[[#This Row],[Quantity_Orderd]]*_xlfn.XLOOKUP(Food_Orders[[#This Row],[Food_ID]],Food_Catalog[[#All],[Food_ID]],Food_Catalog[[#All],[Price_Per_Unit]],0,0)</f>
        <v>20000</v>
      </c>
      <c r="H884" cm="1">
        <f t="array" ref="H884">Food_Orders[[#This Row],[Quantity_Orderd]]*_xlfn.XLOOKUP(Food_Orders[[#This Row],[Food_ID]],Food_Catalog[[#All],[Food_ID]],Food_Catalog[[#All],[Client_Price_Per_Unit]],0,0)</f>
        <v>24000</v>
      </c>
      <c r="I884">
        <f>Food_Orders[[#This Row],[Client_Price]]-Food_Orders[[#This Row],[Cost]]</f>
        <v>4000</v>
      </c>
    </row>
    <row r="885" spans="1:9" x14ac:dyDescent="0.25">
      <c r="A885">
        <v>38</v>
      </c>
      <c r="B885" t="s">
        <v>21</v>
      </c>
      <c r="C885" t="s">
        <v>8</v>
      </c>
      <c r="D885" t="s">
        <v>22</v>
      </c>
      <c r="E885" t="s">
        <v>10</v>
      </c>
      <c r="F885" cm="1">
        <f t="array" ref="F885">_xlfn.XLOOKUP(Food_Orders[[#This Row],[Event_No]],Event_Master[[#All],[Event_No]],Event_Master[[#All],[Guest_Count]],,0)</f>
        <v>500</v>
      </c>
      <c r="G885" cm="1">
        <f t="array" ref="G885">Food_Orders[[#This Row],[Quantity_Orderd]]*_xlfn.XLOOKUP(Food_Orders[[#This Row],[Food_ID]],Food_Catalog[[#All],[Food_ID]],Food_Catalog[[#All],[Price_Per_Unit]],0,0)</f>
        <v>17500</v>
      </c>
      <c r="H885" cm="1">
        <f t="array" ref="H885">Food_Orders[[#This Row],[Quantity_Orderd]]*_xlfn.XLOOKUP(Food_Orders[[#This Row],[Food_ID]],Food_Catalog[[#All],[Food_ID]],Food_Catalog[[#All],[Client_Price_Per_Unit]],0,0)</f>
        <v>21000</v>
      </c>
      <c r="I885">
        <f>Food_Orders[[#This Row],[Client_Price]]-Food_Orders[[#This Row],[Cost]]</f>
        <v>3500</v>
      </c>
    </row>
    <row r="886" spans="1:9" x14ac:dyDescent="0.25">
      <c r="A886">
        <v>38</v>
      </c>
      <c r="B886" t="s">
        <v>19</v>
      </c>
      <c r="C886" t="s">
        <v>8</v>
      </c>
      <c r="D886" t="s">
        <v>20</v>
      </c>
      <c r="E886" t="s">
        <v>10</v>
      </c>
      <c r="F886" cm="1">
        <f t="array" ref="F886">_xlfn.XLOOKUP(Food_Orders[[#This Row],[Event_No]],Event_Master[[#All],[Event_No]],Event_Master[[#All],[Guest_Count]],,0)</f>
        <v>500</v>
      </c>
      <c r="G886" cm="1">
        <f t="array" ref="G886">Food_Orders[[#This Row],[Quantity_Orderd]]*_xlfn.XLOOKUP(Food_Orders[[#This Row],[Food_ID]],Food_Catalog[[#All],[Food_ID]],Food_Catalog[[#All],[Price_Per_Unit]],0,0)</f>
        <v>17500</v>
      </c>
      <c r="H886" cm="1">
        <f t="array" ref="H886">Food_Orders[[#This Row],[Quantity_Orderd]]*_xlfn.XLOOKUP(Food_Orders[[#This Row],[Food_ID]],Food_Catalog[[#All],[Food_ID]],Food_Catalog[[#All],[Client_Price_Per_Unit]],0,0)</f>
        <v>21000</v>
      </c>
      <c r="I886">
        <f>Food_Orders[[#This Row],[Client_Price]]-Food_Orders[[#This Row],[Cost]]</f>
        <v>3500</v>
      </c>
    </row>
    <row r="887" spans="1:9" x14ac:dyDescent="0.25">
      <c r="A887">
        <v>38</v>
      </c>
      <c r="B887" t="s">
        <v>29</v>
      </c>
      <c r="C887" t="s">
        <v>8</v>
      </c>
      <c r="D887" t="s">
        <v>30</v>
      </c>
      <c r="E887" t="s">
        <v>10</v>
      </c>
      <c r="F887" cm="1">
        <f t="array" ref="F887">_xlfn.XLOOKUP(Food_Orders[[#This Row],[Event_No]],Event_Master[[#All],[Event_No]],Event_Master[[#All],[Guest_Count]],,0)</f>
        <v>500</v>
      </c>
      <c r="G887" cm="1">
        <f t="array" ref="G887">Food_Orders[[#This Row],[Quantity_Orderd]]*_xlfn.XLOOKUP(Food_Orders[[#This Row],[Food_ID]],Food_Catalog[[#All],[Food_ID]],Food_Catalog[[#All],[Price_Per_Unit]],0,0)</f>
        <v>15000</v>
      </c>
      <c r="H887" cm="1">
        <f t="array" ref="H887">Food_Orders[[#This Row],[Quantity_Orderd]]*_xlfn.XLOOKUP(Food_Orders[[#This Row],[Food_ID]],Food_Catalog[[#All],[Food_ID]],Food_Catalog[[#All],[Client_Price_Per_Unit]],0,0)</f>
        <v>18000</v>
      </c>
      <c r="I887">
        <f>Food_Orders[[#This Row],[Client_Price]]-Food_Orders[[#This Row],[Cost]]</f>
        <v>3000</v>
      </c>
    </row>
    <row r="888" spans="1:9" x14ac:dyDescent="0.25">
      <c r="A888">
        <v>38</v>
      </c>
      <c r="B888" t="s">
        <v>42</v>
      </c>
      <c r="C888" t="s">
        <v>40</v>
      </c>
      <c r="D888" t="s">
        <v>43</v>
      </c>
      <c r="E888" t="s">
        <v>10</v>
      </c>
      <c r="F888" cm="1">
        <f t="array" ref="F888">_xlfn.XLOOKUP(Food_Orders[[#This Row],[Event_No]],Event_Master[[#All],[Event_No]],Event_Master[[#All],[Guest_Count]],,0)</f>
        <v>500</v>
      </c>
      <c r="G888" cm="1">
        <f t="array" ref="G888">Food_Orders[[#This Row],[Quantity_Orderd]]*_xlfn.XLOOKUP(Food_Orders[[#This Row],[Food_ID]],Food_Catalog[[#All],[Food_ID]],Food_Catalog[[#All],[Price_Per_Unit]],0,0)</f>
        <v>35000</v>
      </c>
      <c r="H888" cm="1">
        <f t="array" ref="H888">Food_Orders[[#This Row],[Quantity_Orderd]]*_xlfn.XLOOKUP(Food_Orders[[#This Row],[Food_ID]],Food_Catalog[[#All],[Food_ID]],Food_Catalog[[#All],[Client_Price_Per_Unit]],0,0)</f>
        <v>42000</v>
      </c>
      <c r="I888">
        <f>Food_Orders[[#This Row],[Client_Price]]-Food_Orders[[#This Row],[Cost]]</f>
        <v>7000</v>
      </c>
    </row>
    <row r="889" spans="1:9" x14ac:dyDescent="0.25">
      <c r="A889">
        <v>38</v>
      </c>
      <c r="B889" t="s">
        <v>46</v>
      </c>
      <c r="C889" t="s">
        <v>40</v>
      </c>
      <c r="D889" t="s">
        <v>47</v>
      </c>
      <c r="E889" t="s">
        <v>10</v>
      </c>
      <c r="F889" cm="1">
        <f t="array" ref="F889">_xlfn.XLOOKUP(Food_Orders[[#This Row],[Event_No]],Event_Master[[#All],[Event_No]],Event_Master[[#All],[Guest_Count]],,0)</f>
        <v>500</v>
      </c>
      <c r="G889" cm="1">
        <f t="array" ref="G889">Food_Orders[[#This Row],[Quantity_Orderd]]*_xlfn.XLOOKUP(Food_Orders[[#This Row],[Food_ID]],Food_Catalog[[#All],[Food_ID]],Food_Catalog[[#All],[Price_Per_Unit]],0,0)</f>
        <v>45000</v>
      </c>
      <c r="H889" cm="1">
        <f t="array" ref="H889">Food_Orders[[#This Row],[Quantity_Orderd]]*_xlfn.XLOOKUP(Food_Orders[[#This Row],[Food_ID]],Food_Catalog[[#All],[Food_ID]],Food_Catalog[[#All],[Client_Price_Per_Unit]],0,0)</f>
        <v>54000</v>
      </c>
      <c r="I889">
        <f>Food_Orders[[#This Row],[Client_Price]]-Food_Orders[[#This Row],[Cost]]</f>
        <v>9000</v>
      </c>
    </row>
    <row r="890" spans="1:9" x14ac:dyDescent="0.25">
      <c r="A890">
        <v>38</v>
      </c>
      <c r="B890" t="s">
        <v>48</v>
      </c>
      <c r="C890" t="s">
        <v>40</v>
      </c>
      <c r="D890" t="s">
        <v>49</v>
      </c>
      <c r="E890" t="s">
        <v>10</v>
      </c>
      <c r="F890" cm="1">
        <f t="array" ref="F890">_xlfn.XLOOKUP(Food_Orders[[#This Row],[Event_No]],Event_Master[[#All],[Event_No]],Event_Master[[#All],[Guest_Count]],,0)</f>
        <v>500</v>
      </c>
      <c r="G890" cm="1">
        <f t="array" ref="G890">Food_Orders[[#This Row],[Quantity_Orderd]]*_xlfn.XLOOKUP(Food_Orders[[#This Row],[Food_ID]],Food_Catalog[[#All],[Food_ID]],Food_Catalog[[#All],[Price_Per_Unit]],0,0)</f>
        <v>50000</v>
      </c>
      <c r="H890" cm="1">
        <f t="array" ref="H890">Food_Orders[[#This Row],[Quantity_Orderd]]*_xlfn.XLOOKUP(Food_Orders[[#This Row],[Food_ID]],Food_Catalog[[#All],[Food_ID]],Food_Catalog[[#All],[Client_Price_Per_Unit]],0,0)</f>
        <v>60000</v>
      </c>
      <c r="I890">
        <f>Food_Orders[[#This Row],[Client_Price]]-Food_Orders[[#This Row],[Cost]]</f>
        <v>10000</v>
      </c>
    </row>
    <row r="891" spans="1:9" x14ac:dyDescent="0.25">
      <c r="A891">
        <v>38</v>
      </c>
      <c r="B891" t="s">
        <v>58</v>
      </c>
      <c r="C891" t="s">
        <v>40</v>
      </c>
      <c r="D891" t="s">
        <v>59</v>
      </c>
      <c r="E891" t="s">
        <v>10</v>
      </c>
      <c r="F891" cm="1">
        <f t="array" ref="F891">_xlfn.XLOOKUP(Food_Orders[[#This Row],[Event_No]],Event_Master[[#All],[Event_No]],Event_Master[[#All],[Guest_Count]],,0)</f>
        <v>500</v>
      </c>
      <c r="G891" cm="1">
        <f t="array" ref="G891">Food_Orders[[#This Row],[Quantity_Orderd]]*_xlfn.XLOOKUP(Food_Orders[[#This Row],[Food_ID]],Food_Catalog[[#All],[Food_ID]],Food_Catalog[[#All],[Price_Per_Unit]],0,0)</f>
        <v>45000</v>
      </c>
      <c r="H891" cm="1">
        <f t="array" ref="H891">Food_Orders[[#This Row],[Quantity_Orderd]]*_xlfn.XLOOKUP(Food_Orders[[#This Row],[Food_ID]],Food_Catalog[[#All],[Food_ID]],Food_Catalog[[#All],[Client_Price_Per_Unit]],0,0)</f>
        <v>54000</v>
      </c>
      <c r="I891">
        <f>Food_Orders[[#This Row],[Client_Price]]-Food_Orders[[#This Row],[Cost]]</f>
        <v>9000</v>
      </c>
    </row>
    <row r="892" spans="1:9" x14ac:dyDescent="0.25">
      <c r="A892">
        <v>38</v>
      </c>
      <c r="B892" t="s">
        <v>86</v>
      </c>
      <c r="C892" t="s">
        <v>83</v>
      </c>
      <c r="D892" t="s">
        <v>87</v>
      </c>
      <c r="E892" t="s">
        <v>85</v>
      </c>
      <c r="F892" cm="1">
        <f t="array" ref="F892">_xlfn.XLOOKUP(Food_Orders[[#This Row],[Event_No]],Event_Master[[#All],[Event_No]],Event_Master[[#All],[Guest_Count]],,0)</f>
        <v>500</v>
      </c>
      <c r="G892" cm="1">
        <f t="array" ref="G892">Food_Orders[[#This Row],[Quantity_Orderd]]*_xlfn.XLOOKUP(Food_Orders[[#This Row],[Food_ID]],Food_Catalog[[#All],[Food_ID]],Food_Catalog[[#All],[Price_Per_Unit]],0,0)</f>
        <v>10000</v>
      </c>
      <c r="H892" cm="1">
        <f t="array" ref="H892">Food_Orders[[#This Row],[Quantity_Orderd]]*_xlfn.XLOOKUP(Food_Orders[[#This Row],[Food_ID]],Food_Catalog[[#All],[Food_ID]],Food_Catalog[[#All],[Client_Price_Per_Unit]],0,0)</f>
        <v>12000</v>
      </c>
      <c r="I892">
        <f>Food_Orders[[#This Row],[Client_Price]]-Food_Orders[[#This Row],[Cost]]</f>
        <v>2000</v>
      </c>
    </row>
    <row r="893" spans="1:9" x14ac:dyDescent="0.25">
      <c r="A893">
        <v>38</v>
      </c>
      <c r="B893" t="s">
        <v>88</v>
      </c>
      <c r="C893" t="s">
        <v>83</v>
      </c>
      <c r="D893" t="s">
        <v>89</v>
      </c>
      <c r="E893" t="s">
        <v>85</v>
      </c>
      <c r="F893" cm="1">
        <f t="array" ref="F893">_xlfn.XLOOKUP(Food_Orders[[#This Row],[Event_No]],Event_Master[[#All],[Event_No]],Event_Master[[#All],[Guest_Count]],,0)</f>
        <v>500</v>
      </c>
      <c r="G893" cm="1">
        <f t="array" ref="G893">Food_Orders[[#This Row],[Quantity_Orderd]]*_xlfn.XLOOKUP(Food_Orders[[#This Row],[Food_ID]],Food_Catalog[[#All],[Food_ID]],Food_Catalog[[#All],[Price_Per_Unit]],0,0)</f>
        <v>7500</v>
      </c>
      <c r="H893" cm="1">
        <f t="array" ref="H893">Food_Orders[[#This Row],[Quantity_Orderd]]*_xlfn.XLOOKUP(Food_Orders[[#This Row],[Food_ID]],Food_Catalog[[#All],[Food_ID]],Food_Catalog[[#All],[Client_Price_Per_Unit]],0,0)</f>
        <v>9000</v>
      </c>
      <c r="I893">
        <f>Food_Orders[[#This Row],[Client_Price]]-Food_Orders[[#This Row],[Cost]]</f>
        <v>1500</v>
      </c>
    </row>
    <row r="894" spans="1:9" x14ac:dyDescent="0.25">
      <c r="A894">
        <v>38</v>
      </c>
      <c r="B894" t="s">
        <v>100</v>
      </c>
      <c r="C894" t="s">
        <v>83</v>
      </c>
      <c r="D894" t="s">
        <v>101</v>
      </c>
      <c r="E894" t="s">
        <v>79</v>
      </c>
      <c r="F894" cm="1">
        <f t="array" ref="F894">_xlfn.XLOOKUP(Food_Orders[[#This Row],[Event_No]],Event_Master[[#All],[Event_No]],Event_Master[[#All],[Guest_Count]],,0)</f>
        <v>500</v>
      </c>
      <c r="G894" cm="1">
        <f t="array" ref="G894">Food_Orders[[#This Row],[Quantity_Orderd]]*_xlfn.XLOOKUP(Food_Orders[[#This Row],[Food_ID]],Food_Catalog[[#All],[Food_ID]],Food_Catalog[[#All],[Price_Per_Unit]],0,0)</f>
        <v>17500</v>
      </c>
      <c r="H894" cm="1">
        <f t="array" ref="H894">Food_Orders[[#This Row],[Quantity_Orderd]]*_xlfn.XLOOKUP(Food_Orders[[#This Row],[Food_ID]],Food_Catalog[[#All],[Food_ID]],Food_Catalog[[#All],[Client_Price_Per_Unit]],0,0)</f>
        <v>21000</v>
      </c>
      <c r="I894">
        <f>Food_Orders[[#This Row],[Client_Price]]-Food_Orders[[#This Row],[Cost]]</f>
        <v>3500</v>
      </c>
    </row>
    <row r="895" spans="1:9" x14ac:dyDescent="0.25">
      <c r="A895">
        <v>38</v>
      </c>
      <c r="B895" t="s">
        <v>92</v>
      </c>
      <c r="C895" t="s">
        <v>83</v>
      </c>
      <c r="D895" t="s">
        <v>93</v>
      </c>
      <c r="E895" t="s">
        <v>85</v>
      </c>
      <c r="F895" cm="1">
        <f t="array" ref="F895">_xlfn.XLOOKUP(Food_Orders[[#This Row],[Event_No]],Event_Master[[#All],[Event_No]],Event_Master[[#All],[Guest_Count]],,0)</f>
        <v>500</v>
      </c>
      <c r="G895" cm="1">
        <f t="array" ref="G895">Food_Orders[[#This Row],[Quantity_Orderd]]*_xlfn.XLOOKUP(Food_Orders[[#This Row],[Food_ID]],Food_Catalog[[#All],[Food_ID]],Food_Catalog[[#All],[Price_Per_Unit]],0,0)</f>
        <v>7500</v>
      </c>
      <c r="H895" cm="1">
        <f t="array" ref="H895">Food_Orders[[#This Row],[Quantity_Orderd]]*_xlfn.XLOOKUP(Food_Orders[[#This Row],[Food_ID]],Food_Catalog[[#All],[Food_ID]],Food_Catalog[[#All],[Client_Price_Per_Unit]],0,0)</f>
        <v>9000</v>
      </c>
      <c r="I895">
        <f>Food_Orders[[#This Row],[Client_Price]]-Food_Orders[[#This Row],[Cost]]</f>
        <v>1500</v>
      </c>
    </row>
    <row r="896" spans="1:9" x14ac:dyDescent="0.25">
      <c r="A896">
        <v>38</v>
      </c>
      <c r="B896" t="s">
        <v>102</v>
      </c>
      <c r="C896" t="s">
        <v>83</v>
      </c>
      <c r="D896" t="s">
        <v>103</v>
      </c>
      <c r="E896" t="s">
        <v>85</v>
      </c>
      <c r="F896" cm="1">
        <f t="array" ref="F896">_xlfn.XLOOKUP(Food_Orders[[#This Row],[Event_No]],Event_Master[[#All],[Event_No]],Event_Master[[#All],[Guest_Count]],,0)</f>
        <v>500</v>
      </c>
      <c r="G896" cm="1">
        <f t="array" ref="G896">Food_Orders[[#This Row],[Quantity_Orderd]]*_xlfn.XLOOKUP(Food_Orders[[#This Row],[Food_ID]],Food_Catalog[[#All],[Food_ID]],Food_Catalog[[#All],[Price_Per_Unit]],0,0)</f>
        <v>10000</v>
      </c>
      <c r="H896" cm="1">
        <f t="array" ref="H896">Food_Orders[[#This Row],[Quantity_Orderd]]*_xlfn.XLOOKUP(Food_Orders[[#This Row],[Food_ID]],Food_Catalog[[#All],[Food_ID]],Food_Catalog[[#All],[Client_Price_Per_Unit]],0,0)</f>
        <v>12000</v>
      </c>
      <c r="I896">
        <f>Food_Orders[[#This Row],[Client_Price]]-Food_Orders[[#This Row],[Cost]]</f>
        <v>2000</v>
      </c>
    </row>
    <row r="897" spans="1:9" x14ac:dyDescent="0.25">
      <c r="A897">
        <v>38</v>
      </c>
      <c r="B897" t="s">
        <v>98</v>
      </c>
      <c r="C897" t="s">
        <v>83</v>
      </c>
      <c r="D897" t="s">
        <v>99</v>
      </c>
      <c r="E897" t="s">
        <v>85</v>
      </c>
      <c r="F897" cm="1">
        <f t="array" ref="F897">_xlfn.XLOOKUP(Food_Orders[[#This Row],[Event_No]],Event_Master[[#All],[Event_No]],Event_Master[[#All],[Guest_Count]],,0)</f>
        <v>500</v>
      </c>
      <c r="G897" cm="1">
        <f t="array" ref="G897">Food_Orders[[#This Row],[Quantity_Orderd]]*_xlfn.XLOOKUP(Food_Orders[[#This Row],[Food_ID]],Food_Catalog[[#All],[Food_ID]],Food_Catalog[[#All],[Price_Per_Unit]],0,0)</f>
        <v>7500</v>
      </c>
      <c r="H897" cm="1">
        <f t="array" ref="H897">Food_Orders[[#This Row],[Quantity_Orderd]]*_xlfn.XLOOKUP(Food_Orders[[#This Row],[Food_ID]],Food_Catalog[[#All],[Food_ID]],Food_Catalog[[#All],[Client_Price_Per_Unit]],0,0)</f>
        <v>9000</v>
      </c>
      <c r="I897">
        <f>Food_Orders[[#This Row],[Client_Price]]-Food_Orders[[#This Row],[Cost]]</f>
        <v>1500</v>
      </c>
    </row>
    <row r="898" spans="1:9" x14ac:dyDescent="0.25">
      <c r="A898">
        <v>38</v>
      </c>
      <c r="B898" t="s">
        <v>104</v>
      </c>
      <c r="C898" t="s">
        <v>105</v>
      </c>
      <c r="D898" t="s">
        <v>106</v>
      </c>
      <c r="E898" t="s">
        <v>107</v>
      </c>
      <c r="F898" cm="1">
        <f t="array" ref="F898">_xlfn.XLOOKUP(Food_Orders[[#This Row],[Event_No]],Event_Master[[#All],[Event_No]],Event_Master[[#All],[Guest_Count]],,0)</f>
        <v>500</v>
      </c>
      <c r="G898" cm="1">
        <f t="array" ref="G898">Food_Orders[[#This Row],[Quantity_Orderd]]*_xlfn.XLOOKUP(Food_Orders[[#This Row],[Food_ID]],Food_Catalog[[#All],[Food_ID]],Food_Catalog[[#All],[Price_Per_Unit]],0,0)</f>
        <v>5000</v>
      </c>
      <c r="H898" cm="1">
        <f t="array" ref="H898">Food_Orders[[#This Row],[Quantity_Orderd]]*_xlfn.XLOOKUP(Food_Orders[[#This Row],[Food_ID]],Food_Catalog[[#All],[Food_ID]],Food_Catalog[[#All],[Client_Price_Per_Unit]],0,0)</f>
        <v>6000</v>
      </c>
      <c r="I898">
        <f>Food_Orders[[#This Row],[Client_Price]]-Food_Orders[[#This Row],[Cost]]</f>
        <v>1000</v>
      </c>
    </row>
    <row r="899" spans="1:9" x14ac:dyDescent="0.25">
      <c r="A899">
        <v>38</v>
      </c>
      <c r="B899" t="s">
        <v>115</v>
      </c>
      <c r="C899" t="s">
        <v>105</v>
      </c>
      <c r="D899" t="s">
        <v>116</v>
      </c>
      <c r="E899" t="s">
        <v>117</v>
      </c>
      <c r="F899" cm="1">
        <f t="array" ref="F899">_xlfn.XLOOKUP(Food_Orders[[#This Row],[Event_No]],Event_Master[[#All],[Event_No]],Event_Master[[#All],[Guest_Count]],,0)</f>
        <v>500</v>
      </c>
      <c r="G899" cm="1">
        <f t="array" ref="G899">Food_Orders[[#This Row],[Quantity_Orderd]]*_xlfn.XLOOKUP(Food_Orders[[#This Row],[Food_ID]],Food_Catalog[[#All],[Food_ID]],Food_Catalog[[#All],[Price_Per_Unit]],0,0)</f>
        <v>12500</v>
      </c>
      <c r="H899" cm="1">
        <f t="array" ref="H899">Food_Orders[[#This Row],[Quantity_Orderd]]*_xlfn.XLOOKUP(Food_Orders[[#This Row],[Food_ID]],Food_Catalog[[#All],[Food_ID]],Food_Catalog[[#All],[Client_Price_Per_Unit]],0,0)</f>
        <v>15000</v>
      </c>
      <c r="I899">
        <f>Food_Orders[[#This Row],[Client_Price]]-Food_Orders[[#This Row],[Cost]]</f>
        <v>2500</v>
      </c>
    </row>
    <row r="900" spans="1:9" x14ac:dyDescent="0.25">
      <c r="A900">
        <v>38</v>
      </c>
      <c r="B900" t="s">
        <v>110</v>
      </c>
      <c r="C900" t="s">
        <v>105</v>
      </c>
      <c r="D900" t="s">
        <v>111</v>
      </c>
      <c r="E900" t="s">
        <v>112</v>
      </c>
      <c r="F900" cm="1">
        <f t="array" ref="F900">_xlfn.XLOOKUP(Food_Orders[[#This Row],[Event_No]],Event_Master[[#All],[Event_No]],Event_Master[[#All],[Guest_Count]],,0)</f>
        <v>500</v>
      </c>
      <c r="G900" cm="1">
        <f t="array" ref="G900">Food_Orders[[#This Row],[Quantity_Orderd]]*_xlfn.XLOOKUP(Food_Orders[[#This Row],[Food_ID]],Food_Catalog[[#All],[Food_ID]],Food_Catalog[[#All],[Price_Per_Unit]],0,0)</f>
        <v>10000</v>
      </c>
      <c r="H900" cm="1">
        <f t="array" ref="H900">Food_Orders[[#This Row],[Quantity_Orderd]]*_xlfn.XLOOKUP(Food_Orders[[#This Row],[Food_ID]],Food_Catalog[[#All],[Food_ID]],Food_Catalog[[#All],[Client_Price_Per_Unit]],0,0)</f>
        <v>12000</v>
      </c>
      <c r="I900">
        <f>Food_Orders[[#This Row],[Client_Price]]-Food_Orders[[#This Row],[Cost]]</f>
        <v>2000</v>
      </c>
    </row>
    <row r="901" spans="1:9" x14ac:dyDescent="0.25">
      <c r="A901">
        <v>38</v>
      </c>
      <c r="B901" t="s">
        <v>118</v>
      </c>
      <c r="C901" t="s">
        <v>119</v>
      </c>
      <c r="D901" t="s">
        <v>120</v>
      </c>
      <c r="E901" t="s">
        <v>112</v>
      </c>
      <c r="F901" cm="1">
        <f t="array" ref="F901">_xlfn.XLOOKUP(Food_Orders[[#This Row],[Event_No]],Event_Master[[#All],[Event_No]],Event_Master[[#All],[Guest_Count]],,0)</f>
        <v>500</v>
      </c>
      <c r="G901" cm="1">
        <f t="array" ref="G901">Food_Orders[[#This Row],[Quantity_Orderd]]*_xlfn.XLOOKUP(Food_Orders[[#This Row],[Food_ID]],Food_Catalog[[#All],[Food_ID]],Food_Catalog[[#All],[Price_Per_Unit]],0,0)</f>
        <v>5000</v>
      </c>
      <c r="H901" cm="1">
        <f t="array" ref="H901">Food_Orders[[#This Row],[Quantity_Orderd]]*_xlfn.XLOOKUP(Food_Orders[[#This Row],[Food_ID]],Food_Catalog[[#All],[Food_ID]],Food_Catalog[[#All],[Client_Price_Per_Unit]],0,0)</f>
        <v>6000</v>
      </c>
      <c r="I901">
        <f>Food_Orders[[#This Row],[Client_Price]]-Food_Orders[[#This Row],[Cost]]</f>
        <v>1000</v>
      </c>
    </row>
    <row r="902" spans="1:9" x14ac:dyDescent="0.25">
      <c r="A902">
        <v>38</v>
      </c>
      <c r="B902" t="s">
        <v>127</v>
      </c>
      <c r="C902" t="s">
        <v>119</v>
      </c>
      <c r="D902" t="s">
        <v>128</v>
      </c>
      <c r="E902" t="s">
        <v>107</v>
      </c>
      <c r="F902" cm="1">
        <f t="array" ref="F902">_xlfn.XLOOKUP(Food_Orders[[#This Row],[Event_No]],Event_Master[[#All],[Event_No]],Event_Master[[#All],[Guest_Count]],,0)</f>
        <v>500</v>
      </c>
      <c r="G902" cm="1">
        <f t="array" ref="G902">Food_Orders[[#This Row],[Quantity_Orderd]]*_xlfn.XLOOKUP(Food_Orders[[#This Row],[Food_ID]],Food_Catalog[[#All],[Food_ID]],Food_Catalog[[#All],[Price_Per_Unit]],0,0)</f>
        <v>10000</v>
      </c>
      <c r="H902" cm="1">
        <f t="array" ref="H902">Food_Orders[[#This Row],[Quantity_Orderd]]*_xlfn.XLOOKUP(Food_Orders[[#This Row],[Food_ID]],Food_Catalog[[#All],[Food_ID]],Food_Catalog[[#All],[Client_Price_Per_Unit]],0,0)</f>
        <v>12000</v>
      </c>
      <c r="I902">
        <f>Food_Orders[[#This Row],[Client_Price]]-Food_Orders[[#This Row],[Cost]]</f>
        <v>2000</v>
      </c>
    </row>
    <row r="903" spans="1:9" x14ac:dyDescent="0.25">
      <c r="A903">
        <v>39</v>
      </c>
      <c r="B903" t="s">
        <v>63</v>
      </c>
      <c r="C903" t="s">
        <v>61</v>
      </c>
      <c r="D903" t="s">
        <v>64</v>
      </c>
      <c r="E903" t="s">
        <v>10</v>
      </c>
      <c r="F903" cm="1">
        <f t="array" ref="F903">_xlfn.XLOOKUP(Food_Orders[[#This Row],[Event_No]],Event_Master[[#All],[Event_No]],Event_Master[[#All],[Guest_Count]],,0)</f>
        <v>550</v>
      </c>
      <c r="G903" cm="1">
        <f t="array" ref="G903">Food_Orders[[#This Row],[Quantity_Orderd]]*_xlfn.XLOOKUP(Food_Orders[[#This Row],[Food_ID]],Food_Catalog[[#All],[Food_ID]],Food_Catalog[[#All],[Price_Per_Unit]],0,0)</f>
        <v>16500</v>
      </c>
      <c r="H903" cm="1">
        <f t="array" ref="H903">Food_Orders[[#This Row],[Quantity_Orderd]]*_xlfn.XLOOKUP(Food_Orders[[#This Row],[Food_ID]],Food_Catalog[[#All],[Food_ID]],Food_Catalog[[#All],[Client_Price_Per_Unit]],0,0)</f>
        <v>19800</v>
      </c>
      <c r="I903">
        <f>Food_Orders[[#This Row],[Client_Price]]-Food_Orders[[#This Row],[Cost]]</f>
        <v>3300</v>
      </c>
    </row>
    <row r="904" spans="1:9" x14ac:dyDescent="0.25">
      <c r="A904">
        <v>39</v>
      </c>
      <c r="B904" t="s">
        <v>71</v>
      </c>
      <c r="C904" t="s">
        <v>61</v>
      </c>
      <c r="D904" t="s">
        <v>72</v>
      </c>
      <c r="E904" t="s">
        <v>10</v>
      </c>
      <c r="F904" cm="1">
        <f t="array" ref="F904">_xlfn.XLOOKUP(Food_Orders[[#This Row],[Event_No]],Event_Master[[#All],[Event_No]],Event_Master[[#All],[Guest_Count]],,0)</f>
        <v>550</v>
      </c>
      <c r="G904" cm="1">
        <f t="array" ref="G904">Food_Orders[[#This Row],[Quantity_Orderd]]*_xlfn.XLOOKUP(Food_Orders[[#This Row],[Food_ID]],Food_Catalog[[#All],[Food_ID]],Food_Catalog[[#All],[Price_Per_Unit]],0,0)</f>
        <v>13750</v>
      </c>
      <c r="H904" cm="1">
        <f t="array" ref="H904">Food_Orders[[#This Row],[Quantity_Orderd]]*_xlfn.XLOOKUP(Food_Orders[[#This Row],[Food_ID]],Food_Catalog[[#All],[Food_ID]],Food_Catalog[[#All],[Client_Price_Per_Unit]],0,0)</f>
        <v>16500</v>
      </c>
      <c r="I904">
        <f>Food_Orders[[#This Row],[Client_Price]]-Food_Orders[[#This Row],[Cost]]</f>
        <v>2750</v>
      </c>
    </row>
    <row r="905" spans="1:9" x14ac:dyDescent="0.25">
      <c r="A905">
        <v>39</v>
      </c>
      <c r="B905" t="s">
        <v>77</v>
      </c>
      <c r="C905" t="s">
        <v>61</v>
      </c>
      <c r="D905" t="s">
        <v>78</v>
      </c>
      <c r="E905" t="s">
        <v>79</v>
      </c>
      <c r="F905" cm="1">
        <f t="array" ref="F905">_xlfn.XLOOKUP(Food_Orders[[#This Row],[Event_No]],Event_Master[[#All],[Event_No]],Event_Master[[#All],[Guest_Count]],,0)</f>
        <v>550</v>
      </c>
      <c r="G905" cm="1">
        <f t="array" ref="G905">Food_Orders[[#This Row],[Quantity_Orderd]]*_xlfn.XLOOKUP(Food_Orders[[#This Row],[Food_ID]],Food_Catalog[[#All],[Food_ID]],Food_Catalog[[#All],[Price_Per_Unit]],0,0)</f>
        <v>19250</v>
      </c>
      <c r="H905" cm="1">
        <f t="array" ref="H905">Food_Orders[[#This Row],[Quantity_Orderd]]*_xlfn.XLOOKUP(Food_Orders[[#This Row],[Food_ID]],Food_Catalog[[#All],[Food_ID]],Food_Catalog[[#All],[Client_Price_Per_Unit]],0,0)</f>
        <v>23100</v>
      </c>
      <c r="I905">
        <f>Food_Orders[[#This Row],[Client_Price]]-Food_Orders[[#This Row],[Cost]]</f>
        <v>3850</v>
      </c>
    </row>
    <row r="906" spans="1:9" x14ac:dyDescent="0.25">
      <c r="A906">
        <v>39</v>
      </c>
      <c r="B906" t="s">
        <v>7</v>
      </c>
      <c r="C906" t="s">
        <v>8</v>
      </c>
      <c r="D906" t="s">
        <v>9</v>
      </c>
      <c r="E906" t="s">
        <v>10</v>
      </c>
      <c r="F906" cm="1">
        <f t="array" ref="F906">_xlfn.XLOOKUP(Food_Orders[[#This Row],[Event_No]],Event_Master[[#All],[Event_No]],Event_Master[[#All],[Guest_Count]],,0)</f>
        <v>550</v>
      </c>
      <c r="G906" cm="1">
        <f t="array" ref="G906">Food_Orders[[#This Row],[Quantity_Orderd]]*_xlfn.XLOOKUP(Food_Orders[[#This Row],[Food_ID]],Food_Catalog[[#All],[Food_ID]],Food_Catalog[[#All],[Price_Per_Unit]],0,0)</f>
        <v>13750</v>
      </c>
      <c r="H906" cm="1">
        <f t="array" ref="H906">Food_Orders[[#This Row],[Quantity_Orderd]]*_xlfn.XLOOKUP(Food_Orders[[#This Row],[Food_ID]],Food_Catalog[[#All],[Food_ID]],Food_Catalog[[#All],[Client_Price_Per_Unit]],0,0)</f>
        <v>16500</v>
      </c>
      <c r="I906">
        <f>Food_Orders[[#This Row],[Client_Price]]-Food_Orders[[#This Row],[Cost]]</f>
        <v>2750</v>
      </c>
    </row>
    <row r="907" spans="1:9" x14ac:dyDescent="0.25">
      <c r="A907">
        <v>39</v>
      </c>
      <c r="B907" t="s">
        <v>13</v>
      </c>
      <c r="C907" t="s">
        <v>8</v>
      </c>
      <c r="D907" t="s">
        <v>14</v>
      </c>
      <c r="E907" t="s">
        <v>10</v>
      </c>
      <c r="F907" cm="1">
        <f t="array" ref="F907">_xlfn.XLOOKUP(Food_Orders[[#This Row],[Event_No]],Event_Master[[#All],[Event_No]],Event_Master[[#All],[Guest_Count]],,0)</f>
        <v>550</v>
      </c>
      <c r="G907" cm="1">
        <f t="array" ref="G907">Food_Orders[[#This Row],[Quantity_Orderd]]*_xlfn.XLOOKUP(Food_Orders[[#This Row],[Food_ID]],Food_Catalog[[#All],[Food_ID]],Food_Catalog[[#All],[Price_Per_Unit]],0,0)</f>
        <v>19250</v>
      </c>
      <c r="H907" cm="1">
        <f t="array" ref="H907">Food_Orders[[#This Row],[Quantity_Orderd]]*_xlfn.XLOOKUP(Food_Orders[[#This Row],[Food_ID]],Food_Catalog[[#All],[Food_ID]],Food_Catalog[[#All],[Client_Price_Per_Unit]],0,0)</f>
        <v>23100</v>
      </c>
      <c r="I907">
        <f>Food_Orders[[#This Row],[Client_Price]]-Food_Orders[[#This Row],[Cost]]</f>
        <v>3850</v>
      </c>
    </row>
    <row r="908" spans="1:9" x14ac:dyDescent="0.25">
      <c r="A908">
        <v>39</v>
      </c>
      <c r="B908" t="s">
        <v>35</v>
      </c>
      <c r="C908" t="s">
        <v>8</v>
      </c>
      <c r="D908" t="s">
        <v>36</v>
      </c>
      <c r="E908" t="s">
        <v>10</v>
      </c>
      <c r="F908" cm="1">
        <f t="array" ref="F908">_xlfn.XLOOKUP(Food_Orders[[#This Row],[Event_No]],Event_Master[[#All],[Event_No]],Event_Master[[#All],[Guest_Count]],,0)</f>
        <v>550</v>
      </c>
      <c r="G908" cm="1">
        <f t="array" ref="G908">Food_Orders[[#This Row],[Quantity_Orderd]]*_xlfn.XLOOKUP(Food_Orders[[#This Row],[Food_ID]],Food_Catalog[[#All],[Food_ID]],Food_Catalog[[#All],[Price_Per_Unit]],0,0)</f>
        <v>16500</v>
      </c>
      <c r="H908" cm="1">
        <f t="array" ref="H908">Food_Orders[[#This Row],[Quantity_Orderd]]*_xlfn.XLOOKUP(Food_Orders[[#This Row],[Food_ID]],Food_Catalog[[#All],[Food_ID]],Food_Catalog[[#All],[Client_Price_Per_Unit]],0,0)</f>
        <v>19800</v>
      </c>
      <c r="I908">
        <f>Food_Orders[[#This Row],[Client_Price]]-Food_Orders[[#This Row],[Cost]]</f>
        <v>3300</v>
      </c>
    </row>
    <row r="909" spans="1:9" x14ac:dyDescent="0.25">
      <c r="A909">
        <v>39</v>
      </c>
      <c r="B909" t="s">
        <v>27</v>
      </c>
      <c r="C909" t="s">
        <v>8</v>
      </c>
      <c r="D909" t="s">
        <v>28</v>
      </c>
      <c r="E909" t="s">
        <v>10</v>
      </c>
      <c r="F909" cm="1">
        <f t="array" ref="F909">_xlfn.XLOOKUP(Food_Orders[[#This Row],[Event_No]],Event_Master[[#All],[Event_No]],Event_Master[[#All],[Guest_Count]],,0)</f>
        <v>550</v>
      </c>
      <c r="G909" cm="1">
        <f t="array" ref="G909">Food_Orders[[#This Row],[Quantity_Orderd]]*_xlfn.XLOOKUP(Food_Orders[[#This Row],[Food_ID]],Food_Catalog[[#All],[Food_ID]],Food_Catalog[[#All],[Price_Per_Unit]],0,0)</f>
        <v>22000</v>
      </c>
      <c r="H909" cm="1">
        <f t="array" ref="H909">Food_Orders[[#This Row],[Quantity_Orderd]]*_xlfn.XLOOKUP(Food_Orders[[#This Row],[Food_ID]],Food_Catalog[[#All],[Food_ID]],Food_Catalog[[#All],[Client_Price_Per_Unit]],0,0)</f>
        <v>26400</v>
      </c>
      <c r="I909">
        <f>Food_Orders[[#This Row],[Client_Price]]-Food_Orders[[#This Row],[Cost]]</f>
        <v>4400</v>
      </c>
    </row>
    <row r="910" spans="1:9" x14ac:dyDescent="0.25">
      <c r="A910">
        <v>39</v>
      </c>
      <c r="B910" t="s">
        <v>31</v>
      </c>
      <c r="C910" t="s">
        <v>8</v>
      </c>
      <c r="D910" t="s">
        <v>32</v>
      </c>
      <c r="E910" t="s">
        <v>10</v>
      </c>
      <c r="F910" cm="1">
        <f t="array" ref="F910">_xlfn.XLOOKUP(Food_Orders[[#This Row],[Event_No]],Event_Master[[#All],[Event_No]],Event_Master[[#All],[Guest_Count]],,0)</f>
        <v>550</v>
      </c>
      <c r="G910" cm="1">
        <f t="array" ref="G910">Food_Orders[[#This Row],[Quantity_Orderd]]*_xlfn.XLOOKUP(Food_Orders[[#This Row],[Food_ID]],Food_Catalog[[#All],[Food_ID]],Food_Catalog[[#All],[Price_Per_Unit]],0,0)</f>
        <v>16500</v>
      </c>
      <c r="H910" cm="1">
        <f t="array" ref="H910">Food_Orders[[#This Row],[Quantity_Orderd]]*_xlfn.XLOOKUP(Food_Orders[[#This Row],[Food_ID]],Food_Catalog[[#All],[Food_ID]],Food_Catalog[[#All],[Client_Price_Per_Unit]],0,0)</f>
        <v>19800</v>
      </c>
      <c r="I910">
        <f>Food_Orders[[#This Row],[Client_Price]]-Food_Orders[[#This Row],[Cost]]</f>
        <v>3300</v>
      </c>
    </row>
    <row r="911" spans="1:9" x14ac:dyDescent="0.25">
      <c r="A911">
        <v>39</v>
      </c>
      <c r="B911" t="s">
        <v>29</v>
      </c>
      <c r="C911" t="s">
        <v>8</v>
      </c>
      <c r="D911" t="s">
        <v>30</v>
      </c>
      <c r="E911" t="s">
        <v>10</v>
      </c>
      <c r="F911" cm="1">
        <f t="array" ref="F911">_xlfn.XLOOKUP(Food_Orders[[#This Row],[Event_No]],Event_Master[[#All],[Event_No]],Event_Master[[#All],[Guest_Count]],,0)</f>
        <v>550</v>
      </c>
      <c r="G911" cm="1">
        <f t="array" ref="G911">Food_Orders[[#This Row],[Quantity_Orderd]]*_xlfn.XLOOKUP(Food_Orders[[#This Row],[Food_ID]],Food_Catalog[[#All],[Food_ID]],Food_Catalog[[#All],[Price_Per_Unit]],0,0)</f>
        <v>16500</v>
      </c>
      <c r="H911" cm="1">
        <f t="array" ref="H911">Food_Orders[[#This Row],[Quantity_Orderd]]*_xlfn.XLOOKUP(Food_Orders[[#This Row],[Food_ID]],Food_Catalog[[#All],[Food_ID]],Food_Catalog[[#All],[Client_Price_Per_Unit]],0,0)</f>
        <v>19800</v>
      </c>
      <c r="I911">
        <f>Food_Orders[[#This Row],[Client_Price]]-Food_Orders[[#This Row],[Cost]]</f>
        <v>3300</v>
      </c>
    </row>
    <row r="912" spans="1:9" x14ac:dyDescent="0.25">
      <c r="A912">
        <v>39</v>
      </c>
      <c r="B912" t="s">
        <v>37</v>
      </c>
      <c r="C912" t="s">
        <v>8</v>
      </c>
      <c r="D912" t="s">
        <v>38</v>
      </c>
      <c r="E912" t="s">
        <v>10</v>
      </c>
      <c r="F912" cm="1">
        <f t="array" ref="F912">_xlfn.XLOOKUP(Food_Orders[[#This Row],[Event_No]],Event_Master[[#All],[Event_No]],Event_Master[[#All],[Guest_Count]],,0)</f>
        <v>550</v>
      </c>
      <c r="G912" cm="1">
        <f t="array" ref="G912">Food_Orders[[#This Row],[Quantity_Orderd]]*_xlfn.XLOOKUP(Food_Orders[[#This Row],[Food_ID]],Food_Catalog[[#All],[Food_ID]],Food_Catalog[[#All],[Price_Per_Unit]],0,0)</f>
        <v>13750</v>
      </c>
      <c r="H912" cm="1">
        <f t="array" ref="H912">Food_Orders[[#This Row],[Quantity_Orderd]]*_xlfn.XLOOKUP(Food_Orders[[#This Row],[Food_ID]],Food_Catalog[[#All],[Food_ID]],Food_Catalog[[#All],[Client_Price_Per_Unit]],0,0)</f>
        <v>16500</v>
      </c>
      <c r="I912">
        <f>Food_Orders[[#This Row],[Client_Price]]-Food_Orders[[#This Row],[Cost]]</f>
        <v>2750</v>
      </c>
    </row>
    <row r="913" spans="1:9" x14ac:dyDescent="0.25">
      <c r="A913">
        <v>39</v>
      </c>
      <c r="B913" t="s">
        <v>82</v>
      </c>
      <c r="C913" t="s">
        <v>83</v>
      </c>
      <c r="D913" t="s">
        <v>84</v>
      </c>
      <c r="E913" t="s">
        <v>85</v>
      </c>
      <c r="F913" cm="1">
        <f t="array" ref="F913">_xlfn.XLOOKUP(Food_Orders[[#This Row],[Event_No]],Event_Master[[#All],[Event_No]],Event_Master[[#All],[Guest_Count]],,0)</f>
        <v>550</v>
      </c>
      <c r="G913" cm="1">
        <f t="array" ref="G913">Food_Orders[[#This Row],[Quantity_Orderd]]*_xlfn.XLOOKUP(Food_Orders[[#This Row],[Food_ID]],Food_Catalog[[#All],[Food_ID]],Food_Catalog[[#All],[Price_Per_Unit]],0,0)</f>
        <v>11000</v>
      </c>
      <c r="H913" cm="1">
        <f t="array" ref="H913">Food_Orders[[#This Row],[Quantity_Orderd]]*_xlfn.XLOOKUP(Food_Orders[[#This Row],[Food_ID]],Food_Catalog[[#All],[Food_ID]],Food_Catalog[[#All],[Client_Price_Per_Unit]],0,0)</f>
        <v>13200</v>
      </c>
      <c r="I913">
        <f>Food_Orders[[#This Row],[Client_Price]]-Food_Orders[[#This Row],[Cost]]</f>
        <v>2200</v>
      </c>
    </row>
    <row r="914" spans="1:9" x14ac:dyDescent="0.25">
      <c r="A914">
        <v>39</v>
      </c>
      <c r="B914" t="s">
        <v>86</v>
      </c>
      <c r="C914" t="s">
        <v>83</v>
      </c>
      <c r="D914" t="s">
        <v>87</v>
      </c>
      <c r="E914" t="s">
        <v>85</v>
      </c>
      <c r="F914" cm="1">
        <f t="array" ref="F914">_xlfn.XLOOKUP(Food_Orders[[#This Row],[Event_No]],Event_Master[[#All],[Event_No]],Event_Master[[#All],[Guest_Count]],,0)</f>
        <v>550</v>
      </c>
      <c r="G914" cm="1">
        <f t="array" ref="G914">Food_Orders[[#This Row],[Quantity_Orderd]]*_xlfn.XLOOKUP(Food_Orders[[#This Row],[Food_ID]],Food_Catalog[[#All],[Food_ID]],Food_Catalog[[#All],[Price_Per_Unit]],0,0)</f>
        <v>11000</v>
      </c>
      <c r="H914" cm="1">
        <f t="array" ref="H914">Food_Orders[[#This Row],[Quantity_Orderd]]*_xlfn.XLOOKUP(Food_Orders[[#This Row],[Food_ID]],Food_Catalog[[#All],[Food_ID]],Food_Catalog[[#All],[Client_Price_Per_Unit]],0,0)</f>
        <v>13200</v>
      </c>
      <c r="I914">
        <f>Food_Orders[[#This Row],[Client_Price]]-Food_Orders[[#This Row],[Cost]]</f>
        <v>2200</v>
      </c>
    </row>
    <row r="915" spans="1:9" x14ac:dyDescent="0.25">
      <c r="A915">
        <v>39</v>
      </c>
      <c r="B915" t="s">
        <v>96</v>
      </c>
      <c r="C915" t="s">
        <v>83</v>
      </c>
      <c r="D915" t="s">
        <v>97</v>
      </c>
      <c r="E915" t="s">
        <v>79</v>
      </c>
      <c r="F915" cm="1">
        <f t="array" ref="F915">_xlfn.XLOOKUP(Food_Orders[[#This Row],[Event_No]],Event_Master[[#All],[Event_No]],Event_Master[[#All],[Guest_Count]],,0)</f>
        <v>550</v>
      </c>
      <c r="G915" cm="1">
        <f t="array" ref="G915">Food_Orders[[#This Row],[Quantity_Orderd]]*_xlfn.XLOOKUP(Food_Orders[[#This Row],[Food_ID]],Food_Catalog[[#All],[Food_ID]],Food_Catalog[[#All],[Price_Per_Unit]],0,0)</f>
        <v>16500</v>
      </c>
      <c r="H915" cm="1">
        <f t="array" ref="H915">Food_Orders[[#This Row],[Quantity_Orderd]]*_xlfn.XLOOKUP(Food_Orders[[#This Row],[Food_ID]],Food_Catalog[[#All],[Food_ID]],Food_Catalog[[#All],[Client_Price_Per_Unit]],0,0)</f>
        <v>19800</v>
      </c>
      <c r="I915">
        <f>Food_Orders[[#This Row],[Client_Price]]-Food_Orders[[#This Row],[Cost]]</f>
        <v>3300</v>
      </c>
    </row>
    <row r="916" spans="1:9" x14ac:dyDescent="0.25">
      <c r="A916">
        <v>39</v>
      </c>
      <c r="B916" t="s">
        <v>88</v>
      </c>
      <c r="C916" t="s">
        <v>83</v>
      </c>
      <c r="D916" t="s">
        <v>89</v>
      </c>
      <c r="E916" t="s">
        <v>85</v>
      </c>
      <c r="F916" cm="1">
        <f t="array" ref="F916">_xlfn.XLOOKUP(Food_Orders[[#This Row],[Event_No]],Event_Master[[#All],[Event_No]],Event_Master[[#All],[Guest_Count]],,0)</f>
        <v>550</v>
      </c>
      <c r="G916" cm="1">
        <f t="array" ref="G916">Food_Orders[[#This Row],[Quantity_Orderd]]*_xlfn.XLOOKUP(Food_Orders[[#This Row],[Food_ID]],Food_Catalog[[#All],[Food_ID]],Food_Catalog[[#All],[Price_Per_Unit]],0,0)</f>
        <v>8250</v>
      </c>
      <c r="H916" cm="1">
        <f t="array" ref="H916">Food_Orders[[#This Row],[Quantity_Orderd]]*_xlfn.XLOOKUP(Food_Orders[[#This Row],[Food_ID]],Food_Catalog[[#All],[Food_ID]],Food_Catalog[[#All],[Client_Price_Per_Unit]],0,0)</f>
        <v>9900</v>
      </c>
      <c r="I916">
        <f>Food_Orders[[#This Row],[Client_Price]]-Food_Orders[[#This Row],[Cost]]</f>
        <v>1650</v>
      </c>
    </row>
    <row r="917" spans="1:9" x14ac:dyDescent="0.25">
      <c r="A917">
        <v>39</v>
      </c>
      <c r="B917" t="s">
        <v>100</v>
      </c>
      <c r="C917" t="s">
        <v>83</v>
      </c>
      <c r="D917" t="s">
        <v>101</v>
      </c>
      <c r="E917" t="s">
        <v>79</v>
      </c>
      <c r="F917" cm="1">
        <f t="array" ref="F917">_xlfn.XLOOKUP(Food_Orders[[#This Row],[Event_No]],Event_Master[[#All],[Event_No]],Event_Master[[#All],[Guest_Count]],,0)</f>
        <v>550</v>
      </c>
      <c r="G917" cm="1">
        <f t="array" ref="G917">Food_Orders[[#This Row],[Quantity_Orderd]]*_xlfn.XLOOKUP(Food_Orders[[#This Row],[Food_ID]],Food_Catalog[[#All],[Food_ID]],Food_Catalog[[#All],[Price_Per_Unit]],0,0)</f>
        <v>19250</v>
      </c>
      <c r="H917" cm="1">
        <f t="array" ref="H917">Food_Orders[[#This Row],[Quantity_Orderd]]*_xlfn.XLOOKUP(Food_Orders[[#This Row],[Food_ID]],Food_Catalog[[#All],[Food_ID]],Food_Catalog[[#All],[Client_Price_Per_Unit]],0,0)</f>
        <v>23100</v>
      </c>
      <c r="I917">
        <f>Food_Orders[[#This Row],[Client_Price]]-Food_Orders[[#This Row],[Cost]]</f>
        <v>3850</v>
      </c>
    </row>
    <row r="918" spans="1:9" x14ac:dyDescent="0.25">
      <c r="A918">
        <v>39</v>
      </c>
      <c r="B918" t="s">
        <v>104</v>
      </c>
      <c r="C918" t="s">
        <v>105</v>
      </c>
      <c r="D918" t="s">
        <v>106</v>
      </c>
      <c r="E918" t="s">
        <v>107</v>
      </c>
      <c r="F918" cm="1">
        <f t="array" ref="F918">_xlfn.XLOOKUP(Food_Orders[[#This Row],[Event_No]],Event_Master[[#All],[Event_No]],Event_Master[[#All],[Guest_Count]],,0)</f>
        <v>550</v>
      </c>
      <c r="G918" cm="1">
        <f t="array" ref="G918">Food_Orders[[#This Row],[Quantity_Orderd]]*_xlfn.XLOOKUP(Food_Orders[[#This Row],[Food_ID]],Food_Catalog[[#All],[Food_ID]],Food_Catalog[[#All],[Price_Per_Unit]],0,0)</f>
        <v>5500</v>
      </c>
      <c r="H918" cm="1">
        <f t="array" ref="H918">Food_Orders[[#This Row],[Quantity_Orderd]]*_xlfn.XLOOKUP(Food_Orders[[#This Row],[Food_ID]],Food_Catalog[[#All],[Food_ID]],Food_Catalog[[#All],[Client_Price_Per_Unit]],0,0)</f>
        <v>6600</v>
      </c>
      <c r="I918">
        <f>Food_Orders[[#This Row],[Client_Price]]-Food_Orders[[#This Row],[Cost]]</f>
        <v>1100</v>
      </c>
    </row>
    <row r="919" spans="1:9" x14ac:dyDescent="0.25">
      <c r="A919">
        <v>39</v>
      </c>
      <c r="B919" t="s">
        <v>108</v>
      </c>
      <c r="C919" t="s">
        <v>105</v>
      </c>
      <c r="D919" t="s">
        <v>109</v>
      </c>
      <c r="E919" t="s">
        <v>107</v>
      </c>
      <c r="F919" cm="1">
        <f t="array" ref="F919">_xlfn.XLOOKUP(Food_Orders[[#This Row],[Event_No]],Event_Master[[#All],[Event_No]],Event_Master[[#All],[Guest_Count]],,0)</f>
        <v>550</v>
      </c>
      <c r="G919" cm="1">
        <f t="array" ref="G919">Food_Orders[[#This Row],[Quantity_Orderd]]*_xlfn.XLOOKUP(Food_Orders[[#This Row],[Food_ID]],Food_Catalog[[#All],[Food_ID]],Food_Catalog[[#All],[Price_Per_Unit]],0,0)</f>
        <v>8250</v>
      </c>
      <c r="H919" cm="1">
        <f t="array" ref="H919">Food_Orders[[#This Row],[Quantity_Orderd]]*_xlfn.XLOOKUP(Food_Orders[[#This Row],[Food_ID]],Food_Catalog[[#All],[Food_ID]],Food_Catalog[[#All],[Client_Price_Per_Unit]],0,0)</f>
        <v>9900</v>
      </c>
      <c r="I919">
        <f>Food_Orders[[#This Row],[Client_Price]]-Food_Orders[[#This Row],[Cost]]</f>
        <v>1650</v>
      </c>
    </row>
    <row r="920" spans="1:9" x14ac:dyDescent="0.25">
      <c r="A920">
        <v>39</v>
      </c>
      <c r="B920" t="s">
        <v>118</v>
      </c>
      <c r="C920" t="s">
        <v>119</v>
      </c>
      <c r="D920" t="s">
        <v>120</v>
      </c>
      <c r="E920" t="s">
        <v>112</v>
      </c>
      <c r="F920" cm="1">
        <f t="array" ref="F920">_xlfn.XLOOKUP(Food_Orders[[#This Row],[Event_No]],Event_Master[[#All],[Event_No]],Event_Master[[#All],[Guest_Count]],,0)</f>
        <v>550</v>
      </c>
      <c r="G920" cm="1">
        <f t="array" ref="G920">Food_Orders[[#This Row],[Quantity_Orderd]]*_xlfn.XLOOKUP(Food_Orders[[#This Row],[Food_ID]],Food_Catalog[[#All],[Food_ID]],Food_Catalog[[#All],[Price_Per_Unit]],0,0)</f>
        <v>5500</v>
      </c>
      <c r="H920" cm="1">
        <f t="array" ref="H920">Food_Orders[[#This Row],[Quantity_Orderd]]*_xlfn.XLOOKUP(Food_Orders[[#This Row],[Food_ID]],Food_Catalog[[#All],[Food_ID]],Food_Catalog[[#All],[Client_Price_Per_Unit]],0,0)</f>
        <v>6600</v>
      </c>
      <c r="I920">
        <f>Food_Orders[[#This Row],[Client_Price]]-Food_Orders[[#This Row],[Cost]]</f>
        <v>1100</v>
      </c>
    </row>
    <row r="921" spans="1:9" x14ac:dyDescent="0.25">
      <c r="A921">
        <v>39</v>
      </c>
      <c r="B921" t="s">
        <v>129</v>
      </c>
      <c r="C921" t="s">
        <v>119</v>
      </c>
      <c r="D921" t="s">
        <v>130</v>
      </c>
      <c r="E921" t="s">
        <v>112</v>
      </c>
      <c r="F921" cm="1">
        <f t="array" ref="F921">_xlfn.XLOOKUP(Food_Orders[[#This Row],[Event_No]],Event_Master[[#All],[Event_No]],Event_Master[[#All],[Guest_Count]],,0)</f>
        <v>550</v>
      </c>
      <c r="G921" cm="1">
        <f t="array" ref="G921">Food_Orders[[#This Row],[Quantity_Orderd]]*_xlfn.XLOOKUP(Food_Orders[[#This Row],[Food_ID]],Food_Catalog[[#All],[Food_ID]],Food_Catalog[[#All],[Price_Per_Unit]],0,0)</f>
        <v>5500</v>
      </c>
      <c r="H921" cm="1">
        <f t="array" ref="H921">Food_Orders[[#This Row],[Quantity_Orderd]]*_xlfn.XLOOKUP(Food_Orders[[#This Row],[Food_ID]],Food_Catalog[[#All],[Food_ID]],Food_Catalog[[#All],[Client_Price_Per_Unit]],0,0)</f>
        <v>6600</v>
      </c>
      <c r="I921">
        <f>Food_Orders[[#This Row],[Client_Price]]-Food_Orders[[#This Row],[Cost]]</f>
        <v>1100</v>
      </c>
    </row>
    <row r="922" spans="1:9" x14ac:dyDescent="0.25">
      <c r="A922">
        <v>40</v>
      </c>
      <c r="B922" t="s">
        <v>118</v>
      </c>
      <c r="C922" t="s">
        <v>119</v>
      </c>
      <c r="D922" t="s">
        <v>120</v>
      </c>
      <c r="E922" t="s">
        <v>112</v>
      </c>
      <c r="F922" cm="1">
        <f t="array" ref="F922">_xlfn.XLOOKUP(Food_Orders[[#This Row],[Event_No]],Event_Master[[#All],[Event_No]],Event_Master[[#All],[Guest_Count]],,0)</f>
        <v>2000</v>
      </c>
      <c r="G922" cm="1">
        <f t="array" ref="G922">Food_Orders[[#This Row],[Quantity_Orderd]]*_xlfn.XLOOKUP(Food_Orders[[#This Row],[Food_ID]],Food_Catalog[[#All],[Food_ID]],Food_Catalog[[#All],[Price_Per_Unit]],0,0)</f>
        <v>20000</v>
      </c>
      <c r="H922" cm="1">
        <f t="array" ref="H922">Food_Orders[[#This Row],[Quantity_Orderd]]*_xlfn.XLOOKUP(Food_Orders[[#This Row],[Food_ID]],Food_Catalog[[#All],[Food_ID]],Food_Catalog[[#All],[Client_Price_Per_Unit]],0,0)</f>
        <v>24000</v>
      </c>
      <c r="I922">
        <f>Food_Orders[[#This Row],[Client_Price]]-Food_Orders[[#This Row],[Cost]]</f>
        <v>4000</v>
      </c>
    </row>
    <row r="923" spans="1:9" x14ac:dyDescent="0.25">
      <c r="A923">
        <v>40</v>
      </c>
      <c r="B923" t="s">
        <v>129</v>
      </c>
      <c r="C923" t="s">
        <v>119</v>
      </c>
      <c r="D923" t="s">
        <v>130</v>
      </c>
      <c r="E923" t="s">
        <v>112</v>
      </c>
      <c r="F923" cm="1">
        <f t="array" ref="F923">_xlfn.XLOOKUP(Food_Orders[[#This Row],[Event_No]],Event_Master[[#All],[Event_No]],Event_Master[[#All],[Guest_Count]],,0)</f>
        <v>2000</v>
      </c>
      <c r="G923" cm="1">
        <f t="array" ref="G923">Food_Orders[[#This Row],[Quantity_Orderd]]*_xlfn.XLOOKUP(Food_Orders[[#This Row],[Food_ID]],Food_Catalog[[#All],[Food_ID]],Food_Catalog[[#All],[Price_Per_Unit]],0,0)</f>
        <v>20000</v>
      </c>
      <c r="H923" cm="1">
        <f t="array" ref="H923">Food_Orders[[#This Row],[Quantity_Orderd]]*_xlfn.XLOOKUP(Food_Orders[[#This Row],[Food_ID]],Food_Catalog[[#All],[Food_ID]],Food_Catalog[[#All],[Client_Price_Per_Unit]],0,0)</f>
        <v>24000</v>
      </c>
      <c r="I923">
        <f>Food_Orders[[#This Row],[Client_Price]]-Food_Orders[[#This Row],[Cost]]</f>
        <v>4000</v>
      </c>
    </row>
    <row r="924" spans="1:9" x14ac:dyDescent="0.25">
      <c r="A924">
        <v>40</v>
      </c>
      <c r="B924" t="s">
        <v>104</v>
      </c>
      <c r="C924" t="s">
        <v>105</v>
      </c>
      <c r="D924" t="s">
        <v>106</v>
      </c>
      <c r="E924" t="s">
        <v>107</v>
      </c>
      <c r="F924" cm="1">
        <f t="array" ref="F924">_xlfn.XLOOKUP(Food_Orders[[#This Row],[Event_No]],Event_Master[[#All],[Event_No]],Event_Master[[#All],[Guest_Count]],,0)</f>
        <v>2000</v>
      </c>
      <c r="G924" cm="1">
        <f t="array" ref="G924">Food_Orders[[#This Row],[Quantity_Orderd]]*_xlfn.XLOOKUP(Food_Orders[[#This Row],[Food_ID]],Food_Catalog[[#All],[Food_ID]],Food_Catalog[[#All],[Price_Per_Unit]],0,0)</f>
        <v>20000</v>
      </c>
      <c r="H924" cm="1">
        <f t="array" ref="H924">Food_Orders[[#This Row],[Quantity_Orderd]]*_xlfn.XLOOKUP(Food_Orders[[#This Row],[Food_ID]],Food_Catalog[[#All],[Food_ID]],Food_Catalog[[#All],[Client_Price_Per_Unit]],0,0)</f>
        <v>24000</v>
      </c>
      <c r="I924">
        <f>Food_Orders[[#This Row],[Client_Price]]-Food_Orders[[#This Row],[Cost]]</f>
        <v>4000</v>
      </c>
    </row>
    <row r="925" spans="1:9" x14ac:dyDescent="0.25">
      <c r="A925">
        <v>40</v>
      </c>
      <c r="B925" t="s">
        <v>108</v>
      </c>
      <c r="C925" t="s">
        <v>105</v>
      </c>
      <c r="D925" t="s">
        <v>109</v>
      </c>
      <c r="E925" t="s">
        <v>107</v>
      </c>
      <c r="F925" cm="1">
        <f t="array" ref="F925">_xlfn.XLOOKUP(Food_Orders[[#This Row],[Event_No]],Event_Master[[#All],[Event_No]],Event_Master[[#All],[Guest_Count]],,0)</f>
        <v>2000</v>
      </c>
      <c r="G925" cm="1">
        <f t="array" ref="G925">Food_Orders[[#This Row],[Quantity_Orderd]]*_xlfn.XLOOKUP(Food_Orders[[#This Row],[Food_ID]],Food_Catalog[[#All],[Food_ID]],Food_Catalog[[#All],[Price_Per_Unit]],0,0)</f>
        <v>30000</v>
      </c>
      <c r="H925" cm="1">
        <f t="array" ref="H925">Food_Orders[[#This Row],[Quantity_Orderd]]*_xlfn.XLOOKUP(Food_Orders[[#This Row],[Food_ID]],Food_Catalog[[#All],[Food_ID]],Food_Catalog[[#All],[Client_Price_Per_Unit]],0,0)</f>
        <v>36000</v>
      </c>
      <c r="I925">
        <f>Food_Orders[[#This Row],[Client_Price]]-Food_Orders[[#This Row],[Cost]]</f>
        <v>6000</v>
      </c>
    </row>
    <row r="926" spans="1:9" x14ac:dyDescent="0.25">
      <c r="A926">
        <v>40</v>
      </c>
      <c r="B926" t="s">
        <v>127</v>
      </c>
      <c r="C926" t="s">
        <v>119</v>
      </c>
      <c r="D926" t="s">
        <v>128</v>
      </c>
      <c r="E926" t="s">
        <v>107</v>
      </c>
      <c r="F926" cm="1">
        <f t="array" ref="F926">_xlfn.XLOOKUP(Food_Orders[[#This Row],[Event_No]],Event_Master[[#All],[Event_No]],Event_Master[[#All],[Guest_Count]],,0)</f>
        <v>2000</v>
      </c>
      <c r="G926" cm="1">
        <f t="array" ref="G926">Food_Orders[[#This Row],[Quantity_Orderd]]*_xlfn.XLOOKUP(Food_Orders[[#This Row],[Food_ID]],Food_Catalog[[#All],[Food_ID]],Food_Catalog[[#All],[Price_Per_Unit]],0,0)</f>
        <v>40000</v>
      </c>
      <c r="H926" cm="1">
        <f t="array" ref="H926">Food_Orders[[#This Row],[Quantity_Orderd]]*_xlfn.XLOOKUP(Food_Orders[[#This Row],[Food_ID]],Food_Catalog[[#All],[Food_ID]],Food_Catalog[[#All],[Client_Price_Per_Unit]],0,0)</f>
        <v>48000</v>
      </c>
      <c r="I926">
        <f>Food_Orders[[#This Row],[Client_Price]]-Food_Orders[[#This Row],[Cost]]</f>
        <v>8000</v>
      </c>
    </row>
    <row r="927" spans="1:9" x14ac:dyDescent="0.25">
      <c r="A927">
        <v>40</v>
      </c>
      <c r="B927" t="s">
        <v>124</v>
      </c>
      <c r="C927" t="s">
        <v>119</v>
      </c>
      <c r="D927" t="s">
        <v>125</v>
      </c>
      <c r="E927" t="s">
        <v>126</v>
      </c>
      <c r="F927" cm="1">
        <f t="array" ref="F927">_xlfn.XLOOKUP(Food_Orders[[#This Row],[Event_No]],Event_Master[[#All],[Event_No]],Event_Master[[#All],[Guest_Count]],,0)</f>
        <v>2000</v>
      </c>
      <c r="G927" cm="1">
        <f t="array" ref="G927">Food_Orders[[#This Row],[Quantity_Orderd]]*_xlfn.XLOOKUP(Food_Orders[[#This Row],[Food_ID]],Food_Catalog[[#All],[Food_ID]],Food_Catalog[[#All],[Price_Per_Unit]],0,0)</f>
        <v>40000</v>
      </c>
      <c r="H927" cm="1">
        <f t="array" ref="H927">Food_Orders[[#This Row],[Quantity_Orderd]]*_xlfn.XLOOKUP(Food_Orders[[#This Row],[Food_ID]],Food_Catalog[[#All],[Food_ID]],Food_Catalog[[#All],[Client_Price_Per_Unit]],0,0)</f>
        <v>48000</v>
      </c>
      <c r="I927">
        <f>Food_Orders[[#This Row],[Client_Price]]-Food_Orders[[#This Row],[Cost]]</f>
        <v>8000</v>
      </c>
    </row>
    <row r="928" spans="1:9" x14ac:dyDescent="0.25">
      <c r="A928">
        <v>40</v>
      </c>
      <c r="B928" t="s">
        <v>121</v>
      </c>
      <c r="C928" t="s">
        <v>119</v>
      </c>
      <c r="D928" t="s">
        <v>122</v>
      </c>
      <c r="E928" t="s">
        <v>123</v>
      </c>
      <c r="F928" cm="1">
        <f t="array" ref="F928">_xlfn.XLOOKUP(Food_Orders[[#This Row],[Event_No]],Event_Master[[#All],[Event_No]],Event_Master[[#All],[Guest_Count]],,0)</f>
        <v>2000</v>
      </c>
      <c r="G928" cm="1">
        <f t="array" ref="G928">Food_Orders[[#This Row],[Quantity_Orderd]]*_xlfn.XLOOKUP(Food_Orders[[#This Row],[Food_ID]],Food_Catalog[[#All],[Food_ID]],Food_Catalog[[#All],[Price_Per_Unit]],0,0)</f>
        <v>20000</v>
      </c>
      <c r="H928" cm="1">
        <f t="array" ref="H928">Food_Orders[[#This Row],[Quantity_Orderd]]*_xlfn.XLOOKUP(Food_Orders[[#This Row],[Food_ID]],Food_Catalog[[#All],[Food_ID]],Food_Catalog[[#All],[Client_Price_Per_Unit]],0,0)</f>
        <v>24000</v>
      </c>
      <c r="I928">
        <f>Food_Orders[[#This Row],[Client_Price]]-Food_Orders[[#This Row],[Cost]]</f>
        <v>4000</v>
      </c>
    </row>
    <row r="929" spans="1:9" x14ac:dyDescent="0.25">
      <c r="A929">
        <v>40</v>
      </c>
      <c r="B929" t="s">
        <v>63</v>
      </c>
      <c r="C929" t="s">
        <v>61</v>
      </c>
      <c r="D929" t="s">
        <v>64</v>
      </c>
      <c r="E929" t="s">
        <v>10</v>
      </c>
      <c r="F929" cm="1">
        <f t="array" ref="F929">_xlfn.XLOOKUP(Food_Orders[[#This Row],[Event_No]],Event_Master[[#All],[Event_No]],Event_Master[[#All],[Guest_Count]],,0)</f>
        <v>2000</v>
      </c>
      <c r="G929" cm="1">
        <f t="array" ref="G929">Food_Orders[[#This Row],[Quantity_Orderd]]*_xlfn.XLOOKUP(Food_Orders[[#This Row],[Food_ID]],Food_Catalog[[#All],[Food_ID]],Food_Catalog[[#All],[Price_Per_Unit]],0,0)</f>
        <v>60000</v>
      </c>
      <c r="H929" cm="1">
        <f t="array" ref="H929">Food_Orders[[#This Row],[Quantity_Orderd]]*_xlfn.XLOOKUP(Food_Orders[[#This Row],[Food_ID]],Food_Catalog[[#All],[Food_ID]],Food_Catalog[[#All],[Client_Price_Per_Unit]],0,0)</f>
        <v>72000</v>
      </c>
      <c r="I929">
        <f>Food_Orders[[#This Row],[Client_Price]]-Food_Orders[[#This Row],[Cost]]</f>
        <v>12000</v>
      </c>
    </row>
    <row r="930" spans="1:9" x14ac:dyDescent="0.25">
      <c r="A930">
        <v>40</v>
      </c>
      <c r="B930" t="s">
        <v>71</v>
      </c>
      <c r="C930" t="s">
        <v>61</v>
      </c>
      <c r="D930" t="s">
        <v>72</v>
      </c>
      <c r="E930" t="s">
        <v>10</v>
      </c>
      <c r="F930" cm="1">
        <f t="array" ref="F930">_xlfn.XLOOKUP(Food_Orders[[#This Row],[Event_No]],Event_Master[[#All],[Event_No]],Event_Master[[#All],[Guest_Count]],,0)</f>
        <v>2000</v>
      </c>
      <c r="G930" cm="1">
        <f t="array" ref="G930">Food_Orders[[#This Row],[Quantity_Orderd]]*_xlfn.XLOOKUP(Food_Orders[[#This Row],[Food_ID]],Food_Catalog[[#All],[Food_ID]],Food_Catalog[[#All],[Price_Per_Unit]],0,0)</f>
        <v>50000</v>
      </c>
      <c r="H930" cm="1">
        <f t="array" ref="H930">Food_Orders[[#This Row],[Quantity_Orderd]]*_xlfn.XLOOKUP(Food_Orders[[#This Row],[Food_ID]],Food_Catalog[[#All],[Food_ID]],Food_Catalog[[#All],[Client_Price_Per_Unit]],0,0)</f>
        <v>60000</v>
      </c>
      <c r="I930">
        <f>Food_Orders[[#This Row],[Client_Price]]-Food_Orders[[#This Row],[Cost]]</f>
        <v>10000</v>
      </c>
    </row>
    <row r="931" spans="1:9" x14ac:dyDescent="0.25">
      <c r="A931">
        <v>40</v>
      </c>
      <c r="B931" t="s">
        <v>29</v>
      </c>
      <c r="C931" t="s">
        <v>8</v>
      </c>
      <c r="D931" t="s">
        <v>30</v>
      </c>
      <c r="E931" t="s">
        <v>10</v>
      </c>
      <c r="F931" cm="1">
        <f t="array" ref="F931">_xlfn.XLOOKUP(Food_Orders[[#This Row],[Event_No]],Event_Master[[#All],[Event_No]],Event_Master[[#All],[Guest_Count]],,0)</f>
        <v>2000</v>
      </c>
      <c r="G931" cm="1">
        <f t="array" ref="G931">Food_Orders[[#This Row],[Quantity_Orderd]]*_xlfn.XLOOKUP(Food_Orders[[#This Row],[Food_ID]],Food_Catalog[[#All],[Food_ID]],Food_Catalog[[#All],[Price_Per_Unit]],0,0)</f>
        <v>60000</v>
      </c>
      <c r="H931" cm="1">
        <f t="array" ref="H931">Food_Orders[[#This Row],[Quantity_Orderd]]*_xlfn.XLOOKUP(Food_Orders[[#This Row],[Food_ID]],Food_Catalog[[#All],[Food_ID]],Food_Catalog[[#All],[Client_Price_Per_Unit]],0,0)</f>
        <v>72000</v>
      </c>
      <c r="I931">
        <f>Food_Orders[[#This Row],[Client_Price]]-Food_Orders[[#This Row],[Cost]]</f>
        <v>12000</v>
      </c>
    </row>
    <row r="932" spans="1:9" x14ac:dyDescent="0.25">
      <c r="A932">
        <v>40</v>
      </c>
      <c r="B932" t="s">
        <v>37</v>
      </c>
      <c r="C932" t="s">
        <v>8</v>
      </c>
      <c r="D932" t="s">
        <v>38</v>
      </c>
      <c r="E932" t="s">
        <v>10</v>
      </c>
      <c r="F932" cm="1">
        <f t="array" ref="F932">_xlfn.XLOOKUP(Food_Orders[[#This Row],[Event_No]],Event_Master[[#All],[Event_No]],Event_Master[[#All],[Guest_Count]],,0)</f>
        <v>2000</v>
      </c>
      <c r="G932" cm="1">
        <f t="array" ref="G932">Food_Orders[[#This Row],[Quantity_Orderd]]*_xlfn.XLOOKUP(Food_Orders[[#This Row],[Food_ID]],Food_Catalog[[#All],[Food_ID]],Food_Catalog[[#All],[Price_Per_Unit]],0,0)</f>
        <v>50000</v>
      </c>
      <c r="H932" cm="1">
        <f t="array" ref="H932">Food_Orders[[#This Row],[Quantity_Orderd]]*_xlfn.XLOOKUP(Food_Orders[[#This Row],[Food_ID]],Food_Catalog[[#All],[Food_ID]],Food_Catalog[[#All],[Client_Price_Per_Unit]],0,0)</f>
        <v>60000</v>
      </c>
      <c r="I932">
        <f>Food_Orders[[#This Row],[Client_Price]]-Food_Orders[[#This Row],[Cost]]</f>
        <v>10000</v>
      </c>
    </row>
    <row r="933" spans="1:9" x14ac:dyDescent="0.25">
      <c r="A933">
        <v>40</v>
      </c>
      <c r="B933" t="s">
        <v>82</v>
      </c>
      <c r="C933" t="s">
        <v>83</v>
      </c>
      <c r="D933" t="s">
        <v>84</v>
      </c>
      <c r="E933" t="s">
        <v>85</v>
      </c>
      <c r="F933" cm="1">
        <f t="array" ref="F933">_xlfn.XLOOKUP(Food_Orders[[#This Row],[Event_No]],Event_Master[[#All],[Event_No]],Event_Master[[#All],[Guest_Count]],,0)</f>
        <v>2000</v>
      </c>
      <c r="G933" cm="1">
        <f t="array" ref="G933">Food_Orders[[#This Row],[Quantity_Orderd]]*_xlfn.XLOOKUP(Food_Orders[[#This Row],[Food_ID]],Food_Catalog[[#All],[Food_ID]],Food_Catalog[[#All],[Price_Per_Unit]],0,0)</f>
        <v>40000</v>
      </c>
      <c r="H933" cm="1">
        <f t="array" ref="H933">Food_Orders[[#This Row],[Quantity_Orderd]]*_xlfn.XLOOKUP(Food_Orders[[#This Row],[Food_ID]],Food_Catalog[[#All],[Food_ID]],Food_Catalog[[#All],[Client_Price_Per_Unit]],0,0)</f>
        <v>48000</v>
      </c>
      <c r="I933">
        <f>Food_Orders[[#This Row],[Client_Price]]-Food_Orders[[#This Row],[Cost]]</f>
        <v>8000</v>
      </c>
    </row>
    <row r="934" spans="1:9" x14ac:dyDescent="0.25">
      <c r="A934">
        <v>40</v>
      </c>
      <c r="B934" t="s">
        <v>96</v>
      </c>
      <c r="C934" t="s">
        <v>83</v>
      </c>
      <c r="D934" t="s">
        <v>97</v>
      </c>
      <c r="E934" t="s">
        <v>79</v>
      </c>
      <c r="F934" cm="1">
        <f t="array" ref="F934">_xlfn.XLOOKUP(Food_Orders[[#This Row],[Event_No]],Event_Master[[#All],[Event_No]],Event_Master[[#All],[Guest_Count]],,0)</f>
        <v>2000</v>
      </c>
      <c r="G934" cm="1">
        <f t="array" ref="G934">Food_Orders[[#This Row],[Quantity_Orderd]]*_xlfn.XLOOKUP(Food_Orders[[#This Row],[Food_ID]],Food_Catalog[[#All],[Food_ID]],Food_Catalog[[#All],[Price_Per_Unit]],0,0)</f>
        <v>60000</v>
      </c>
      <c r="H934" cm="1">
        <f t="array" ref="H934">Food_Orders[[#This Row],[Quantity_Orderd]]*_xlfn.XLOOKUP(Food_Orders[[#This Row],[Food_ID]],Food_Catalog[[#All],[Food_ID]],Food_Catalog[[#All],[Client_Price_Per_Unit]],0,0)</f>
        <v>72000</v>
      </c>
      <c r="I934">
        <f>Food_Orders[[#This Row],[Client_Price]]-Food_Orders[[#This Row],[Cost]]</f>
        <v>12000</v>
      </c>
    </row>
    <row r="935" spans="1:9" x14ac:dyDescent="0.25">
      <c r="A935">
        <v>40</v>
      </c>
      <c r="B935" t="s">
        <v>92</v>
      </c>
      <c r="C935" t="s">
        <v>83</v>
      </c>
      <c r="D935" t="s">
        <v>93</v>
      </c>
      <c r="E935" t="s">
        <v>85</v>
      </c>
      <c r="F935" cm="1">
        <f t="array" ref="F935">_xlfn.XLOOKUP(Food_Orders[[#This Row],[Event_No]],Event_Master[[#All],[Event_No]],Event_Master[[#All],[Guest_Count]],,0)</f>
        <v>2000</v>
      </c>
      <c r="G935" cm="1">
        <f t="array" ref="G935">Food_Orders[[#This Row],[Quantity_Orderd]]*_xlfn.XLOOKUP(Food_Orders[[#This Row],[Food_ID]],Food_Catalog[[#All],[Food_ID]],Food_Catalog[[#All],[Price_Per_Unit]],0,0)</f>
        <v>30000</v>
      </c>
      <c r="H935" cm="1">
        <f t="array" ref="H935">Food_Orders[[#This Row],[Quantity_Orderd]]*_xlfn.XLOOKUP(Food_Orders[[#This Row],[Food_ID]],Food_Catalog[[#All],[Food_ID]],Food_Catalog[[#All],[Client_Price_Per_Unit]],0,0)</f>
        <v>36000</v>
      </c>
      <c r="I935">
        <f>Food_Orders[[#This Row],[Client_Price]]-Food_Orders[[#This Row],[Cost]]</f>
        <v>6000</v>
      </c>
    </row>
    <row r="936" spans="1:9" x14ac:dyDescent="0.25">
      <c r="A936">
        <v>40</v>
      </c>
      <c r="B936" t="s">
        <v>98</v>
      </c>
      <c r="C936" t="s">
        <v>83</v>
      </c>
      <c r="D936" t="s">
        <v>99</v>
      </c>
      <c r="E936" t="s">
        <v>85</v>
      </c>
      <c r="F936" cm="1">
        <f t="array" ref="F936">_xlfn.XLOOKUP(Food_Orders[[#This Row],[Event_No]],Event_Master[[#All],[Event_No]],Event_Master[[#All],[Guest_Count]],,0)</f>
        <v>2000</v>
      </c>
      <c r="G936" cm="1">
        <f t="array" ref="G936">Food_Orders[[#This Row],[Quantity_Orderd]]*_xlfn.XLOOKUP(Food_Orders[[#This Row],[Food_ID]],Food_Catalog[[#All],[Food_ID]],Food_Catalog[[#All],[Price_Per_Unit]],0,0)</f>
        <v>30000</v>
      </c>
      <c r="H936" cm="1">
        <f t="array" ref="H936">Food_Orders[[#This Row],[Quantity_Orderd]]*_xlfn.XLOOKUP(Food_Orders[[#This Row],[Food_ID]],Food_Catalog[[#All],[Food_ID]],Food_Catalog[[#All],[Client_Price_Per_Unit]],0,0)</f>
        <v>36000</v>
      </c>
      <c r="I936">
        <f>Food_Orders[[#This Row],[Client_Price]]-Food_Orders[[#This Row],[Cost]]</f>
        <v>6000</v>
      </c>
    </row>
    <row r="937" spans="1:9" x14ac:dyDescent="0.25">
      <c r="A937">
        <v>41</v>
      </c>
      <c r="B937" t="s">
        <v>118</v>
      </c>
      <c r="C937" t="s">
        <v>119</v>
      </c>
      <c r="D937" t="s">
        <v>120</v>
      </c>
      <c r="E937" t="s">
        <v>112</v>
      </c>
      <c r="F937" cm="1">
        <f t="array" ref="F937">_xlfn.XLOOKUP(Food_Orders[[#This Row],[Event_No]],Event_Master[[#All],[Event_No]],Event_Master[[#All],[Guest_Count]],,0)</f>
        <v>750</v>
      </c>
      <c r="G937" cm="1">
        <f t="array" ref="G937">Food_Orders[[#This Row],[Quantity_Orderd]]*_xlfn.XLOOKUP(Food_Orders[[#This Row],[Food_ID]],Food_Catalog[[#All],[Food_ID]],Food_Catalog[[#All],[Price_Per_Unit]],0,0)</f>
        <v>7500</v>
      </c>
      <c r="H937" cm="1">
        <f t="array" ref="H937">Food_Orders[[#This Row],[Quantity_Orderd]]*_xlfn.XLOOKUP(Food_Orders[[#This Row],[Food_ID]],Food_Catalog[[#All],[Food_ID]],Food_Catalog[[#All],[Client_Price_Per_Unit]],0,0)</f>
        <v>9000</v>
      </c>
      <c r="I937">
        <f>Food_Orders[[#This Row],[Client_Price]]-Food_Orders[[#This Row],[Cost]]</f>
        <v>1500</v>
      </c>
    </row>
    <row r="938" spans="1:9" x14ac:dyDescent="0.25">
      <c r="A938">
        <v>41</v>
      </c>
      <c r="B938" t="s">
        <v>129</v>
      </c>
      <c r="C938" t="s">
        <v>119</v>
      </c>
      <c r="D938" t="s">
        <v>130</v>
      </c>
      <c r="E938" t="s">
        <v>112</v>
      </c>
      <c r="F938" cm="1">
        <f t="array" ref="F938">_xlfn.XLOOKUP(Food_Orders[[#This Row],[Event_No]],Event_Master[[#All],[Event_No]],Event_Master[[#All],[Guest_Count]],,0)</f>
        <v>750</v>
      </c>
      <c r="G938" cm="1">
        <f t="array" ref="G938">Food_Orders[[#This Row],[Quantity_Orderd]]*_xlfn.XLOOKUP(Food_Orders[[#This Row],[Food_ID]],Food_Catalog[[#All],[Food_ID]],Food_Catalog[[#All],[Price_Per_Unit]],0,0)</f>
        <v>7500</v>
      </c>
      <c r="H938" cm="1">
        <f t="array" ref="H938">Food_Orders[[#This Row],[Quantity_Orderd]]*_xlfn.XLOOKUP(Food_Orders[[#This Row],[Food_ID]],Food_Catalog[[#All],[Food_ID]],Food_Catalog[[#All],[Client_Price_Per_Unit]],0,0)</f>
        <v>9000</v>
      </c>
      <c r="I938">
        <f>Food_Orders[[#This Row],[Client_Price]]-Food_Orders[[#This Row],[Cost]]</f>
        <v>1500</v>
      </c>
    </row>
    <row r="939" spans="1:9" x14ac:dyDescent="0.25">
      <c r="A939">
        <v>41</v>
      </c>
      <c r="B939" t="s">
        <v>104</v>
      </c>
      <c r="C939" t="s">
        <v>105</v>
      </c>
      <c r="D939" t="s">
        <v>106</v>
      </c>
      <c r="E939" t="s">
        <v>107</v>
      </c>
      <c r="F939" cm="1">
        <f t="array" ref="F939">_xlfn.XLOOKUP(Food_Orders[[#This Row],[Event_No]],Event_Master[[#All],[Event_No]],Event_Master[[#All],[Guest_Count]],,0)</f>
        <v>750</v>
      </c>
      <c r="G939" cm="1">
        <f t="array" ref="G939">Food_Orders[[#This Row],[Quantity_Orderd]]*_xlfn.XLOOKUP(Food_Orders[[#This Row],[Food_ID]],Food_Catalog[[#All],[Food_ID]],Food_Catalog[[#All],[Price_Per_Unit]],0,0)</f>
        <v>7500</v>
      </c>
      <c r="H939" cm="1">
        <f t="array" ref="H939">Food_Orders[[#This Row],[Quantity_Orderd]]*_xlfn.XLOOKUP(Food_Orders[[#This Row],[Food_ID]],Food_Catalog[[#All],[Food_ID]],Food_Catalog[[#All],[Client_Price_Per_Unit]],0,0)</f>
        <v>9000</v>
      </c>
      <c r="I939">
        <f>Food_Orders[[#This Row],[Client_Price]]-Food_Orders[[#This Row],[Cost]]</f>
        <v>1500</v>
      </c>
    </row>
    <row r="940" spans="1:9" x14ac:dyDescent="0.25">
      <c r="A940">
        <v>41</v>
      </c>
      <c r="B940" t="s">
        <v>108</v>
      </c>
      <c r="C940" t="s">
        <v>105</v>
      </c>
      <c r="D940" t="s">
        <v>109</v>
      </c>
      <c r="E940" t="s">
        <v>107</v>
      </c>
      <c r="F940" cm="1">
        <f t="array" ref="F940">_xlfn.XLOOKUP(Food_Orders[[#This Row],[Event_No]],Event_Master[[#All],[Event_No]],Event_Master[[#All],[Guest_Count]],,0)</f>
        <v>750</v>
      </c>
      <c r="G940" cm="1">
        <f t="array" ref="G940">Food_Orders[[#This Row],[Quantity_Orderd]]*_xlfn.XLOOKUP(Food_Orders[[#This Row],[Food_ID]],Food_Catalog[[#All],[Food_ID]],Food_Catalog[[#All],[Price_Per_Unit]],0,0)</f>
        <v>11250</v>
      </c>
      <c r="H940" cm="1">
        <f t="array" ref="H940">Food_Orders[[#This Row],[Quantity_Orderd]]*_xlfn.XLOOKUP(Food_Orders[[#This Row],[Food_ID]],Food_Catalog[[#All],[Food_ID]],Food_Catalog[[#All],[Client_Price_Per_Unit]],0,0)</f>
        <v>13500</v>
      </c>
      <c r="I940">
        <f>Food_Orders[[#This Row],[Client_Price]]-Food_Orders[[#This Row],[Cost]]</f>
        <v>2250</v>
      </c>
    </row>
    <row r="941" spans="1:9" x14ac:dyDescent="0.25">
      <c r="A941">
        <v>41</v>
      </c>
      <c r="B941" t="s">
        <v>127</v>
      </c>
      <c r="C941" t="s">
        <v>119</v>
      </c>
      <c r="D941" t="s">
        <v>128</v>
      </c>
      <c r="E941" t="s">
        <v>107</v>
      </c>
      <c r="F941" cm="1">
        <f t="array" ref="F941">_xlfn.XLOOKUP(Food_Orders[[#This Row],[Event_No]],Event_Master[[#All],[Event_No]],Event_Master[[#All],[Guest_Count]],,0)</f>
        <v>750</v>
      </c>
      <c r="G941" cm="1">
        <f t="array" ref="G941">Food_Orders[[#This Row],[Quantity_Orderd]]*_xlfn.XLOOKUP(Food_Orders[[#This Row],[Food_ID]],Food_Catalog[[#All],[Food_ID]],Food_Catalog[[#All],[Price_Per_Unit]],0,0)</f>
        <v>15000</v>
      </c>
      <c r="H941" cm="1">
        <f t="array" ref="H941">Food_Orders[[#This Row],[Quantity_Orderd]]*_xlfn.XLOOKUP(Food_Orders[[#This Row],[Food_ID]],Food_Catalog[[#All],[Food_ID]],Food_Catalog[[#All],[Client_Price_Per_Unit]],0,0)</f>
        <v>18000</v>
      </c>
      <c r="I941">
        <f>Food_Orders[[#This Row],[Client_Price]]-Food_Orders[[#This Row],[Cost]]</f>
        <v>3000</v>
      </c>
    </row>
    <row r="942" spans="1:9" x14ac:dyDescent="0.25">
      <c r="A942">
        <v>41</v>
      </c>
      <c r="B942" t="s">
        <v>124</v>
      </c>
      <c r="C942" t="s">
        <v>119</v>
      </c>
      <c r="D942" t="s">
        <v>125</v>
      </c>
      <c r="E942" t="s">
        <v>126</v>
      </c>
      <c r="F942" cm="1">
        <f t="array" ref="F942">_xlfn.XLOOKUP(Food_Orders[[#This Row],[Event_No]],Event_Master[[#All],[Event_No]],Event_Master[[#All],[Guest_Count]],,0)</f>
        <v>750</v>
      </c>
      <c r="G942" cm="1">
        <f t="array" ref="G942">Food_Orders[[#This Row],[Quantity_Orderd]]*_xlfn.XLOOKUP(Food_Orders[[#This Row],[Food_ID]],Food_Catalog[[#All],[Food_ID]],Food_Catalog[[#All],[Price_Per_Unit]],0,0)</f>
        <v>15000</v>
      </c>
      <c r="H942" cm="1">
        <f t="array" ref="H942">Food_Orders[[#This Row],[Quantity_Orderd]]*_xlfn.XLOOKUP(Food_Orders[[#This Row],[Food_ID]],Food_Catalog[[#All],[Food_ID]],Food_Catalog[[#All],[Client_Price_Per_Unit]],0,0)</f>
        <v>18000</v>
      </c>
      <c r="I942">
        <f>Food_Orders[[#This Row],[Client_Price]]-Food_Orders[[#This Row],[Cost]]</f>
        <v>3000</v>
      </c>
    </row>
    <row r="943" spans="1:9" x14ac:dyDescent="0.25">
      <c r="A943">
        <v>41</v>
      </c>
      <c r="B943" t="s">
        <v>121</v>
      </c>
      <c r="C943" t="s">
        <v>119</v>
      </c>
      <c r="D943" t="s">
        <v>122</v>
      </c>
      <c r="E943" t="s">
        <v>123</v>
      </c>
      <c r="F943" cm="1">
        <f t="array" ref="F943">_xlfn.XLOOKUP(Food_Orders[[#This Row],[Event_No]],Event_Master[[#All],[Event_No]],Event_Master[[#All],[Guest_Count]],,0)</f>
        <v>750</v>
      </c>
      <c r="G943" cm="1">
        <f t="array" ref="G943">Food_Orders[[#This Row],[Quantity_Orderd]]*_xlfn.XLOOKUP(Food_Orders[[#This Row],[Food_ID]],Food_Catalog[[#All],[Food_ID]],Food_Catalog[[#All],[Price_Per_Unit]],0,0)</f>
        <v>7500</v>
      </c>
      <c r="H943" cm="1">
        <f t="array" ref="H943">Food_Orders[[#This Row],[Quantity_Orderd]]*_xlfn.XLOOKUP(Food_Orders[[#This Row],[Food_ID]],Food_Catalog[[#All],[Food_ID]],Food_Catalog[[#All],[Client_Price_Per_Unit]],0,0)</f>
        <v>9000</v>
      </c>
      <c r="I943">
        <f>Food_Orders[[#This Row],[Client_Price]]-Food_Orders[[#This Row],[Cost]]</f>
        <v>1500</v>
      </c>
    </row>
    <row r="944" spans="1:9" x14ac:dyDescent="0.25">
      <c r="A944">
        <v>41</v>
      </c>
      <c r="B944" t="s">
        <v>63</v>
      </c>
      <c r="C944" t="s">
        <v>61</v>
      </c>
      <c r="D944" t="s">
        <v>64</v>
      </c>
      <c r="E944" t="s">
        <v>10</v>
      </c>
      <c r="F944" cm="1">
        <f t="array" ref="F944">_xlfn.XLOOKUP(Food_Orders[[#This Row],[Event_No]],Event_Master[[#All],[Event_No]],Event_Master[[#All],[Guest_Count]],,0)</f>
        <v>750</v>
      </c>
      <c r="G944" cm="1">
        <f t="array" ref="G944">Food_Orders[[#This Row],[Quantity_Orderd]]*_xlfn.XLOOKUP(Food_Orders[[#This Row],[Food_ID]],Food_Catalog[[#All],[Food_ID]],Food_Catalog[[#All],[Price_Per_Unit]],0,0)</f>
        <v>22500</v>
      </c>
      <c r="H944" cm="1">
        <f t="array" ref="H944">Food_Orders[[#This Row],[Quantity_Orderd]]*_xlfn.XLOOKUP(Food_Orders[[#This Row],[Food_ID]],Food_Catalog[[#All],[Food_ID]],Food_Catalog[[#All],[Client_Price_Per_Unit]],0,0)</f>
        <v>27000</v>
      </c>
      <c r="I944">
        <f>Food_Orders[[#This Row],[Client_Price]]-Food_Orders[[#This Row],[Cost]]</f>
        <v>4500</v>
      </c>
    </row>
    <row r="945" spans="1:9" x14ac:dyDescent="0.25">
      <c r="A945">
        <v>41</v>
      </c>
      <c r="B945" t="s">
        <v>71</v>
      </c>
      <c r="C945" t="s">
        <v>61</v>
      </c>
      <c r="D945" t="s">
        <v>72</v>
      </c>
      <c r="E945" t="s">
        <v>10</v>
      </c>
      <c r="F945" cm="1">
        <f t="array" ref="F945">_xlfn.XLOOKUP(Food_Orders[[#This Row],[Event_No]],Event_Master[[#All],[Event_No]],Event_Master[[#All],[Guest_Count]],,0)</f>
        <v>750</v>
      </c>
      <c r="G945" cm="1">
        <f t="array" ref="G945">Food_Orders[[#This Row],[Quantity_Orderd]]*_xlfn.XLOOKUP(Food_Orders[[#This Row],[Food_ID]],Food_Catalog[[#All],[Food_ID]],Food_Catalog[[#All],[Price_Per_Unit]],0,0)</f>
        <v>18750</v>
      </c>
      <c r="H945" cm="1">
        <f t="array" ref="H945">Food_Orders[[#This Row],[Quantity_Orderd]]*_xlfn.XLOOKUP(Food_Orders[[#This Row],[Food_ID]],Food_Catalog[[#All],[Food_ID]],Food_Catalog[[#All],[Client_Price_Per_Unit]],0,0)</f>
        <v>22500</v>
      </c>
      <c r="I945">
        <f>Food_Orders[[#This Row],[Client_Price]]-Food_Orders[[#This Row],[Cost]]</f>
        <v>3750</v>
      </c>
    </row>
    <row r="946" spans="1:9" x14ac:dyDescent="0.25">
      <c r="A946">
        <v>41</v>
      </c>
      <c r="B946" t="s">
        <v>29</v>
      </c>
      <c r="C946" t="s">
        <v>8</v>
      </c>
      <c r="D946" t="s">
        <v>30</v>
      </c>
      <c r="E946" t="s">
        <v>10</v>
      </c>
      <c r="F946" cm="1">
        <f t="array" ref="F946">_xlfn.XLOOKUP(Food_Orders[[#This Row],[Event_No]],Event_Master[[#All],[Event_No]],Event_Master[[#All],[Guest_Count]],,0)</f>
        <v>750</v>
      </c>
      <c r="G946" cm="1">
        <f t="array" ref="G946">Food_Orders[[#This Row],[Quantity_Orderd]]*_xlfn.XLOOKUP(Food_Orders[[#This Row],[Food_ID]],Food_Catalog[[#All],[Food_ID]],Food_Catalog[[#All],[Price_Per_Unit]],0,0)</f>
        <v>22500</v>
      </c>
      <c r="H946" cm="1">
        <f t="array" ref="H946">Food_Orders[[#This Row],[Quantity_Orderd]]*_xlfn.XLOOKUP(Food_Orders[[#This Row],[Food_ID]],Food_Catalog[[#All],[Food_ID]],Food_Catalog[[#All],[Client_Price_Per_Unit]],0,0)</f>
        <v>27000</v>
      </c>
      <c r="I946">
        <f>Food_Orders[[#This Row],[Client_Price]]-Food_Orders[[#This Row],[Cost]]</f>
        <v>4500</v>
      </c>
    </row>
    <row r="947" spans="1:9" x14ac:dyDescent="0.25">
      <c r="A947">
        <v>41</v>
      </c>
      <c r="B947" t="s">
        <v>37</v>
      </c>
      <c r="C947" t="s">
        <v>8</v>
      </c>
      <c r="D947" t="s">
        <v>38</v>
      </c>
      <c r="E947" t="s">
        <v>10</v>
      </c>
      <c r="F947" cm="1">
        <f t="array" ref="F947">_xlfn.XLOOKUP(Food_Orders[[#This Row],[Event_No]],Event_Master[[#All],[Event_No]],Event_Master[[#All],[Guest_Count]],,0)</f>
        <v>750</v>
      </c>
      <c r="G947" cm="1">
        <f t="array" ref="G947">Food_Orders[[#This Row],[Quantity_Orderd]]*_xlfn.XLOOKUP(Food_Orders[[#This Row],[Food_ID]],Food_Catalog[[#All],[Food_ID]],Food_Catalog[[#All],[Price_Per_Unit]],0,0)</f>
        <v>18750</v>
      </c>
      <c r="H947" cm="1">
        <f t="array" ref="H947">Food_Orders[[#This Row],[Quantity_Orderd]]*_xlfn.XLOOKUP(Food_Orders[[#This Row],[Food_ID]],Food_Catalog[[#All],[Food_ID]],Food_Catalog[[#All],[Client_Price_Per_Unit]],0,0)</f>
        <v>22500</v>
      </c>
      <c r="I947">
        <f>Food_Orders[[#This Row],[Client_Price]]-Food_Orders[[#This Row],[Cost]]</f>
        <v>3750</v>
      </c>
    </row>
    <row r="948" spans="1:9" x14ac:dyDescent="0.25">
      <c r="A948">
        <v>41</v>
      </c>
      <c r="B948" t="s">
        <v>69</v>
      </c>
      <c r="C948" t="s">
        <v>61</v>
      </c>
      <c r="D948" t="s">
        <v>70</v>
      </c>
      <c r="E948" t="s">
        <v>10</v>
      </c>
      <c r="F948" cm="1">
        <f t="array" ref="F948">_xlfn.XLOOKUP(Food_Orders[[#This Row],[Event_No]],Event_Master[[#All],[Event_No]],Event_Master[[#All],[Guest_Count]],,0)</f>
        <v>750</v>
      </c>
      <c r="G948" cm="1">
        <f t="array" ref="G948">Food_Orders[[#This Row],[Quantity_Orderd]]*_xlfn.XLOOKUP(Food_Orders[[#This Row],[Food_ID]],Food_Catalog[[#All],[Food_ID]],Food_Catalog[[#All],[Price_Per_Unit]],0,0)</f>
        <v>37500</v>
      </c>
      <c r="H948" cm="1">
        <f t="array" ref="H948">Food_Orders[[#This Row],[Quantity_Orderd]]*_xlfn.XLOOKUP(Food_Orders[[#This Row],[Food_ID]],Food_Catalog[[#All],[Food_ID]],Food_Catalog[[#All],[Client_Price_Per_Unit]],0,0)</f>
        <v>45000</v>
      </c>
      <c r="I948">
        <f>Food_Orders[[#This Row],[Client_Price]]-Food_Orders[[#This Row],[Cost]]</f>
        <v>7500</v>
      </c>
    </row>
    <row r="949" spans="1:9" x14ac:dyDescent="0.25">
      <c r="A949">
        <v>41</v>
      </c>
      <c r="B949" t="s">
        <v>27</v>
      </c>
      <c r="C949" t="s">
        <v>8</v>
      </c>
      <c r="D949" t="s">
        <v>28</v>
      </c>
      <c r="E949" t="s">
        <v>10</v>
      </c>
      <c r="F949" cm="1">
        <f t="array" ref="F949">_xlfn.XLOOKUP(Food_Orders[[#This Row],[Event_No]],Event_Master[[#All],[Event_No]],Event_Master[[#All],[Guest_Count]],,0)</f>
        <v>750</v>
      </c>
      <c r="G949" cm="1">
        <f t="array" ref="G949">Food_Orders[[#This Row],[Quantity_Orderd]]*_xlfn.XLOOKUP(Food_Orders[[#This Row],[Food_ID]],Food_Catalog[[#All],[Food_ID]],Food_Catalog[[#All],[Price_Per_Unit]],0,0)</f>
        <v>30000</v>
      </c>
      <c r="H949" cm="1">
        <f t="array" ref="H949">Food_Orders[[#This Row],[Quantity_Orderd]]*_xlfn.XLOOKUP(Food_Orders[[#This Row],[Food_ID]],Food_Catalog[[#All],[Food_ID]],Food_Catalog[[#All],[Client_Price_Per_Unit]],0,0)</f>
        <v>36000</v>
      </c>
      <c r="I949">
        <f>Food_Orders[[#This Row],[Client_Price]]-Food_Orders[[#This Row],[Cost]]</f>
        <v>6000</v>
      </c>
    </row>
    <row r="950" spans="1:9" x14ac:dyDescent="0.25">
      <c r="A950">
        <v>41</v>
      </c>
      <c r="B950" t="s">
        <v>82</v>
      </c>
      <c r="C950" t="s">
        <v>83</v>
      </c>
      <c r="D950" t="s">
        <v>84</v>
      </c>
      <c r="E950" t="s">
        <v>85</v>
      </c>
      <c r="F950" cm="1">
        <f t="array" ref="F950">_xlfn.XLOOKUP(Food_Orders[[#This Row],[Event_No]],Event_Master[[#All],[Event_No]],Event_Master[[#All],[Guest_Count]],,0)</f>
        <v>750</v>
      </c>
      <c r="G950" cm="1">
        <f t="array" ref="G950">Food_Orders[[#This Row],[Quantity_Orderd]]*_xlfn.XLOOKUP(Food_Orders[[#This Row],[Food_ID]],Food_Catalog[[#All],[Food_ID]],Food_Catalog[[#All],[Price_Per_Unit]],0,0)</f>
        <v>15000</v>
      </c>
      <c r="H950" cm="1">
        <f t="array" ref="H950">Food_Orders[[#This Row],[Quantity_Orderd]]*_xlfn.XLOOKUP(Food_Orders[[#This Row],[Food_ID]],Food_Catalog[[#All],[Food_ID]],Food_Catalog[[#All],[Client_Price_Per_Unit]],0,0)</f>
        <v>18000</v>
      </c>
      <c r="I950">
        <f>Food_Orders[[#This Row],[Client_Price]]-Food_Orders[[#This Row],[Cost]]</f>
        <v>3000</v>
      </c>
    </row>
    <row r="951" spans="1:9" x14ac:dyDescent="0.25">
      <c r="A951">
        <v>41</v>
      </c>
      <c r="B951" t="s">
        <v>86</v>
      </c>
      <c r="C951" t="s">
        <v>83</v>
      </c>
      <c r="D951" t="s">
        <v>87</v>
      </c>
      <c r="E951" t="s">
        <v>85</v>
      </c>
      <c r="F951" cm="1">
        <f t="array" ref="F951">_xlfn.XLOOKUP(Food_Orders[[#This Row],[Event_No]],Event_Master[[#All],[Event_No]],Event_Master[[#All],[Guest_Count]],,0)</f>
        <v>750</v>
      </c>
      <c r="G951" cm="1">
        <f t="array" ref="G951">Food_Orders[[#This Row],[Quantity_Orderd]]*_xlfn.XLOOKUP(Food_Orders[[#This Row],[Food_ID]],Food_Catalog[[#All],[Food_ID]],Food_Catalog[[#All],[Price_Per_Unit]],0,0)</f>
        <v>15000</v>
      </c>
      <c r="H951" cm="1">
        <f t="array" ref="H951">Food_Orders[[#This Row],[Quantity_Orderd]]*_xlfn.XLOOKUP(Food_Orders[[#This Row],[Food_ID]],Food_Catalog[[#All],[Food_ID]],Food_Catalog[[#All],[Client_Price_Per_Unit]],0,0)</f>
        <v>18000</v>
      </c>
      <c r="I951">
        <f>Food_Orders[[#This Row],[Client_Price]]-Food_Orders[[#This Row],[Cost]]</f>
        <v>3000</v>
      </c>
    </row>
    <row r="952" spans="1:9" x14ac:dyDescent="0.25">
      <c r="A952">
        <v>41</v>
      </c>
      <c r="B952" t="s">
        <v>96</v>
      </c>
      <c r="C952" t="s">
        <v>83</v>
      </c>
      <c r="D952" t="s">
        <v>97</v>
      </c>
      <c r="E952" t="s">
        <v>79</v>
      </c>
      <c r="F952" cm="1">
        <f t="array" ref="F952">_xlfn.XLOOKUP(Food_Orders[[#This Row],[Event_No]],Event_Master[[#All],[Event_No]],Event_Master[[#All],[Guest_Count]],,0)</f>
        <v>750</v>
      </c>
      <c r="G952" cm="1">
        <f t="array" ref="G952">Food_Orders[[#This Row],[Quantity_Orderd]]*_xlfn.XLOOKUP(Food_Orders[[#This Row],[Food_ID]],Food_Catalog[[#All],[Food_ID]],Food_Catalog[[#All],[Price_Per_Unit]],0,0)</f>
        <v>22500</v>
      </c>
      <c r="H952" cm="1">
        <f t="array" ref="H952">Food_Orders[[#This Row],[Quantity_Orderd]]*_xlfn.XLOOKUP(Food_Orders[[#This Row],[Food_ID]],Food_Catalog[[#All],[Food_ID]],Food_Catalog[[#All],[Client_Price_Per_Unit]],0,0)</f>
        <v>27000</v>
      </c>
      <c r="I952">
        <f>Food_Orders[[#This Row],[Client_Price]]-Food_Orders[[#This Row],[Cost]]</f>
        <v>4500</v>
      </c>
    </row>
    <row r="953" spans="1:9" x14ac:dyDescent="0.25">
      <c r="A953">
        <v>41</v>
      </c>
      <c r="B953" t="s">
        <v>92</v>
      </c>
      <c r="C953" t="s">
        <v>83</v>
      </c>
      <c r="D953" t="s">
        <v>93</v>
      </c>
      <c r="E953" t="s">
        <v>85</v>
      </c>
      <c r="F953" cm="1">
        <f t="array" ref="F953">_xlfn.XLOOKUP(Food_Orders[[#This Row],[Event_No]],Event_Master[[#All],[Event_No]],Event_Master[[#All],[Guest_Count]],,0)</f>
        <v>750</v>
      </c>
      <c r="G953" cm="1">
        <f t="array" ref="G953">Food_Orders[[#This Row],[Quantity_Orderd]]*_xlfn.XLOOKUP(Food_Orders[[#This Row],[Food_ID]],Food_Catalog[[#All],[Food_ID]],Food_Catalog[[#All],[Price_Per_Unit]],0,0)</f>
        <v>11250</v>
      </c>
      <c r="H953" cm="1">
        <f t="array" ref="H953">Food_Orders[[#This Row],[Quantity_Orderd]]*_xlfn.XLOOKUP(Food_Orders[[#This Row],[Food_ID]],Food_Catalog[[#All],[Food_ID]],Food_Catalog[[#All],[Client_Price_Per_Unit]],0,0)</f>
        <v>13500</v>
      </c>
      <c r="I953">
        <f>Food_Orders[[#This Row],[Client_Price]]-Food_Orders[[#This Row],[Cost]]</f>
        <v>2250</v>
      </c>
    </row>
    <row r="954" spans="1:9" x14ac:dyDescent="0.25">
      <c r="A954">
        <v>41</v>
      </c>
      <c r="B954" t="s">
        <v>98</v>
      </c>
      <c r="C954" t="s">
        <v>83</v>
      </c>
      <c r="D954" t="s">
        <v>99</v>
      </c>
      <c r="E954" t="s">
        <v>85</v>
      </c>
      <c r="F954" cm="1">
        <f t="array" ref="F954">_xlfn.XLOOKUP(Food_Orders[[#This Row],[Event_No]],Event_Master[[#All],[Event_No]],Event_Master[[#All],[Guest_Count]],,0)</f>
        <v>750</v>
      </c>
      <c r="G954" cm="1">
        <f t="array" ref="G954">Food_Orders[[#This Row],[Quantity_Orderd]]*_xlfn.XLOOKUP(Food_Orders[[#This Row],[Food_ID]],Food_Catalog[[#All],[Food_ID]],Food_Catalog[[#All],[Price_Per_Unit]],0,0)</f>
        <v>11250</v>
      </c>
      <c r="H954" cm="1">
        <f t="array" ref="H954">Food_Orders[[#This Row],[Quantity_Orderd]]*_xlfn.XLOOKUP(Food_Orders[[#This Row],[Food_ID]],Food_Catalog[[#All],[Food_ID]],Food_Catalog[[#All],[Client_Price_Per_Unit]],0,0)</f>
        <v>13500</v>
      </c>
      <c r="I954">
        <f>Food_Orders[[#This Row],[Client_Price]]-Food_Orders[[#This Row],[Cost]]</f>
        <v>2250</v>
      </c>
    </row>
    <row r="955" spans="1:9" x14ac:dyDescent="0.25">
      <c r="A955">
        <v>42</v>
      </c>
      <c r="B955" t="s">
        <v>118</v>
      </c>
      <c r="C955" t="s">
        <v>119</v>
      </c>
      <c r="D955" t="s">
        <v>120</v>
      </c>
      <c r="E955" t="s">
        <v>112</v>
      </c>
      <c r="F955" cm="1">
        <f t="array" ref="F955">_xlfn.XLOOKUP(Food_Orders[[#This Row],[Event_No]],Event_Master[[#All],[Event_No]],Event_Master[[#All],[Guest_Count]],,0)</f>
        <v>400</v>
      </c>
      <c r="G955" cm="1">
        <f t="array" ref="G955">Food_Orders[[#This Row],[Quantity_Orderd]]*_xlfn.XLOOKUP(Food_Orders[[#This Row],[Food_ID]],Food_Catalog[[#All],[Food_ID]],Food_Catalog[[#All],[Price_Per_Unit]],0,0)</f>
        <v>4000</v>
      </c>
      <c r="H955" cm="1">
        <f t="array" ref="H955">Food_Orders[[#This Row],[Quantity_Orderd]]*_xlfn.XLOOKUP(Food_Orders[[#This Row],[Food_ID]],Food_Catalog[[#All],[Food_ID]],Food_Catalog[[#All],[Client_Price_Per_Unit]],0,0)</f>
        <v>4800</v>
      </c>
      <c r="I955">
        <f>Food_Orders[[#This Row],[Client_Price]]-Food_Orders[[#This Row],[Cost]]</f>
        <v>800</v>
      </c>
    </row>
    <row r="956" spans="1:9" x14ac:dyDescent="0.25">
      <c r="A956">
        <v>42</v>
      </c>
      <c r="B956" t="s">
        <v>129</v>
      </c>
      <c r="C956" t="s">
        <v>119</v>
      </c>
      <c r="D956" t="s">
        <v>130</v>
      </c>
      <c r="E956" t="s">
        <v>112</v>
      </c>
      <c r="F956" cm="1">
        <f t="array" ref="F956">_xlfn.XLOOKUP(Food_Orders[[#This Row],[Event_No]],Event_Master[[#All],[Event_No]],Event_Master[[#All],[Guest_Count]],,0)</f>
        <v>400</v>
      </c>
      <c r="G956" cm="1">
        <f t="array" ref="G956">Food_Orders[[#This Row],[Quantity_Orderd]]*_xlfn.XLOOKUP(Food_Orders[[#This Row],[Food_ID]],Food_Catalog[[#All],[Food_ID]],Food_Catalog[[#All],[Price_Per_Unit]],0,0)</f>
        <v>4000</v>
      </c>
      <c r="H956" cm="1">
        <f t="array" ref="H956">Food_Orders[[#This Row],[Quantity_Orderd]]*_xlfn.XLOOKUP(Food_Orders[[#This Row],[Food_ID]],Food_Catalog[[#All],[Food_ID]],Food_Catalog[[#All],[Client_Price_Per_Unit]],0,0)</f>
        <v>4800</v>
      </c>
      <c r="I956">
        <f>Food_Orders[[#This Row],[Client_Price]]-Food_Orders[[#This Row],[Cost]]</f>
        <v>800</v>
      </c>
    </row>
    <row r="957" spans="1:9" x14ac:dyDescent="0.25">
      <c r="A957">
        <v>42</v>
      </c>
      <c r="B957" t="s">
        <v>104</v>
      </c>
      <c r="C957" t="s">
        <v>105</v>
      </c>
      <c r="D957" t="s">
        <v>106</v>
      </c>
      <c r="E957" t="s">
        <v>107</v>
      </c>
      <c r="F957" cm="1">
        <f t="array" ref="F957">_xlfn.XLOOKUP(Food_Orders[[#This Row],[Event_No]],Event_Master[[#All],[Event_No]],Event_Master[[#All],[Guest_Count]],,0)</f>
        <v>400</v>
      </c>
      <c r="G957" cm="1">
        <f t="array" ref="G957">Food_Orders[[#This Row],[Quantity_Orderd]]*_xlfn.XLOOKUP(Food_Orders[[#This Row],[Food_ID]],Food_Catalog[[#All],[Food_ID]],Food_Catalog[[#All],[Price_Per_Unit]],0,0)</f>
        <v>4000</v>
      </c>
      <c r="H957" cm="1">
        <f t="array" ref="H957">Food_Orders[[#This Row],[Quantity_Orderd]]*_xlfn.XLOOKUP(Food_Orders[[#This Row],[Food_ID]],Food_Catalog[[#All],[Food_ID]],Food_Catalog[[#All],[Client_Price_Per_Unit]],0,0)</f>
        <v>4800</v>
      </c>
      <c r="I957">
        <f>Food_Orders[[#This Row],[Client_Price]]-Food_Orders[[#This Row],[Cost]]</f>
        <v>800</v>
      </c>
    </row>
    <row r="958" spans="1:9" x14ac:dyDescent="0.25">
      <c r="A958">
        <v>42</v>
      </c>
      <c r="B958" t="s">
        <v>108</v>
      </c>
      <c r="C958" t="s">
        <v>105</v>
      </c>
      <c r="D958" t="s">
        <v>109</v>
      </c>
      <c r="E958" t="s">
        <v>107</v>
      </c>
      <c r="F958" cm="1">
        <f t="array" ref="F958">_xlfn.XLOOKUP(Food_Orders[[#This Row],[Event_No]],Event_Master[[#All],[Event_No]],Event_Master[[#All],[Guest_Count]],,0)</f>
        <v>400</v>
      </c>
      <c r="G958" cm="1">
        <f t="array" ref="G958">Food_Orders[[#This Row],[Quantity_Orderd]]*_xlfn.XLOOKUP(Food_Orders[[#This Row],[Food_ID]],Food_Catalog[[#All],[Food_ID]],Food_Catalog[[#All],[Price_Per_Unit]],0,0)</f>
        <v>6000</v>
      </c>
      <c r="H958" cm="1">
        <f t="array" ref="H958">Food_Orders[[#This Row],[Quantity_Orderd]]*_xlfn.XLOOKUP(Food_Orders[[#This Row],[Food_ID]],Food_Catalog[[#All],[Food_ID]],Food_Catalog[[#All],[Client_Price_Per_Unit]],0,0)</f>
        <v>7200</v>
      </c>
      <c r="I958">
        <f>Food_Orders[[#This Row],[Client_Price]]-Food_Orders[[#This Row],[Cost]]</f>
        <v>1200</v>
      </c>
    </row>
    <row r="959" spans="1:9" x14ac:dyDescent="0.25">
      <c r="A959">
        <v>42</v>
      </c>
      <c r="B959" t="s">
        <v>124</v>
      </c>
      <c r="C959" t="s">
        <v>119</v>
      </c>
      <c r="D959" t="s">
        <v>125</v>
      </c>
      <c r="E959" t="s">
        <v>126</v>
      </c>
      <c r="F959" cm="1">
        <f t="array" ref="F959">_xlfn.XLOOKUP(Food_Orders[[#This Row],[Event_No]],Event_Master[[#All],[Event_No]],Event_Master[[#All],[Guest_Count]],,0)</f>
        <v>400</v>
      </c>
      <c r="G959" cm="1">
        <f t="array" ref="G959">Food_Orders[[#This Row],[Quantity_Orderd]]*_xlfn.XLOOKUP(Food_Orders[[#This Row],[Food_ID]],Food_Catalog[[#All],[Food_ID]],Food_Catalog[[#All],[Price_Per_Unit]],0,0)</f>
        <v>8000</v>
      </c>
      <c r="H959" cm="1">
        <f t="array" ref="H959">Food_Orders[[#This Row],[Quantity_Orderd]]*_xlfn.XLOOKUP(Food_Orders[[#This Row],[Food_ID]],Food_Catalog[[#All],[Food_ID]],Food_Catalog[[#All],[Client_Price_Per_Unit]],0,0)</f>
        <v>9600</v>
      </c>
      <c r="I959">
        <f>Food_Orders[[#This Row],[Client_Price]]-Food_Orders[[#This Row],[Cost]]</f>
        <v>1600</v>
      </c>
    </row>
    <row r="960" spans="1:9" x14ac:dyDescent="0.25">
      <c r="A960">
        <v>42</v>
      </c>
      <c r="B960" t="s">
        <v>121</v>
      </c>
      <c r="C960" t="s">
        <v>119</v>
      </c>
      <c r="D960" t="s">
        <v>122</v>
      </c>
      <c r="E960" t="s">
        <v>123</v>
      </c>
      <c r="F960" cm="1">
        <f t="array" ref="F960">_xlfn.XLOOKUP(Food_Orders[[#This Row],[Event_No]],Event_Master[[#All],[Event_No]],Event_Master[[#All],[Guest_Count]],,0)</f>
        <v>400</v>
      </c>
      <c r="G960" cm="1">
        <f t="array" ref="G960">Food_Orders[[#This Row],[Quantity_Orderd]]*_xlfn.XLOOKUP(Food_Orders[[#This Row],[Food_ID]],Food_Catalog[[#All],[Food_ID]],Food_Catalog[[#All],[Price_Per_Unit]],0,0)</f>
        <v>4000</v>
      </c>
      <c r="H960" cm="1">
        <f t="array" ref="H960">Food_Orders[[#This Row],[Quantity_Orderd]]*_xlfn.XLOOKUP(Food_Orders[[#This Row],[Food_ID]],Food_Catalog[[#All],[Food_ID]],Food_Catalog[[#All],[Client_Price_Per_Unit]],0,0)</f>
        <v>4800</v>
      </c>
      <c r="I960">
        <f>Food_Orders[[#This Row],[Client_Price]]-Food_Orders[[#This Row],[Cost]]</f>
        <v>800</v>
      </c>
    </row>
    <row r="961" spans="1:9" x14ac:dyDescent="0.25">
      <c r="A961">
        <v>42</v>
      </c>
      <c r="B961" t="s">
        <v>127</v>
      </c>
      <c r="C961" t="s">
        <v>119</v>
      </c>
      <c r="D961" t="s">
        <v>128</v>
      </c>
      <c r="E961" t="s">
        <v>107</v>
      </c>
      <c r="F961" cm="1">
        <f t="array" ref="F961">_xlfn.XLOOKUP(Food_Orders[[#This Row],[Event_No]],Event_Master[[#All],[Event_No]],Event_Master[[#All],[Guest_Count]],,0)</f>
        <v>400</v>
      </c>
      <c r="G961" cm="1">
        <f t="array" ref="G961">Food_Orders[[#This Row],[Quantity_Orderd]]*_xlfn.XLOOKUP(Food_Orders[[#This Row],[Food_ID]],Food_Catalog[[#All],[Food_ID]],Food_Catalog[[#All],[Price_Per_Unit]],0,0)</f>
        <v>8000</v>
      </c>
      <c r="H961" cm="1">
        <f t="array" ref="H961">Food_Orders[[#This Row],[Quantity_Orderd]]*_xlfn.XLOOKUP(Food_Orders[[#This Row],[Food_ID]],Food_Catalog[[#All],[Food_ID]],Food_Catalog[[#All],[Client_Price_Per_Unit]],0,0)</f>
        <v>9600</v>
      </c>
      <c r="I961">
        <f>Food_Orders[[#This Row],[Client_Price]]-Food_Orders[[#This Row],[Cost]]</f>
        <v>1600</v>
      </c>
    </row>
    <row r="962" spans="1:9" x14ac:dyDescent="0.25">
      <c r="A962">
        <v>42</v>
      </c>
      <c r="B962" t="s">
        <v>63</v>
      </c>
      <c r="C962" t="s">
        <v>61</v>
      </c>
      <c r="D962" t="s">
        <v>64</v>
      </c>
      <c r="E962" t="s">
        <v>10</v>
      </c>
      <c r="F962" cm="1">
        <f t="array" ref="F962">_xlfn.XLOOKUP(Food_Orders[[#This Row],[Event_No]],Event_Master[[#All],[Event_No]],Event_Master[[#All],[Guest_Count]],,0)</f>
        <v>400</v>
      </c>
      <c r="G962" cm="1">
        <f t="array" ref="G962">Food_Orders[[#This Row],[Quantity_Orderd]]*_xlfn.XLOOKUP(Food_Orders[[#This Row],[Food_ID]],Food_Catalog[[#All],[Food_ID]],Food_Catalog[[#All],[Price_Per_Unit]],0,0)</f>
        <v>12000</v>
      </c>
      <c r="H962" cm="1">
        <f t="array" ref="H962">Food_Orders[[#This Row],[Quantity_Orderd]]*_xlfn.XLOOKUP(Food_Orders[[#This Row],[Food_ID]],Food_Catalog[[#All],[Food_ID]],Food_Catalog[[#All],[Client_Price_Per_Unit]],0,0)</f>
        <v>14400</v>
      </c>
      <c r="I962">
        <f>Food_Orders[[#This Row],[Client_Price]]-Food_Orders[[#This Row],[Cost]]</f>
        <v>2400</v>
      </c>
    </row>
    <row r="963" spans="1:9" x14ac:dyDescent="0.25">
      <c r="A963">
        <v>42</v>
      </c>
      <c r="B963" t="s">
        <v>71</v>
      </c>
      <c r="C963" t="s">
        <v>61</v>
      </c>
      <c r="D963" t="s">
        <v>72</v>
      </c>
      <c r="E963" t="s">
        <v>10</v>
      </c>
      <c r="F963" cm="1">
        <f t="array" ref="F963">_xlfn.XLOOKUP(Food_Orders[[#This Row],[Event_No]],Event_Master[[#All],[Event_No]],Event_Master[[#All],[Guest_Count]],,0)</f>
        <v>400</v>
      </c>
      <c r="G963" cm="1">
        <f t="array" ref="G963">Food_Orders[[#This Row],[Quantity_Orderd]]*_xlfn.XLOOKUP(Food_Orders[[#This Row],[Food_ID]],Food_Catalog[[#All],[Food_ID]],Food_Catalog[[#All],[Price_Per_Unit]],0,0)</f>
        <v>10000</v>
      </c>
      <c r="H963" cm="1">
        <f t="array" ref="H963">Food_Orders[[#This Row],[Quantity_Orderd]]*_xlfn.XLOOKUP(Food_Orders[[#This Row],[Food_ID]],Food_Catalog[[#All],[Food_ID]],Food_Catalog[[#All],[Client_Price_Per_Unit]],0,0)</f>
        <v>12000</v>
      </c>
      <c r="I963">
        <f>Food_Orders[[#This Row],[Client_Price]]-Food_Orders[[#This Row],[Cost]]</f>
        <v>2000</v>
      </c>
    </row>
    <row r="964" spans="1:9" x14ac:dyDescent="0.25">
      <c r="A964">
        <v>42</v>
      </c>
      <c r="B964" t="s">
        <v>29</v>
      </c>
      <c r="C964" t="s">
        <v>8</v>
      </c>
      <c r="D964" t="s">
        <v>30</v>
      </c>
      <c r="E964" t="s">
        <v>10</v>
      </c>
      <c r="F964" cm="1">
        <f t="array" ref="F964">_xlfn.XLOOKUP(Food_Orders[[#This Row],[Event_No]],Event_Master[[#All],[Event_No]],Event_Master[[#All],[Guest_Count]],,0)</f>
        <v>400</v>
      </c>
      <c r="G964" cm="1">
        <f t="array" ref="G964">Food_Orders[[#This Row],[Quantity_Orderd]]*_xlfn.XLOOKUP(Food_Orders[[#This Row],[Food_ID]],Food_Catalog[[#All],[Food_ID]],Food_Catalog[[#All],[Price_Per_Unit]],0,0)</f>
        <v>12000</v>
      </c>
      <c r="H964" cm="1">
        <f t="array" ref="H964">Food_Orders[[#This Row],[Quantity_Orderd]]*_xlfn.XLOOKUP(Food_Orders[[#This Row],[Food_ID]],Food_Catalog[[#All],[Food_ID]],Food_Catalog[[#All],[Client_Price_Per_Unit]],0,0)</f>
        <v>14400</v>
      </c>
      <c r="I964">
        <f>Food_Orders[[#This Row],[Client_Price]]-Food_Orders[[#This Row],[Cost]]</f>
        <v>2400</v>
      </c>
    </row>
    <row r="965" spans="1:9" x14ac:dyDescent="0.25">
      <c r="A965">
        <v>42</v>
      </c>
      <c r="B965" t="s">
        <v>37</v>
      </c>
      <c r="C965" t="s">
        <v>8</v>
      </c>
      <c r="D965" t="s">
        <v>38</v>
      </c>
      <c r="E965" t="s">
        <v>10</v>
      </c>
      <c r="F965" cm="1">
        <f t="array" ref="F965">_xlfn.XLOOKUP(Food_Orders[[#This Row],[Event_No]],Event_Master[[#All],[Event_No]],Event_Master[[#All],[Guest_Count]],,0)</f>
        <v>400</v>
      </c>
      <c r="G965" cm="1">
        <f t="array" ref="G965">Food_Orders[[#This Row],[Quantity_Orderd]]*_xlfn.XLOOKUP(Food_Orders[[#This Row],[Food_ID]],Food_Catalog[[#All],[Food_ID]],Food_Catalog[[#All],[Price_Per_Unit]],0,0)</f>
        <v>10000</v>
      </c>
      <c r="H965" cm="1">
        <f t="array" ref="H965">Food_Orders[[#This Row],[Quantity_Orderd]]*_xlfn.XLOOKUP(Food_Orders[[#This Row],[Food_ID]],Food_Catalog[[#All],[Food_ID]],Food_Catalog[[#All],[Client_Price_Per_Unit]],0,0)</f>
        <v>12000</v>
      </c>
      <c r="I965">
        <f>Food_Orders[[#This Row],[Client_Price]]-Food_Orders[[#This Row],[Cost]]</f>
        <v>2000</v>
      </c>
    </row>
    <row r="966" spans="1:9" x14ac:dyDescent="0.25">
      <c r="A966">
        <v>42</v>
      </c>
      <c r="B966" t="s">
        <v>82</v>
      </c>
      <c r="C966" t="s">
        <v>83</v>
      </c>
      <c r="D966" t="s">
        <v>84</v>
      </c>
      <c r="E966" t="s">
        <v>85</v>
      </c>
      <c r="F966" cm="1">
        <f t="array" ref="F966">_xlfn.XLOOKUP(Food_Orders[[#This Row],[Event_No]],Event_Master[[#All],[Event_No]],Event_Master[[#All],[Guest_Count]],,0)</f>
        <v>400</v>
      </c>
      <c r="G966" cm="1">
        <f t="array" ref="G966">Food_Orders[[#This Row],[Quantity_Orderd]]*_xlfn.XLOOKUP(Food_Orders[[#This Row],[Food_ID]],Food_Catalog[[#All],[Food_ID]],Food_Catalog[[#All],[Price_Per_Unit]],0,0)</f>
        <v>8000</v>
      </c>
      <c r="H966" cm="1">
        <f t="array" ref="H966">Food_Orders[[#This Row],[Quantity_Orderd]]*_xlfn.XLOOKUP(Food_Orders[[#This Row],[Food_ID]],Food_Catalog[[#All],[Food_ID]],Food_Catalog[[#All],[Client_Price_Per_Unit]],0,0)</f>
        <v>9600</v>
      </c>
      <c r="I966">
        <f>Food_Orders[[#This Row],[Client_Price]]-Food_Orders[[#This Row],[Cost]]</f>
        <v>1600</v>
      </c>
    </row>
    <row r="967" spans="1:9" x14ac:dyDescent="0.25">
      <c r="A967">
        <v>42</v>
      </c>
      <c r="B967" t="s">
        <v>96</v>
      </c>
      <c r="C967" t="s">
        <v>83</v>
      </c>
      <c r="D967" t="s">
        <v>97</v>
      </c>
      <c r="E967" t="s">
        <v>79</v>
      </c>
      <c r="F967" cm="1">
        <f t="array" ref="F967">_xlfn.XLOOKUP(Food_Orders[[#This Row],[Event_No]],Event_Master[[#All],[Event_No]],Event_Master[[#All],[Guest_Count]],,0)</f>
        <v>400</v>
      </c>
      <c r="G967" cm="1">
        <f t="array" ref="G967">Food_Orders[[#This Row],[Quantity_Orderd]]*_xlfn.XLOOKUP(Food_Orders[[#This Row],[Food_ID]],Food_Catalog[[#All],[Food_ID]],Food_Catalog[[#All],[Price_Per_Unit]],0,0)</f>
        <v>12000</v>
      </c>
      <c r="H967" cm="1">
        <f t="array" ref="H967">Food_Orders[[#This Row],[Quantity_Orderd]]*_xlfn.XLOOKUP(Food_Orders[[#This Row],[Food_ID]],Food_Catalog[[#All],[Food_ID]],Food_Catalog[[#All],[Client_Price_Per_Unit]],0,0)</f>
        <v>14400</v>
      </c>
      <c r="I967">
        <f>Food_Orders[[#This Row],[Client_Price]]-Food_Orders[[#This Row],[Cost]]</f>
        <v>2400</v>
      </c>
    </row>
    <row r="968" spans="1:9" x14ac:dyDescent="0.25">
      <c r="A968">
        <v>42</v>
      </c>
      <c r="B968" t="s">
        <v>92</v>
      </c>
      <c r="C968" t="s">
        <v>83</v>
      </c>
      <c r="D968" t="s">
        <v>93</v>
      </c>
      <c r="E968" t="s">
        <v>85</v>
      </c>
      <c r="F968" cm="1">
        <f t="array" ref="F968">_xlfn.XLOOKUP(Food_Orders[[#This Row],[Event_No]],Event_Master[[#All],[Event_No]],Event_Master[[#All],[Guest_Count]],,0)</f>
        <v>400</v>
      </c>
      <c r="G968" cm="1">
        <f t="array" ref="G968">Food_Orders[[#This Row],[Quantity_Orderd]]*_xlfn.XLOOKUP(Food_Orders[[#This Row],[Food_ID]],Food_Catalog[[#All],[Food_ID]],Food_Catalog[[#All],[Price_Per_Unit]],0,0)</f>
        <v>6000</v>
      </c>
      <c r="H968" cm="1">
        <f t="array" ref="H968">Food_Orders[[#This Row],[Quantity_Orderd]]*_xlfn.XLOOKUP(Food_Orders[[#This Row],[Food_ID]],Food_Catalog[[#All],[Food_ID]],Food_Catalog[[#All],[Client_Price_Per_Unit]],0,0)</f>
        <v>7200</v>
      </c>
      <c r="I968">
        <f>Food_Orders[[#This Row],[Client_Price]]-Food_Orders[[#This Row],[Cost]]</f>
        <v>1200</v>
      </c>
    </row>
    <row r="969" spans="1:9" x14ac:dyDescent="0.25">
      <c r="A969">
        <v>43</v>
      </c>
      <c r="B969" t="s">
        <v>73</v>
      </c>
      <c r="C969" t="s">
        <v>61</v>
      </c>
      <c r="D969" t="s">
        <v>74</v>
      </c>
      <c r="E969" t="s">
        <v>10</v>
      </c>
      <c r="F969" cm="1">
        <f t="array" ref="F969">_xlfn.XLOOKUP(Food_Orders[[#This Row],[Event_No]],Event_Master[[#All],[Event_No]],Event_Master[[#All],[Guest_Count]],,0)</f>
        <v>60</v>
      </c>
      <c r="G969" cm="1">
        <f t="array" ref="G969">Food_Orders[[#This Row],[Quantity_Orderd]]*_xlfn.XLOOKUP(Food_Orders[[#This Row],[Food_ID]],Food_Catalog[[#All],[Food_ID]],Food_Catalog[[#All],[Price_Per_Unit]],0,0)</f>
        <v>2400</v>
      </c>
      <c r="H969" cm="1">
        <f t="array" ref="H969">Food_Orders[[#This Row],[Quantity_Orderd]]*_xlfn.XLOOKUP(Food_Orders[[#This Row],[Food_ID]],Food_Catalog[[#All],[Food_ID]],Food_Catalog[[#All],[Client_Price_Per_Unit]],0,0)</f>
        <v>2880</v>
      </c>
      <c r="I969">
        <f>Food_Orders[[#This Row],[Client_Price]]-Food_Orders[[#This Row],[Cost]]</f>
        <v>480</v>
      </c>
    </row>
    <row r="970" spans="1:9" x14ac:dyDescent="0.25">
      <c r="A970">
        <v>43</v>
      </c>
      <c r="B970" t="s">
        <v>75</v>
      </c>
      <c r="C970" t="s">
        <v>61</v>
      </c>
      <c r="D970" t="s">
        <v>76</v>
      </c>
      <c r="E970" t="s">
        <v>10</v>
      </c>
      <c r="F970" cm="1">
        <f t="array" ref="F970">_xlfn.XLOOKUP(Food_Orders[[#This Row],[Event_No]],Event_Master[[#All],[Event_No]],Event_Master[[#All],[Guest_Count]],,0)</f>
        <v>60</v>
      </c>
      <c r="G970" cm="1">
        <f t="array" ref="G970">Food_Orders[[#This Row],[Quantity_Orderd]]*_xlfn.XLOOKUP(Food_Orders[[#This Row],[Food_ID]],Food_Catalog[[#All],[Food_ID]],Food_Catalog[[#All],[Price_Per_Unit]],0,0)</f>
        <v>2400</v>
      </c>
      <c r="H970" cm="1">
        <f t="array" ref="H970">Food_Orders[[#This Row],[Quantity_Orderd]]*_xlfn.XLOOKUP(Food_Orders[[#This Row],[Food_ID]],Food_Catalog[[#All],[Food_ID]],Food_Catalog[[#All],[Client_Price_Per_Unit]],0,0)</f>
        <v>2880</v>
      </c>
      <c r="I970">
        <f>Food_Orders[[#This Row],[Client_Price]]-Food_Orders[[#This Row],[Cost]]</f>
        <v>480</v>
      </c>
    </row>
    <row r="971" spans="1:9" x14ac:dyDescent="0.25">
      <c r="A971">
        <v>43</v>
      </c>
      <c r="B971" t="s">
        <v>69</v>
      </c>
      <c r="C971" t="s">
        <v>61</v>
      </c>
      <c r="D971" t="s">
        <v>70</v>
      </c>
      <c r="E971" t="s">
        <v>10</v>
      </c>
      <c r="F971" cm="1">
        <f t="array" ref="F971">_xlfn.XLOOKUP(Food_Orders[[#This Row],[Event_No]],Event_Master[[#All],[Event_No]],Event_Master[[#All],[Guest_Count]],,0)</f>
        <v>60</v>
      </c>
      <c r="G971" cm="1">
        <f t="array" ref="G971">Food_Orders[[#This Row],[Quantity_Orderd]]*_xlfn.XLOOKUP(Food_Orders[[#This Row],[Food_ID]],Food_Catalog[[#All],[Food_ID]],Food_Catalog[[#All],[Price_Per_Unit]],0,0)</f>
        <v>3000</v>
      </c>
      <c r="H971" cm="1">
        <f t="array" ref="H971">Food_Orders[[#This Row],[Quantity_Orderd]]*_xlfn.XLOOKUP(Food_Orders[[#This Row],[Food_ID]],Food_Catalog[[#All],[Food_ID]],Food_Catalog[[#All],[Client_Price_Per_Unit]],0,0)</f>
        <v>3600</v>
      </c>
      <c r="I971">
        <f>Food_Orders[[#This Row],[Client_Price]]-Food_Orders[[#This Row],[Cost]]</f>
        <v>600</v>
      </c>
    </row>
    <row r="972" spans="1:9" x14ac:dyDescent="0.25">
      <c r="A972">
        <v>43</v>
      </c>
      <c r="B972" t="s">
        <v>58</v>
      </c>
      <c r="C972" t="s">
        <v>40</v>
      </c>
      <c r="D972" t="s">
        <v>59</v>
      </c>
      <c r="E972" t="s">
        <v>10</v>
      </c>
      <c r="F972" cm="1">
        <f t="array" ref="F972">_xlfn.XLOOKUP(Food_Orders[[#This Row],[Event_No]],Event_Master[[#All],[Event_No]],Event_Master[[#All],[Guest_Count]],,0)</f>
        <v>60</v>
      </c>
      <c r="G972" cm="1">
        <f t="array" ref="G972">Food_Orders[[#This Row],[Quantity_Orderd]]*_xlfn.XLOOKUP(Food_Orders[[#This Row],[Food_ID]],Food_Catalog[[#All],[Food_ID]],Food_Catalog[[#All],[Price_Per_Unit]],0,0)</f>
        <v>5400</v>
      </c>
      <c r="H972" cm="1">
        <f t="array" ref="H972">Food_Orders[[#This Row],[Quantity_Orderd]]*_xlfn.XLOOKUP(Food_Orders[[#This Row],[Food_ID]],Food_Catalog[[#All],[Food_ID]],Food_Catalog[[#All],[Client_Price_Per_Unit]],0,0)</f>
        <v>6480</v>
      </c>
      <c r="I972">
        <f>Food_Orders[[#This Row],[Client_Price]]-Food_Orders[[#This Row],[Cost]]</f>
        <v>1080</v>
      </c>
    </row>
    <row r="973" spans="1:9" x14ac:dyDescent="0.25">
      <c r="A973">
        <v>43</v>
      </c>
      <c r="B973" t="s">
        <v>39</v>
      </c>
      <c r="C973" t="s">
        <v>40</v>
      </c>
      <c r="D973" t="s">
        <v>41</v>
      </c>
      <c r="E973" t="s">
        <v>10</v>
      </c>
      <c r="F973" cm="1">
        <f t="array" ref="F973">_xlfn.XLOOKUP(Food_Orders[[#This Row],[Event_No]],Event_Master[[#All],[Event_No]],Event_Master[[#All],[Guest_Count]],,0)</f>
        <v>60</v>
      </c>
      <c r="G973" cm="1">
        <f t="array" ref="G973">Food_Orders[[#This Row],[Quantity_Orderd]]*_xlfn.XLOOKUP(Food_Orders[[#This Row],[Food_ID]],Food_Catalog[[#All],[Food_ID]],Food_Catalog[[#All],[Price_Per_Unit]],0,0)</f>
        <v>3600</v>
      </c>
      <c r="H973" cm="1">
        <f t="array" ref="H973">Food_Orders[[#This Row],[Quantity_Orderd]]*_xlfn.XLOOKUP(Food_Orders[[#This Row],[Food_ID]],Food_Catalog[[#All],[Food_ID]],Food_Catalog[[#All],[Client_Price_Per_Unit]],0,0)</f>
        <v>4320</v>
      </c>
      <c r="I973">
        <f>Food_Orders[[#This Row],[Client_Price]]-Food_Orders[[#This Row],[Cost]]</f>
        <v>720</v>
      </c>
    </row>
    <row r="974" spans="1:9" x14ac:dyDescent="0.25">
      <c r="A974">
        <v>43</v>
      </c>
      <c r="B974" t="s">
        <v>42</v>
      </c>
      <c r="C974" t="s">
        <v>40</v>
      </c>
      <c r="D974" t="s">
        <v>43</v>
      </c>
      <c r="E974" t="s">
        <v>10</v>
      </c>
      <c r="F974" cm="1">
        <f t="array" ref="F974">_xlfn.XLOOKUP(Food_Orders[[#This Row],[Event_No]],Event_Master[[#All],[Event_No]],Event_Master[[#All],[Guest_Count]],,0)</f>
        <v>60</v>
      </c>
      <c r="G974" cm="1">
        <f t="array" ref="G974">Food_Orders[[#This Row],[Quantity_Orderd]]*_xlfn.XLOOKUP(Food_Orders[[#This Row],[Food_ID]],Food_Catalog[[#All],[Food_ID]],Food_Catalog[[#All],[Price_Per_Unit]],0,0)</f>
        <v>4200</v>
      </c>
      <c r="H974" cm="1">
        <f t="array" ref="H974">Food_Orders[[#This Row],[Quantity_Orderd]]*_xlfn.XLOOKUP(Food_Orders[[#This Row],[Food_ID]],Food_Catalog[[#All],[Food_ID]],Food_Catalog[[#All],[Client_Price_Per_Unit]],0,0)</f>
        <v>5040</v>
      </c>
      <c r="I974">
        <f>Food_Orders[[#This Row],[Client_Price]]-Food_Orders[[#This Row],[Cost]]</f>
        <v>840</v>
      </c>
    </row>
    <row r="975" spans="1:9" x14ac:dyDescent="0.25">
      <c r="A975">
        <v>43</v>
      </c>
      <c r="B975" t="s">
        <v>46</v>
      </c>
      <c r="C975" t="s">
        <v>40</v>
      </c>
      <c r="D975" t="s">
        <v>47</v>
      </c>
      <c r="E975" t="s">
        <v>10</v>
      </c>
      <c r="F975" cm="1">
        <f t="array" ref="F975">_xlfn.XLOOKUP(Food_Orders[[#This Row],[Event_No]],Event_Master[[#All],[Event_No]],Event_Master[[#All],[Guest_Count]],,0)</f>
        <v>60</v>
      </c>
      <c r="G975" cm="1">
        <f t="array" ref="G975">Food_Orders[[#This Row],[Quantity_Orderd]]*_xlfn.XLOOKUP(Food_Orders[[#This Row],[Food_ID]],Food_Catalog[[#All],[Food_ID]],Food_Catalog[[#All],[Price_Per_Unit]],0,0)</f>
        <v>5400</v>
      </c>
      <c r="H975" cm="1">
        <f t="array" ref="H975">Food_Orders[[#This Row],[Quantity_Orderd]]*_xlfn.XLOOKUP(Food_Orders[[#This Row],[Food_ID]],Food_Catalog[[#All],[Food_ID]],Food_Catalog[[#All],[Client_Price_Per_Unit]],0,0)</f>
        <v>6480</v>
      </c>
      <c r="I975">
        <f>Food_Orders[[#This Row],[Client_Price]]-Food_Orders[[#This Row],[Cost]]</f>
        <v>1080</v>
      </c>
    </row>
    <row r="976" spans="1:9" x14ac:dyDescent="0.25">
      <c r="A976">
        <v>43</v>
      </c>
      <c r="B976" t="s">
        <v>50</v>
      </c>
      <c r="C976" t="s">
        <v>40</v>
      </c>
      <c r="D976" t="s">
        <v>51</v>
      </c>
      <c r="E976" t="s">
        <v>10</v>
      </c>
      <c r="F976" cm="1">
        <f t="array" ref="F976">_xlfn.XLOOKUP(Food_Orders[[#This Row],[Event_No]],Event_Master[[#All],[Event_No]],Event_Master[[#All],[Guest_Count]],,0)</f>
        <v>60</v>
      </c>
      <c r="G976" cm="1">
        <f t="array" ref="G976">Food_Orders[[#This Row],[Quantity_Orderd]]*_xlfn.XLOOKUP(Food_Orders[[#This Row],[Food_ID]],Food_Catalog[[#All],[Food_ID]],Food_Catalog[[#All],[Price_Per_Unit]],0,0)</f>
        <v>4800</v>
      </c>
      <c r="H976" cm="1">
        <f t="array" ref="H976">Food_Orders[[#This Row],[Quantity_Orderd]]*_xlfn.XLOOKUP(Food_Orders[[#This Row],[Food_ID]],Food_Catalog[[#All],[Food_ID]],Food_Catalog[[#All],[Client_Price_Per_Unit]],0,0)</f>
        <v>5760</v>
      </c>
      <c r="I976">
        <f>Food_Orders[[#This Row],[Client_Price]]-Food_Orders[[#This Row],[Cost]]</f>
        <v>960</v>
      </c>
    </row>
    <row r="977" spans="1:9" x14ac:dyDescent="0.25">
      <c r="A977">
        <v>43</v>
      </c>
      <c r="B977" t="s">
        <v>52</v>
      </c>
      <c r="C977" t="s">
        <v>40</v>
      </c>
      <c r="D977" t="s">
        <v>53</v>
      </c>
      <c r="E977" t="s">
        <v>10</v>
      </c>
      <c r="F977" cm="1">
        <f t="array" ref="F977">_xlfn.XLOOKUP(Food_Orders[[#This Row],[Event_No]],Event_Master[[#All],[Event_No]],Event_Master[[#All],[Guest_Count]],,0)</f>
        <v>60</v>
      </c>
      <c r="G977" cm="1">
        <f t="array" ref="G977">Food_Orders[[#This Row],[Quantity_Orderd]]*_xlfn.XLOOKUP(Food_Orders[[#This Row],[Food_ID]],Food_Catalog[[#All],[Food_ID]],Food_Catalog[[#All],[Price_Per_Unit]],0,0)</f>
        <v>6000</v>
      </c>
      <c r="H977" cm="1">
        <f t="array" ref="H977">Food_Orders[[#This Row],[Quantity_Orderd]]*_xlfn.XLOOKUP(Food_Orders[[#This Row],[Food_ID]],Food_Catalog[[#All],[Food_ID]],Food_Catalog[[#All],[Client_Price_Per_Unit]],0,0)</f>
        <v>7200</v>
      </c>
      <c r="I977">
        <f>Food_Orders[[#This Row],[Client_Price]]-Food_Orders[[#This Row],[Cost]]</f>
        <v>1200</v>
      </c>
    </row>
    <row r="978" spans="1:9" x14ac:dyDescent="0.25">
      <c r="A978">
        <v>43</v>
      </c>
      <c r="B978" t="s">
        <v>27</v>
      </c>
      <c r="C978" t="s">
        <v>8</v>
      </c>
      <c r="D978" t="s">
        <v>28</v>
      </c>
      <c r="E978" t="s">
        <v>10</v>
      </c>
      <c r="F978" cm="1">
        <f t="array" ref="F978">_xlfn.XLOOKUP(Food_Orders[[#This Row],[Event_No]],Event_Master[[#All],[Event_No]],Event_Master[[#All],[Guest_Count]],,0)</f>
        <v>60</v>
      </c>
      <c r="G978" cm="1">
        <f t="array" ref="G978">Food_Orders[[#This Row],[Quantity_Orderd]]*_xlfn.XLOOKUP(Food_Orders[[#This Row],[Food_ID]],Food_Catalog[[#All],[Food_ID]],Food_Catalog[[#All],[Price_Per_Unit]],0,0)</f>
        <v>2400</v>
      </c>
      <c r="H978" cm="1">
        <f t="array" ref="H978">Food_Orders[[#This Row],[Quantity_Orderd]]*_xlfn.XLOOKUP(Food_Orders[[#This Row],[Food_ID]],Food_Catalog[[#All],[Food_ID]],Food_Catalog[[#All],[Client_Price_Per_Unit]],0,0)</f>
        <v>2880</v>
      </c>
      <c r="I978">
        <f>Food_Orders[[#This Row],[Client_Price]]-Food_Orders[[#This Row],[Cost]]</f>
        <v>480</v>
      </c>
    </row>
    <row r="979" spans="1:9" x14ac:dyDescent="0.25">
      <c r="A979">
        <v>43</v>
      </c>
      <c r="B979" t="s">
        <v>17</v>
      </c>
      <c r="C979" t="s">
        <v>8</v>
      </c>
      <c r="D979" t="s">
        <v>18</v>
      </c>
      <c r="E979" t="s">
        <v>10</v>
      </c>
      <c r="F979" cm="1">
        <f t="array" ref="F979">_xlfn.XLOOKUP(Food_Orders[[#This Row],[Event_No]],Event_Master[[#All],[Event_No]],Event_Master[[#All],[Guest_Count]],,0)</f>
        <v>60</v>
      </c>
      <c r="G979" cm="1">
        <f t="array" ref="G979">Food_Orders[[#This Row],[Quantity_Orderd]]*_xlfn.XLOOKUP(Food_Orders[[#This Row],[Food_ID]],Food_Catalog[[#All],[Food_ID]],Food_Catalog[[#All],[Price_Per_Unit]],0,0)</f>
        <v>2400</v>
      </c>
      <c r="H979" cm="1">
        <f t="array" ref="H979">Food_Orders[[#This Row],[Quantity_Orderd]]*_xlfn.XLOOKUP(Food_Orders[[#This Row],[Food_ID]],Food_Catalog[[#All],[Food_ID]],Food_Catalog[[#All],[Client_Price_Per_Unit]],0,0)</f>
        <v>2880</v>
      </c>
      <c r="I979">
        <f>Food_Orders[[#This Row],[Client_Price]]-Food_Orders[[#This Row],[Cost]]</f>
        <v>480</v>
      </c>
    </row>
    <row r="980" spans="1:9" x14ac:dyDescent="0.25">
      <c r="A980">
        <v>43</v>
      </c>
      <c r="B980" t="s">
        <v>29</v>
      </c>
      <c r="C980" t="s">
        <v>8</v>
      </c>
      <c r="D980" t="s">
        <v>30</v>
      </c>
      <c r="E980" t="s">
        <v>10</v>
      </c>
      <c r="F980" cm="1">
        <f t="array" ref="F980">_xlfn.XLOOKUP(Food_Orders[[#This Row],[Event_No]],Event_Master[[#All],[Event_No]],Event_Master[[#All],[Guest_Count]],,0)</f>
        <v>60</v>
      </c>
      <c r="G980" cm="1">
        <f t="array" ref="G980">Food_Orders[[#This Row],[Quantity_Orderd]]*_xlfn.XLOOKUP(Food_Orders[[#This Row],[Food_ID]],Food_Catalog[[#All],[Food_ID]],Food_Catalog[[#All],[Price_Per_Unit]],0,0)</f>
        <v>1800</v>
      </c>
      <c r="H980" cm="1">
        <f t="array" ref="H980">Food_Orders[[#This Row],[Quantity_Orderd]]*_xlfn.XLOOKUP(Food_Orders[[#This Row],[Food_ID]],Food_Catalog[[#All],[Food_ID]],Food_Catalog[[#All],[Client_Price_Per_Unit]],0,0)</f>
        <v>2160</v>
      </c>
      <c r="I980">
        <f>Food_Orders[[#This Row],[Client_Price]]-Food_Orders[[#This Row],[Cost]]</f>
        <v>360</v>
      </c>
    </row>
    <row r="981" spans="1:9" x14ac:dyDescent="0.25">
      <c r="A981">
        <v>43</v>
      </c>
      <c r="B981" t="s">
        <v>82</v>
      </c>
      <c r="C981" t="s">
        <v>83</v>
      </c>
      <c r="D981" t="s">
        <v>84</v>
      </c>
      <c r="E981" t="s">
        <v>85</v>
      </c>
      <c r="F981" cm="1">
        <f t="array" ref="F981">_xlfn.XLOOKUP(Food_Orders[[#This Row],[Event_No]],Event_Master[[#All],[Event_No]],Event_Master[[#All],[Guest_Count]],,0)</f>
        <v>60</v>
      </c>
      <c r="G981" cm="1">
        <f t="array" ref="G981">Food_Orders[[#This Row],[Quantity_Orderd]]*_xlfn.XLOOKUP(Food_Orders[[#This Row],[Food_ID]],Food_Catalog[[#All],[Food_ID]],Food_Catalog[[#All],[Price_Per_Unit]],0,0)</f>
        <v>1200</v>
      </c>
      <c r="H981" cm="1">
        <f t="array" ref="H981">Food_Orders[[#This Row],[Quantity_Orderd]]*_xlfn.XLOOKUP(Food_Orders[[#This Row],[Food_ID]],Food_Catalog[[#All],[Food_ID]],Food_Catalog[[#All],[Client_Price_Per_Unit]],0,0)</f>
        <v>1440</v>
      </c>
      <c r="I981">
        <f>Food_Orders[[#This Row],[Client_Price]]-Food_Orders[[#This Row],[Cost]]</f>
        <v>240</v>
      </c>
    </row>
    <row r="982" spans="1:9" x14ac:dyDescent="0.25">
      <c r="A982">
        <v>43</v>
      </c>
      <c r="B982" t="s">
        <v>86</v>
      </c>
      <c r="C982" t="s">
        <v>83</v>
      </c>
      <c r="D982" t="s">
        <v>87</v>
      </c>
      <c r="E982" t="s">
        <v>85</v>
      </c>
      <c r="F982" cm="1">
        <f t="array" ref="F982">_xlfn.XLOOKUP(Food_Orders[[#This Row],[Event_No]],Event_Master[[#All],[Event_No]],Event_Master[[#All],[Guest_Count]],,0)</f>
        <v>60</v>
      </c>
      <c r="G982" cm="1">
        <f t="array" ref="G982">Food_Orders[[#This Row],[Quantity_Orderd]]*_xlfn.XLOOKUP(Food_Orders[[#This Row],[Food_ID]],Food_Catalog[[#All],[Food_ID]],Food_Catalog[[#All],[Price_Per_Unit]],0,0)</f>
        <v>1200</v>
      </c>
      <c r="H982" cm="1">
        <f t="array" ref="H982">Food_Orders[[#This Row],[Quantity_Orderd]]*_xlfn.XLOOKUP(Food_Orders[[#This Row],[Food_ID]],Food_Catalog[[#All],[Food_ID]],Food_Catalog[[#All],[Client_Price_Per_Unit]],0,0)</f>
        <v>1440</v>
      </c>
      <c r="I982">
        <f>Food_Orders[[#This Row],[Client_Price]]-Food_Orders[[#This Row],[Cost]]</f>
        <v>240</v>
      </c>
    </row>
    <row r="983" spans="1:9" x14ac:dyDescent="0.25">
      <c r="A983">
        <v>43</v>
      </c>
      <c r="B983" t="s">
        <v>96</v>
      </c>
      <c r="C983" t="s">
        <v>83</v>
      </c>
      <c r="D983" t="s">
        <v>97</v>
      </c>
      <c r="E983" t="s">
        <v>79</v>
      </c>
      <c r="F983" cm="1">
        <f t="array" ref="F983">_xlfn.XLOOKUP(Food_Orders[[#This Row],[Event_No]],Event_Master[[#All],[Event_No]],Event_Master[[#All],[Guest_Count]],,0)</f>
        <v>60</v>
      </c>
      <c r="G983" cm="1">
        <f t="array" ref="G983">Food_Orders[[#This Row],[Quantity_Orderd]]*_xlfn.XLOOKUP(Food_Orders[[#This Row],[Food_ID]],Food_Catalog[[#All],[Food_ID]],Food_Catalog[[#All],[Price_Per_Unit]],0,0)</f>
        <v>1800</v>
      </c>
      <c r="H983" cm="1">
        <f t="array" ref="H983">Food_Orders[[#This Row],[Quantity_Orderd]]*_xlfn.XLOOKUP(Food_Orders[[#This Row],[Food_ID]],Food_Catalog[[#All],[Food_ID]],Food_Catalog[[#All],[Client_Price_Per_Unit]],0,0)</f>
        <v>2160</v>
      </c>
      <c r="I983">
        <f>Food_Orders[[#This Row],[Client_Price]]-Food_Orders[[#This Row],[Cost]]</f>
        <v>360</v>
      </c>
    </row>
    <row r="984" spans="1:9" x14ac:dyDescent="0.25">
      <c r="A984">
        <v>43</v>
      </c>
      <c r="B984" t="s">
        <v>100</v>
      </c>
      <c r="C984" t="s">
        <v>83</v>
      </c>
      <c r="D984" t="s">
        <v>101</v>
      </c>
      <c r="E984" t="s">
        <v>79</v>
      </c>
      <c r="F984" cm="1">
        <f t="array" ref="F984">_xlfn.XLOOKUP(Food_Orders[[#This Row],[Event_No]],Event_Master[[#All],[Event_No]],Event_Master[[#All],[Guest_Count]],,0)</f>
        <v>60</v>
      </c>
      <c r="G984" cm="1">
        <f t="array" ref="G984">Food_Orders[[#This Row],[Quantity_Orderd]]*_xlfn.XLOOKUP(Food_Orders[[#This Row],[Food_ID]],Food_Catalog[[#All],[Food_ID]],Food_Catalog[[#All],[Price_Per_Unit]],0,0)</f>
        <v>2100</v>
      </c>
      <c r="H984" cm="1">
        <f t="array" ref="H984">Food_Orders[[#This Row],[Quantity_Orderd]]*_xlfn.XLOOKUP(Food_Orders[[#This Row],[Food_ID]],Food_Catalog[[#All],[Food_ID]],Food_Catalog[[#All],[Client_Price_Per_Unit]],0,0)</f>
        <v>2520</v>
      </c>
      <c r="I984">
        <f>Food_Orders[[#This Row],[Client_Price]]-Food_Orders[[#This Row],[Cost]]</f>
        <v>420</v>
      </c>
    </row>
    <row r="985" spans="1:9" x14ac:dyDescent="0.25">
      <c r="A985">
        <v>43</v>
      </c>
      <c r="B985" t="s">
        <v>92</v>
      </c>
      <c r="C985" t="s">
        <v>83</v>
      </c>
      <c r="D985" t="s">
        <v>93</v>
      </c>
      <c r="E985" t="s">
        <v>85</v>
      </c>
      <c r="F985" cm="1">
        <f t="array" ref="F985">_xlfn.XLOOKUP(Food_Orders[[#This Row],[Event_No]],Event_Master[[#All],[Event_No]],Event_Master[[#All],[Guest_Count]],,0)</f>
        <v>60</v>
      </c>
      <c r="G985" cm="1">
        <f t="array" ref="G985">Food_Orders[[#This Row],[Quantity_Orderd]]*_xlfn.XLOOKUP(Food_Orders[[#This Row],[Food_ID]],Food_Catalog[[#All],[Food_ID]],Food_Catalog[[#All],[Price_Per_Unit]],0,0)</f>
        <v>900</v>
      </c>
      <c r="H985" cm="1">
        <f t="array" ref="H985">Food_Orders[[#This Row],[Quantity_Orderd]]*_xlfn.XLOOKUP(Food_Orders[[#This Row],[Food_ID]],Food_Catalog[[#All],[Food_ID]],Food_Catalog[[#All],[Client_Price_Per_Unit]],0,0)</f>
        <v>1080</v>
      </c>
      <c r="I985">
        <f>Food_Orders[[#This Row],[Client_Price]]-Food_Orders[[#This Row],[Cost]]</f>
        <v>180</v>
      </c>
    </row>
    <row r="986" spans="1:9" x14ac:dyDescent="0.25">
      <c r="A986">
        <v>43</v>
      </c>
      <c r="B986" t="s">
        <v>98</v>
      </c>
      <c r="C986" t="s">
        <v>83</v>
      </c>
      <c r="D986" t="s">
        <v>99</v>
      </c>
      <c r="E986" t="s">
        <v>85</v>
      </c>
      <c r="F986" cm="1">
        <f t="array" ref="F986">_xlfn.XLOOKUP(Food_Orders[[#This Row],[Event_No]],Event_Master[[#All],[Event_No]],Event_Master[[#All],[Guest_Count]],,0)</f>
        <v>60</v>
      </c>
      <c r="G986" cm="1">
        <f t="array" ref="G986">Food_Orders[[#This Row],[Quantity_Orderd]]*_xlfn.XLOOKUP(Food_Orders[[#This Row],[Food_ID]],Food_Catalog[[#All],[Food_ID]],Food_Catalog[[#All],[Price_Per_Unit]],0,0)</f>
        <v>900</v>
      </c>
      <c r="H986" cm="1">
        <f t="array" ref="H986">Food_Orders[[#This Row],[Quantity_Orderd]]*_xlfn.XLOOKUP(Food_Orders[[#This Row],[Food_ID]],Food_Catalog[[#All],[Food_ID]],Food_Catalog[[#All],[Client_Price_Per_Unit]],0,0)</f>
        <v>1080</v>
      </c>
      <c r="I986">
        <f>Food_Orders[[#This Row],[Client_Price]]-Food_Orders[[#This Row],[Cost]]</f>
        <v>180</v>
      </c>
    </row>
    <row r="987" spans="1:9" x14ac:dyDescent="0.25">
      <c r="A987">
        <v>43</v>
      </c>
      <c r="B987" t="s">
        <v>108</v>
      </c>
      <c r="C987" t="s">
        <v>105</v>
      </c>
      <c r="D987" t="s">
        <v>109</v>
      </c>
      <c r="E987" t="s">
        <v>107</v>
      </c>
      <c r="F987" cm="1">
        <f t="array" ref="F987">_xlfn.XLOOKUP(Food_Orders[[#This Row],[Event_No]],Event_Master[[#All],[Event_No]],Event_Master[[#All],[Guest_Count]],,0)</f>
        <v>60</v>
      </c>
      <c r="G987" cm="1">
        <f t="array" ref="G987">Food_Orders[[#This Row],[Quantity_Orderd]]*_xlfn.XLOOKUP(Food_Orders[[#This Row],[Food_ID]],Food_Catalog[[#All],[Food_ID]],Food_Catalog[[#All],[Price_Per_Unit]],0,0)</f>
        <v>900</v>
      </c>
      <c r="H987" cm="1">
        <f t="array" ref="H987">Food_Orders[[#This Row],[Quantity_Orderd]]*_xlfn.XLOOKUP(Food_Orders[[#This Row],[Food_ID]],Food_Catalog[[#All],[Food_ID]],Food_Catalog[[#All],[Client_Price_Per_Unit]],0,0)</f>
        <v>1080</v>
      </c>
      <c r="I987">
        <f>Food_Orders[[#This Row],[Client_Price]]-Food_Orders[[#This Row],[Cost]]</f>
        <v>180</v>
      </c>
    </row>
    <row r="988" spans="1:9" x14ac:dyDescent="0.25">
      <c r="A988">
        <v>43</v>
      </c>
      <c r="B988" t="s">
        <v>118</v>
      </c>
      <c r="C988" t="s">
        <v>119</v>
      </c>
      <c r="D988" t="s">
        <v>120</v>
      </c>
      <c r="E988" t="s">
        <v>112</v>
      </c>
      <c r="F988" cm="1">
        <f t="array" ref="F988">_xlfn.XLOOKUP(Food_Orders[[#This Row],[Event_No]],Event_Master[[#All],[Event_No]],Event_Master[[#All],[Guest_Count]],,0)</f>
        <v>60</v>
      </c>
      <c r="G988" cm="1">
        <f t="array" ref="G988">Food_Orders[[#This Row],[Quantity_Orderd]]*_xlfn.XLOOKUP(Food_Orders[[#This Row],[Food_ID]],Food_Catalog[[#All],[Food_ID]],Food_Catalog[[#All],[Price_Per_Unit]],0,0)</f>
        <v>600</v>
      </c>
      <c r="H988" cm="1">
        <f t="array" ref="H988">Food_Orders[[#This Row],[Quantity_Orderd]]*_xlfn.XLOOKUP(Food_Orders[[#This Row],[Food_ID]],Food_Catalog[[#All],[Food_ID]],Food_Catalog[[#All],[Client_Price_Per_Unit]],0,0)</f>
        <v>720</v>
      </c>
      <c r="I988">
        <f>Food_Orders[[#This Row],[Client_Price]]-Food_Orders[[#This Row],[Cost]]</f>
        <v>120</v>
      </c>
    </row>
    <row r="989" spans="1:9" x14ac:dyDescent="0.25">
      <c r="A989">
        <v>43</v>
      </c>
      <c r="B989" t="s">
        <v>129</v>
      </c>
      <c r="C989" t="s">
        <v>119</v>
      </c>
      <c r="D989" t="s">
        <v>130</v>
      </c>
      <c r="E989" t="s">
        <v>112</v>
      </c>
      <c r="F989" cm="1">
        <f t="array" ref="F989">_xlfn.XLOOKUP(Food_Orders[[#This Row],[Event_No]],Event_Master[[#All],[Event_No]],Event_Master[[#All],[Guest_Count]],,0)</f>
        <v>60</v>
      </c>
      <c r="G989" cm="1">
        <f t="array" ref="G989">Food_Orders[[#This Row],[Quantity_Orderd]]*_xlfn.XLOOKUP(Food_Orders[[#This Row],[Food_ID]],Food_Catalog[[#All],[Food_ID]],Food_Catalog[[#All],[Price_Per_Unit]],0,0)</f>
        <v>600</v>
      </c>
      <c r="H989" cm="1">
        <f t="array" ref="H989">Food_Orders[[#This Row],[Quantity_Orderd]]*_xlfn.XLOOKUP(Food_Orders[[#This Row],[Food_ID]],Food_Catalog[[#All],[Food_ID]],Food_Catalog[[#All],[Client_Price_Per_Unit]],0,0)</f>
        <v>720</v>
      </c>
      <c r="I989">
        <f>Food_Orders[[#This Row],[Client_Price]]-Food_Orders[[#This Row],[Cost]]</f>
        <v>120</v>
      </c>
    </row>
    <row r="990" spans="1:9" x14ac:dyDescent="0.25">
      <c r="A990">
        <v>43</v>
      </c>
      <c r="B990" t="s">
        <v>127</v>
      </c>
      <c r="C990" t="s">
        <v>119</v>
      </c>
      <c r="D990" t="s">
        <v>128</v>
      </c>
      <c r="E990" t="s">
        <v>107</v>
      </c>
      <c r="F990" cm="1">
        <f t="array" ref="F990">_xlfn.XLOOKUP(Food_Orders[[#This Row],[Event_No]],Event_Master[[#All],[Event_No]],Event_Master[[#All],[Guest_Count]],,0)</f>
        <v>60</v>
      </c>
      <c r="G990" cm="1">
        <f t="array" ref="G990">Food_Orders[[#This Row],[Quantity_Orderd]]*_xlfn.XLOOKUP(Food_Orders[[#This Row],[Food_ID]],Food_Catalog[[#All],[Food_ID]],Food_Catalog[[#All],[Price_Per_Unit]],0,0)</f>
        <v>1200</v>
      </c>
      <c r="H990" cm="1">
        <f t="array" ref="H990">Food_Orders[[#This Row],[Quantity_Orderd]]*_xlfn.XLOOKUP(Food_Orders[[#This Row],[Food_ID]],Food_Catalog[[#All],[Food_ID]],Food_Catalog[[#All],[Client_Price_Per_Unit]],0,0)</f>
        <v>1440</v>
      </c>
      <c r="I990">
        <f>Food_Orders[[#This Row],[Client_Price]]-Food_Orders[[#This Row],[Cost]]</f>
        <v>240</v>
      </c>
    </row>
    <row r="991" spans="1:9" x14ac:dyDescent="0.25">
      <c r="A991">
        <v>43</v>
      </c>
      <c r="B991" t="s">
        <v>124</v>
      </c>
      <c r="C991" t="s">
        <v>119</v>
      </c>
      <c r="D991" t="s">
        <v>125</v>
      </c>
      <c r="E991" t="s">
        <v>126</v>
      </c>
      <c r="F991" cm="1">
        <f t="array" ref="F991">_xlfn.XLOOKUP(Food_Orders[[#This Row],[Event_No]],Event_Master[[#All],[Event_No]],Event_Master[[#All],[Guest_Count]],,0)</f>
        <v>60</v>
      </c>
      <c r="G991" cm="1">
        <f t="array" ref="G991">Food_Orders[[#This Row],[Quantity_Orderd]]*_xlfn.XLOOKUP(Food_Orders[[#This Row],[Food_ID]],Food_Catalog[[#All],[Food_ID]],Food_Catalog[[#All],[Price_Per_Unit]],0,0)</f>
        <v>1200</v>
      </c>
      <c r="H991" cm="1">
        <f t="array" ref="H991">Food_Orders[[#This Row],[Quantity_Orderd]]*_xlfn.XLOOKUP(Food_Orders[[#This Row],[Food_ID]],Food_Catalog[[#All],[Food_ID]],Food_Catalog[[#All],[Client_Price_Per_Unit]],0,0)</f>
        <v>1440</v>
      </c>
      <c r="I991">
        <f>Food_Orders[[#This Row],[Client_Price]]-Food_Orders[[#This Row],[Cost]]</f>
        <v>240</v>
      </c>
    </row>
    <row r="992" spans="1:9" x14ac:dyDescent="0.25">
      <c r="A992">
        <v>43</v>
      </c>
      <c r="B992" t="s">
        <v>121</v>
      </c>
      <c r="C992" t="s">
        <v>119</v>
      </c>
      <c r="D992" t="s">
        <v>122</v>
      </c>
      <c r="E992" t="s">
        <v>123</v>
      </c>
      <c r="F992" cm="1">
        <f t="array" ref="F992">_xlfn.XLOOKUP(Food_Orders[[#This Row],[Event_No]],Event_Master[[#All],[Event_No]],Event_Master[[#All],[Guest_Count]],,0)</f>
        <v>60</v>
      </c>
      <c r="G992" cm="1">
        <f t="array" ref="G992">Food_Orders[[#This Row],[Quantity_Orderd]]*_xlfn.XLOOKUP(Food_Orders[[#This Row],[Food_ID]],Food_Catalog[[#All],[Food_ID]],Food_Catalog[[#All],[Price_Per_Unit]],0,0)</f>
        <v>600</v>
      </c>
      <c r="H992" cm="1">
        <f t="array" ref="H992">Food_Orders[[#This Row],[Quantity_Orderd]]*_xlfn.XLOOKUP(Food_Orders[[#This Row],[Food_ID]],Food_Catalog[[#All],[Food_ID]],Food_Catalog[[#All],[Client_Price_Per_Unit]],0,0)</f>
        <v>720</v>
      </c>
      <c r="I992">
        <f>Food_Orders[[#This Row],[Client_Price]]-Food_Orders[[#This Row],[Cost]]</f>
        <v>120</v>
      </c>
    </row>
    <row r="993" spans="1:9" x14ac:dyDescent="0.25">
      <c r="A993">
        <v>44</v>
      </c>
      <c r="B993" t="s">
        <v>75</v>
      </c>
      <c r="C993" t="s">
        <v>61</v>
      </c>
      <c r="D993" t="s">
        <v>76</v>
      </c>
      <c r="E993" t="s">
        <v>10</v>
      </c>
      <c r="F993" cm="1">
        <f t="array" ref="F993">_xlfn.XLOOKUP(Food_Orders[[#This Row],[Event_No]],Event_Master[[#All],[Event_No]],Event_Master[[#All],[Guest_Count]],,0)</f>
        <v>40</v>
      </c>
      <c r="G993" cm="1">
        <f t="array" ref="G993">Food_Orders[[#This Row],[Quantity_Orderd]]*_xlfn.XLOOKUP(Food_Orders[[#This Row],[Food_ID]],Food_Catalog[[#All],[Food_ID]],Food_Catalog[[#All],[Price_Per_Unit]],0,0)</f>
        <v>1600</v>
      </c>
      <c r="H993" cm="1">
        <f t="array" ref="H993">Food_Orders[[#This Row],[Quantity_Orderd]]*_xlfn.XLOOKUP(Food_Orders[[#This Row],[Food_ID]],Food_Catalog[[#All],[Food_ID]],Food_Catalog[[#All],[Client_Price_Per_Unit]],0,0)</f>
        <v>1920</v>
      </c>
      <c r="I993">
        <f>Food_Orders[[#This Row],[Client_Price]]-Food_Orders[[#This Row],[Cost]]</f>
        <v>320</v>
      </c>
    </row>
    <row r="994" spans="1:9" x14ac:dyDescent="0.25">
      <c r="A994">
        <v>44</v>
      </c>
      <c r="B994" t="s">
        <v>69</v>
      </c>
      <c r="C994" t="s">
        <v>61</v>
      </c>
      <c r="D994" t="s">
        <v>70</v>
      </c>
      <c r="E994" t="s">
        <v>10</v>
      </c>
      <c r="F994" cm="1">
        <f t="array" ref="F994">_xlfn.XLOOKUP(Food_Orders[[#This Row],[Event_No]],Event_Master[[#All],[Event_No]],Event_Master[[#All],[Guest_Count]],,0)</f>
        <v>40</v>
      </c>
      <c r="G994" cm="1">
        <f t="array" ref="G994">Food_Orders[[#This Row],[Quantity_Orderd]]*_xlfn.XLOOKUP(Food_Orders[[#This Row],[Food_ID]],Food_Catalog[[#All],[Food_ID]],Food_Catalog[[#All],[Price_Per_Unit]],0,0)</f>
        <v>2000</v>
      </c>
      <c r="H994" cm="1">
        <f t="array" ref="H994">Food_Orders[[#This Row],[Quantity_Orderd]]*_xlfn.XLOOKUP(Food_Orders[[#This Row],[Food_ID]],Food_Catalog[[#All],[Food_ID]],Food_Catalog[[#All],[Client_Price_Per_Unit]],0,0)</f>
        <v>2400</v>
      </c>
      <c r="I994">
        <f>Food_Orders[[#This Row],[Client_Price]]-Food_Orders[[#This Row],[Cost]]</f>
        <v>400</v>
      </c>
    </row>
    <row r="995" spans="1:9" x14ac:dyDescent="0.25">
      <c r="A995">
        <v>44</v>
      </c>
      <c r="B995" t="s">
        <v>17</v>
      </c>
      <c r="C995" t="s">
        <v>8</v>
      </c>
      <c r="D995" t="s">
        <v>18</v>
      </c>
      <c r="E995" t="s">
        <v>10</v>
      </c>
      <c r="F995" cm="1">
        <f t="array" ref="F995">_xlfn.XLOOKUP(Food_Orders[[#This Row],[Event_No]],Event_Master[[#All],[Event_No]],Event_Master[[#All],[Guest_Count]],,0)</f>
        <v>40</v>
      </c>
      <c r="G995" cm="1">
        <f t="array" ref="G995">Food_Orders[[#This Row],[Quantity_Orderd]]*_xlfn.XLOOKUP(Food_Orders[[#This Row],[Food_ID]],Food_Catalog[[#All],[Food_ID]],Food_Catalog[[#All],[Price_Per_Unit]],0,0)</f>
        <v>1600</v>
      </c>
      <c r="H995" cm="1">
        <f t="array" ref="H995">Food_Orders[[#This Row],[Quantity_Orderd]]*_xlfn.XLOOKUP(Food_Orders[[#This Row],[Food_ID]],Food_Catalog[[#All],[Food_ID]],Food_Catalog[[#All],[Client_Price_Per_Unit]],0,0)</f>
        <v>1920</v>
      </c>
      <c r="I995">
        <f>Food_Orders[[#This Row],[Client_Price]]-Food_Orders[[#This Row],[Cost]]</f>
        <v>320</v>
      </c>
    </row>
    <row r="996" spans="1:9" x14ac:dyDescent="0.25">
      <c r="A996">
        <v>44</v>
      </c>
      <c r="B996" t="s">
        <v>27</v>
      </c>
      <c r="C996" t="s">
        <v>8</v>
      </c>
      <c r="D996" t="s">
        <v>28</v>
      </c>
      <c r="E996" t="s">
        <v>10</v>
      </c>
      <c r="F996" cm="1">
        <f t="array" ref="F996">_xlfn.XLOOKUP(Food_Orders[[#This Row],[Event_No]],Event_Master[[#All],[Event_No]],Event_Master[[#All],[Guest_Count]],,0)</f>
        <v>40</v>
      </c>
      <c r="G996" cm="1">
        <f t="array" ref="G996">Food_Orders[[#This Row],[Quantity_Orderd]]*_xlfn.XLOOKUP(Food_Orders[[#This Row],[Food_ID]],Food_Catalog[[#All],[Food_ID]],Food_Catalog[[#All],[Price_Per_Unit]],0,0)</f>
        <v>1600</v>
      </c>
      <c r="H996" cm="1">
        <f t="array" ref="H996">Food_Orders[[#This Row],[Quantity_Orderd]]*_xlfn.XLOOKUP(Food_Orders[[#This Row],[Food_ID]],Food_Catalog[[#All],[Food_ID]],Food_Catalog[[#All],[Client_Price_Per_Unit]],0,0)</f>
        <v>1920</v>
      </c>
      <c r="I996">
        <f>Food_Orders[[#This Row],[Client_Price]]-Food_Orders[[#This Row],[Cost]]</f>
        <v>320</v>
      </c>
    </row>
    <row r="997" spans="1:9" x14ac:dyDescent="0.25">
      <c r="A997">
        <v>44</v>
      </c>
      <c r="B997" t="s">
        <v>42</v>
      </c>
      <c r="C997" t="s">
        <v>40</v>
      </c>
      <c r="D997" t="s">
        <v>43</v>
      </c>
      <c r="E997" t="s">
        <v>10</v>
      </c>
      <c r="F997" cm="1">
        <f t="array" ref="F997">_xlfn.XLOOKUP(Food_Orders[[#This Row],[Event_No]],Event_Master[[#All],[Event_No]],Event_Master[[#All],[Guest_Count]],,0)</f>
        <v>40</v>
      </c>
      <c r="G997" cm="1">
        <f t="array" ref="G997">Food_Orders[[#This Row],[Quantity_Orderd]]*_xlfn.XLOOKUP(Food_Orders[[#This Row],[Food_ID]],Food_Catalog[[#All],[Food_ID]],Food_Catalog[[#All],[Price_Per_Unit]],0,0)</f>
        <v>2800</v>
      </c>
      <c r="H997" cm="1">
        <f t="array" ref="H997">Food_Orders[[#This Row],[Quantity_Orderd]]*_xlfn.XLOOKUP(Food_Orders[[#This Row],[Food_ID]],Food_Catalog[[#All],[Food_ID]],Food_Catalog[[#All],[Client_Price_Per_Unit]],0,0)</f>
        <v>3360</v>
      </c>
      <c r="I997">
        <f>Food_Orders[[#This Row],[Client_Price]]-Food_Orders[[#This Row],[Cost]]</f>
        <v>560</v>
      </c>
    </row>
    <row r="998" spans="1:9" x14ac:dyDescent="0.25">
      <c r="A998">
        <v>44</v>
      </c>
      <c r="B998" t="s">
        <v>58</v>
      </c>
      <c r="C998" t="s">
        <v>40</v>
      </c>
      <c r="D998" t="s">
        <v>59</v>
      </c>
      <c r="E998" t="s">
        <v>10</v>
      </c>
      <c r="F998" cm="1">
        <f t="array" ref="F998">_xlfn.XLOOKUP(Food_Orders[[#This Row],[Event_No]],Event_Master[[#All],[Event_No]],Event_Master[[#All],[Guest_Count]],,0)</f>
        <v>40</v>
      </c>
      <c r="G998" cm="1">
        <f t="array" ref="G998">Food_Orders[[#This Row],[Quantity_Orderd]]*_xlfn.XLOOKUP(Food_Orders[[#This Row],[Food_ID]],Food_Catalog[[#All],[Food_ID]],Food_Catalog[[#All],[Price_Per_Unit]],0,0)</f>
        <v>3600</v>
      </c>
      <c r="H998" cm="1">
        <f t="array" ref="H998">Food_Orders[[#This Row],[Quantity_Orderd]]*_xlfn.XLOOKUP(Food_Orders[[#This Row],[Food_ID]],Food_Catalog[[#All],[Food_ID]],Food_Catalog[[#All],[Client_Price_Per_Unit]],0,0)</f>
        <v>4320</v>
      </c>
      <c r="I998">
        <f>Food_Orders[[#This Row],[Client_Price]]-Food_Orders[[#This Row],[Cost]]</f>
        <v>720</v>
      </c>
    </row>
    <row r="999" spans="1:9" x14ac:dyDescent="0.25">
      <c r="A999">
        <v>44</v>
      </c>
      <c r="B999" t="s">
        <v>82</v>
      </c>
      <c r="C999" t="s">
        <v>83</v>
      </c>
      <c r="D999" t="s">
        <v>84</v>
      </c>
      <c r="E999" t="s">
        <v>85</v>
      </c>
      <c r="F999" cm="1">
        <f t="array" ref="F999">_xlfn.XLOOKUP(Food_Orders[[#This Row],[Event_No]],Event_Master[[#All],[Event_No]],Event_Master[[#All],[Guest_Count]],,0)</f>
        <v>40</v>
      </c>
      <c r="G999" cm="1">
        <f t="array" ref="G999">Food_Orders[[#This Row],[Quantity_Orderd]]*_xlfn.XLOOKUP(Food_Orders[[#This Row],[Food_ID]],Food_Catalog[[#All],[Food_ID]],Food_Catalog[[#All],[Price_Per_Unit]],0,0)</f>
        <v>800</v>
      </c>
      <c r="H999" cm="1">
        <f t="array" ref="H999">Food_Orders[[#This Row],[Quantity_Orderd]]*_xlfn.XLOOKUP(Food_Orders[[#This Row],[Food_ID]],Food_Catalog[[#All],[Food_ID]],Food_Catalog[[#All],[Client_Price_Per_Unit]],0,0)</f>
        <v>960</v>
      </c>
      <c r="I999">
        <f>Food_Orders[[#This Row],[Client_Price]]-Food_Orders[[#This Row],[Cost]]</f>
        <v>160</v>
      </c>
    </row>
    <row r="1000" spans="1:9" x14ac:dyDescent="0.25">
      <c r="A1000">
        <v>44</v>
      </c>
      <c r="B1000" t="s">
        <v>100</v>
      </c>
      <c r="C1000" t="s">
        <v>83</v>
      </c>
      <c r="D1000" t="s">
        <v>101</v>
      </c>
      <c r="E1000" t="s">
        <v>79</v>
      </c>
      <c r="F1000" cm="1">
        <f t="array" ref="F1000">_xlfn.XLOOKUP(Food_Orders[[#This Row],[Event_No]],Event_Master[[#All],[Event_No]],Event_Master[[#All],[Guest_Count]],,0)</f>
        <v>40</v>
      </c>
      <c r="G1000" cm="1">
        <f t="array" ref="G1000">Food_Orders[[#This Row],[Quantity_Orderd]]*_xlfn.XLOOKUP(Food_Orders[[#This Row],[Food_ID]],Food_Catalog[[#All],[Food_ID]],Food_Catalog[[#All],[Price_Per_Unit]],0,0)</f>
        <v>1400</v>
      </c>
      <c r="H1000" cm="1">
        <f t="array" ref="H1000">Food_Orders[[#This Row],[Quantity_Orderd]]*_xlfn.XLOOKUP(Food_Orders[[#This Row],[Food_ID]],Food_Catalog[[#All],[Food_ID]],Food_Catalog[[#All],[Client_Price_Per_Unit]],0,0)</f>
        <v>1680</v>
      </c>
      <c r="I1000">
        <f>Food_Orders[[#This Row],[Client_Price]]-Food_Orders[[#This Row],[Cost]]</f>
        <v>280</v>
      </c>
    </row>
    <row r="1001" spans="1:9" x14ac:dyDescent="0.25">
      <c r="A1001">
        <v>44</v>
      </c>
      <c r="B1001" t="s">
        <v>108</v>
      </c>
      <c r="C1001" t="s">
        <v>105</v>
      </c>
      <c r="D1001" t="s">
        <v>109</v>
      </c>
      <c r="E1001" t="s">
        <v>107</v>
      </c>
      <c r="F1001" cm="1">
        <f t="array" ref="F1001">_xlfn.XLOOKUP(Food_Orders[[#This Row],[Event_No]],Event_Master[[#All],[Event_No]],Event_Master[[#All],[Guest_Count]],,0)</f>
        <v>40</v>
      </c>
      <c r="G1001" cm="1">
        <f t="array" ref="G1001">Food_Orders[[#This Row],[Quantity_Orderd]]*_xlfn.XLOOKUP(Food_Orders[[#This Row],[Food_ID]],Food_Catalog[[#All],[Food_ID]],Food_Catalog[[#All],[Price_Per_Unit]],0,0)</f>
        <v>600</v>
      </c>
      <c r="H1001" cm="1">
        <f t="array" ref="H1001">Food_Orders[[#This Row],[Quantity_Orderd]]*_xlfn.XLOOKUP(Food_Orders[[#This Row],[Food_ID]],Food_Catalog[[#All],[Food_ID]],Food_Catalog[[#All],[Client_Price_Per_Unit]],0,0)</f>
        <v>720</v>
      </c>
      <c r="I1001">
        <f>Food_Orders[[#This Row],[Client_Price]]-Food_Orders[[#This Row],[Cost]]</f>
        <v>120</v>
      </c>
    </row>
    <row r="1002" spans="1:9" x14ac:dyDescent="0.25">
      <c r="A1002">
        <v>44</v>
      </c>
      <c r="B1002" t="s">
        <v>118</v>
      </c>
      <c r="C1002" t="s">
        <v>119</v>
      </c>
      <c r="D1002" t="s">
        <v>120</v>
      </c>
      <c r="E1002" t="s">
        <v>112</v>
      </c>
      <c r="F1002" cm="1">
        <f t="array" ref="F1002">_xlfn.XLOOKUP(Food_Orders[[#This Row],[Event_No]],Event_Master[[#All],[Event_No]],Event_Master[[#All],[Guest_Count]],,0)</f>
        <v>40</v>
      </c>
      <c r="G1002" cm="1">
        <f t="array" ref="G1002">Food_Orders[[#This Row],[Quantity_Orderd]]*_xlfn.XLOOKUP(Food_Orders[[#This Row],[Food_ID]],Food_Catalog[[#All],[Food_ID]],Food_Catalog[[#All],[Price_Per_Unit]],0,0)</f>
        <v>400</v>
      </c>
      <c r="H1002" cm="1">
        <f t="array" ref="H1002">Food_Orders[[#This Row],[Quantity_Orderd]]*_xlfn.XLOOKUP(Food_Orders[[#This Row],[Food_ID]],Food_Catalog[[#All],[Food_ID]],Food_Catalog[[#All],[Client_Price_Per_Unit]],0,0)</f>
        <v>480</v>
      </c>
      <c r="I1002">
        <f>Food_Orders[[#This Row],[Client_Price]]-Food_Orders[[#This Row],[Cost]]</f>
        <v>80</v>
      </c>
    </row>
    <row r="1003" spans="1:9" x14ac:dyDescent="0.25">
      <c r="A1003">
        <v>45</v>
      </c>
      <c r="B1003" t="s">
        <v>118</v>
      </c>
      <c r="C1003" t="s">
        <v>119</v>
      </c>
      <c r="D1003" t="s">
        <v>120</v>
      </c>
      <c r="E1003" t="s">
        <v>112</v>
      </c>
      <c r="F1003" cm="1">
        <f t="array" ref="F1003">_xlfn.XLOOKUP(Food_Orders[[#This Row],[Event_No]],Event_Master[[#All],[Event_No]],Event_Master[[#All],[Guest_Count]],,0)</f>
        <v>150</v>
      </c>
      <c r="G1003" cm="1">
        <f t="array" ref="G1003">Food_Orders[[#This Row],[Quantity_Orderd]]*_xlfn.XLOOKUP(Food_Orders[[#This Row],[Food_ID]],Food_Catalog[[#All],[Food_ID]],Food_Catalog[[#All],[Price_Per_Unit]],0,0)</f>
        <v>1500</v>
      </c>
      <c r="H1003" cm="1">
        <f t="array" ref="H1003">Food_Orders[[#This Row],[Quantity_Orderd]]*_xlfn.XLOOKUP(Food_Orders[[#This Row],[Food_ID]],Food_Catalog[[#All],[Food_ID]],Food_Catalog[[#All],[Client_Price_Per_Unit]],0,0)</f>
        <v>1800</v>
      </c>
      <c r="I1003">
        <f>Food_Orders[[#This Row],[Client_Price]]-Food_Orders[[#This Row],[Cost]]</f>
        <v>300</v>
      </c>
    </row>
    <row r="1004" spans="1:9" x14ac:dyDescent="0.25">
      <c r="A1004">
        <v>45</v>
      </c>
      <c r="B1004" t="s">
        <v>129</v>
      </c>
      <c r="C1004" t="s">
        <v>119</v>
      </c>
      <c r="D1004" t="s">
        <v>130</v>
      </c>
      <c r="E1004" t="s">
        <v>112</v>
      </c>
      <c r="F1004" cm="1">
        <f t="array" ref="F1004">_xlfn.XLOOKUP(Food_Orders[[#This Row],[Event_No]],Event_Master[[#All],[Event_No]],Event_Master[[#All],[Guest_Count]],,0)</f>
        <v>150</v>
      </c>
      <c r="G1004" cm="1">
        <f t="array" ref="G1004">Food_Orders[[#This Row],[Quantity_Orderd]]*_xlfn.XLOOKUP(Food_Orders[[#This Row],[Food_ID]],Food_Catalog[[#All],[Food_ID]],Food_Catalog[[#All],[Price_Per_Unit]],0,0)</f>
        <v>1500</v>
      </c>
      <c r="H1004" cm="1">
        <f t="array" ref="H1004">Food_Orders[[#This Row],[Quantity_Orderd]]*_xlfn.XLOOKUP(Food_Orders[[#This Row],[Food_ID]],Food_Catalog[[#All],[Food_ID]],Food_Catalog[[#All],[Client_Price_Per_Unit]],0,0)</f>
        <v>1800</v>
      </c>
      <c r="I1004">
        <f>Food_Orders[[#This Row],[Client_Price]]-Food_Orders[[#This Row],[Cost]]</f>
        <v>300</v>
      </c>
    </row>
    <row r="1005" spans="1:9" x14ac:dyDescent="0.25">
      <c r="A1005">
        <v>45</v>
      </c>
      <c r="B1005" t="s">
        <v>104</v>
      </c>
      <c r="C1005" t="s">
        <v>105</v>
      </c>
      <c r="D1005" t="s">
        <v>106</v>
      </c>
      <c r="E1005" t="s">
        <v>107</v>
      </c>
      <c r="F1005" cm="1">
        <f t="array" ref="F1005">_xlfn.XLOOKUP(Food_Orders[[#This Row],[Event_No]],Event_Master[[#All],[Event_No]],Event_Master[[#All],[Guest_Count]],,0)</f>
        <v>150</v>
      </c>
      <c r="G1005" cm="1">
        <f t="array" ref="G1005">Food_Orders[[#This Row],[Quantity_Orderd]]*_xlfn.XLOOKUP(Food_Orders[[#This Row],[Food_ID]],Food_Catalog[[#All],[Food_ID]],Food_Catalog[[#All],[Price_Per_Unit]],0,0)</f>
        <v>1500</v>
      </c>
      <c r="H1005" cm="1">
        <f t="array" ref="H1005">Food_Orders[[#This Row],[Quantity_Orderd]]*_xlfn.XLOOKUP(Food_Orders[[#This Row],[Food_ID]],Food_Catalog[[#All],[Food_ID]],Food_Catalog[[#All],[Client_Price_Per_Unit]],0,0)</f>
        <v>1800</v>
      </c>
      <c r="I1005">
        <f>Food_Orders[[#This Row],[Client_Price]]-Food_Orders[[#This Row],[Cost]]</f>
        <v>300</v>
      </c>
    </row>
    <row r="1006" spans="1:9" x14ac:dyDescent="0.25">
      <c r="A1006">
        <v>45</v>
      </c>
      <c r="B1006" t="s">
        <v>108</v>
      </c>
      <c r="C1006" t="s">
        <v>105</v>
      </c>
      <c r="D1006" t="s">
        <v>109</v>
      </c>
      <c r="E1006" t="s">
        <v>107</v>
      </c>
      <c r="F1006" cm="1">
        <f t="array" ref="F1006">_xlfn.XLOOKUP(Food_Orders[[#This Row],[Event_No]],Event_Master[[#All],[Event_No]],Event_Master[[#All],[Guest_Count]],,0)</f>
        <v>150</v>
      </c>
      <c r="G1006" cm="1">
        <f t="array" ref="G1006">Food_Orders[[#This Row],[Quantity_Orderd]]*_xlfn.XLOOKUP(Food_Orders[[#This Row],[Food_ID]],Food_Catalog[[#All],[Food_ID]],Food_Catalog[[#All],[Price_Per_Unit]],0,0)</f>
        <v>2250</v>
      </c>
      <c r="H1006" cm="1">
        <f t="array" ref="H1006">Food_Orders[[#This Row],[Quantity_Orderd]]*_xlfn.XLOOKUP(Food_Orders[[#This Row],[Food_ID]],Food_Catalog[[#All],[Food_ID]],Food_Catalog[[#All],[Client_Price_Per_Unit]],0,0)</f>
        <v>2700</v>
      </c>
      <c r="I1006">
        <f>Food_Orders[[#This Row],[Client_Price]]-Food_Orders[[#This Row],[Cost]]</f>
        <v>450</v>
      </c>
    </row>
    <row r="1007" spans="1:9" x14ac:dyDescent="0.25">
      <c r="A1007">
        <v>45</v>
      </c>
      <c r="B1007" t="s">
        <v>127</v>
      </c>
      <c r="C1007" t="s">
        <v>119</v>
      </c>
      <c r="D1007" t="s">
        <v>128</v>
      </c>
      <c r="E1007" t="s">
        <v>107</v>
      </c>
      <c r="F1007" cm="1">
        <f t="array" ref="F1007">_xlfn.XLOOKUP(Food_Orders[[#This Row],[Event_No]],Event_Master[[#All],[Event_No]],Event_Master[[#All],[Guest_Count]],,0)</f>
        <v>150</v>
      </c>
      <c r="G1007" cm="1">
        <f t="array" ref="G1007">Food_Orders[[#This Row],[Quantity_Orderd]]*_xlfn.XLOOKUP(Food_Orders[[#This Row],[Food_ID]],Food_Catalog[[#All],[Food_ID]],Food_Catalog[[#All],[Price_Per_Unit]],0,0)</f>
        <v>3000</v>
      </c>
      <c r="H1007" cm="1">
        <f t="array" ref="H1007">Food_Orders[[#This Row],[Quantity_Orderd]]*_xlfn.XLOOKUP(Food_Orders[[#This Row],[Food_ID]],Food_Catalog[[#All],[Food_ID]],Food_Catalog[[#All],[Client_Price_Per_Unit]],0,0)</f>
        <v>3600</v>
      </c>
      <c r="I1007">
        <f>Food_Orders[[#This Row],[Client_Price]]-Food_Orders[[#This Row],[Cost]]</f>
        <v>600</v>
      </c>
    </row>
    <row r="1008" spans="1:9" x14ac:dyDescent="0.25">
      <c r="A1008">
        <v>45</v>
      </c>
      <c r="B1008" t="s">
        <v>124</v>
      </c>
      <c r="C1008" t="s">
        <v>119</v>
      </c>
      <c r="D1008" t="s">
        <v>125</v>
      </c>
      <c r="E1008" t="s">
        <v>126</v>
      </c>
      <c r="F1008" cm="1">
        <f t="array" ref="F1008">_xlfn.XLOOKUP(Food_Orders[[#This Row],[Event_No]],Event_Master[[#All],[Event_No]],Event_Master[[#All],[Guest_Count]],,0)</f>
        <v>150</v>
      </c>
      <c r="G1008" cm="1">
        <f t="array" ref="G1008">Food_Orders[[#This Row],[Quantity_Orderd]]*_xlfn.XLOOKUP(Food_Orders[[#This Row],[Food_ID]],Food_Catalog[[#All],[Food_ID]],Food_Catalog[[#All],[Price_Per_Unit]],0,0)</f>
        <v>3000</v>
      </c>
      <c r="H1008" cm="1">
        <f t="array" ref="H1008">Food_Orders[[#This Row],[Quantity_Orderd]]*_xlfn.XLOOKUP(Food_Orders[[#This Row],[Food_ID]],Food_Catalog[[#All],[Food_ID]],Food_Catalog[[#All],[Client_Price_Per_Unit]],0,0)</f>
        <v>3600</v>
      </c>
      <c r="I1008">
        <f>Food_Orders[[#This Row],[Client_Price]]-Food_Orders[[#This Row],[Cost]]</f>
        <v>600</v>
      </c>
    </row>
    <row r="1009" spans="1:9" x14ac:dyDescent="0.25">
      <c r="A1009">
        <v>45</v>
      </c>
      <c r="B1009" t="s">
        <v>121</v>
      </c>
      <c r="C1009" t="s">
        <v>119</v>
      </c>
      <c r="D1009" t="s">
        <v>122</v>
      </c>
      <c r="E1009" t="s">
        <v>123</v>
      </c>
      <c r="F1009" cm="1">
        <f t="array" ref="F1009">_xlfn.XLOOKUP(Food_Orders[[#This Row],[Event_No]],Event_Master[[#All],[Event_No]],Event_Master[[#All],[Guest_Count]],,0)</f>
        <v>150</v>
      </c>
      <c r="G1009" cm="1">
        <f t="array" ref="G1009">Food_Orders[[#This Row],[Quantity_Orderd]]*_xlfn.XLOOKUP(Food_Orders[[#This Row],[Food_ID]],Food_Catalog[[#All],[Food_ID]],Food_Catalog[[#All],[Price_Per_Unit]],0,0)</f>
        <v>1500</v>
      </c>
      <c r="H1009" cm="1">
        <f t="array" ref="H1009">Food_Orders[[#This Row],[Quantity_Orderd]]*_xlfn.XLOOKUP(Food_Orders[[#This Row],[Food_ID]],Food_Catalog[[#All],[Food_ID]],Food_Catalog[[#All],[Client_Price_Per_Unit]],0,0)</f>
        <v>1800</v>
      </c>
      <c r="I1009">
        <f>Food_Orders[[#This Row],[Client_Price]]-Food_Orders[[#This Row],[Cost]]</f>
        <v>300</v>
      </c>
    </row>
    <row r="1010" spans="1:9" x14ac:dyDescent="0.25">
      <c r="A1010">
        <v>45</v>
      </c>
      <c r="B1010" t="s">
        <v>63</v>
      </c>
      <c r="C1010" t="s">
        <v>61</v>
      </c>
      <c r="D1010" t="s">
        <v>64</v>
      </c>
      <c r="E1010" t="s">
        <v>10</v>
      </c>
      <c r="F1010" cm="1">
        <f t="array" ref="F1010">_xlfn.XLOOKUP(Food_Orders[[#This Row],[Event_No]],Event_Master[[#All],[Event_No]],Event_Master[[#All],[Guest_Count]],,0)</f>
        <v>150</v>
      </c>
      <c r="G1010" cm="1">
        <f t="array" ref="G1010">Food_Orders[[#This Row],[Quantity_Orderd]]*_xlfn.XLOOKUP(Food_Orders[[#This Row],[Food_ID]],Food_Catalog[[#All],[Food_ID]],Food_Catalog[[#All],[Price_Per_Unit]],0,0)</f>
        <v>4500</v>
      </c>
      <c r="H1010" cm="1">
        <f t="array" ref="H1010">Food_Orders[[#This Row],[Quantity_Orderd]]*_xlfn.XLOOKUP(Food_Orders[[#This Row],[Food_ID]],Food_Catalog[[#All],[Food_ID]],Food_Catalog[[#All],[Client_Price_Per_Unit]],0,0)</f>
        <v>5400</v>
      </c>
      <c r="I1010">
        <f>Food_Orders[[#This Row],[Client_Price]]-Food_Orders[[#This Row],[Cost]]</f>
        <v>900</v>
      </c>
    </row>
    <row r="1011" spans="1:9" x14ac:dyDescent="0.25">
      <c r="A1011">
        <v>45</v>
      </c>
      <c r="B1011" t="s">
        <v>71</v>
      </c>
      <c r="C1011" t="s">
        <v>61</v>
      </c>
      <c r="D1011" t="s">
        <v>72</v>
      </c>
      <c r="E1011" t="s">
        <v>10</v>
      </c>
      <c r="F1011" cm="1">
        <f t="array" ref="F1011">_xlfn.XLOOKUP(Food_Orders[[#This Row],[Event_No]],Event_Master[[#All],[Event_No]],Event_Master[[#All],[Guest_Count]],,0)</f>
        <v>150</v>
      </c>
      <c r="G1011" cm="1">
        <f t="array" ref="G1011">Food_Orders[[#This Row],[Quantity_Orderd]]*_xlfn.XLOOKUP(Food_Orders[[#This Row],[Food_ID]],Food_Catalog[[#All],[Food_ID]],Food_Catalog[[#All],[Price_Per_Unit]],0,0)</f>
        <v>3750</v>
      </c>
      <c r="H1011" cm="1">
        <f t="array" ref="H1011">Food_Orders[[#This Row],[Quantity_Orderd]]*_xlfn.XLOOKUP(Food_Orders[[#This Row],[Food_ID]],Food_Catalog[[#All],[Food_ID]],Food_Catalog[[#All],[Client_Price_Per_Unit]],0,0)</f>
        <v>4500</v>
      </c>
      <c r="I1011">
        <f>Food_Orders[[#This Row],[Client_Price]]-Food_Orders[[#This Row],[Cost]]</f>
        <v>750</v>
      </c>
    </row>
    <row r="1012" spans="1:9" x14ac:dyDescent="0.25">
      <c r="A1012">
        <v>45</v>
      </c>
      <c r="B1012" t="s">
        <v>29</v>
      </c>
      <c r="C1012" t="s">
        <v>8</v>
      </c>
      <c r="D1012" t="s">
        <v>30</v>
      </c>
      <c r="E1012" t="s">
        <v>10</v>
      </c>
      <c r="F1012" cm="1">
        <f t="array" ref="F1012">_xlfn.XLOOKUP(Food_Orders[[#This Row],[Event_No]],Event_Master[[#All],[Event_No]],Event_Master[[#All],[Guest_Count]],,0)</f>
        <v>150</v>
      </c>
      <c r="G1012" cm="1">
        <f t="array" ref="G1012">Food_Orders[[#This Row],[Quantity_Orderd]]*_xlfn.XLOOKUP(Food_Orders[[#This Row],[Food_ID]],Food_Catalog[[#All],[Food_ID]],Food_Catalog[[#All],[Price_Per_Unit]],0,0)</f>
        <v>4500</v>
      </c>
      <c r="H1012" cm="1">
        <f t="array" ref="H1012">Food_Orders[[#This Row],[Quantity_Orderd]]*_xlfn.XLOOKUP(Food_Orders[[#This Row],[Food_ID]],Food_Catalog[[#All],[Food_ID]],Food_Catalog[[#All],[Client_Price_Per_Unit]],0,0)</f>
        <v>5400</v>
      </c>
      <c r="I1012">
        <f>Food_Orders[[#This Row],[Client_Price]]-Food_Orders[[#This Row],[Cost]]</f>
        <v>900</v>
      </c>
    </row>
    <row r="1013" spans="1:9" x14ac:dyDescent="0.25">
      <c r="A1013">
        <v>45</v>
      </c>
      <c r="B1013" t="s">
        <v>37</v>
      </c>
      <c r="C1013" t="s">
        <v>8</v>
      </c>
      <c r="D1013" t="s">
        <v>38</v>
      </c>
      <c r="E1013" t="s">
        <v>10</v>
      </c>
      <c r="F1013" cm="1">
        <f t="array" ref="F1013">_xlfn.XLOOKUP(Food_Orders[[#This Row],[Event_No]],Event_Master[[#All],[Event_No]],Event_Master[[#All],[Guest_Count]],,0)</f>
        <v>150</v>
      </c>
      <c r="G1013" cm="1">
        <f t="array" ref="G1013">Food_Orders[[#This Row],[Quantity_Orderd]]*_xlfn.XLOOKUP(Food_Orders[[#This Row],[Food_ID]],Food_Catalog[[#All],[Food_ID]],Food_Catalog[[#All],[Price_Per_Unit]],0,0)</f>
        <v>3750</v>
      </c>
      <c r="H1013" cm="1">
        <f t="array" ref="H1013">Food_Orders[[#This Row],[Quantity_Orderd]]*_xlfn.XLOOKUP(Food_Orders[[#This Row],[Food_ID]],Food_Catalog[[#All],[Food_ID]],Food_Catalog[[#All],[Client_Price_Per_Unit]],0,0)</f>
        <v>4500</v>
      </c>
      <c r="I1013">
        <f>Food_Orders[[#This Row],[Client_Price]]-Food_Orders[[#This Row],[Cost]]</f>
        <v>750</v>
      </c>
    </row>
    <row r="1014" spans="1:9" x14ac:dyDescent="0.25">
      <c r="A1014">
        <v>45</v>
      </c>
      <c r="B1014" t="s">
        <v>92</v>
      </c>
      <c r="C1014" t="s">
        <v>83</v>
      </c>
      <c r="D1014" t="s">
        <v>93</v>
      </c>
      <c r="E1014" t="s">
        <v>85</v>
      </c>
      <c r="F1014" cm="1">
        <f t="array" ref="F1014">_xlfn.XLOOKUP(Food_Orders[[#This Row],[Event_No]],Event_Master[[#All],[Event_No]],Event_Master[[#All],[Guest_Count]],,0)</f>
        <v>150</v>
      </c>
      <c r="G1014" cm="1">
        <f t="array" ref="G1014">Food_Orders[[#This Row],[Quantity_Orderd]]*_xlfn.XLOOKUP(Food_Orders[[#This Row],[Food_ID]],Food_Catalog[[#All],[Food_ID]],Food_Catalog[[#All],[Price_Per_Unit]],0,0)</f>
        <v>2250</v>
      </c>
      <c r="H1014" cm="1">
        <f t="array" ref="H1014">Food_Orders[[#This Row],[Quantity_Orderd]]*_xlfn.XLOOKUP(Food_Orders[[#This Row],[Food_ID]],Food_Catalog[[#All],[Food_ID]],Food_Catalog[[#All],[Client_Price_Per_Unit]],0,0)</f>
        <v>2700</v>
      </c>
      <c r="I1014">
        <f>Food_Orders[[#This Row],[Client_Price]]-Food_Orders[[#This Row],[Cost]]</f>
        <v>450</v>
      </c>
    </row>
    <row r="1015" spans="1:9" x14ac:dyDescent="0.25">
      <c r="A1015">
        <v>45</v>
      </c>
      <c r="B1015" t="s">
        <v>98</v>
      </c>
      <c r="C1015" t="s">
        <v>83</v>
      </c>
      <c r="D1015" t="s">
        <v>99</v>
      </c>
      <c r="E1015" t="s">
        <v>85</v>
      </c>
      <c r="F1015" cm="1">
        <f t="array" ref="F1015">_xlfn.XLOOKUP(Food_Orders[[#This Row],[Event_No]],Event_Master[[#All],[Event_No]],Event_Master[[#All],[Guest_Count]],,0)</f>
        <v>150</v>
      </c>
      <c r="G1015" cm="1">
        <f t="array" ref="G1015">Food_Orders[[#This Row],[Quantity_Orderd]]*_xlfn.XLOOKUP(Food_Orders[[#This Row],[Food_ID]],Food_Catalog[[#All],[Food_ID]],Food_Catalog[[#All],[Price_Per_Unit]],0,0)</f>
        <v>2250</v>
      </c>
      <c r="H1015" cm="1">
        <f t="array" ref="H1015">Food_Orders[[#This Row],[Quantity_Orderd]]*_xlfn.XLOOKUP(Food_Orders[[#This Row],[Food_ID]],Food_Catalog[[#All],[Food_ID]],Food_Catalog[[#All],[Client_Price_Per_Unit]],0,0)</f>
        <v>2700</v>
      </c>
      <c r="I1015">
        <f>Food_Orders[[#This Row],[Client_Price]]-Food_Orders[[#This Row],[Cost]]</f>
        <v>450</v>
      </c>
    </row>
    <row r="1016" spans="1:9" x14ac:dyDescent="0.25">
      <c r="A1016">
        <v>45</v>
      </c>
      <c r="B1016" t="s">
        <v>82</v>
      </c>
      <c r="C1016" t="s">
        <v>83</v>
      </c>
      <c r="D1016" t="s">
        <v>84</v>
      </c>
      <c r="E1016" t="s">
        <v>85</v>
      </c>
      <c r="F1016" cm="1">
        <f t="array" ref="F1016">_xlfn.XLOOKUP(Food_Orders[[#This Row],[Event_No]],Event_Master[[#All],[Event_No]],Event_Master[[#All],[Guest_Count]],,0)</f>
        <v>150</v>
      </c>
      <c r="G1016" cm="1">
        <f t="array" ref="G1016">Food_Orders[[#This Row],[Quantity_Orderd]]*_xlfn.XLOOKUP(Food_Orders[[#This Row],[Food_ID]],Food_Catalog[[#All],[Food_ID]],Food_Catalog[[#All],[Price_Per_Unit]],0,0)</f>
        <v>3000</v>
      </c>
      <c r="H1016" cm="1">
        <f t="array" ref="H1016">Food_Orders[[#This Row],[Quantity_Orderd]]*_xlfn.XLOOKUP(Food_Orders[[#This Row],[Food_ID]],Food_Catalog[[#All],[Food_ID]],Food_Catalog[[#All],[Client_Price_Per_Unit]],0,0)</f>
        <v>3600</v>
      </c>
      <c r="I1016">
        <f>Food_Orders[[#This Row],[Client_Price]]-Food_Orders[[#This Row],[Cost]]</f>
        <v>600</v>
      </c>
    </row>
    <row r="1017" spans="1:9" x14ac:dyDescent="0.25">
      <c r="A1017">
        <v>45</v>
      </c>
      <c r="B1017" t="s">
        <v>96</v>
      </c>
      <c r="C1017" t="s">
        <v>83</v>
      </c>
      <c r="D1017" t="s">
        <v>97</v>
      </c>
      <c r="E1017" t="s">
        <v>79</v>
      </c>
      <c r="F1017" cm="1">
        <f t="array" ref="F1017">_xlfn.XLOOKUP(Food_Orders[[#This Row],[Event_No]],Event_Master[[#All],[Event_No]],Event_Master[[#All],[Guest_Count]],,0)</f>
        <v>150</v>
      </c>
      <c r="G1017" cm="1">
        <f t="array" ref="G1017">Food_Orders[[#This Row],[Quantity_Orderd]]*_xlfn.XLOOKUP(Food_Orders[[#This Row],[Food_ID]],Food_Catalog[[#All],[Food_ID]],Food_Catalog[[#All],[Price_Per_Unit]],0,0)</f>
        <v>4500</v>
      </c>
      <c r="H1017" cm="1">
        <f t="array" ref="H1017">Food_Orders[[#This Row],[Quantity_Orderd]]*_xlfn.XLOOKUP(Food_Orders[[#This Row],[Food_ID]],Food_Catalog[[#All],[Food_ID]],Food_Catalog[[#All],[Client_Price_Per_Unit]],0,0)</f>
        <v>5400</v>
      </c>
      <c r="I1017">
        <f>Food_Orders[[#This Row],[Client_Price]]-Food_Orders[[#This Row],[Cost]]</f>
        <v>900</v>
      </c>
    </row>
    <row r="1018" spans="1:9" x14ac:dyDescent="0.25">
      <c r="A1018">
        <v>45</v>
      </c>
      <c r="B1018" t="s">
        <v>115</v>
      </c>
      <c r="C1018" t="s">
        <v>105</v>
      </c>
      <c r="D1018" t="s">
        <v>116</v>
      </c>
      <c r="E1018" t="s">
        <v>117</v>
      </c>
      <c r="F1018" cm="1">
        <f t="array" ref="F1018">_xlfn.XLOOKUP(Food_Orders[[#This Row],[Event_No]],Event_Master[[#All],[Event_No]],Event_Master[[#All],[Guest_Count]],,0)</f>
        <v>150</v>
      </c>
      <c r="G1018" cm="1">
        <f t="array" ref="G1018">Food_Orders[[#This Row],[Quantity_Orderd]]*_xlfn.XLOOKUP(Food_Orders[[#This Row],[Food_ID]],Food_Catalog[[#All],[Food_ID]],Food_Catalog[[#All],[Price_Per_Unit]],0,0)</f>
        <v>3750</v>
      </c>
      <c r="H1018" cm="1">
        <f t="array" ref="H1018">Food_Orders[[#This Row],[Quantity_Orderd]]*_xlfn.XLOOKUP(Food_Orders[[#This Row],[Food_ID]],Food_Catalog[[#All],[Food_ID]],Food_Catalog[[#All],[Client_Price_Per_Unit]],0,0)</f>
        <v>4500</v>
      </c>
      <c r="I1018">
        <f>Food_Orders[[#This Row],[Client_Price]]-Food_Orders[[#This Row],[Cost]]</f>
        <v>750</v>
      </c>
    </row>
    <row r="1019" spans="1:9" x14ac:dyDescent="0.25">
      <c r="A1019">
        <v>45</v>
      </c>
      <c r="B1019" t="s">
        <v>110</v>
      </c>
      <c r="C1019" t="s">
        <v>105</v>
      </c>
      <c r="D1019" t="s">
        <v>111</v>
      </c>
      <c r="E1019" t="s">
        <v>112</v>
      </c>
      <c r="F1019" cm="1">
        <f t="array" ref="F1019">_xlfn.XLOOKUP(Food_Orders[[#This Row],[Event_No]],Event_Master[[#All],[Event_No]],Event_Master[[#All],[Guest_Count]],,0)</f>
        <v>150</v>
      </c>
      <c r="G1019" cm="1">
        <f t="array" ref="G1019">Food_Orders[[#This Row],[Quantity_Orderd]]*_xlfn.XLOOKUP(Food_Orders[[#This Row],[Food_ID]],Food_Catalog[[#All],[Food_ID]],Food_Catalog[[#All],[Price_Per_Unit]],0,0)</f>
        <v>3000</v>
      </c>
      <c r="H1019" cm="1">
        <f t="array" ref="H1019">Food_Orders[[#This Row],[Quantity_Orderd]]*_xlfn.XLOOKUP(Food_Orders[[#This Row],[Food_ID]],Food_Catalog[[#All],[Food_ID]],Food_Catalog[[#All],[Client_Price_Per_Unit]],0,0)</f>
        <v>3600</v>
      </c>
      <c r="I1019">
        <f>Food_Orders[[#This Row],[Client_Price]]-Food_Orders[[#This Row],[Cost]]</f>
        <v>600</v>
      </c>
    </row>
    <row r="1020" spans="1:9" x14ac:dyDescent="0.25">
      <c r="A1020">
        <v>46</v>
      </c>
      <c r="B1020" t="s">
        <v>60</v>
      </c>
      <c r="C1020" t="s">
        <v>61</v>
      </c>
      <c r="D1020" t="s">
        <v>62</v>
      </c>
      <c r="E1020" t="s">
        <v>10</v>
      </c>
      <c r="F1020" cm="1">
        <f t="array" ref="F1020">_xlfn.XLOOKUP(Food_Orders[[#This Row],[Event_No]],Event_Master[[#All],[Event_No]],Event_Master[[#All],[Guest_Count]],,0)</f>
        <v>1200</v>
      </c>
      <c r="G1020" cm="1">
        <f t="array" ref="G1020">Food_Orders[[#This Row],[Quantity_Orderd]]*_xlfn.XLOOKUP(Food_Orders[[#This Row],[Food_ID]],Food_Catalog[[#All],[Food_ID]],Food_Catalog[[#All],[Price_Per_Unit]],0,0)</f>
        <v>24000</v>
      </c>
      <c r="H1020" cm="1">
        <f t="array" ref="H1020">Food_Orders[[#This Row],[Quantity_Orderd]]*_xlfn.XLOOKUP(Food_Orders[[#This Row],[Food_ID]],Food_Catalog[[#All],[Food_ID]],Food_Catalog[[#All],[Client_Price_Per_Unit]],0,0)</f>
        <v>28800</v>
      </c>
      <c r="I1020">
        <f>Food_Orders[[#This Row],[Client_Price]]-Food_Orders[[#This Row],[Cost]]</f>
        <v>4800</v>
      </c>
    </row>
    <row r="1021" spans="1:9" x14ac:dyDescent="0.25">
      <c r="A1021">
        <v>46</v>
      </c>
      <c r="B1021" t="s">
        <v>63</v>
      </c>
      <c r="C1021" t="s">
        <v>61</v>
      </c>
      <c r="D1021" t="s">
        <v>64</v>
      </c>
      <c r="E1021" t="s">
        <v>10</v>
      </c>
      <c r="F1021" cm="1">
        <f t="array" ref="F1021">_xlfn.XLOOKUP(Food_Orders[[#This Row],[Event_No]],Event_Master[[#All],[Event_No]],Event_Master[[#All],[Guest_Count]],,0)</f>
        <v>1200</v>
      </c>
      <c r="G1021" cm="1">
        <f t="array" ref="G1021">Food_Orders[[#This Row],[Quantity_Orderd]]*_xlfn.XLOOKUP(Food_Orders[[#This Row],[Food_ID]],Food_Catalog[[#All],[Food_ID]],Food_Catalog[[#All],[Price_Per_Unit]],0,0)</f>
        <v>36000</v>
      </c>
      <c r="H1021" cm="1">
        <f t="array" ref="H1021">Food_Orders[[#This Row],[Quantity_Orderd]]*_xlfn.XLOOKUP(Food_Orders[[#This Row],[Food_ID]],Food_Catalog[[#All],[Food_ID]],Food_Catalog[[#All],[Client_Price_Per_Unit]],0,0)</f>
        <v>43200</v>
      </c>
      <c r="I1021">
        <f>Food_Orders[[#This Row],[Client_Price]]-Food_Orders[[#This Row],[Cost]]</f>
        <v>7200</v>
      </c>
    </row>
    <row r="1022" spans="1:9" x14ac:dyDescent="0.25">
      <c r="A1022">
        <v>46</v>
      </c>
      <c r="B1022" t="s">
        <v>71</v>
      </c>
      <c r="C1022" t="s">
        <v>61</v>
      </c>
      <c r="D1022" t="s">
        <v>72</v>
      </c>
      <c r="E1022" t="s">
        <v>10</v>
      </c>
      <c r="F1022" cm="1">
        <f t="array" ref="F1022">_xlfn.XLOOKUP(Food_Orders[[#This Row],[Event_No]],Event_Master[[#All],[Event_No]],Event_Master[[#All],[Guest_Count]],,0)</f>
        <v>1200</v>
      </c>
      <c r="G1022" cm="1">
        <f t="array" ref="G1022">Food_Orders[[#This Row],[Quantity_Orderd]]*_xlfn.XLOOKUP(Food_Orders[[#This Row],[Food_ID]],Food_Catalog[[#All],[Food_ID]],Food_Catalog[[#All],[Price_Per_Unit]],0,0)</f>
        <v>30000</v>
      </c>
      <c r="H1022" cm="1">
        <f t="array" ref="H1022">Food_Orders[[#This Row],[Quantity_Orderd]]*_xlfn.XLOOKUP(Food_Orders[[#This Row],[Food_ID]],Food_Catalog[[#All],[Food_ID]],Food_Catalog[[#All],[Client_Price_Per_Unit]],0,0)</f>
        <v>36000</v>
      </c>
      <c r="I1022">
        <f>Food_Orders[[#This Row],[Client_Price]]-Food_Orders[[#This Row],[Cost]]</f>
        <v>6000</v>
      </c>
    </row>
    <row r="1023" spans="1:9" x14ac:dyDescent="0.25">
      <c r="A1023">
        <v>46</v>
      </c>
      <c r="B1023" t="s">
        <v>80</v>
      </c>
      <c r="C1023" t="s">
        <v>61</v>
      </c>
      <c r="D1023" t="s">
        <v>81</v>
      </c>
      <c r="E1023" t="s">
        <v>10</v>
      </c>
      <c r="F1023" cm="1">
        <f t="array" ref="F1023">_xlfn.XLOOKUP(Food_Orders[[#This Row],[Event_No]],Event_Master[[#All],[Event_No]],Event_Master[[#All],[Guest_Count]],,0)</f>
        <v>1200</v>
      </c>
      <c r="G1023" cm="1">
        <f t="array" ref="G1023">Food_Orders[[#This Row],[Quantity_Orderd]]*_xlfn.XLOOKUP(Food_Orders[[#This Row],[Food_ID]],Food_Catalog[[#All],[Food_ID]],Food_Catalog[[#All],[Price_Per_Unit]],0,0)</f>
        <v>36000</v>
      </c>
      <c r="H1023" cm="1">
        <f t="array" ref="H1023">Food_Orders[[#This Row],[Quantity_Orderd]]*_xlfn.XLOOKUP(Food_Orders[[#This Row],[Food_ID]],Food_Catalog[[#All],[Food_ID]],Food_Catalog[[#All],[Client_Price_Per_Unit]],0,0)</f>
        <v>43200</v>
      </c>
      <c r="I1023">
        <f>Food_Orders[[#This Row],[Client_Price]]-Food_Orders[[#This Row],[Cost]]</f>
        <v>7200</v>
      </c>
    </row>
    <row r="1024" spans="1:9" x14ac:dyDescent="0.25">
      <c r="A1024">
        <v>46</v>
      </c>
      <c r="B1024" t="s">
        <v>73</v>
      </c>
      <c r="C1024" t="s">
        <v>61</v>
      </c>
      <c r="D1024" t="s">
        <v>74</v>
      </c>
      <c r="E1024" t="s">
        <v>10</v>
      </c>
      <c r="F1024" cm="1">
        <f t="array" ref="F1024">_xlfn.XLOOKUP(Food_Orders[[#This Row],[Event_No]],Event_Master[[#All],[Event_No]],Event_Master[[#All],[Guest_Count]],,0)</f>
        <v>1200</v>
      </c>
      <c r="G1024" cm="1">
        <f t="array" ref="G1024">Food_Orders[[#This Row],[Quantity_Orderd]]*_xlfn.XLOOKUP(Food_Orders[[#This Row],[Food_ID]],Food_Catalog[[#All],[Food_ID]],Food_Catalog[[#All],[Price_Per_Unit]],0,0)</f>
        <v>48000</v>
      </c>
      <c r="H1024" cm="1">
        <f t="array" ref="H1024">Food_Orders[[#This Row],[Quantity_Orderd]]*_xlfn.XLOOKUP(Food_Orders[[#This Row],[Food_ID]],Food_Catalog[[#All],[Food_ID]],Food_Catalog[[#All],[Client_Price_Per_Unit]],0,0)</f>
        <v>57600</v>
      </c>
      <c r="I1024">
        <f>Food_Orders[[#This Row],[Client_Price]]-Food_Orders[[#This Row],[Cost]]</f>
        <v>9600</v>
      </c>
    </row>
    <row r="1025" spans="1:9" x14ac:dyDescent="0.25">
      <c r="A1025">
        <v>46</v>
      </c>
      <c r="B1025" t="s">
        <v>75</v>
      </c>
      <c r="C1025" t="s">
        <v>61</v>
      </c>
      <c r="D1025" t="s">
        <v>76</v>
      </c>
      <c r="E1025" t="s">
        <v>10</v>
      </c>
      <c r="F1025" cm="1">
        <f t="array" ref="F1025">_xlfn.XLOOKUP(Food_Orders[[#This Row],[Event_No]],Event_Master[[#All],[Event_No]],Event_Master[[#All],[Guest_Count]],,0)</f>
        <v>1200</v>
      </c>
      <c r="G1025" cm="1">
        <f t="array" ref="G1025">Food_Orders[[#This Row],[Quantity_Orderd]]*_xlfn.XLOOKUP(Food_Orders[[#This Row],[Food_ID]],Food_Catalog[[#All],[Food_ID]],Food_Catalog[[#All],[Price_Per_Unit]],0,0)</f>
        <v>48000</v>
      </c>
      <c r="H1025" cm="1">
        <f t="array" ref="H1025">Food_Orders[[#This Row],[Quantity_Orderd]]*_xlfn.XLOOKUP(Food_Orders[[#This Row],[Food_ID]],Food_Catalog[[#All],[Food_ID]],Food_Catalog[[#All],[Client_Price_Per_Unit]],0,0)</f>
        <v>57600</v>
      </c>
      <c r="I1025">
        <f>Food_Orders[[#This Row],[Client_Price]]-Food_Orders[[#This Row],[Cost]]</f>
        <v>9600</v>
      </c>
    </row>
    <row r="1026" spans="1:9" x14ac:dyDescent="0.25">
      <c r="A1026">
        <v>46</v>
      </c>
      <c r="B1026" t="s">
        <v>69</v>
      </c>
      <c r="C1026" t="s">
        <v>61</v>
      </c>
      <c r="D1026" t="s">
        <v>70</v>
      </c>
      <c r="E1026" t="s">
        <v>10</v>
      </c>
      <c r="F1026" cm="1">
        <f t="array" ref="F1026">_xlfn.XLOOKUP(Food_Orders[[#This Row],[Event_No]],Event_Master[[#All],[Event_No]],Event_Master[[#All],[Guest_Count]],,0)</f>
        <v>1200</v>
      </c>
      <c r="G1026" cm="1">
        <f t="array" ref="G1026">Food_Orders[[#This Row],[Quantity_Orderd]]*_xlfn.XLOOKUP(Food_Orders[[#This Row],[Food_ID]],Food_Catalog[[#All],[Food_ID]],Food_Catalog[[#All],[Price_Per_Unit]],0,0)</f>
        <v>60000</v>
      </c>
      <c r="H1026" cm="1">
        <f t="array" ref="H1026">Food_Orders[[#This Row],[Quantity_Orderd]]*_xlfn.XLOOKUP(Food_Orders[[#This Row],[Food_ID]],Food_Catalog[[#All],[Food_ID]],Food_Catalog[[#All],[Client_Price_Per_Unit]],0,0)</f>
        <v>72000</v>
      </c>
      <c r="I1026">
        <f>Food_Orders[[#This Row],[Client_Price]]-Food_Orders[[#This Row],[Cost]]</f>
        <v>12000</v>
      </c>
    </row>
    <row r="1027" spans="1:9" x14ac:dyDescent="0.25">
      <c r="A1027">
        <v>46</v>
      </c>
      <c r="B1027" t="s">
        <v>67</v>
      </c>
      <c r="C1027" t="s">
        <v>61</v>
      </c>
      <c r="D1027" t="s">
        <v>68</v>
      </c>
      <c r="E1027" t="s">
        <v>10</v>
      </c>
      <c r="F1027" cm="1">
        <f t="array" ref="F1027">_xlfn.XLOOKUP(Food_Orders[[#This Row],[Event_No]],Event_Master[[#All],[Event_No]],Event_Master[[#All],[Guest_Count]],,0)</f>
        <v>1200</v>
      </c>
      <c r="G1027" cm="1">
        <f t="array" ref="G1027">Food_Orders[[#This Row],[Quantity_Orderd]]*_xlfn.XLOOKUP(Food_Orders[[#This Row],[Food_ID]],Food_Catalog[[#All],[Food_ID]],Food_Catalog[[#All],[Price_Per_Unit]],0,0)</f>
        <v>36000</v>
      </c>
      <c r="H1027" cm="1">
        <f t="array" ref="H1027">Food_Orders[[#This Row],[Quantity_Orderd]]*_xlfn.XLOOKUP(Food_Orders[[#This Row],[Food_ID]],Food_Catalog[[#All],[Food_ID]],Food_Catalog[[#All],[Client_Price_Per_Unit]],0,0)</f>
        <v>43200</v>
      </c>
      <c r="I1027">
        <f>Food_Orders[[#This Row],[Client_Price]]-Food_Orders[[#This Row],[Cost]]</f>
        <v>7200</v>
      </c>
    </row>
    <row r="1028" spans="1:9" x14ac:dyDescent="0.25">
      <c r="A1028">
        <v>46</v>
      </c>
      <c r="B1028" t="s">
        <v>77</v>
      </c>
      <c r="C1028" t="s">
        <v>61</v>
      </c>
      <c r="D1028" t="s">
        <v>78</v>
      </c>
      <c r="E1028" t="s">
        <v>79</v>
      </c>
      <c r="F1028" cm="1">
        <f t="array" ref="F1028">_xlfn.XLOOKUP(Food_Orders[[#This Row],[Event_No]],Event_Master[[#All],[Event_No]],Event_Master[[#All],[Guest_Count]],,0)</f>
        <v>1200</v>
      </c>
      <c r="G1028" cm="1">
        <f t="array" ref="G1028">Food_Orders[[#This Row],[Quantity_Orderd]]*_xlfn.XLOOKUP(Food_Orders[[#This Row],[Food_ID]],Food_Catalog[[#All],[Food_ID]],Food_Catalog[[#All],[Price_Per_Unit]],0,0)</f>
        <v>42000</v>
      </c>
      <c r="H1028" cm="1">
        <f t="array" ref="H1028">Food_Orders[[#This Row],[Quantity_Orderd]]*_xlfn.XLOOKUP(Food_Orders[[#This Row],[Food_ID]],Food_Catalog[[#All],[Food_ID]],Food_Catalog[[#All],[Client_Price_Per_Unit]],0,0)</f>
        <v>50400</v>
      </c>
      <c r="I1028">
        <f>Food_Orders[[#This Row],[Client_Price]]-Food_Orders[[#This Row],[Cost]]</f>
        <v>8400</v>
      </c>
    </row>
    <row r="1029" spans="1:9" x14ac:dyDescent="0.25">
      <c r="A1029">
        <v>46</v>
      </c>
      <c r="B1029" t="s">
        <v>7</v>
      </c>
      <c r="C1029" t="s">
        <v>8</v>
      </c>
      <c r="D1029" t="s">
        <v>9</v>
      </c>
      <c r="E1029" t="s">
        <v>10</v>
      </c>
      <c r="F1029" cm="1">
        <f t="array" ref="F1029">_xlfn.XLOOKUP(Food_Orders[[#This Row],[Event_No]],Event_Master[[#All],[Event_No]],Event_Master[[#All],[Guest_Count]],,0)</f>
        <v>1200</v>
      </c>
      <c r="G1029" cm="1">
        <f t="array" ref="G1029">Food_Orders[[#This Row],[Quantity_Orderd]]*_xlfn.XLOOKUP(Food_Orders[[#This Row],[Food_ID]],Food_Catalog[[#All],[Food_ID]],Food_Catalog[[#All],[Price_Per_Unit]],0,0)</f>
        <v>30000</v>
      </c>
      <c r="H1029" cm="1">
        <f t="array" ref="H1029">Food_Orders[[#This Row],[Quantity_Orderd]]*_xlfn.XLOOKUP(Food_Orders[[#This Row],[Food_ID]],Food_Catalog[[#All],[Food_ID]],Food_Catalog[[#All],[Client_Price_Per_Unit]],0,0)</f>
        <v>36000</v>
      </c>
      <c r="I1029">
        <f>Food_Orders[[#This Row],[Client_Price]]-Food_Orders[[#This Row],[Cost]]</f>
        <v>6000</v>
      </c>
    </row>
    <row r="1030" spans="1:9" x14ac:dyDescent="0.25">
      <c r="A1030">
        <v>46</v>
      </c>
      <c r="B1030" t="s">
        <v>13</v>
      </c>
      <c r="C1030" t="s">
        <v>8</v>
      </c>
      <c r="D1030" t="s">
        <v>14</v>
      </c>
      <c r="E1030" t="s">
        <v>10</v>
      </c>
      <c r="F1030" cm="1">
        <f t="array" ref="F1030">_xlfn.XLOOKUP(Food_Orders[[#This Row],[Event_No]],Event_Master[[#All],[Event_No]],Event_Master[[#All],[Guest_Count]],,0)</f>
        <v>1200</v>
      </c>
      <c r="G1030" cm="1">
        <f t="array" ref="G1030">Food_Orders[[#This Row],[Quantity_Orderd]]*_xlfn.XLOOKUP(Food_Orders[[#This Row],[Food_ID]],Food_Catalog[[#All],[Food_ID]],Food_Catalog[[#All],[Price_Per_Unit]],0,0)</f>
        <v>42000</v>
      </c>
      <c r="H1030" cm="1">
        <f t="array" ref="H1030">Food_Orders[[#This Row],[Quantity_Orderd]]*_xlfn.XLOOKUP(Food_Orders[[#This Row],[Food_ID]],Food_Catalog[[#All],[Food_ID]],Food_Catalog[[#All],[Client_Price_Per_Unit]],0,0)</f>
        <v>50400</v>
      </c>
      <c r="I1030">
        <f>Food_Orders[[#This Row],[Client_Price]]-Food_Orders[[#This Row],[Cost]]</f>
        <v>8400</v>
      </c>
    </row>
    <row r="1031" spans="1:9" x14ac:dyDescent="0.25">
      <c r="A1031">
        <v>46</v>
      </c>
      <c r="B1031" t="s">
        <v>25</v>
      </c>
      <c r="C1031" t="s">
        <v>8</v>
      </c>
      <c r="D1031" t="s">
        <v>26</v>
      </c>
      <c r="E1031" t="s">
        <v>10</v>
      </c>
      <c r="F1031" cm="1">
        <f t="array" ref="F1031">_xlfn.XLOOKUP(Food_Orders[[#This Row],[Event_No]],Event_Master[[#All],[Event_No]],Event_Master[[#All],[Guest_Count]],,0)</f>
        <v>1200</v>
      </c>
      <c r="G1031" cm="1">
        <f t="array" ref="G1031">Food_Orders[[#This Row],[Quantity_Orderd]]*_xlfn.XLOOKUP(Food_Orders[[#This Row],[Food_ID]],Food_Catalog[[#All],[Food_ID]],Food_Catalog[[#All],[Price_Per_Unit]],0,0)</f>
        <v>36000</v>
      </c>
      <c r="H1031" cm="1">
        <f t="array" ref="H1031">Food_Orders[[#This Row],[Quantity_Orderd]]*_xlfn.XLOOKUP(Food_Orders[[#This Row],[Food_ID]],Food_Catalog[[#All],[Food_ID]],Food_Catalog[[#All],[Client_Price_Per_Unit]],0,0)</f>
        <v>43200</v>
      </c>
      <c r="I1031">
        <f>Food_Orders[[#This Row],[Client_Price]]-Food_Orders[[#This Row],[Cost]]</f>
        <v>7200</v>
      </c>
    </row>
    <row r="1032" spans="1:9" x14ac:dyDescent="0.25">
      <c r="A1032">
        <v>46</v>
      </c>
      <c r="B1032" t="s">
        <v>15</v>
      </c>
      <c r="C1032" t="s">
        <v>8</v>
      </c>
      <c r="D1032" t="s">
        <v>16</v>
      </c>
      <c r="E1032" t="s">
        <v>10</v>
      </c>
      <c r="F1032" cm="1">
        <f t="array" ref="F1032">_xlfn.XLOOKUP(Food_Orders[[#This Row],[Event_No]],Event_Master[[#All],[Event_No]],Event_Master[[#All],[Guest_Count]],,0)</f>
        <v>1200</v>
      </c>
      <c r="G1032" cm="1">
        <f t="array" ref="G1032">Food_Orders[[#This Row],[Quantity_Orderd]]*_xlfn.XLOOKUP(Food_Orders[[#This Row],[Food_ID]],Food_Catalog[[#All],[Food_ID]],Food_Catalog[[#All],[Price_Per_Unit]],0,0)</f>
        <v>36000</v>
      </c>
      <c r="H1032" cm="1">
        <f t="array" ref="H1032">Food_Orders[[#This Row],[Quantity_Orderd]]*_xlfn.XLOOKUP(Food_Orders[[#This Row],[Food_ID]],Food_Catalog[[#All],[Food_ID]],Food_Catalog[[#All],[Client_Price_Per_Unit]],0,0)</f>
        <v>43200</v>
      </c>
      <c r="I1032">
        <f>Food_Orders[[#This Row],[Client_Price]]-Food_Orders[[#This Row],[Cost]]</f>
        <v>7200</v>
      </c>
    </row>
    <row r="1033" spans="1:9" x14ac:dyDescent="0.25">
      <c r="A1033">
        <v>46</v>
      </c>
      <c r="B1033" t="s">
        <v>35</v>
      </c>
      <c r="C1033" t="s">
        <v>8</v>
      </c>
      <c r="D1033" t="s">
        <v>36</v>
      </c>
      <c r="E1033" t="s">
        <v>10</v>
      </c>
      <c r="F1033" cm="1">
        <f t="array" ref="F1033">_xlfn.XLOOKUP(Food_Orders[[#This Row],[Event_No]],Event_Master[[#All],[Event_No]],Event_Master[[#All],[Guest_Count]],,0)</f>
        <v>1200</v>
      </c>
      <c r="G1033" cm="1">
        <f t="array" ref="G1033">Food_Orders[[#This Row],[Quantity_Orderd]]*_xlfn.XLOOKUP(Food_Orders[[#This Row],[Food_ID]],Food_Catalog[[#All],[Food_ID]],Food_Catalog[[#All],[Price_Per_Unit]],0,0)</f>
        <v>36000</v>
      </c>
      <c r="H1033" cm="1">
        <f t="array" ref="H1033">Food_Orders[[#This Row],[Quantity_Orderd]]*_xlfn.XLOOKUP(Food_Orders[[#This Row],[Food_ID]],Food_Catalog[[#All],[Food_ID]],Food_Catalog[[#All],[Client_Price_Per_Unit]],0,0)</f>
        <v>43200</v>
      </c>
      <c r="I1033">
        <f>Food_Orders[[#This Row],[Client_Price]]-Food_Orders[[#This Row],[Cost]]</f>
        <v>7200</v>
      </c>
    </row>
    <row r="1034" spans="1:9" x14ac:dyDescent="0.25">
      <c r="A1034">
        <v>46</v>
      </c>
      <c r="B1034" t="s">
        <v>27</v>
      </c>
      <c r="C1034" t="s">
        <v>8</v>
      </c>
      <c r="D1034" t="s">
        <v>28</v>
      </c>
      <c r="E1034" t="s">
        <v>10</v>
      </c>
      <c r="F1034" cm="1">
        <f t="array" ref="F1034">_xlfn.XLOOKUP(Food_Orders[[#This Row],[Event_No]],Event_Master[[#All],[Event_No]],Event_Master[[#All],[Guest_Count]],,0)</f>
        <v>1200</v>
      </c>
      <c r="G1034" cm="1">
        <f t="array" ref="G1034">Food_Orders[[#This Row],[Quantity_Orderd]]*_xlfn.XLOOKUP(Food_Orders[[#This Row],[Food_ID]],Food_Catalog[[#All],[Food_ID]],Food_Catalog[[#All],[Price_Per_Unit]],0,0)</f>
        <v>48000</v>
      </c>
      <c r="H1034" cm="1">
        <f t="array" ref="H1034">Food_Orders[[#This Row],[Quantity_Orderd]]*_xlfn.XLOOKUP(Food_Orders[[#This Row],[Food_ID]],Food_Catalog[[#All],[Food_ID]],Food_Catalog[[#All],[Client_Price_Per_Unit]],0,0)</f>
        <v>57600</v>
      </c>
      <c r="I1034">
        <f>Food_Orders[[#This Row],[Client_Price]]-Food_Orders[[#This Row],[Cost]]</f>
        <v>9600</v>
      </c>
    </row>
    <row r="1035" spans="1:9" x14ac:dyDescent="0.25">
      <c r="A1035">
        <v>46</v>
      </c>
      <c r="B1035" t="s">
        <v>31</v>
      </c>
      <c r="C1035" t="s">
        <v>8</v>
      </c>
      <c r="D1035" t="s">
        <v>32</v>
      </c>
      <c r="E1035" t="s">
        <v>10</v>
      </c>
      <c r="F1035" cm="1">
        <f t="array" ref="F1035">_xlfn.XLOOKUP(Food_Orders[[#This Row],[Event_No]],Event_Master[[#All],[Event_No]],Event_Master[[#All],[Guest_Count]],,0)</f>
        <v>1200</v>
      </c>
      <c r="G1035" cm="1">
        <f t="array" ref="G1035">Food_Orders[[#This Row],[Quantity_Orderd]]*_xlfn.XLOOKUP(Food_Orders[[#This Row],[Food_ID]],Food_Catalog[[#All],[Food_ID]],Food_Catalog[[#All],[Price_Per_Unit]],0,0)</f>
        <v>36000</v>
      </c>
      <c r="H1035" cm="1">
        <f t="array" ref="H1035">Food_Orders[[#This Row],[Quantity_Orderd]]*_xlfn.XLOOKUP(Food_Orders[[#This Row],[Food_ID]],Food_Catalog[[#All],[Food_ID]],Food_Catalog[[#All],[Client_Price_Per_Unit]],0,0)</f>
        <v>43200</v>
      </c>
      <c r="I1035">
        <f>Food_Orders[[#This Row],[Client_Price]]-Food_Orders[[#This Row],[Cost]]</f>
        <v>7200</v>
      </c>
    </row>
    <row r="1036" spans="1:9" x14ac:dyDescent="0.25">
      <c r="A1036">
        <v>46</v>
      </c>
      <c r="B1036" t="s">
        <v>33</v>
      </c>
      <c r="C1036" t="s">
        <v>8</v>
      </c>
      <c r="D1036" t="s">
        <v>34</v>
      </c>
      <c r="E1036" t="s">
        <v>10</v>
      </c>
      <c r="F1036" cm="1">
        <f t="array" ref="F1036">_xlfn.XLOOKUP(Food_Orders[[#This Row],[Event_No]],Event_Master[[#All],[Event_No]],Event_Master[[#All],[Guest_Count]],,0)</f>
        <v>1200</v>
      </c>
      <c r="G1036" cm="1">
        <f t="array" ref="G1036">Food_Orders[[#This Row],[Quantity_Orderd]]*_xlfn.XLOOKUP(Food_Orders[[#This Row],[Food_ID]],Food_Catalog[[#All],[Food_ID]],Food_Catalog[[#All],[Price_Per_Unit]],0,0)</f>
        <v>36000</v>
      </c>
      <c r="H1036" cm="1">
        <f t="array" ref="H1036">Food_Orders[[#This Row],[Quantity_Orderd]]*_xlfn.XLOOKUP(Food_Orders[[#This Row],[Food_ID]],Food_Catalog[[#All],[Food_ID]],Food_Catalog[[#All],[Client_Price_Per_Unit]],0,0)</f>
        <v>43200</v>
      </c>
      <c r="I1036">
        <f>Food_Orders[[#This Row],[Client_Price]]-Food_Orders[[#This Row],[Cost]]</f>
        <v>7200</v>
      </c>
    </row>
    <row r="1037" spans="1:9" x14ac:dyDescent="0.25">
      <c r="A1037">
        <v>46</v>
      </c>
      <c r="B1037" t="s">
        <v>17</v>
      </c>
      <c r="C1037" t="s">
        <v>8</v>
      </c>
      <c r="D1037" t="s">
        <v>18</v>
      </c>
      <c r="E1037" t="s">
        <v>10</v>
      </c>
      <c r="F1037" cm="1">
        <f t="array" ref="F1037">_xlfn.XLOOKUP(Food_Orders[[#This Row],[Event_No]],Event_Master[[#All],[Event_No]],Event_Master[[#All],[Guest_Count]],,0)</f>
        <v>1200</v>
      </c>
      <c r="G1037" cm="1">
        <f t="array" ref="G1037">Food_Orders[[#This Row],[Quantity_Orderd]]*_xlfn.XLOOKUP(Food_Orders[[#This Row],[Food_ID]],Food_Catalog[[#All],[Food_ID]],Food_Catalog[[#All],[Price_Per_Unit]],0,0)</f>
        <v>48000</v>
      </c>
      <c r="H1037" cm="1">
        <f t="array" ref="H1037">Food_Orders[[#This Row],[Quantity_Orderd]]*_xlfn.XLOOKUP(Food_Orders[[#This Row],[Food_ID]],Food_Catalog[[#All],[Food_ID]],Food_Catalog[[#All],[Client_Price_Per_Unit]],0,0)</f>
        <v>57600</v>
      </c>
      <c r="I1037">
        <f>Food_Orders[[#This Row],[Client_Price]]-Food_Orders[[#This Row],[Cost]]</f>
        <v>9600</v>
      </c>
    </row>
    <row r="1038" spans="1:9" x14ac:dyDescent="0.25">
      <c r="A1038">
        <v>46</v>
      </c>
      <c r="B1038" t="s">
        <v>21</v>
      </c>
      <c r="C1038" t="s">
        <v>8</v>
      </c>
      <c r="D1038" t="s">
        <v>22</v>
      </c>
      <c r="E1038" t="s">
        <v>10</v>
      </c>
      <c r="F1038" cm="1">
        <f t="array" ref="F1038">_xlfn.XLOOKUP(Food_Orders[[#This Row],[Event_No]],Event_Master[[#All],[Event_No]],Event_Master[[#All],[Guest_Count]],,0)</f>
        <v>1200</v>
      </c>
      <c r="G1038" cm="1">
        <f t="array" ref="G1038">Food_Orders[[#This Row],[Quantity_Orderd]]*_xlfn.XLOOKUP(Food_Orders[[#This Row],[Food_ID]],Food_Catalog[[#All],[Food_ID]],Food_Catalog[[#All],[Price_Per_Unit]],0,0)</f>
        <v>42000</v>
      </c>
      <c r="H1038" cm="1">
        <f t="array" ref="H1038">Food_Orders[[#This Row],[Quantity_Orderd]]*_xlfn.XLOOKUP(Food_Orders[[#This Row],[Food_ID]],Food_Catalog[[#All],[Food_ID]],Food_Catalog[[#All],[Client_Price_Per_Unit]],0,0)</f>
        <v>50400</v>
      </c>
      <c r="I1038">
        <f>Food_Orders[[#This Row],[Client_Price]]-Food_Orders[[#This Row],[Cost]]</f>
        <v>8400</v>
      </c>
    </row>
    <row r="1039" spans="1:9" x14ac:dyDescent="0.25">
      <c r="A1039">
        <v>46</v>
      </c>
      <c r="B1039" t="s">
        <v>19</v>
      </c>
      <c r="C1039" t="s">
        <v>8</v>
      </c>
      <c r="D1039" t="s">
        <v>20</v>
      </c>
      <c r="E1039" t="s">
        <v>10</v>
      </c>
      <c r="F1039" cm="1">
        <f t="array" ref="F1039">_xlfn.XLOOKUP(Food_Orders[[#This Row],[Event_No]],Event_Master[[#All],[Event_No]],Event_Master[[#All],[Guest_Count]],,0)</f>
        <v>1200</v>
      </c>
      <c r="G1039" cm="1">
        <f t="array" ref="G1039">Food_Orders[[#This Row],[Quantity_Orderd]]*_xlfn.XLOOKUP(Food_Orders[[#This Row],[Food_ID]],Food_Catalog[[#All],[Food_ID]],Food_Catalog[[#All],[Price_Per_Unit]],0,0)</f>
        <v>42000</v>
      </c>
      <c r="H1039" cm="1">
        <f t="array" ref="H1039">Food_Orders[[#This Row],[Quantity_Orderd]]*_xlfn.XLOOKUP(Food_Orders[[#This Row],[Food_ID]],Food_Catalog[[#All],[Food_ID]],Food_Catalog[[#All],[Client_Price_Per_Unit]],0,0)</f>
        <v>50400</v>
      </c>
      <c r="I1039">
        <f>Food_Orders[[#This Row],[Client_Price]]-Food_Orders[[#This Row],[Cost]]</f>
        <v>8400</v>
      </c>
    </row>
    <row r="1040" spans="1:9" x14ac:dyDescent="0.25">
      <c r="A1040">
        <v>46</v>
      </c>
      <c r="B1040" t="s">
        <v>29</v>
      </c>
      <c r="C1040" t="s">
        <v>8</v>
      </c>
      <c r="D1040" t="s">
        <v>30</v>
      </c>
      <c r="E1040" t="s">
        <v>10</v>
      </c>
      <c r="F1040" cm="1">
        <f t="array" ref="F1040">_xlfn.XLOOKUP(Food_Orders[[#This Row],[Event_No]],Event_Master[[#All],[Event_No]],Event_Master[[#All],[Guest_Count]],,0)</f>
        <v>1200</v>
      </c>
      <c r="G1040" cm="1">
        <f t="array" ref="G1040">Food_Orders[[#This Row],[Quantity_Orderd]]*_xlfn.XLOOKUP(Food_Orders[[#This Row],[Food_ID]],Food_Catalog[[#All],[Food_ID]],Food_Catalog[[#All],[Price_Per_Unit]],0,0)</f>
        <v>36000</v>
      </c>
      <c r="H1040" cm="1">
        <f t="array" ref="H1040">Food_Orders[[#This Row],[Quantity_Orderd]]*_xlfn.XLOOKUP(Food_Orders[[#This Row],[Food_ID]],Food_Catalog[[#All],[Food_ID]],Food_Catalog[[#All],[Client_Price_Per_Unit]],0,0)</f>
        <v>43200</v>
      </c>
      <c r="I1040">
        <f>Food_Orders[[#This Row],[Client_Price]]-Food_Orders[[#This Row],[Cost]]</f>
        <v>7200</v>
      </c>
    </row>
    <row r="1041" spans="1:9" x14ac:dyDescent="0.25">
      <c r="A1041">
        <v>46</v>
      </c>
      <c r="B1041" t="s">
        <v>37</v>
      </c>
      <c r="C1041" t="s">
        <v>8</v>
      </c>
      <c r="D1041" t="s">
        <v>38</v>
      </c>
      <c r="E1041" t="s">
        <v>10</v>
      </c>
      <c r="F1041" cm="1">
        <f t="array" ref="F1041">_xlfn.XLOOKUP(Food_Orders[[#This Row],[Event_No]],Event_Master[[#All],[Event_No]],Event_Master[[#All],[Guest_Count]],,0)</f>
        <v>1200</v>
      </c>
      <c r="G1041" cm="1">
        <f t="array" ref="G1041">Food_Orders[[#This Row],[Quantity_Orderd]]*_xlfn.XLOOKUP(Food_Orders[[#This Row],[Food_ID]],Food_Catalog[[#All],[Food_ID]],Food_Catalog[[#All],[Price_Per_Unit]],0,0)</f>
        <v>30000</v>
      </c>
      <c r="H1041" cm="1">
        <f t="array" ref="H1041">Food_Orders[[#This Row],[Quantity_Orderd]]*_xlfn.XLOOKUP(Food_Orders[[#This Row],[Food_ID]],Food_Catalog[[#All],[Food_ID]],Food_Catalog[[#All],[Client_Price_Per_Unit]],0,0)</f>
        <v>36000</v>
      </c>
      <c r="I1041">
        <f>Food_Orders[[#This Row],[Client_Price]]-Food_Orders[[#This Row],[Cost]]</f>
        <v>6000</v>
      </c>
    </row>
    <row r="1042" spans="1:9" x14ac:dyDescent="0.25">
      <c r="A1042">
        <v>46</v>
      </c>
      <c r="B1042" t="s">
        <v>39</v>
      </c>
      <c r="C1042" t="s">
        <v>40</v>
      </c>
      <c r="D1042" t="s">
        <v>41</v>
      </c>
      <c r="E1042" t="s">
        <v>10</v>
      </c>
      <c r="F1042" cm="1">
        <f t="array" ref="F1042">_xlfn.XLOOKUP(Food_Orders[[#This Row],[Event_No]],Event_Master[[#All],[Event_No]],Event_Master[[#All],[Guest_Count]],,0)</f>
        <v>1200</v>
      </c>
      <c r="G1042" cm="1">
        <f t="array" ref="G1042">Food_Orders[[#This Row],[Quantity_Orderd]]*_xlfn.XLOOKUP(Food_Orders[[#This Row],[Food_ID]],Food_Catalog[[#All],[Food_ID]],Food_Catalog[[#All],[Price_Per_Unit]],0,0)</f>
        <v>72000</v>
      </c>
      <c r="H1042" cm="1">
        <f t="array" ref="H1042">Food_Orders[[#This Row],[Quantity_Orderd]]*_xlfn.XLOOKUP(Food_Orders[[#This Row],[Food_ID]],Food_Catalog[[#All],[Food_ID]],Food_Catalog[[#All],[Client_Price_Per_Unit]],0,0)</f>
        <v>86400</v>
      </c>
      <c r="I1042">
        <f>Food_Orders[[#This Row],[Client_Price]]-Food_Orders[[#This Row],[Cost]]</f>
        <v>14400</v>
      </c>
    </row>
    <row r="1043" spans="1:9" x14ac:dyDescent="0.25">
      <c r="A1043">
        <v>46</v>
      </c>
      <c r="B1043" t="s">
        <v>42</v>
      </c>
      <c r="C1043" t="s">
        <v>40</v>
      </c>
      <c r="D1043" t="s">
        <v>43</v>
      </c>
      <c r="E1043" t="s">
        <v>10</v>
      </c>
      <c r="F1043" cm="1">
        <f t="array" ref="F1043">_xlfn.XLOOKUP(Food_Orders[[#This Row],[Event_No]],Event_Master[[#All],[Event_No]],Event_Master[[#All],[Guest_Count]],,0)</f>
        <v>1200</v>
      </c>
      <c r="G1043" cm="1">
        <f t="array" ref="G1043">Food_Orders[[#This Row],[Quantity_Orderd]]*_xlfn.XLOOKUP(Food_Orders[[#This Row],[Food_ID]],Food_Catalog[[#All],[Food_ID]],Food_Catalog[[#All],[Price_Per_Unit]],0,0)</f>
        <v>84000</v>
      </c>
      <c r="H1043" cm="1">
        <f t="array" ref="H1043">Food_Orders[[#This Row],[Quantity_Orderd]]*_xlfn.XLOOKUP(Food_Orders[[#This Row],[Food_ID]],Food_Catalog[[#All],[Food_ID]],Food_Catalog[[#All],[Client_Price_Per_Unit]],0,0)</f>
        <v>100800</v>
      </c>
      <c r="I1043">
        <f>Food_Orders[[#This Row],[Client_Price]]-Food_Orders[[#This Row],[Cost]]</f>
        <v>16800</v>
      </c>
    </row>
    <row r="1044" spans="1:9" x14ac:dyDescent="0.25">
      <c r="A1044">
        <v>46</v>
      </c>
      <c r="B1044" t="s">
        <v>46</v>
      </c>
      <c r="C1044" t="s">
        <v>40</v>
      </c>
      <c r="D1044" t="s">
        <v>47</v>
      </c>
      <c r="E1044" t="s">
        <v>10</v>
      </c>
      <c r="F1044" cm="1">
        <f t="array" ref="F1044">_xlfn.XLOOKUP(Food_Orders[[#This Row],[Event_No]],Event_Master[[#All],[Event_No]],Event_Master[[#All],[Guest_Count]],,0)</f>
        <v>1200</v>
      </c>
      <c r="G1044" cm="1">
        <f t="array" ref="G1044">Food_Orders[[#This Row],[Quantity_Orderd]]*_xlfn.XLOOKUP(Food_Orders[[#This Row],[Food_ID]],Food_Catalog[[#All],[Food_ID]],Food_Catalog[[#All],[Price_Per_Unit]],0,0)</f>
        <v>108000</v>
      </c>
      <c r="H1044" cm="1">
        <f t="array" ref="H1044">Food_Orders[[#This Row],[Quantity_Orderd]]*_xlfn.XLOOKUP(Food_Orders[[#This Row],[Food_ID]],Food_Catalog[[#All],[Food_ID]],Food_Catalog[[#All],[Client_Price_Per_Unit]],0,0)</f>
        <v>129600</v>
      </c>
      <c r="I1044">
        <f>Food_Orders[[#This Row],[Client_Price]]-Food_Orders[[#This Row],[Cost]]</f>
        <v>21600</v>
      </c>
    </row>
    <row r="1045" spans="1:9" x14ac:dyDescent="0.25">
      <c r="A1045">
        <v>46</v>
      </c>
      <c r="B1045" t="s">
        <v>48</v>
      </c>
      <c r="C1045" t="s">
        <v>40</v>
      </c>
      <c r="D1045" t="s">
        <v>49</v>
      </c>
      <c r="E1045" t="s">
        <v>10</v>
      </c>
      <c r="F1045" cm="1">
        <f t="array" ref="F1045">_xlfn.XLOOKUP(Food_Orders[[#This Row],[Event_No]],Event_Master[[#All],[Event_No]],Event_Master[[#All],[Guest_Count]],,0)</f>
        <v>1200</v>
      </c>
      <c r="G1045" cm="1">
        <f t="array" ref="G1045">Food_Orders[[#This Row],[Quantity_Orderd]]*_xlfn.XLOOKUP(Food_Orders[[#This Row],[Food_ID]],Food_Catalog[[#All],[Food_ID]],Food_Catalog[[#All],[Price_Per_Unit]],0,0)</f>
        <v>120000</v>
      </c>
      <c r="H1045" cm="1">
        <f t="array" ref="H1045">Food_Orders[[#This Row],[Quantity_Orderd]]*_xlfn.XLOOKUP(Food_Orders[[#This Row],[Food_ID]],Food_Catalog[[#All],[Food_ID]],Food_Catalog[[#All],[Client_Price_Per_Unit]],0,0)</f>
        <v>144000</v>
      </c>
      <c r="I1045">
        <f>Food_Orders[[#This Row],[Client_Price]]-Food_Orders[[#This Row],[Cost]]</f>
        <v>24000</v>
      </c>
    </row>
    <row r="1046" spans="1:9" x14ac:dyDescent="0.25">
      <c r="A1046">
        <v>46</v>
      </c>
      <c r="B1046" t="s">
        <v>50</v>
      </c>
      <c r="C1046" t="s">
        <v>40</v>
      </c>
      <c r="D1046" t="s">
        <v>51</v>
      </c>
      <c r="E1046" t="s">
        <v>10</v>
      </c>
      <c r="F1046" cm="1">
        <f t="array" ref="F1046">_xlfn.XLOOKUP(Food_Orders[[#This Row],[Event_No]],Event_Master[[#All],[Event_No]],Event_Master[[#All],[Guest_Count]],,0)</f>
        <v>1200</v>
      </c>
      <c r="G1046" cm="1">
        <f t="array" ref="G1046">Food_Orders[[#This Row],[Quantity_Orderd]]*_xlfn.XLOOKUP(Food_Orders[[#This Row],[Food_ID]],Food_Catalog[[#All],[Food_ID]],Food_Catalog[[#All],[Price_Per_Unit]],0,0)</f>
        <v>96000</v>
      </c>
      <c r="H1046" cm="1">
        <f t="array" ref="H1046">Food_Orders[[#This Row],[Quantity_Orderd]]*_xlfn.XLOOKUP(Food_Orders[[#This Row],[Food_ID]],Food_Catalog[[#All],[Food_ID]],Food_Catalog[[#All],[Client_Price_Per_Unit]],0,0)</f>
        <v>115200</v>
      </c>
      <c r="I1046">
        <f>Food_Orders[[#This Row],[Client_Price]]-Food_Orders[[#This Row],[Cost]]</f>
        <v>19200</v>
      </c>
    </row>
    <row r="1047" spans="1:9" x14ac:dyDescent="0.25">
      <c r="A1047">
        <v>46</v>
      </c>
      <c r="B1047" t="s">
        <v>52</v>
      </c>
      <c r="C1047" t="s">
        <v>40</v>
      </c>
      <c r="D1047" t="s">
        <v>53</v>
      </c>
      <c r="E1047" t="s">
        <v>10</v>
      </c>
      <c r="F1047" cm="1">
        <f t="array" ref="F1047">_xlfn.XLOOKUP(Food_Orders[[#This Row],[Event_No]],Event_Master[[#All],[Event_No]],Event_Master[[#All],[Guest_Count]],,0)</f>
        <v>1200</v>
      </c>
      <c r="G1047" cm="1">
        <f t="array" ref="G1047">Food_Orders[[#This Row],[Quantity_Orderd]]*_xlfn.XLOOKUP(Food_Orders[[#This Row],[Food_ID]],Food_Catalog[[#All],[Food_ID]],Food_Catalog[[#All],[Price_Per_Unit]],0,0)</f>
        <v>120000</v>
      </c>
      <c r="H1047" cm="1">
        <f t="array" ref="H1047">Food_Orders[[#This Row],[Quantity_Orderd]]*_xlfn.XLOOKUP(Food_Orders[[#This Row],[Food_ID]],Food_Catalog[[#All],[Food_ID]],Food_Catalog[[#All],[Client_Price_Per_Unit]],0,0)</f>
        <v>144000</v>
      </c>
      <c r="I1047">
        <f>Food_Orders[[#This Row],[Client_Price]]-Food_Orders[[#This Row],[Cost]]</f>
        <v>24000</v>
      </c>
    </row>
    <row r="1048" spans="1:9" x14ac:dyDescent="0.25">
      <c r="A1048">
        <v>46</v>
      </c>
      <c r="B1048" t="s">
        <v>54</v>
      </c>
      <c r="C1048" t="s">
        <v>40</v>
      </c>
      <c r="D1048" t="s">
        <v>55</v>
      </c>
      <c r="E1048" t="s">
        <v>10</v>
      </c>
      <c r="F1048" cm="1">
        <f t="array" ref="F1048">_xlfn.XLOOKUP(Food_Orders[[#This Row],[Event_No]],Event_Master[[#All],[Event_No]],Event_Master[[#All],[Guest_Count]],,0)</f>
        <v>1200</v>
      </c>
      <c r="G1048" cm="1">
        <f t="array" ref="G1048">Food_Orders[[#This Row],[Quantity_Orderd]]*_xlfn.XLOOKUP(Food_Orders[[#This Row],[Food_ID]],Food_Catalog[[#All],[Food_ID]],Food_Catalog[[#All],[Price_Per_Unit]],0,0)</f>
        <v>48000</v>
      </c>
      <c r="H1048" cm="1">
        <f t="array" ref="H1048">Food_Orders[[#This Row],[Quantity_Orderd]]*_xlfn.XLOOKUP(Food_Orders[[#This Row],[Food_ID]],Food_Catalog[[#All],[Food_ID]],Food_Catalog[[#All],[Client_Price_Per_Unit]],0,0)</f>
        <v>57600</v>
      </c>
      <c r="I1048">
        <f>Food_Orders[[#This Row],[Client_Price]]-Food_Orders[[#This Row],[Cost]]</f>
        <v>9600</v>
      </c>
    </row>
    <row r="1049" spans="1:9" x14ac:dyDescent="0.25">
      <c r="A1049">
        <v>46</v>
      </c>
      <c r="B1049" t="s">
        <v>58</v>
      </c>
      <c r="C1049" t="s">
        <v>40</v>
      </c>
      <c r="D1049" t="s">
        <v>59</v>
      </c>
      <c r="E1049" t="s">
        <v>10</v>
      </c>
      <c r="F1049" cm="1">
        <f t="array" ref="F1049">_xlfn.XLOOKUP(Food_Orders[[#This Row],[Event_No]],Event_Master[[#All],[Event_No]],Event_Master[[#All],[Guest_Count]],,0)</f>
        <v>1200</v>
      </c>
      <c r="G1049" cm="1">
        <f t="array" ref="G1049">Food_Orders[[#This Row],[Quantity_Orderd]]*_xlfn.XLOOKUP(Food_Orders[[#This Row],[Food_ID]],Food_Catalog[[#All],[Food_ID]],Food_Catalog[[#All],[Price_Per_Unit]],0,0)</f>
        <v>108000</v>
      </c>
      <c r="H1049" cm="1">
        <f t="array" ref="H1049">Food_Orders[[#This Row],[Quantity_Orderd]]*_xlfn.XLOOKUP(Food_Orders[[#This Row],[Food_ID]],Food_Catalog[[#All],[Food_ID]],Food_Catalog[[#All],[Client_Price_Per_Unit]],0,0)</f>
        <v>129600</v>
      </c>
      <c r="I1049">
        <f>Food_Orders[[#This Row],[Client_Price]]-Food_Orders[[#This Row],[Cost]]</f>
        <v>21600</v>
      </c>
    </row>
    <row r="1050" spans="1:9" x14ac:dyDescent="0.25">
      <c r="A1050">
        <v>46</v>
      </c>
      <c r="B1050" t="s">
        <v>82</v>
      </c>
      <c r="C1050" t="s">
        <v>83</v>
      </c>
      <c r="D1050" t="s">
        <v>84</v>
      </c>
      <c r="E1050" t="s">
        <v>85</v>
      </c>
      <c r="F1050" cm="1">
        <f t="array" ref="F1050">_xlfn.XLOOKUP(Food_Orders[[#This Row],[Event_No]],Event_Master[[#All],[Event_No]],Event_Master[[#All],[Guest_Count]],,0)</f>
        <v>1200</v>
      </c>
      <c r="G1050" cm="1">
        <f t="array" ref="G1050">Food_Orders[[#This Row],[Quantity_Orderd]]*_xlfn.XLOOKUP(Food_Orders[[#This Row],[Food_ID]],Food_Catalog[[#All],[Food_ID]],Food_Catalog[[#All],[Price_Per_Unit]],0,0)</f>
        <v>24000</v>
      </c>
      <c r="H1050" cm="1">
        <f t="array" ref="H1050">Food_Orders[[#This Row],[Quantity_Orderd]]*_xlfn.XLOOKUP(Food_Orders[[#This Row],[Food_ID]],Food_Catalog[[#All],[Food_ID]],Food_Catalog[[#All],[Client_Price_Per_Unit]],0,0)</f>
        <v>28800</v>
      </c>
      <c r="I1050">
        <f>Food_Orders[[#This Row],[Client_Price]]-Food_Orders[[#This Row],[Cost]]</f>
        <v>4800</v>
      </c>
    </row>
    <row r="1051" spans="1:9" x14ac:dyDescent="0.25">
      <c r="A1051">
        <v>46</v>
      </c>
      <c r="B1051" t="s">
        <v>86</v>
      </c>
      <c r="C1051" t="s">
        <v>83</v>
      </c>
      <c r="D1051" t="s">
        <v>87</v>
      </c>
      <c r="E1051" t="s">
        <v>85</v>
      </c>
      <c r="F1051" cm="1">
        <f t="array" ref="F1051">_xlfn.XLOOKUP(Food_Orders[[#This Row],[Event_No]],Event_Master[[#All],[Event_No]],Event_Master[[#All],[Guest_Count]],,0)</f>
        <v>1200</v>
      </c>
      <c r="G1051" cm="1">
        <f t="array" ref="G1051">Food_Orders[[#This Row],[Quantity_Orderd]]*_xlfn.XLOOKUP(Food_Orders[[#This Row],[Food_ID]],Food_Catalog[[#All],[Food_ID]],Food_Catalog[[#All],[Price_Per_Unit]],0,0)</f>
        <v>24000</v>
      </c>
      <c r="H1051" cm="1">
        <f t="array" ref="H1051">Food_Orders[[#This Row],[Quantity_Orderd]]*_xlfn.XLOOKUP(Food_Orders[[#This Row],[Food_ID]],Food_Catalog[[#All],[Food_ID]],Food_Catalog[[#All],[Client_Price_Per_Unit]],0,0)</f>
        <v>28800</v>
      </c>
      <c r="I1051">
        <f>Food_Orders[[#This Row],[Client_Price]]-Food_Orders[[#This Row],[Cost]]</f>
        <v>4800</v>
      </c>
    </row>
    <row r="1052" spans="1:9" x14ac:dyDescent="0.25">
      <c r="A1052">
        <v>46</v>
      </c>
      <c r="B1052" t="s">
        <v>88</v>
      </c>
      <c r="C1052" t="s">
        <v>83</v>
      </c>
      <c r="D1052" t="s">
        <v>89</v>
      </c>
      <c r="E1052" t="s">
        <v>85</v>
      </c>
      <c r="F1052" cm="1">
        <f t="array" ref="F1052">_xlfn.XLOOKUP(Food_Orders[[#This Row],[Event_No]],Event_Master[[#All],[Event_No]],Event_Master[[#All],[Guest_Count]],,0)</f>
        <v>1200</v>
      </c>
      <c r="G1052" cm="1">
        <f t="array" ref="G1052">Food_Orders[[#This Row],[Quantity_Orderd]]*_xlfn.XLOOKUP(Food_Orders[[#This Row],[Food_ID]],Food_Catalog[[#All],[Food_ID]],Food_Catalog[[#All],[Price_Per_Unit]],0,0)</f>
        <v>18000</v>
      </c>
      <c r="H1052" cm="1">
        <f t="array" ref="H1052">Food_Orders[[#This Row],[Quantity_Orderd]]*_xlfn.XLOOKUP(Food_Orders[[#This Row],[Food_ID]],Food_Catalog[[#All],[Food_ID]],Food_Catalog[[#All],[Client_Price_Per_Unit]],0,0)</f>
        <v>21600</v>
      </c>
      <c r="I1052">
        <f>Food_Orders[[#This Row],[Client_Price]]-Food_Orders[[#This Row],[Cost]]</f>
        <v>3600</v>
      </c>
    </row>
    <row r="1053" spans="1:9" x14ac:dyDescent="0.25">
      <c r="A1053">
        <v>46</v>
      </c>
      <c r="B1053" t="s">
        <v>100</v>
      </c>
      <c r="C1053" t="s">
        <v>83</v>
      </c>
      <c r="D1053" t="s">
        <v>101</v>
      </c>
      <c r="E1053" t="s">
        <v>79</v>
      </c>
      <c r="F1053" cm="1">
        <f t="array" ref="F1053">_xlfn.XLOOKUP(Food_Orders[[#This Row],[Event_No]],Event_Master[[#All],[Event_No]],Event_Master[[#All],[Guest_Count]],,0)</f>
        <v>1200</v>
      </c>
      <c r="G1053" cm="1">
        <f t="array" ref="G1053">Food_Orders[[#This Row],[Quantity_Orderd]]*_xlfn.XLOOKUP(Food_Orders[[#This Row],[Food_ID]],Food_Catalog[[#All],[Food_ID]],Food_Catalog[[#All],[Price_Per_Unit]],0,0)</f>
        <v>42000</v>
      </c>
      <c r="H1053" cm="1">
        <f t="array" ref="H1053">Food_Orders[[#This Row],[Quantity_Orderd]]*_xlfn.XLOOKUP(Food_Orders[[#This Row],[Food_ID]],Food_Catalog[[#All],[Food_ID]],Food_Catalog[[#All],[Client_Price_Per_Unit]],0,0)</f>
        <v>50400</v>
      </c>
      <c r="I1053">
        <f>Food_Orders[[#This Row],[Client_Price]]-Food_Orders[[#This Row],[Cost]]</f>
        <v>8400</v>
      </c>
    </row>
    <row r="1054" spans="1:9" x14ac:dyDescent="0.25">
      <c r="A1054">
        <v>46</v>
      </c>
      <c r="B1054" t="s">
        <v>96</v>
      </c>
      <c r="C1054" t="s">
        <v>83</v>
      </c>
      <c r="D1054" t="s">
        <v>97</v>
      </c>
      <c r="E1054" t="s">
        <v>79</v>
      </c>
      <c r="F1054" cm="1">
        <f t="array" ref="F1054">_xlfn.XLOOKUP(Food_Orders[[#This Row],[Event_No]],Event_Master[[#All],[Event_No]],Event_Master[[#All],[Guest_Count]],,0)</f>
        <v>1200</v>
      </c>
      <c r="G1054" cm="1">
        <f t="array" ref="G1054">Food_Orders[[#This Row],[Quantity_Orderd]]*_xlfn.XLOOKUP(Food_Orders[[#This Row],[Food_ID]],Food_Catalog[[#All],[Food_ID]],Food_Catalog[[#All],[Price_Per_Unit]],0,0)</f>
        <v>36000</v>
      </c>
      <c r="H1054" cm="1">
        <f t="array" ref="H1054">Food_Orders[[#This Row],[Quantity_Orderd]]*_xlfn.XLOOKUP(Food_Orders[[#This Row],[Food_ID]],Food_Catalog[[#All],[Food_ID]],Food_Catalog[[#All],[Client_Price_Per_Unit]],0,0)</f>
        <v>43200</v>
      </c>
      <c r="I1054">
        <f>Food_Orders[[#This Row],[Client_Price]]-Food_Orders[[#This Row],[Cost]]</f>
        <v>7200</v>
      </c>
    </row>
    <row r="1055" spans="1:9" x14ac:dyDescent="0.25">
      <c r="A1055">
        <v>46</v>
      </c>
      <c r="B1055" t="s">
        <v>92</v>
      </c>
      <c r="C1055" t="s">
        <v>83</v>
      </c>
      <c r="D1055" t="s">
        <v>93</v>
      </c>
      <c r="E1055" t="s">
        <v>85</v>
      </c>
      <c r="F1055" cm="1">
        <f t="array" ref="F1055">_xlfn.XLOOKUP(Food_Orders[[#This Row],[Event_No]],Event_Master[[#All],[Event_No]],Event_Master[[#All],[Guest_Count]],,0)</f>
        <v>1200</v>
      </c>
      <c r="G1055" cm="1">
        <f t="array" ref="G1055">Food_Orders[[#This Row],[Quantity_Orderd]]*_xlfn.XLOOKUP(Food_Orders[[#This Row],[Food_ID]],Food_Catalog[[#All],[Food_ID]],Food_Catalog[[#All],[Price_Per_Unit]],0,0)</f>
        <v>18000</v>
      </c>
      <c r="H1055" cm="1">
        <f t="array" ref="H1055">Food_Orders[[#This Row],[Quantity_Orderd]]*_xlfn.XLOOKUP(Food_Orders[[#This Row],[Food_ID]],Food_Catalog[[#All],[Food_ID]],Food_Catalog[[#All],[Client_Price_Per_Unit]],0,0)</f>
        <v>21600</v>
      </c>
      <c r="I1055">
        <f>Food_Orders[[#This Row],[Client_Price]]-Food_Orders[[#This Row],[Cost]]</f>
        <v>3600</v>
      </c>
    </row>
    <row r="1056" spans="1:9" x14ac:dyDescent="0.25">
      <c r="A1056">
        <v>46</v>
      </c>
      <c r="B1056" t="s">
        <v>102</v>
      </c>
      <c r="C1056" t="s">
        <v>83</v>
      </c>
      <c r="D1056" t="s">
        <v>103</v>
      </c>
      <c r="E1056" t="s">
        <v>85</v>
      </c>
      <c r="F1056" cm="1">
        <f t="array" ref="F1056">_xlfn.XLOOKUP(Food_Orders[[#This Row],[Event_No]],Event_Master[[#All],[Event_No]],Event_Master[[#All],[Guest_Count]],,0)</f>
        <v>1200</v>
      </c>
      <c r="G1056" cm="1">
        <f t="array" ref="G1056">Food_Orders[[#This Row],[Quantity_Orderd]]*_xlfn.XLOOKUP(Food_Orders[[#This Row],[Food_ID]],Food_Catalog[[#All],[Food_ID]],Food_Catalog[[#All],[Price_Per_Unit]],0,0)</f>
        <v>24000</v>
      </c>
      <c r="H1056" cm="1">
        <f t="array" ref="H1056">Food_Orders[[#This Row],[Quantity_Orderd]]*_xlfn.XLOOKUP(Food_Orders[[#This Row],[Food_ID]],Food_Catalog[[#All],[Food_ID]],Food_Catalog[[#All],[Client_Price_Per_Unit]],0,0)</f>
        <v>28800</v>
      </c>
      <c r="I1056">
        <f>Food_Orders[[#This Row],[Client_Price]]-Food_Orders[[#This Row],[Cost]]</f>
        <v>4800</v>
      </c>
    </row>
    <row r="1057" spans="1:9" x14ac:dyDescent="0.25">
      <c r="A1057">
        <v>46</v>
      </c>
      <c r="B1057" t="s">
        <v>98</v>
      </c>
      <c r="C1057" t="s">
        <v>83</v>
      </c>
      <c r="D1057" t="s">
        <v>99</v>
      </c>
      <c r="E1057" t="s">
        <v>85</v>
      </c>
      <c r="F1057" cm="1">
        <f t="array" ref="F1057">_xlfn.XLOOKUP(Food_Orders[[#This Row],[Event_No]],Event_Master[[#All],[Event_No]],Event_Master[[#All],[Guest_Count]],,0)</f>
        <v>1200</v>
      </c>
      <c r="G1057" cm="1">
        <f t="array" ref="G1057">Food_Orders[[#This Row],[Quantity_Orderd]]*_xlfn.XLOOKUP(Food_Orders[[#This Row],[Food_ID]],Food_Catalog[[#All],[Food_ID]],Food_Catalog[[#All],[Price_Per_Unit]],0,0)</f>
        <v>18000</v>
      </c>
      <c r="H1057" cm="1">
        <f t="array" ref="H1057">Food_Orders[[#This Row],[Quantity_Orderd]]*_xlfn.XLOOKUP(Food_Orders[[#This Row],[Food_ID]],Food_Catalog[[#All],[Food_ID]],Food_Catalog[[#All],[Client_Price_Per_Unit]],0,0)</f>
        <v>21600</v>
      </c>
      <c r="I1057">
        <f>Food_Orders[[#This Row],[Client_Price]]-Food_Orders[[#This Row],[Cost]]</f>
        <v>3600</v>
      </c>
    </row>
    <row r="1058" spans="1:9" x14ac:dyDescent="0.25">
      <c r="A1058">
        <v>46</v>
      </c>
      <c r="B1058" t="s">
        <v>104</v>
      </c>
      <c r="C1058" t="s">
        <v>105</v>
      </c>
      <c r="D1058" t="s">
        <v>106</v>
      </c>
      <c r="E1058" t="s">
        <v>107</v>
      </c>
      <c r="F1058" cm="1">
        <f t="array" ref="F1058">_xlfn.XLOOKUP(Food_Orders[[#This Row],[Event_No]],Event_Master[[#All],[Event_No]],Event_Master[[#All],[Guest_Count]],,0)</f>
        <v>1200</v>
      </c>
      <c r="G1058" cm="1">
        <f t="array" ref="G1058">Food_Orders[[#This Row],[Quantity_Orderd]]*_xlfn.XLOOKUP(Food_Orders[[#This Row],[Food_ID]],Food_Catalog[[#All],[Food_ID]],Food_Catalog[[#All],[Price_Per_Unit]],0,0)</f>
        <v>12000</v>
      </c>
      <c r="H1058" cm="1">
        <f t="array" ref="H1058">Food_Orders[[#This Row],[Quantity_Orderd]]*_xlfn.XLOOKUP(Food_Orders[[#This Row],[Food_ID]],Food_Catalog[[#All],[Food_ID]],Food_Catalog[[#All],[Client_Price_Per_Unit]],0,0)</f>
        <v>14400</v>
      </c>
      <c r="I1058">
        <f>Food_Orders[[#This Row],[Client_Price]]-Food_Orders[[#This Row],[Cost]]</f>
        <v>2400</v>
      </c>
    </row>
    <row r="1059" spans="1:9" x14ac:dyDescent="0.25">
      <c r="A1059">
        <v>46</v>
      </c>
      <c r="B1059" t="s">
        <v>108</v>
      </c>
      <c r="C1059" t="s">
        <v>105</v>
      </c>
      <c r="D1059" t="s">
        <v>109</v>
      </c>
      <c r="E1059" t="s">
        <v>107</v>
      </c>
      <c r="F1059" cm="1">
        <f t="array" ref="F1059">_xlfn.XLOOKUP(Food_Orders[[#This Row],[Event_No]],Event_Master[[#All],[Event_No]],Event_Master[[#All],[Guest_Count]],,0)</f>
        <v>1200</v>
      </c>
      <c r="G1059" cm="1">
        <f t="array" ref="G1059">Food_Orders[[#This Row],[Quantity_Orderd]]*_xlfn.XLOOKUP(Food_Orders[[#This Row],[Food_ID]],Food_Catalog[[#All],[Food_ID]],Food_Catalog[[#All],[Price_Per_Unit]],0,0)</f>
        <v>18000</v>
      </c>
      <c r="H1059" cm="1">
        <f t="array" ref="H1059">Food_Orders[[#This Row],[Quantity_Orderd]]*_xlfn.XLOOKUP(Food_Orders[[#This Row],[Food_ID]],Food_Catalog[[#All],[Food_ID]],Food_Catalog[[#All],[Client_Price_Per_Unit]],0,0)</f>
        <v>21600</v>
      </c>
      <c r="I1059">
        <f>Food_Orders[[#This Row],[Client_Price]]-Food_Orders[[#This Row],[Cost]]</f>
        <v>3600</v>
      </c>
    </row>
    <row r="1060" spans="1:9" x14ac:dyDescent="0.25">
      <c r="A1060">
        <v>46</v>
      </c>
      <c r="B1060" t="s">
        <v>115</v>
      </c>
      <c r="C1060" t="s">
        <v>105</v>
      </c>
      <c r="D1060" t="s">
        <v>116</v>
      </c>
      <c r="E1060" t="s">
        <v>117</v>
      </c>
      <c r="F1060" cm="1">
        <f t="array" ref="F1060">_xlfn.XLOOKUP(Food_Orders[[#This Row],[Event_No]],Event_Master[[#All],[Event_No]],Event_Master[[#All],[Guest_Count]],,0)</f>
        <v>1200</v>
      </c>
      <c r="G1060" cm="1">
        <f t="array" ref="G1060">Food_Orders[[#This Row],[Quantity_Orderd]]*_xlfn.XLOOKUP(Food_Orders[[#This Row],[Food_ID]],Food_Catalog[[#All],[Food_ID]],Food_Catalog[[#All],[Price_Per_Unit]],0,0)</f>
        <v>30000</v>
      </c>
      <c r="H1060" cm="1">
        <f t="array" ref="H1060">Food_Orders[[#This Row],[Quantity_Orderd]]*_xlfn.XLOOKUP(Food_Orders[[#This Row],[Food_ID]],Food_Catalog[[#All],[Food_ID]],Food_Catalog[[#All],[Client_Price_Per_Unit]],0,0)</f>
        <v>36000</v>
      </c>
      <c r="I1060">
        <f>Food_Orders[[#This Row],[Client_Price]]-Food_Orders[[#This Row],[Cost]]</f>
        <v>6000</v>
      </c>
    </row>
    <row r="1061" spans="1:9" x14ac:dyDescent="0.25">
      <c r="A1061">
        <v>46</v>
      </c>
      <c r="B1061" t="s">
        <v>110</v>
      </c>
      <c r="C1061" t="s">
        <v>105</v>
      </c>
      <c r="D1061" t="s">
        <v>111</v>
      </c>
      <c r="E1061" t="s">
        <v>112</v>
      </c>
      <c r="F1061" cm="1">
        <f t="array" ref="F1061">_xlfn.XLOOKUP(Food_Orders[[#This Row],[Event_No]],Event_Master[[#All],[Event_No]],Event_Master[[#All],[Guest_Count]],,0)</f>
        <v>1200</v>
      </c>
      <c r="G1061" cm="1">
        <f t="array" ref="G1061">Food_Orders[[#This Row],[Quantity_Orderd]]*_xlfn.XLOOKUP(Food_Orders[[#This Row],[Food_ID]],Food_Catalog[[#All],[Food_ID]],Food_Catalog[[#All],[Price_Per_Unit]],0,0)</f>
        <v>24000</v>
      </c>
      <c r="H1061" cm="1">
        <f t="array" ref="H1061">Food_Orders[[#This Row],[Quantity_Orderd]]*_xlfn.XLOOKUP(Food_Orders[[#This Row],[Food_ID]],Food_Catalog[[#All],[Food_ID]],Food_Catalog[[#All],[Client_Price_Per_Unit]],0,0)</f>
        <v>28800</v>
      </c>
      <c r="I1061">
        <f>Food_Orders[[#This Row],[Client_Price]]-Food_Orders[[#This Row],[Cost]]</f>
        <v>4800</v>
      </c>
    </row>
    <row r="1062" spans="1:9" x14ac:dyDescent="0.25">
      <c r="A1062">
        <v>46</v>
      </c>
      <c r="B1062" t="s">
        <v>118</v>
      </c>
      <c r="C1062" t="s">
        <v>119</v>
      </c>
      <c r="D1062" t="s">
        <v>120</v>
      </c>
      <c r="E1062" t="s">
        <v>112</v>
      </c>
      <c r="F1062" cm="1">
        <f t="array" ref="F1062">_xlfn.XLOOKUP(Food_Orders[[#This Row],[Event_No]],Event_Master[[#All],[Event_No]],Event_Master[[#All],[Guest_Count]],,0)</f>
        <v>1200</v>
      </c>
      <c r="G1062" cm="1">
        <f t="array" ref="G1062">Food_Orders[[#This Row],[Quantity_Orderd]]*_xlfn.XLOOKUP(Food_Orders[[#This Row],[Food_ID]],Food_Catalog[[#All],[Food_ID]],Food_Catalog[[#All],[Price_Per_Unit]],0,0)</f>
        <v>12000</v>
      </c>
      <c r="H1062" cm="1">
        <f t="array" ref="H1062">Food_Orders[[#This Row],[Quantity_Orderd]]*_xlfn.XLOOKUP(Food_Orders[[#This Row],[Food_ID]],Food_Catalog[[#All],[Food_ID]],Food_Catalog[[#All],[Client_Price_Per_Unit]],0,0)</f>
        <v>14400</v>
      </c>
      <c r="I1062">
        <f>Food_Orders[[#This Row],[Client_Price]]-Food_Orders[[#This Row],[Cost]]</f>
        <v>2400</v>
      </c>
    </row>
    <row r="1063" spans="1:9" x14ac:dyDescent="0.25">
      <c r="A1063">
        <v>46</v>
      </c>
      <c r="B1063" t="s">
        <v>129</v>
      </c>
      <c r="C1063" t="s">
        <v>119</v>
      </c>
      <c r="D1063" t="s">
        <v>130</v>
      </c>
      <c r="E1063" t="s">
        <v>112</v>
      </c>
      <c r="F1063" cm="1">
        <f t="array" ref="F1063">_xlfn.XLOOKUP(Food_Orders[[#This Row],[Event_No]],Event_Master[[#All],[Event_No]],Event_Master[[#All],[Guest_Count]],,0)</f>
        <v>1200</v>
      </c>
      <c r="G1063" cm="1">
        <f t="array" ref="G1063">Food_Orders[[#This Row],[Quantity_Orderd]]*_xlfn.XLOOKUP(Food_Orders[[#This Row],[Food_ID]],Food_Catalog[[#All],[Food_ID]],Food_Catalog[[#All],[Price_Per_Unit]],0,0)</f>
        <v>12000</v>
      </c>
      <c r="H1063" cm="1">
        <f t="array" ref="H1063">Food_Orders[[#This Row],[Quantity_Orderd]]*_xlfn.XLOOKUP(Food_Orders[[#This Row],[Food_ID]],Food_Catalog[[#All],[Food_ID]],Food_Catalog[[#All],[Client_Price_Per_Unit]],0,0)</f>
        <v>14400</v>
      </c>
      <c r="I1063">
        <f>Food_Orders[[#This Row],[Client_Price]]-Food_Orders[[#This Row],[Cost]]</f>
        <v>2400</v>
      </c>
    </row>
    <row r="1064" spans="1:9" x14ac:dyDescent="0.25">
      <c r="A1064">
        <v>46</v>
      </c>
      <c r="B1064" t="s">
        <v>124</v>
      </c>
      <c r="C1064" t="s">
        <v>119</v>
      </c>
      <c r="D1064" t="s">
        <v>125</v>
      </c>
      <c r="E1064" t="s">
        <v>126</v>
      </c>
      <c r="F1064" cm="1">
        <f t="array" ref="F1064">_xlfn.XLOOKUP(Food_Orders[[#This Row],[Event_No]],Event_Master[[#All],[Event_No]],Event_Master[[#All],[Guest_Count]],,0)</f>
        <v>1200</v>
      </c>
      <c r="G1064" cm="1">
        <f t="array" ref="G1064">Food_Orders[[#This Row],[Quantity_Orderd]]*_xlfn.XLOOKUP(Food_Orders[[#This Row],[Food_ID]],Food_Catalog[[#All],[Food_ID]],Food_Catalog[[#All],[Price_Per_Unit]],0,0)</f>
        <v>24000</v>
      </c>
      <c r="H1064" cm="1">
        <f t="array" ref="H1064">Food_Orders[[#This Row],[Quantity_Orderd]]*_xlfn.XLOOKUP(Food_Orders[[#This Row],[Food_ID]],Food_Catalog[[#All],[Food_ID]],Food_Catalog[[#All],[Client_Price_Per_Unit]],0,0)</f>
        <v>28800</v>
      </c>
      <c r="I1064">
        <f>Food_Orders[[#This Row],[Client_Price]]-Food_Orders[[#This Row],[Cost]]</f>
        <v>4800</v>
      </c>
    </row>
    <row r="1065" spans="1:9" x14ac:dyDescent="0.25">
      <c r="A1065">
        <v>46</v>
      </c>
      <c r="B1065" t="s">
        <v>127</v>
      </c>
      <c r="C1065" t="s">
        <v>119</v>
      </c>
      <c r="D1065" t="s">
        <v>128</v>
      </c>
      <c r="E1065" t="s">
        <v>107</v>
      </c>
      <c r="F1065" cm="1">
        <f t="array" ref="F1065">_xlfn.XLOOKUP(Food_Orders[[#This Row],[Event_No]],Event_Master[[#All],[Event_No]],Event_Master[[#All],[Guest_Count]],,0)</f>
        <v>1200</v>
      </c>
      <c r="G1065" cm="1">
        <f t="array" ref="G1065">Food_Orders[[#This Row],[Quantity_Orderd]]*_xlfn.XLOOKUP(Food_Orders[[#This Row],[Food_ID]],Food_Catalog[[#All],[Food_ID]],Food_Catalog[[#All],[Price_Per_Unit]],0,0)</f>
        <v>24000</v>
      </c>
      <c r="H1065" cm="1">
        <f t="array" ref="H1065">Food_Orders[[#This Row],[Quantity_Orderd]]*_xlfn.XLOOKUP(Food_Orders[[#This Row],[Food_ID]],Food_Catalog[[#All],[Food_ID]],Food_Catalog[[#All],[Client_Price_Per_Unit]],0,0)</f>
        <v>28800</v>
      </c>
      <c r="I1065">
        <f>Food_Orders[[#This Row],[Client_Price]]-Food_Orders[[#This Row],[Cost]]</f>
        <v>4800</v>
      </c>
    </row>
    <row r="1066" spans="1:9" x14ac:dyDescent="0.25">
      <c r="A1066">
        <v>47</v>
      </c>
      <c r="B1066" t="s">
        <v>118</v>
      </c>
      <c r="C1066" t="s">
        <v>119</v>
      </c>
      <c r="D1066" t="s">
        <v>120</v>
      </c>
      <c r="E1066" t="s">
        <v>112</v>
      </c>
      <c r="F1066" cm="1">
        <f t="array" ref="F1066">_xlfn.XLOOKUP(Food_Orders[[#This Row],[Event_No]],Event_Master[[#All],[Event_No]],Event_Master[[#All],[Guest_Count]],,0)</f>
        <v>120</v>
      </c>
      <c r="G1066" cm="1">
        <f t="array" ref="G1066">Food_Orders[[#This Row],[Quantity_Orderd]]*_xlfn.XLOOKUP(Food_Orders[[#This Row],[Food_ID]],Food_Catalog[[#All],[Food_ID]],Food_Catalog[[#All],[Price_Per_Unit]],0,0)</f>
        <v>1200</v>
      </c>
      <c r="H1066" cm="1">
        <f t="array" ref="H1066">Food_Orders[[#This Row],[Quantity_Orderd]]*_xlfn.XLOOKUP(Food_Orders[[#This Row],[Food_ID]],Food_Catalog[[#All],[Food_ID]],Food_Catalog[[#All],[Client_Price_Per_Unit]],0,0)</f>
        <v>1440</v>
      </c>
      <c r="I1066">
        <f>Food_Orders[[#This Row],[Client_Price]]-Food_Orders[[#This Row],[Cost]]</f>
        <v>240</v>
      </c>
    </row>
    <row r="1067" spans="1:9" x14ac:dyDescent="0.25">
      <c r="A1067">
        <v>47</v>
      </c>
      <c r="B1067" t="s">
        <v>129</v>
      </c>
      <c r="C1067" t="s">
        <v>119</v>
      </c>
      <c r="D1067" t="s">
        <v>130</v>
      </c>
      <c r="E1067" t="s">
        <v>112</v>
      </c>
      <c r="F1067" cm="1">
        <f t="array" ref="F1067">_xlfn.XLOOKUP(Food_Orders[[#This Row],[Event_No]],Event_Master[[#All],[Event_No]],Event_Master[[#All],[Guest_Count]],,0)</f>
        <v>120</v>
      </c>
      <c r="G1067" cm="1">
        <f t="array" ref="G1067">Food_Orders[[#This Row],[Quantity_Orderd]]*_xlfn.XLOOKUP(Food_Orders[[#This Row],[Food_ID]],Food_Catalog[[#All],[Food_ID]],Food_Catalog[[#All],[Price_Per_Unit]],0,0)</f>
        <v>1200</v>
      </c>
      <c r="H1067" cm="1">
        <f t="array" ref="H1067">Food_Orders[[#This Row],[Quantity_Orderd]]*_xlfn.XLOOKUP(Food_Orders[[#This Row],[Food_ID]],Food_Catalog[[#All],[Food_ID]],Food_Catalog[[#All],[Client_Price_Per_Unit]],0,0)</f>
        <v>1440</v>
      </c>
      <c r="I1067">
        <f>Food_Orders[[#This Row],[Client_Price]]-Food_Orders[[#This Row],[Cost]]</f>
        <v>240</v>
      </c>
    </row>
    <row r="1068" spans="1:9" x14ac:dyDescent="0.25">
      <c r="A1068">
        <v>47</v>
      </c>
      <c r="B1068" t="s">
        <v>104</v>
      </c>
      <c r="C1068" t="s">
        <v>105</v>
      </c>
      <c r="D1068" t="s">
        <v>106</v>
      </c>
      <c r="E1068" t="s">
        <v>107</v>
      </c>
      <c r="F1068" cm="1">
        <f t="array" ref="F1068">_xlfn.XLOOKUP(Food_Orders[[#This Row],[Event_No]],Event_Master[[#All],[Event_No]],Event_Master[[#All],[Guest_Count]],,0)</f>
        <v>120</v>
      </c>
      <c r="G1068" cm="1">
        <f t="array" ref="G1068">Food_Orders[[#This Row],[Quantity_Orderd]]*_xlfn.XLOOKUP(Food_Orders[[#This Row],[Food_ID]],Food_Catalog[[#All],[Food_ID]],Food_Catalog[[#All],[Price_Per_Unit]],0,0)</f>
        <v>1200</v>
      </c>
      <c r="H1068" cm="1">
        <f t="array" ref="H1068">Food_Orders[[#This Row],[Quantity_Orderd]]*_xlfn.XLOOKUP(Food_Orders[[#This Row],[Food_ID]],Food_Catalog[[#All],[Food_ID]],Food_Catalog[[#All],[Client_Price_Per_Unit]],0,0)</f>
        <v>1440</v>
      </c>
      <c r="I1068">
        <f>Food_Orders[[#This Row],[Client_Price]]-Food_Orders[[#This Row],[Cost]]</f>
        <v>240</v>
      </c>
    </row>
    <row r="1069" spans="1:9" x14ac:dyDescent="0.25">
      <c r="A1069">
        <v>47</v>
      </c>
      <c r="B1069" t="s">
        <v>108</v>
      </c>
      <c r="C1069" t="s">
        <v>105</v>
      </c>
      <c r="D1069" t="s">
        <v>109</v>
      </c>
      <c r="E1069" t="s">
        <v>107</v>
      </c>
      <c r="F1069" cm="1">
        <f t="array" ref="F1069">_xlfn.XLOOKUP(Food_Orders[[#This Row],[Event_No]],Event_Master[[#All],[Event_No]],Event_Master[[#All],[Guest_Count]],,0)</f>
        <v>120</v>
      </c>
      <c r="G1069" cm="1">
        <f t="array" ref="G1069">Food_Orders[[#This Row],[Quantity_Orderd]]*_xlfn.XLOOKUP(Food_Orders[[#This Row],[Food_ID]],Food_Catalog[[#All],[Food_ID]],Food_Catalog[[#All],[Price_Per_Unit]],0,0)</f>
        <v>1800</v>
      </c>
      <c r="H1069" cm="1">
        <f t="array" ref="H1069">Food_Orders[[#This Row],[Quantity_Orderd]]*_xlfn.XLOOKUP(Food_Orders[[#This Row],[Food_ID]],Food_Catalog[[#All],[Food_ID]],Food_Catalog[[#All],[Client_Price_Per_Unit]],0,0)</f>
        <v>2160</v>
      </c>
      <c r="I1069">
        <f>Food_Orders[[#This Row],[Client_Price]]-Food_Orders[[#This Row],[Cost]]</f>
        <v>360</v>
      </c>
    </row>
    <row r="1070" spans="1:9" x14ac:dyDescent="0.25">
      <c r="A1070">
        <v>47</v>
      </c>
      <c r="B1070" t="s">
        <v>127</v>
      </c>
      <c r="C1070" t="s">
        <v>119</v>
      </c>
      <c r="D1070" t="s">
        <v>128</v>
      </c>
      <c r="E1070" t="s">
        <v>107</v>
      </c>
      <c r="F1070" cm="1">
        <f t="array" ref="F1070">_xlfn.XLOOKUP(Food_Orders[[#This Row],[Event_No]],Event_Master[[#All],[Event_No]],Event_Master[[#All],[Guest_Count]],,0)</f>
        <v>120</v>
      </c>
      <c r="G1070" cm="1">
        <f t="array" ref="G1070">Food_Orders[[#This Row],[Quantity_Orderd]]*_xlfn.XLOOKUP(Food_Orders[[#This Row],[Food_ID]],Food_Catalog[[#All],[Food_ID]],Food_Catalog[[#All],[Price_Per_Unit]],0,0)</f>
        <v>2400</v>
      </c>
      <c r="H1070" cm="1">
        <f t="array" ref="H1070">Food_Orders[[#This Row],[Quantity_Orderd]]*_xlfn.XLOOKUP(Food_Orders[[#This Row],[Food_ID]],Food_Catalog[[#All],[Food_ID]],Food_Catalog[[#All],[Client_Price_Per_Unit]],0,0)</f>
        <v>2880</v>
      </c>
      <c r="I1070">
        <f>Food_Orders[[#This Row],[Client_Price]]-Food_Orders[[#This Row],[Cost]]</f>
        <v>480</v>
      </c>
    </row>
    <row r="1071" spans="1:9" x14ac:dyDescent="0.25">
      <c r="A1071">
        <v>47</v>
      </c>
      <c r="B1071" t="s">
        <v>124</v>
      </c>
      <c r="C1071" t="s">
        <v>119</v>
      </c>
      <c r="D1071" t="s">
        <v>125</v>
      </c>
      <c r="E1071" t="s">
        <v>126</v>
      </c>
      <c r="F1071" cm="1">
        <f t="array" ref="F1071">_xlfn.XLOOKUP(Food_Orders[[#This Row],[Event_No]],Event_Master[[#All],[Event_No]],Event_Master[[#All],[Guest_Count]],,0)</f>
        <v>120</v>
      </c>
      <c r="G1071" cm="1">
        <f t="array" ref="G1071">Food_Orders[[#This Row],[Quantity_Orderd]]*_xlfn.XLOOKUP(Food_Orders[[#This Row],[Food_ID]],Food_Catalog[[#All],[Food_ID]],Food_Catalog[[#All],[Price_Per_Unit]],0,0)</f>
        <v>2400</v>
      </c>
      <c r="H1071" cm="1">
        <f t="array" ref="H1071">Food_Orders[[#This Row],[Quantity_Orderd]]*_xlfn.XLOOKUP(Food_Orders[[#This Row],[Food_ID]],Food_Catalog[[#All],[Food_ID]],Food_Catalog[[#All],[Client_Price_Per_Unit]],0,0)</f>
        <v>2880</v>
      </c>
      <c r="I1071">
        <f>Food_Orders[[#This Row],[Client_Price]]-Food_Orders[[#This Row],[Cost]]</f>
        <v>480</v>
      </c>
    </row>
    <row r="1072" spans="1:9" x14ac:dyDescent="0.25">
      <c r="A1072">
        <v>47</v>
      </c>
      <c r="B1072" t="s">
        <v>121</v>
      </c>
      <c r="C1072" t="s">
        <v>119</v>
      </c>
      <c r="D1072" t="s">
        <v>122</v>
      </c>
      <c r="E1072" t="s">
        <v>123</v>
      </c>
      <c r="F1072" cm="1">
        <f t="array" ref="F1072">_xlfn.XLOOKUP(Food_Orders[[#This Row],[Event_No]],Event_Master[[#All],[Event_No]],Event_Master[[#All],[Guest_Count]],,0)</f>
        <v>120</v>
      </c>
      <c r="G1072" cm="1">
        <f t="array" ref="G1072">Food_Orders[[#This Row],[Quantity_Orderd]]*_xlfn.XLOOKUP(Food_Orders[[#This Row],[Food_ID]],Food_Catalog[[#All],[Food_ID]],Food_Catalog[[#All],[Price_Per_Unit]],0,0)</f>
        <v>1200</v>
      </c>
      <c r="H1072" cm="1">
        <f t="array" ref="H1072">Food_Orders[[#This Row],[Quantity_Orderd]]*_xlfn.XLOOKUP(Food_Orders[[#This Row],[Food_ID]],Food_Catalog[[#All],[Food_ID]],Food_Catalog[[#All],[Client_Price_Per_Unit]],0,0)</f>
        <v>1440</v>
      </c>
      <c r="I1072">
        <f>Food_Orders[[#This Row],[Client_Price]]-Food_Orders[[#This Row],[Cost]]</f>
        <v>240</v>
      </c>
    </row>
    <row r="1073" spans="1:9" x14ac:dyDescent="0.25">
      <c r="A1073">
        <v>47</v>
      </c>
      <c r="B1073" t="s">
        <v>92</v>
      </c>
      <c r="C1073" t="s">
        <v>83</v>
      </c>
      <c r="D1073" t="s">
        <v>93</v>
      </c>
      <c r="E1073" t="s">
        <v>85</v>
      </c>
      <c r="F1073" cm="1">
        <f t="array" ref="F1073">_xlfn.XLOOKUP(Food_Orders[[#This Row],[Event_No]],Event_Master[[#All],[Event_No]],Event_Master[[#All],[Guest_Count]],,0)</f>
        <v>120</v>
      </c>
      <c r="G1073" cm="1">
        <f t="array" ref="G1073">Food_Orders[[#This Row],[Quantity_Orderd]]*_xlfn.XLOOKUP(Food_Orders[[#This Row],[Food_ID]],Food_Catalog[[#All],[Food_ID]],Food_Catalog[[#All],[Price_Per_Unit]],0,0)</f>
        <v>1800</v>
      </c>
      <c r="H1073" cm="1">
        <f t="array" ref="H1073">Food_Orders[[#This Row],[Quantity_Orderd]]*_xlfn.XLOOKUP(Food_Orders[[#This Row],[Food_ID]],Food_Catalog[[#All],[Food_ID]],Food_Catalog[[#All],[Client_Price_Per_Unit]],0,0)</f>
        <v>2160</v>
      </c>
      <c r="I1073">
        <f>Food_Orders[[#This Row],[Client_Price]]-Food_Orders[[#This Row],[Cost]]</f>
        <v>360</v>
      </c>
    </row>
    <row r="1074" spans="1:9" x14ac:dyDescent="0.25">
      <c r="A1074">
        <v>47</v>
      </c>
      <c r="B1074" t="s">
        <v>98</v>
      </c>
      <c r="C1074" t="s">
        <v>83</v>
      </c>
      <c r="D1074" t="s">
        <v>99</v>
      </c>
      <c r="E1074" t="s">
        <v>85</v>
      </c>
      <c r="F1074" cm="1">
        <f t="array" ref="F1074">_xlfn.XLOOKUP(Food_Orders[[#This Row],[Event_No]],Event_Master[[#All],[Event_No]],Event_Master[[#All],[Guest_Count]],,0)</f>
        <v>120</v>
      </c>
      <c r="G1074" cm="1">
        <f t="array" ref="G1074">Food_Orders[[#This Row],[Quantity_Orderd]]*_xlfn.XLOOKUP(Food_Orders[[#This Row],[Food_ID]],Food_Catalog[[#All],[Food_ID]],Food_Catalog[[#All],[Price_Per_Unit]],0,0)</f>
        <v>1800</v>
      </c>
      <c r="H1074" cm="1">
        <f t="array" ref="H1074">Food_Orders[[#This Row],[Quantity_Orderd]]*_xlfn.XLOOKUP(Food_Orders[[#This Row],[Food_ID]],Food_Catalog[[#All],[Food_ID]],Food_Catalog[[#All],[Client_Price_Per_Unit]],0,0)</f>
        <v>2160</v>
      </c>
      <c r="I1074">
        <f>Food_Orders[[#This Row],[Client_Price]]-Food_Orders[[#This Row],[Cost]]</f>
        <v>360</v>
      </c>
    </row>
    <row r="1075" spans="1:9" x14ac:dyDescent="0.25">
      <c r="A1075">
        <v>47</v>
      </c>
      <c r="B1075" t="s">
        <v>82</v>
      </c>
      <c r="C1075" t="s">
        <v>83</v>
      </c>
      <c r="D1075" t="s">
        <v>84</v>
      </c>
      <c r="E1075" t="s">
        <v>85</v>
      </c>
      <c r="F1075" cm="1">
        <f t="array" ref="F1075">_xlfn.XLOOKUP(Food_Orders[[#This Row],[Event_No]],Event_Master[[#All],[Event_No]],Event_Master[[#All],[Guest_Count]],,0)</f>
        <v>120</v>
      </c>
      <c r="G1075" cm="1">
        <f t="array" ref="G1075">Food_Orders[[#This Row],[Quantity_Orderd]]*_xlfn.XLOOKUP(Food_Orders[[#This Row],[Food_ID]],Food_Catalog[[#All],[Food_ID]],Food_Catalog[[#All],[Price_Per_Unit]],0,0)</f>
        <v>2400</v>
      </c>
      <c r="H1075" cm="1">
        <f t="array" ref="H1075">Food_Orders[[#This Row],[Quantity_Orderd]]*_xlfn.XLOOKUP(Food_Orders[[#This Row],[Food_ID]],Food_Catalog[[#All],[Food_ID]],Food_Catalog[[#All],[Client_Price_Per_Unit]],0,0)</f>
        <v>2880</v>
      </c>
      <c r="I1075">
        <f>Food_Orders[[#This Row],[Client_Price]]-Food_Orders[[#This Row],[Cost]]</f>
        <v>480</v>
      </c>
    </row>
    <row r="1076" spans="1:9" x14ac:dyDescent="0.25">
      <c r="A1076">
        <v>47</v>
      </c>
      <c r="B1076" t="s">
        <v>96</v>
      </c>
      <c r="C1076" t="s">
        <v>83</v>
      </c>
      <c r="D1076" t="s">
        <v>97</v>
      </c>
      <c r="E1076" t="s">
        <v>79</v>
      </c>
      <c r="F1076" cm="1">
        <f t="array" ref="F1076">_xlfn.XLOOKUP(Food_Orders[[#This Row],[Event_No]],Event_Master[[#All],[Event_No]],Event_Master[[#All],[Guest_Count]],,0)</f>
        <v>120</v>
      </c>
      <c r="G1076" cm="1">
        <f t="array" ref="G1076">Food_Orders[[#This Row],[Quantity_Orderd]]*_xlfn.XLOOKUP(Food_Orders[[#This Row],[Food_ID]],Food_Catalog[[#All],[Food_ID]],Food_Catalog[[#All],[Price_Per_Unit]],0,0)</f>
        <v>3600</v>
      </c>
      <c r="H1076" cm="1">
        <f t="array" ref="H1076">Food_Orders[[#This Row],[Quantity_Orderd]]*_xlfn.XLOOKUP(Food_Orders[[#This Row],[Food_ID]],Food_Catalog[[#All],[Food_ID]],Food_Catalog[[#All],[Client_Price_Per_Unit]],0,0)</f>
        <v>4320</v>
      </c>
      <c r="I1076">
        <f>Food_Orders[[#This Row],[Client_Price]]-Food_Orders[[#This Row],[Cost]]</f>
        <v>720</v>
      </c>
    </row>
    <row r="1077" spans="1:9" x14ac:dyDescent="0.25">
      <c r="A1077">
        <v>47</v>
      </c>
      <c r="B1077" t="s">
        <v>63</v>
      </c>
      <c r="C1077" t="s">
        <v>61</v>
      </c>
      <c r="D1077" t="s">
        <v>64</v>
      </c>
      <c r="E1077" t="s">
        <v>10</v>
      </c>
      <c r="F1077" cm="1">
        <f t="array" ref="F1077">_xlfn.XLOOKUP(Food_Orders[[#This Row],[Event_No]],Event_Master[[#All],[Event_No]],Event_Master[[#All],[Guest_Count]],,0)</f>
        <v>120</v>
      </c>
      <c r="G1077" cm="1">
        <f t="array" ref="G1077">Food_Orders[[#This Row],[Quantity_Orderd]]*_xlfn.XLOOKUP(Food_Orders[[#This Row],[Food_ID]],Food_Catalog[[#All],[Food_ID]],Food_Catalog[[#All],[Price_Per_Unit]],0,0)</f>
        <v>3600</v>
      </c>
      <c r="H1077" cm="1">
        <f t="array" ref="H1077">Food_Orders[[#This Row],[Quantity_Orderd]]*_xlfn.XLOOKUP(Food_Orders[[#This Row],[Food_ID]],Food_Catalog[[#All],[Food_ID]],Food_Catalog[[#All],[Client_Price_Per_Unit]],0,0)</f>
        <v>4320</v>
      </c>
      <c r="I1077">
        <f>Food_Orders[[#This Row],[Client_Price]]-Food_Orders[[#This Row],[Cost]]</f>
        <v>720</v>
      </c>
    </row>
    <row r="1078" spans="1:9" x14ac:dyDescent="0.25">
      <c r="A1078">
        <v>47</v>
      </c>
      <c r="B1078" t="s">
        <v>71</v>
      </c>
      <c r="C1078" t="s">
        <v>61</v>
      </c>
      <c r="D1078" t="s">
        <v>72</v>
      </c>
      <c r="E1078" t="s">
        <v>10</v>
      </c>
      <c r="F1078" cm="1">
        <f t="array" ref="F1078">_xlfn.XLOOKUP(Food_Orders[[#This Row],[Event_No]],Event_Master[[#All],[Event_No]],Event_Master[[#All],[Guest_Count]],,0)</f>
        <v>120</v>
      </c>
      <c r="G1078" cm="1">
        <f t="array" ref="G1078">Food_Orders[[#This Row],[Quantity_Orderd]]*_xlfn.XLOOKUP(Food_Orders[[#This Row],[Food_ID]],Food_Catalog[[#All],[Food_ID]],Food_Catalog[[#All],[Price_Per_Unit]],0,0)</f>
        <v>3000</v>
      </c>
      <c r="H1078" cm="1">
        <f t="array" ref="H1078">Food_Orders[[#This Row],[Quantity_Orderd]]*_xlfn.XLOOKUP(Food_Orders[[#This Row],[Food_ID]],Food_Catalog[[#All],[Food_ID]],Food_Catalog[[#All],[Client_Price_Per_Unit]],0,0)</f>
        <v>3600</v>
      </c>
      <c r="I1078">
        <f>Food_Orders[[#This Row],[Client_Price]]-Food_Orders[[#This Row],[Cost]]</f>
        <v>600</v>
      </c>
    </row>
    <row r="1079" spans="1:9" x14ac:dyDescent="0.25">
      <c r="A1079">
        <v>47</v>
      </c>
      <c r="B1079" t="s">
        <v>29</v>
      </c>
      <c r="C1079" t="s">
        <v>8</v>
      </c>
      <c r="D1079" t="s">
        <v>30</v>
      </c>
      <c r="E1079" t="s">
        <v>10</v>
      </c>
      <c r="F1079" cm="1">
        <f t="array" ref="F1079">_xlfn.XLOOKUP(Food_Orders[[#This Row],[Event_No]],Event_Master[[#All],[Event_No]],Event_Master[[#All],[Guest_Count]],,0)</f>
        <v>120</v>
      </c>
      <c r="G1079" cm="1">
        <f t="array" ref="G1079">Food_Orders[[#This Row],[Quantity_Orderd]]*_xlfn.XLOOKUP(Food_Orders[[#This Row],[Food_ID]],Food_Catalog[[#All],[Food_ID]],Food_Catalog[[#All],[Price_Per_Unit]],0,0)</f>
        <v>3600</v>
      </c>
      <c r="H1079" cm="1">
        <f t="array" ref="H1079">Food_Orders[[#This Row],[Quantity_Orderd]]*_xlfn.XLOOKUP(Food_Orders[[#This Row],[Food_ID]],Food_Catalog[[#All],[Food_ID]],Food_Catalog[[#All],[Client_Price_Per_Unit]],0,0)</f>
        <v>4320</v>
      </c>
      <c r="I1079">
        <f>Food_Orders[[#This Row],[Client_Price]]-Food_Orders[[#This Row],[Cost]]</f>
        <v>720</v>
      </c>
    </row>
    <row r="1080" spans="1:9" x14ac:dyDescent="0.25">
      <c r="A1080">
        <v>47</v>
      </c>
      <c r="B1080" t="s">
        <v>37</v>
      </c>
      <c r="C1080" t="s">
        <v>8</v>
      </c>
      <c r="D1080" t="s">
        <v>38</v>
      </c>
      <c r="E1080" t="s">
        <v>10</v>
      </c>
      <c r="F1080" cm="1">
        <f t="array" ref="F1080">_xlfn.XLOOKUP(Food_Orders[[#This Row],[Event_No]],Event_Master[[#All],[Event_No]],Event_Master[[#All],[Guest_Count]],,0)</f>
        <v>120</v>
      </c>
      <c r="G1080" cm="1">
        <f t="array" ref="G1080">Food_Orders[[#This Row],[Quantity_Orderd]]*_xlfn.XLOOKUP(Food_Orders[[#This Row],[Food_ID]],Food_Catalog[[#All],[Food_ID]],Food_Catalog[[#All],[Price_Per_Unit]],0,0)</f>
        <v>3000</v>
      </c>
      <c r="H1080" cm="1">
        <f t="array" ref="H1080">Food_Orders[[#This Row],[Quantity_Orderd]]*_xlfn.XLOOKUP(Food_Orders[[#This Row],[Food_ID]],Food_Catalog[[#All],[Food_ID]],Food_Catalog[[#All],[Client_Price_Per_Unit]],0,0)</f>
        <v>3600</v>
      </c>
      <c r="I1080">
        <f>Food_Orders[[#This Row],[Client_Price]]-Food_Orders[[#This Row],[Cost]]</f>
        <v>600</v>
      </c>
    </row>
    <row r="1081" spans="1:9" x14ac:dyDescent="0.25">
      <c r="A1081">
        <v>48</v>
      </c>
      <c r="B1081" t="s">
        <v>63</v>
      </c>
      <c r="C1081" t="s">
        <v>61</v>
      </c>
      <c r="D1081" t="s">
        <v>64</v>
      </c>
      <c r="E1081" t="s">
        <v>10</v>
      </c>
      <c r="F1081" cm="1">
        <f t="array" ref="F1081">_xlfn.XLOOKUP(Food_Orders[[#This Row],[Event_No]],Event_Master[[#All],[Event_No]],Event_Master[[#All],[Guest_Count]],,0)</f>
        <v>80</v>
      </c>
      <c r="G1081" cm="1">
        <f t="array" ref="G1081">Food_Orders[[#This Row],[Quantity_Orderd]]*_xlfn.XLOOKUP(Food_Orders[[#This Row],[Food_ID]],Food_Catalog[[#All],[Food_ID]],Food_Catalog[[#All],[Price_Per_Unit]],0,0)</f>
        <v>2400</v>
      </c>
      <c r="H1081" cm="1">
        <f t="array" ref="H1081">Food_Orders[[#This Row],[Quantity_Orderd]]*_xlfn.XLOOKUP(Food_Orders[[#This Row],[Food_ID]],Food_Catalog[[#All],[Food_ID]],Food_Catalog[[#All],[Client_Price_Per_Unit]],0,0)</f>
        <v>2880</v>
      </c>
      <c r="I1081">
        <f>Food_Orders[[#This Row],[Client_Price]]-Food_Orders[[#This Row],[Cost]]</f>
        <v>480</v>
      </c>
    </row>
    <row r="1082" spans="1:9" x14ac:dyDescent="0.25">
      <c r="A1082">
        <v>48</v>
      </c>
      <c r="B1082" t="s">
        <v>71</v>
      </c>
      <c r="C1082" t="s">
        <v>61</v>
      </c>
      <c r="D1082" t="s">
        <v>72</v>
      </c>
      <c r="E1082" t="s">
        <v>10</v>
      </c>
      <c r="F1082" cm="1">
        <f t="array" ref="F1082">_xlfn.XLOOKUP(Food_Orders[[#This Row],[Event_No]],Event_Master[[#All],[Event_No]],Event_Master[[#All],[Guest_Count]],,0)</f>
        <v>80</v>
      </c>
      <c r="G1082" cm="1">
        <f t="array" ref="G1082">Food_Orders[[#This Row],[Quantity_Orderd]]*_xlfn.XLOOKUP(Food_Orders[[#This Row],[Food_ID]],Food_Catalog[[#All],[Food_ID]],Food_Catalog[[#All],[Price_Per_Unit]],0,0)</f>
        <v>2000</v>
      </c>
      <c r="H1082" cm="1">
        <f t="array" ref="H1082">Food_Orders[[#This Row],[Quantity_Orderd]]*_xlfn.XLOOKUP(Food_Orders[[#This Row],[Food_ID]],Food_Catalog[[#All],[Food_ID]],Food_Catalog[[#All],[Client_Price_Per_Unit]],0,0)</f>
        <v>2400</v>
      </c>
      <c r="I1082">
        <f>Food_Orders[[#This Row],[Client_Price]]-Food_Orders[[#This Row],[Cost]]</f>
        <v>400</v>
      </c>
    </row>
    <row r="1083" spans="1:9" x14ac:dyDescent="0.25">
      <c r="A1083">
        <v>48</v>
      </c>
      <c r="B1083" t="s">
        <v>69</v>
      </c>
      <c r="C1083" t="s">
        <v>61</v>
      </c>
      <c r="D1083" t="s">
        <v>70</v>
      </c>
      <c r="E1083" t="s">
        <v>10</v>
      </c>
      <c r="F1083" cm="1">
        <f t="array" ref="F1083">_xlfn.XLOOKUP(Food_Orders[[#This Row],[Event_No]],Event_Master[[#All],[Event_No]],Event_Master[[#All],[Guest_Count]],,0)</f>
        <v>80</v>
      </c>
      <c r="G1083" cm="1">
        <f t="array" ref="G1083">Food_Orders[[#This Row],[Quantity_Orderd]]*_xlfn.XLOOKUP(Food_Orders[[#This Row],[Food_ID]],Food_Catalog[[#All],[Food_ID]],Food_Catalog[[#All],[Price_Per_Unit]],0,0)</f>
        <v>4000</v>
      </c>
      <c r="H1083" cm="1">
        <f t="array" ref="H1083">Food_Orders[[#This Row],[Quantity_Orderd]]*_xlfn.XLOOKUP(Food_Orders[[#This Row],[Food_ID]],Food_Catalog[[#All],[Food_ID]],Food_Catalog[[#All],[Client_Price_Per_Unit]],0,0)</f>
        <v>4800</v>
      </c>
      <c r="I1083">
        <f>Food_Orders[[#This Row],[Client_Price]]-Food_Orders[[#This Row],[Cost]]</f>
        <v>800</v>
      </c>
    </row>
    <row r="1084" spans="1:9" x14ac:dyDescent="0.25">
      <c r="A1084">
        <v>48</v>
      </c>
      <c r="B1084" t="s">
        <v>67</v>
      </c>
      <c r="C1084" t="s">
        <v>61</v>
      </c>
      <c r="D1084" t="s">
        <v>68</v>
      </c>
      <c r="E1084" t="s">
        <v>10</v>
      </c>
      <c r="F1084" cm="1">
        <f t="array" ref="F1084">_xlfn.XLOOKUP(Food_Orders[[#This Row],[Event_No]],Event_Master[[#All],[Event_No]],Event_Master[[#All],[Guest_Count]],,0)</f>
        <v>80</v>
      </c>
      <c r="G1084" cm="1">
        <f t="array" ref="G1084">Food_Orders[[#This Row],[Quantity_Orderd]]*_xlfn.XLOOKUP(Food_Orders[[#This Row],[Food_ID]],Food_Catalog[[#All],[Food_ID]],Food_Catalog[[#All],[Price_Per_Unit]],0,0)</f>
        <v>2400</v>
      </c>
      <c r="H1084" cm="1">
        <f t="array" ref="H1084">Food_Orders[[#This Row],[Quantity_Orderd]]*_xlfn.XLOOKUP(Food_Orders[[#This Row],[Food_ID]],Food_Catalog[[#All],[Food_ID]],Food_Catalog[[#All],[Client_Price_Per_Unit]],0,0)</f>
        <v>2880</v>
      </c>
      <c r="I1084">
        <f>Food_Orders[[#This Row],[Client_Price]]-Food_Orders[[#This Row],[Cost]]</f>
        <v>480</v>
      </c>
    </row>
    <row r="1085" spans="1:9" x14ac:dyDescent="0.25">
      <c r="A1085">
        <v>48</v>
      </c>
      <c r="B1085" t="s">
        <v>13</v>
      </c>
      <c r="C1085" t="s">
        <v>8</v>
      </c>
      <c r="D1085" t="s">
        <v>14</v>
      </c>
      <c r="E1085" t="s">
        <v>10</v>
      </c>
      <c r="F1085" cm="1">
        <f t="array" ref="F1085">_xlfn.XLOOKUP(Food_Orders[[#This Row],[Event_No]],Event_Master[[#All],[Event_No]],Event_Master[[#All],[Guest_Count]],,0)</f>
        <v>80</v>
      </c>
      <c r="G1085" cm="1">
        <f t="array" ref="G1085">Food_Orders[[#This Row],[Quantity_Orderd]]*_xlfn.XLOOKUP(Food_Orders[[#This Row],[Food_ID]],Food_Catalog[[#All],[Food_ID]],Food_Catalog[[#All],[Price_Per_Unit]],0,0)</f>
        <v>2800</v>
      </c>
      <c r="H1085" cm="1">
        <f t="array" ref="H1085">Food_Orders[[#This Row],[Quantity_Orderd]]*_xlfn.XLOOKUP(Food_Orders[[#This Row],[Food_ID]],Food_Catalog[[#All],[Food_ID]],Food_Catalog[[#All],[Client_Price_Per_Unit]],0,0)</f>
        <v>3360</v>
      </c>
      <c r="I1085">
        <f>Food_Orders[[#This Row],[Client_Price]]-Food_Orders[[#This Row],[Cost]]</f>
        <v>560</v>
      </c>
    </row>
    <row r="1086" spans="1:9" x14ac:dyDescent="0.25">
      <c r="A1086">
        <v>48</v>
      </c>
      <c r="B1086" t="s">
        <v>27</v>
      </c>
      <c r="C1086" t="s">
        <v>8</v>
      </c>
      <c r="D1086" t="s">
        <v>28</v>
      </c>
      <c r="E1086" t="s">
        <v>10</v>
      </c>
      <c r="F1086" cm="1">
        <f t="array" ref="F1086">_xlfn.XLOOKUP(Food_Orders[[#This Row],[Event_No]],Event_Master[[#All],[Event_No]],Event_Master[[#All],[Guest_Count]],,0)</f>
        <v>80</v>
      </c>
      <c r="G1086" cm="1">
        <f t="array" ref="G1086">Food_Orders[[#This Row],[Quantity_Orderd]]*_xlfn.XLOOKUP(Food_Orders[[#This Row],[Food_ID]],Food_Catalog[[#All],[Food_ID]],Food_Catalog[[#All],[Price_Per_Unit]],0,0)</f>
        <v>3200</v>
      </c>
      <c r="H1086" cm="1">
        <f t="array" ref="H1086">Food_Orders[[#This Row],[Quantity_Orderd]]*_xlfn.XLOOKUP(Food_Orders[[#This Row],[Food_ID]],Food_Catalog[[#All],[Food_ID]],Food_Catalog[[#All],[Client_Price_Per_Unit]],0,0)</f>
        <v>3840</v>
      </c>
      <c r="I1086">
        <f>Food_Orders[[#This Row],[Client_Price]]-Food_Orders[[#This Row],[Cost]]</f>
        <v>640</v>
      </c>
    </row>
    <row r="1087" spans="1:9" x14ac:dyDescent="0.25">
      <c r="A1087">
        <v>48</v>
      </c>
      <c r="B1087" t="s">
        <v>31</v>
      </c>
      <c r="C1087" t="s">
        <v>8</v>
      </c>
      <c r="D1087" t="s">
        <v>32</v>
      </c>
      <c r="E1087" t="s">
        <v>10</v>
      </c>
      <c r="F1087" cm="1">
        <f t="array" ref="F1087">_xlfn.XLOOKUP(Food_Orders[[#This Row],[Event_No]],Event_Master[[#All],[Event_No]],Event_Master[[#All],[Guest_Count]],,0)</f>
        <v>80</v>
      </c>
      <c r="G1087" cm="1">
        <f t="array" ref="G1087">Food_Orders[[#This Row],[Quantity_Orderd]]*_xlfn.XLOOKUP(Food_Orders[[#This Row],[Food_ID]],Food_Catalog[[#All],[Food_ID]],Food_Catalog[[#All],[Price_Per_Unit]],0,0)</f>
        <v>2400</v>
      </c>
      <c r="H1087" cm="1">
        <f t="array" ref="H1087">Food_Orders[[#This Row],[Quantity_Orderd]]*_xlfn.XLOOKUP(Food_Orders[[#This Row],[Food_ID]],Food_Catalog[[#All],[Food_ID]],Food_Catalog[[#All],[Client_Price_Per_Unit]],0,0)</f>
        <v>2880</v>
      </c>
      <c r="I1087">
        <f>Food_Orders[[#This Row],[Client_Price]]-Food_Orders[[#This Row],[Cost]]</f>
        <v>480</v>
      </c>
    </row>
    <row r="1088" spans="1:9" x14ac:dyDescent="0.25">
      <c r="A1088">
        <v>48</v>
      </c>
      <c r="B1088" t="s">
        <v>17</v>
      </c>
      <c r="C1088" t="s">
        <v>8</v>
      </c>
      <c r="D1088" t="s">
        <v>18</v>
      </c>
      <c r="E1088" t="s">
        <v>10</v>
      </c>
      <c r="F1088" cm="1">
        <f t="array" ref="F1088">_xlfn.XLOOKUP(Food_Orders[[#This Row],[Event_No]],Event_Master[[#All],[Event_No]],Event_Master[[#All],[Guest_Count]],,0)</f>
        <v>80</v>
      </c>
      <c r="G1088" cm="1">
        <f t="array" ref="G1088">Food_Orders[[#This Row],[Quantity_Orderd]]*_xlfn.XLOOKUP(Food_Orders[[#This Row],[Food_ID]],Food_Catalog[[#All],[Food_ID]],Food_Catalog[[#All],[Price_Per_Unit]],0,0)</f>
        <v>3200</v>
      </c>
      <c r="H1088" cm="1">
        <f t="array" ref="H1088">Food_Orders[[#This Row],[Quantity_Orderd]]*_xlfn.XLOOKUP(Food_Orders[[#This Row],[Food_ID]],Food_Catalog[[#All],[Food_ID]],Food_Catalog[[#All],[Client_Price_Per_Unit]],0,0)</f>
        <v>3840</v>
      </c>
      <c r="I1088">
        <f>Food_Orders[[#This Row],[Client_Price]]-Food_Orders[[#This Row],[Cost]]</f>
        <v>640</v>
      </c>
    </row>
    <row r="1089" spans="1:9" x14ac:dyDescent="0.25">
      <c r="A1089">
        <v>48</v>
      </c>
      <c r="B1089" t="s">
        <v>39</v>
      </c>
      <c r="C1089" t="s">
        <v>40</v>
      </c>
      <c r="D1089" t="s">
        <v>41</v>
      </c>
      <c r="E1089" t="s">
        <v>10</v>
      </c>
      <c r="F1089" cm="1">
        <f t="array" ref="F1089">_xlfn.XLOOKUP(Food_Orders[[#This Row],[Event_No]],Event_Master[[#All],[Event_No]],Event_Master[[#All],[Guest_Count]],,0)</f>
        <v>80</v>
      </c>
      <c r="G1089" cm="1">
        <f t="array" ref="G1089">Food_Orders[[#This Row],[Quantity_Orderd]]*_xlfn.XLOOKUP(Food_Orders[[#This Row],[Food_ID]],Food_Catalog[[#All],[Food_ID]],Food_Catalog[[#All],[Price_Per_Unit]],0,0)</f>
        <v>4800</v>
      </c>
      <c r="H1089" cm="1">
        <f t="array" ref="H1089">Food_Orders[[#This Row],[Quantity_Orderd]]*_xlfn.XLOOKUP(Food_Orders[[#This Row],[Food_ID]],Food_Catalog[[#All],[Food_ID]],Food_Catalog[[#All],[Client_Price_Per_Unit]],0,0)</f>
        <v>5760</v>
      </c>
      <c r="I1089">
        <f>Food_Orders[[#This Row],[Client_Price]]-Food_Orders[[#This Row],[Cost]]</f>
        <v>960</v>
      </c>
    </row>
    <row r="1090" spans="1:9" x14ac:dyDescent="0.25">
      <c r="A1090">
        <v>48</v>
      </c>
      <c r="B1090" t="s">
        <v>42</v>
      </c>
      <c r="C1090" t="s">
        <v>40</v>
      </c>
      <c r="D1090" t="s">
        <v>43</v>
      </c>
      <c r="E1090" t="s">
        <v>10</v>
      </c>
      <c r="F1090" cm="1">
        <f t="array" ref="F1090">_xlfn.XLOOKUP(Food_Orders[[#This Row],[Event_No]],Event_Master[[#All],[Event_No]],Event_Master[[#All],[Guest_Count]],,0)</f>
        <v>80</v>
      </c>
      <c r="G1090" cm="1">
        <f t="array" ref="G1090">Food_Orders[[#This Row],[Quantity_Orderd]]*_xlfn.XLOOKUP(Food_Orders[[#This Row],[Food_ID]],Food_Catalog[[#All],[Food_ID]],Food_Catalog[[#All],[Price_Per_Unit]],0,0)</f>
        <v>5600</v>
      </c>
      <c r="H1090" cm="1">
        <f t="array" ref="H1090">Food_Orders[[#This Row],[Quantity_Orderd]]*_xlfn.XLOOKUP(Food_Orders[[#This Row],[Food_ID]],Food_Catalog[[#All],[Food_ID]],Food_Catalog[[#All],[Client_Price_Per_Unit]],0,0)</f>
        <v>6720</v>
      </c>
      <c r="I1090">
        <f>Food_Orders[[#This Row],[Client_Price]]-Food_Orders[[#This Row],[Cost]]</f>
        <v>1120</v>
      </c>
    </row>
    <row r="1091" spans="1:9" x14ac:dyDescent="0.25">
      <c r="A1091">
        <v>48</v>
      </c>
      <c r="B1091" t="s">
        <v>58</v>
      </c>
      <c r="C1091" t="s">
        <v>40</v>
      </c>
      <c r="D1091" t="s">
        <v>59</v>
      </c>
      <c r="E1091" t="s">
        <v>10</v>
      </c>
      <c r="F1091" cm="1">
        <f t="array" ref="F1091">_xlfn.XLOOKUP(Food_Orders[[#This Row],[Event_No]],Event_Master[[#All],[Event_No]],Event_Master[[#All],[Guest_Count]],,0)</f>
        <v>80</v>
      </c>
      <c r="G1091" cm="1">
        <f t="array" ref="G1091">Food_Orders[[#This Row],[Quantity_Orderd]]*_xlfn.XLOOKUP(Food_Orders[[#This Row],[Food_ID]],Food_Catalog[[#All],[Food_ID]],Food_Catalog[[#All],[Price_Per_Unit]],0,0)</f>
        <v>7200</v>
      </c>
      <c r="H1091" cm="1">
        <f t="array" ref="H1091">Food_Orders[[#This Row],[Quantity_Orderd]]*_xlfn.XLOOKUP(Food_Orders[[#This Row],[Food_ID]],Food_Catalog[[#All],[Food_ID]],Food_Catalog[[#All],[Client_Price_Per_Unit]],0,0)</f>
        <v>8640</v>
      </c>
      <c r="I1091">
        <f>Food_Orders[[#This Row],[Client_Price]]-Food_Orders[[#This Row],[Cost]]</f>
        <v>1440</v>
      </c>
    </row>
    <row r="1092" spans="1:9" x14ac:dyDescent="0.25">
      <c r="A1092">
        <v>48</v>
      </c>
      <c r="B1092" t="s">
        <v>46</v>
      </c>
      <c r="C1092" t="s">
        <v>40</v>
      </c>
      <c r="D1092" t="s">
        <v>47</v>
      </c>
      <c r="E1092" t="s">
        <v>10</v>
      </c>
      <c r="F1092" cm="1">
        <f t="array" ref="F1092">_xlfn.XLOOKUP(Food_Orders[[#This Row],[Event_No]],Event_Master[[#All],[Event_No]],Event_Master[[#All],[Guest_Count]],,0)</f>
        <v>80</v>
      </c>
      <c r="G1092" cm="1">
        <f t="array" ref="G1092">Food_Orders[[#This Row],[Quantity_Orderd]]*_xlfn.XLOOKUP(Food_Orders[[#This Row],[Food_ID]],Food_Catalog[[#All],[Food_ID]],Food_Catalog[[#All],[Price_Per_Unit]],0,0)</f>
        <v>7200</v>
      </c>
      <c r="H1092" cm="1">
        <f t="array" ref="H1092">Food_Orders[[#This Row],[Quantity_Orderd]]*_xlfn.XLOOKUP(Food_Orders[[#This Row],[Food_ID]],Food_Catalog[[#All],[Food_ID]],Food_Catalog[[#All],[Client_Price_Per_Unit]],0,0)</f>
        <v>8640</v>
      </c>
      <c r="I1092">
        <f>Food_Orders[[#This Row],[Client_Price]]-Food_Orders[[#This Row],[Cost]]</f>
        <v>1440</v>
      </c>
    </row>
    <row r="1093" spans="1:9" x14ac:dyDescent="0.25">
      <c r="A1093">
        <v>48</v>
      </c>
      <c r="B1093" t="s">
        <v>50</v>
      </c>
      <c r="C1093" t="s">
        <v>40</v>
      </c>
      <c r="D1093" t="s">
        <v>51</v>
      </c>
      <c r="E1093" t="s">
        <v>10</v>
      </c>
      <c r="F1093" cm="1">
        <f t="array" ref="F1093">_xlfn.XLOOKUP(Food_Orders[[#This Row],[Event_No]],Event_Master[[#All],[Event_No]],Event_Master[[#All],[Guest_Count]],,0)</f>
        <v>80</v>
      </c>
      <c r="G1093" cm="1">
        <f t="array" ref="G1093">Food_Orders[[#This Row],[Quantity_Orderd]]*_xlfn.XLOOKUP(Food_Orders[[#This Row],[Food_ID]],Food_Catalog[[#All],[Food_ID]],Food_Catalog[[#All],[Price_Per_Unit]],0,0)</f>
        <v>6400</v>
      </c>
      <c r="H1093" cm="1">
        <f t="array" ref="H1093">Food_Orders[[#This Row],[Quantity_Orderd]]*_xlfn.XLOOKUP(Food_Orders[[#This Row],[Food_ID]],Food_Catalog[[#All],[Food_ID]],Food_Catalog[[#All],[Client_Price_Per_Unit]],0,0)</f>
        <v>7680</v>
      </c>
      <c r="I1093">
        <f>Food_Orders[[#This Row],[Client_Price]]-Food_Orders[[#This Row],[Cost]]</f>
        <v>1280</v>
      </c>
    </row>
    <row r="1094" spans="1:9" x14ac:dyDescent="0.25">
      <c r="A1094">
        <v>48</v>
      </c>
      <c r="B1094" t="s">
        <v>82</v>
      </c>
      <c r="C1094" t="s">
        <v>83</v>
      </c>
      <c r="D1094" t="s">
        <v>84</v>
      </c>
      <c r="E1094" t="s">
        <v>85</v>
      </c>
      <c r="F1094" cm="1">
        <f t="array" ref="F1094">_xlfn.XLOOKUP(Food_Orders[[#This Row],[Event_No]],Event_Master[[#All],[Event_No]],Event_Master[[#All],[Guest_Count]],,0)</f>
        <v>80</v>
      </c>
      <c r="G1094" cm="1">
        <f t="array" ref="G1094">Food_Orders[[#This Row],[Quantity_Orderd]]*_xlfn.XLOOKUP(Food_Orders[[#This Row],[Food_ID]],Food_Catalog[[#All],[Food_ID]],Food_Catalog[[#All],[Price_Per_Unit]],0,0)</f>
        <v>1600</v>
      </c>
      <c r="H1094" cm="1">
        <f t="array" ref="H1094">Food_Orders[[#This Row],[Quantity_Orderd]]*_xlfn.XLOOKUP(Food_Orders[[#This Row],[Food_ID]],Food_Catalog[[#All],[Food_ID]],Food_Catalog[[#All],[Client_Price_Per_Unit]],0,0)</f>
        <v>1920</v>
      </c>
      <c r="I1094">
        <f>Food_Orders[[#This Row],[Client_Price]]-Food_Orders[[#This Row],[Cost]]</f>
        <v>320</v>
      </c>
    </row>
    <row r="1095" spans="1:9" x14ac:dyDescent="0.25">
      <c r="A1095">
        <v>48</v>
      </c>
      <c r="B1095" t="s">
        <v>86</v>
      </c>
      <c r="C1095" t="s">
        <v>83</v>
      </c>
      <c r="D1095" t="s">
        <v>87</v>
      </c>
      <c r="E1095" t="s">
        <v>85</v>
      </c>
      <c r="F1095" cm="1">
        <f t="array" ref="F1095">_xlfn.XLOOKUP(Food_Orders[[#This Row],[Event_No]],Event_Master[[#All],[Event_No]],Event_Master[[#All],[Guest_Count]],,0)</f>
        <v>80</v>
      </c>
      <c r="G1095" cm="1">
        <f t="array" ref="G1095">Food_Orders[[#This Row],[Quantity_Orderd]]*_xlfn.XLOOKUP(Food_Orders[[#This Row],[Food_ID]],Food_Catalog[[#All],[Food_ID]],Food_Catalog[[#All],[Price_Per_Unit]],0,0)</f>
        <v>1600</v>
      </c>
      <c r="H1095" cm="1">
        <f t="array" ref="H1095">Food_Orders[[#This Row],[Quantity_Orderd]]*_xlfn.XLOOKUP(Food_Orders[[#This Row],[Food_ID]],Food_Catalog[[#All],[Food_ID]],Food_Catalog[[#All],[Client_Price_Per_Unit]],0,0)</f>
        <v>1920</v>
      </c>
      <c r="I1095">
        <f>Food_Orders[[#This Row],[Client_Price]]-Food_Orders[[#This Row],[Cost]]</f>
        <v>320</v>
      </c>
    </row>
    <row r="1096" spans="1:9" x14ac:dyDescent="0.25">
      <c r="A1096">
        <v>48</v>
      </c>
      <c r="B1096" t="s">
        <v>96</v>
      </c>
      <c r="C1096" t="s">
        <v>83</v>
      </c>
      <c r="D1096" t="s">
        <v>97</v>
      </c>
      <c r="E1096" t="s">
        <v>79</v>
      </c>
      <c r="F1096" cm="1">
        <f t="array" ref="F1096">_xlfn.XLOOKUP(Food_Orders[[#This Row],[Event_No]],Event_Master[[#All],[Event_No]],Event_Master[[#All],[Guest_Count]],,0)</f>
        <v>80</v>
      </c>
      <c r="G1096" cm="1">
        <f t="array" ref="G1096">Food_Orders[[#This Row],[Quantity_Orderd]]*_xlfn.XLOOKUP(Food_Orders[[#This Row],[Food_ID]],Food_Catalog[[#All],[Food_ID]],Food_Catalog[[#All],[Price_Per_Unit]],0,0)</f>
        <v>2400</v>
      </c>
      <c r="H1096" cm="1">
        <f t="array" ref="H1096">Food_Orders[[#This Row],[Quantity_Orderd]]*_xlfn.XLOOKUP(Food_Orders[[#This Row],[Food_ID]],Food_Catalog[[#All],[Food_ID]],Food_Catalog[[#All],[Client_Price_Per_Unit]],0,0)</f>
        <v>2880</v>
      </c>
      <c r="I1096">
        <f>Food_Orders[[#This Row],[Client_Price]]-Food_Orders[[#This Row],[Cost]]</f>
        <v>480</v>
      </c>
    </row>
    <row r="1097" spans="1:9" x14ac:dyDescent="0.25">
      <c r="A1097">
        <v>48</v>
      </c>
      <c r="B1097" t="s">
        <v>100</v>
      </c>
      <c r="C1097" t="s">
        <v>83</v>
      </c>
      <c r="D1097" t="s">
        <v>101</v>
      </c>
      <c r="E1097" t="s">
        <v>79</v>
      </c>
      <c r="F1097" cm="1">
        <f t="array" ref="F1097">_xlfn.XLOOKUP(Food_Orders[[#This Row],[Event_No]],Event_Master[[#All],[Event_No]],Event_Master[[#All],[Guest_Count]],,0)</f>
        <v>80</v>
      </c>
      <c r="G1097" cm="1">
        <f t="array" ref="G1097">Food_Orders[[#This Row],[Quantity_Orderd]]*_xlfn.XLOOKUP(Food_Orders[[#This Row],[Food_ID]],Food_Catalog[[#All],[Food_ID]],Food_Catalog[[#All],[Price_Per_Unit]],0,0)</f>
        <v>2800</v>
      </c>
      <c r="H1097" cm="1">
        <f t="array" ref="H1097">Food_Orders[[#This Row],[Quantity_Orderd]]*_xlfn.XLOOKUP(Food_Orders[[#This Row],[Food_ID]],Food_Catalog[[#All],[Food_ID]],Food_Catalog[[#All],[Client_Price_Per_Unit]],0,0)</f>
        <v>3360</v>
      </c>
      <c r="I1097">
        <f>Food_Orders[[#This Row],[Client_Price]]-Food_Orders[[#This Row],[Cost]]</f>
        <v>560</v>
      </c>
    </row>
    <row r="1098" spans="1:9" x14ac:dyDescent="0.25">
      <c r="A1098">
        <v>48</v>
      </c>
      <c r="B1098" t="s">
        <v>98</v>
      </c>
      <c r="C1098" t="s">
        <v>83</v>
      </c>
      <c r="D1098" t="s">
        <v>99</v>
      </c>
      <c r="E1098" t="s">
        <v>85</v>
      </c>
      <c r="F1098" cm="1">
        <f t="array" ref="F1098">_xlfn.XLOOKUP(Food_Orders[[#This Row],[Event_No]],Event_Master[[#All],[Event_No]],Event_Master[[#All],[Guest_Count]],,0)</f>
        <v>80</v>
      </c>
      <c r="G1098" cm="1">
        <f t="array" ref="G1098">Food_Orders[[#This Row],[Quantity_Orderd]]*_xlfn.XLOOKUP(Food_Orders[[#This Row],[Food_ID]],Food_Catalog[[#All],[Food_ID]],Food_Catalog[[#All],[Price_Per_Unit]],0,0)</f>
        <v>1200</v>
      </c>
      <c r="H1098" cm="1">
        <f t="array" ref="H1098">Food_Orders[[#This Row],[Quantity_Orderd]]*_xlfn.XLOOKUP(Food_Orders[[#This Row],[Food_ID]],Food_Catalog[[#All],[Food_ID]],Food_Catalog[[#All],[Client_Price_Per_Unit]],0,0)</f>
        <v>1440</v>
      </c>
      <c r="I1098">
        <f>Food_Orders[[#This Row],[Client_Price]]-Food_Orders[[#This Row],[Cost]]</f>
        <v>240</v>
      </c>
    </row>
    <row r="1099" spans="1:9" x14ac:dyDescent="0.25">
      <c r="A1099">
        <v>49</v>
      </c>
      <c r="B1099" t="s">
        <v>118</v>
      </c>
      <c r="C1099" t="s">
        <v>119</v>
      </c>
      <c r="D1099" t="s">
        <v>120</v>
      </c>
      <c r="E1099" t="s">
        <v>112</v>
      </c>
      <c r="F1099" cm="1">
        <f t="array" ref="F1099">_xlfn.XLOOKUP(Food_Orders[[#This Row],[Event_No]],Event_Master[[#All],[Event_No]],Event_Master[[#All],[Guest_Count]],,0)</f>
        <v>950</v>
      </c>
      <c r="G1099" cm="1">
        <f t="array" ref="G1099">Food_Orders[[#This Row],[Quantity_Orderd]]*_xlfn.XLOOKUP(Food_Orders[[#This Row],[Food_ID]],Food_Catalog[[#All],[Food_ID]],Food_Catalog[[#All],[Price_Per_Unit]],0,0)</f>
        <v>9500</v>
      </c>
      <c r="H1099" cm="1">
        <f t="array" ref="H1099">Food_Orders[[#This Row],[Quantity_Orderd]]*_xlfn.XLOOKUP(Food_Orders[[#This Row],[Food_ID]],Food_Catalog[[#All],[Food_ID]],Food_Catalog[[#All],[Client_Price_Per_Unit]],0,0)</f>
        <v>11400</v>
      </c>
      <c r="I1099">
        <f>Food_Orders[[#This Row],[Client_Price]]-Food_Orders[[#This Row],[Cost]]</f>
        <v>1900</v>
      </c>
    </row>
    <row r="1100" spans="1:9" x14ac:dyDescent="0.25">
      <c r="A1100">
        <v>49</v>
      </c>
      <c r="B1100" t="s">
        <v>129</v>
      </c>
      <c r="C1100" t="s">
        <v>119</v>
      </c>
      <c r="D1100" t="s">
        <v>130</v>
      </c>
      <c r="E1100" t="s">
        <v>112</v>
      </c>
      <c r="F1100" cm="1">
        <f t="array" ref="F1100">_xlfn.XLOOKUP(Food_Orders[[#This Row],[Event_No]],Event_Master[[#All],[Event_No]],Event_Master[[#All],[Guest_Count]],,0)</f>
        <v>950</v>
      </c>
      <c r="G1100" cm="1">
        <f t="array" ref="G1100">Food_Orders[[#This Row],[Quantity_Orderd]]*_xlfn.XLOOKUP(Food_Orders[[#This Row],[Food_ID]],Food_Catalog[[#All],[Food_ID]],Food_Catalog[[#All],[Price_Per_Unit]],0,0)</f>
        <v>9500</v>
      </c>
      <c r="H1100" cm="1">
        <f t="array" ref="H1100">Food_Orders[[#This Row],[Quantity_Orderd]]*_xlfn.XLOOKUP(Food_Orders[[#This Row],[Food_ID]],Food_Catalog[[#All],[Food_ID]],Food_Catalog[[#All],[Client_Price_Per_Unit]],0,0)</f>
        <v>11400</v>
      </c>
      <c r="I1100">
        <f>Food_Orders[[#This Row],[Client_Price]]-Food_Orders[[#This Row],[Cost]]</f>
        <v>1900</v>
      </c>
    </row>
    <row r="1101" spans="1:9" x14ac:dyDescent="0.25">
      <c r="A1101">
        <v>49</v>
      </c>
      <c r="B1101" t="s">
        <v>104</v>
      </c>
      <c r="C1101" t="s">
        <v>105</v>
      </c>
      <c r="D1101" t="s">
        <v>106</v>
      </c>
      <c r="E1101" t="s">
        <v>107</v>
      </c>
      <c r="F1101" cm="1">
        <f t="array" ref="F1101">_xlfn.XLOOKUP(Food_Orders[[#This Row],[Event_No]],Event_Master[[#All],[Event_No]],Event_Master[[#All],[Guest_Count]],,0)</f>
        <v>950</v>
      </c>
      <c r="G1101" cm="1">
        <f t="array" ref="G1101">Food_Orders[[#This Row],[Quantity_Orderd]]*_xlfn.XLOOKUP(Food_Orders[[#This Row],[Food_ID]],Food_Catalog[[#All],[Food_ID]],Food_Catalog[[#All],[Price_Per_Unit]],0,0)</f>
        <v>9500</v>
      </c>
      <c r="H1101" cm="1">
        <f t="array" ref="H1101">Food_Orders[[#This Row],[Quantity_Orderd]]*_xlfn.XLOOKUP(Food_Orders[[#This Row],[Food_ID]],Food_Catalog[[#All],[Food_ID]],Food_Catalog[[#All],[Client_Price_Per_Unit]],0,0)</f>
        <v>11400</v>
      </c>
      <c r="I1101">
        <f>Food_Orders[[#This Row],[Client_Price]]-Food_Orders[[#This Row],[Cost]]</f>
        <v>1900</v>
      </c>
    </row>
    <row r="1102" spans="1:9" x14ac:dyDescent="0.25">
      <c r="A1102">
        <v>49</v>
      </c>
      <c r="B1102" t="s">
        <v>108</v>
      </c>
      <c r="C1102" t="s">
        <v>105</v>
      </c>
      <c r="D1102" t="s">
        <v>109</v>
      </c>
      <c r="E1102" t="s">
        <v>107</v>
      </c>
      <c r="F1102" cm="1">
        <f t="array" ref="F1102">_xlfn.XLOOKUP(Food_Orders[[#This Row],[Event_No]],Event_Master[[#All],[Event_No]],Event_Master[[#All],[Guest_Count]],,0)</f>
        <v>950</v>
      </c>
      <c r="G1102" cm="1">
        <f t="array" ref="G1102">Food_Orders[[#This Row],[Quantity_Orderd]]*_xlfn.XLOOKUP(Food_Orders[[#This Row],[Food_ID]],Food_Catalog[[#All],[Food_ID]],Food_Catalog[[#All],[Price_Per_Unit]],0,0)</f>
        <v>14250</v>
      </c>
      <c r="H1102" cm="1">
        <f t="array" ref="H1102">Food_Orders[[#This Row],[Quantity_Orderd]]*_xlfn.XLOOKUP(Food_Orders[[#This Row],[Food_ID]],Food_Catalog[[#All],[Food_ID]],Food_Catalog[[#All],[Client_Price_Per_Unit]],0,0)</f>
        <v>17100</v>
      </c>
      <c r="I1102">
        <f>Food_Orders[[#This Row],[Client_Price]]-Food_Orders[[#This Row],[Cost]]</f>
        <v>2850</v>
      </c>
    </row>
    <row r="1103" spans="1:9" x14ac:dyDescent="0.25">
      <c r="A1103">
        <v>49</v>
      </c>
      <c r="B1103" t="s">
        <v>124</v>
      </c>
      <c r="C1103" t="s">
        <v>119</v>
      </c>
      <c r="D1103" t="s">
        <v>125</v>
      </c>
      <c r="E1103" t="s">
        <v>126</v>
      </c>
      <c r="F1103" cm="1">
        <f t="array" ref="F1103">_xlfn.XLOOKUP(Food_Orders[[#This Row],[Event_No]],Event_Master[[#All],[Event_No]],Event_Master[[#All],[Guest_Count]],,0)</f>
        <v>950</v>
      </c>
      <c r="G1103" cm="1">
        <f t="array" ref="G1103">Food_Orders[[#This Row],[Quantity_Orderd]]*_xlfn.XLOOKUP(Food_Orders[[#This Row],[Food_ID]],Food_Catalog[[#All],[Food_ID]],Food_Catalog[[#All],[Price_Per_Unit]],0,0)</f>
        <v>19000</v>
      </c>
      <c r="H1103" cm="1">
        <f t="array" ref="H1103">Food_Orders[[#This Row],[Quantity_Orderd]]*_xlfn.XLOOKUP(Food_Orders[[#This Row],[Food_ID]],Food_Catalog[[#All],[Food_ID]],Food_Catalog[[#All],[Client_Price_Per_Unit]],0,0)</f>
        <v>22800</v>
      </c>
      <c r="I1103">
        <f>Food_Orders[[#This Row],[Client_Price]]-Food_Orders[[#This Row],[Cost]]</f>
        <v>3800</v>
      </c>
    </row>
    <row r="1104" spans="1:9" x14ac:dyDescent="0.25">
      <c r="A1104">
        <v>49</v>
      </c>
      <c r="B1104" t="s">
        <v>121</v>
      </c>
      <c r="C1104" t="s">
        <v>119</v>
      </c>
      <c r="D1104" t="s">
        <v>122</v>
      </c>
      <c r="E1104" t="s">
        <v>123</v>
      </c>
      <c r="F1104" cm="1">
        <f t="array" ref="F1104">_xlfn.XLOOKUP(Food_Orders[[#This Row],[Event_No]],Event_Master[[#All],[Event_No]],Event_Master[[#All],[Guest_Count]],,0)</f>
        <v>950</v>
      </c>
      <c r="G1104" cm="1">
        <f t="array" ref="G1104">Food_Orders[[#This Row],[Quantity_Orderd]]*_xlfn.XLOOKUP(Food_Orders[[#This Row],[Food_ID]],Food_Catalog[[#All],[Food_ID]],Food_Catalog[[#All],[Price_Per_Unit]],0,0)</f>
        <v>9500</v>
      </c>
      <c r="H1104" cm="1">
        <f t="array" ref="H1104">Food_Orders[[#This Row],[Quantity_Orderd]]*_xlfn.XLOOKUP(Food_Orders[[#This Row],[Food_ID]],Food_Catalog[[#All],[Food_ID]],Food_Catalog[[#All],[Client_Price_Per_Unit]],0,0)</f>
        <v>11400</v>
      </c>
      <c r="I1104">
        <f>Food_Orders[[#This Row],[Client_Price]]-Food_Orders[[#This Row],[Cost]]</f>
        <v>1900</v>
      </c>
    </row>
    <row r="1105" spans="1:9" x14ac:dyDescent="0.25">
      <c r="A1105">
        <v>49</v>
      </c>
      <c r="B1105" t="s">
        <v>63</v>
      </c>
      <c r="C1105" t="s">
        <v>61</v>
      </c>
      <c r="D1105" t="s">
        <v>64</v>
      </c>
      <c r="E1105" t="s">
        <v>10</v>
      </c>
      <c r="F1105" cm="1">
        <f t="array" ref="F1105">_xlfn.XLOOKUP(Food_Orders[[#This Row],[Event_No]],Event_Master[[#All],[Event_No]],Event_Master[[#All],[Guest_Count]],,0)</f>
        <v>950</v>
      </c>
      <c r="G1105" cm="1">
        <f t="array" ref="G1105">Food_Orders[[#This Row],[Quantity_Orderd]]*_xlfn.XLOOKUP(Food_Orders[[#This Row],[Food_ID]],Food_Catalog[[#All],[Food_ID]],Food_Catalog[[#All],[Price_Per_Unit]],0,0)</f>
        <v>28500</v>
      </c>
      <c r="H1105" cm="1">
        <f t="array" ref="H1105">Food_Orders[[#This Row],[Quantity_Orderd]]*_xlfn.XLOOKUP(Food_Orders[[#This Row],[Food_ID]],Food_Catalog[[#All],[Food_ID]],Food_Catalog[[#All],[Client_Price_Per_Unit]],0,0)</f>
        <v>34200</v>
      </c>
      <c r="I1105">
        <f>Food_Orders[[#This Row],[Client_Price]]-Food_Orders[[#This Row],[Cost]]</f>
        <v>5700</v>
      </c>
    </row>
    <row r="1106" spans="1:9" x14ac:dyDescent="0.25">
      <c r="A1106">
        <v>49</v>
      </c>
      <c r="B1106" t="s">
        <v>71</v>
      </c>
      <c r="C1106" t="s">
        <v>61</v>
      </c>
      <c r="D1106" t="s">
        <v>72</v>
      </c>
      <c r="E1106" t="s">
        <v>10</v>
      </c>
      <c r="F1106" cm="1">
        <f t="array" ref="F1106">_xlfn.XLOOKUP(Food_Orders[[#This Row],[Event_No]],Event_Master[[#All],[Event_No]],Event_Master[[#All],[Guest_Count]],,0)</f>
        <v>950</v>
      </c>
      <c r="G1106" cm="1">
        <f t="array" ref="G1106">Food_Orders[[#This Row],[Quantity_Orderd]]*_xlfn.XLOOKUP(Food_Orders[[#This Row],[Food_ID]],Food_Catalog[[#All],[Food_ID]],Food_Catalog[[#All],[Price_Per_Unit]],0,0)</f>
        <v>23750</v>
      </c>
      <c r="H1106" cm="1">
        <f t="array" ref="H1106">Food_Orders[[#This Row],[Quantity_Orderd]]*_xlfn.XLOOKUP(Food_Orders[[#This Row],[Food_ID]],Food_Catalog[[#All],[Food_ID]],Food_Catalog[[#All],[Client_Price_Per_Unit]],0,0)</f>
        <v>28500</v>
      </c>
      <c r="I1106">
        <f>Food_Orders[[#This Row],[Client_Price]]-Food_Orders[[#This Row],[Cost]]</f>
        <v>4750</v>
      </c>
    </row>
    <row r="1107" spans="1:9" x14ac:dyDescent="0.25">
      <c r="A1107">
        <v>49</v>
      </c>
      <c r="B1107" t="s">
        <v>29</v>
      </c>
      <c r="C1107" t="s">
        <v>8</v>
      </c>
      <c r="D1107" t="s">
        <v>30</v>
      </c>
      <c r="E1107" t="s">
        <v>10</v>
      </c>
      <c r="F1107" cm="1">
        <f t="array" ref="F1107">_xlfn.XLOOKUP(Food_Orders[[#This Row],[Event_No]],Event_Master[[#All],[Event_No]],Event_Master[[#All],[Guest_Count]],,0)</f>
        <v>950</v>
      </c>
      <c r="G1107" cm="1">
        <f t="array" ref="G1107">Food_Orders[[#This Row],[Quantity_Orderd]]*_xlfn.XLOOKUP(Food_Orders[[#This Row],[Food_ID]],Food_Catalog[[#All],[Food_ID]],Food_Catalog[[#All],[Price_Per_Unit]],0,0)</f>
        <v>28500</v>
      </c>
      <c r="H1107" cm="1">
        <f t="array" ref="H1107">Food_Orders[[#This Row],[Quantity_Orderd]]*_xlfn.XLOOKUP(Food_Orders[[#This Row],[Food_ID]],Food_Catalog[[#All],[Food_ID]],Food_Catalog[[#All],[Client_Price_Per_Unit]],0,0)</f>
        <v>34200</v>
      </c>
      <c r="I1107">
        <f>Food_Orders[[#This Row],[Client_Price]]-Food_Orders[[#This Row],[Cost]]</f>
        <v>5700</v>
      </c>
    </row>
    <row r="1108" spans="1:9" x14ac:dyDescent="0.25">
      <c r="A1108">
        <v>49</v>
      </c>
      <c r="B1108" t="s">
        <v>37</v>
      </c>
      <c r="C1108" t="s">
        <v>8</v>
      </c>
      <c r="D1108" t="s">
        <v>38</v>
      </c>
      <c r="E1108" t="s">
        <v>10</v>
      </c>
      <c r="F1108" cm="1">
        <f t="array" ref="F1108">_xlfn.XLOOKUP(Food_Orders[[#This Row],[Event_No]],Event_Master[[#All],[Event_No]],Event_Master[[#All],[Guest_Count]],,0)</f>
        <v>950</v>
      </c>
      <c r="G1108" cm="1">
        <f t="array" ref="G1108">Food_Orders[[#This Row],[Quantity_Orderd]]*_xlfn.XLOOKUP(Food_Orders[[#This Row],[Food_ID]],Food_Catalog[[#All],[Food_ID]],Food_Catalog[[#All],[Price_Per_Unit]],0,0)</f>
        <v>23750</v>
      </c>
      <c r="H1108" cm="1">
        <f t="array" ref="H1108">Food_Orders[[#This Row],[Quantity_Orderd]]*_xlfn.XLOOKUP(Food_Orders[[#This Row],[Food_ID]],Food_Catalog[[#All],[Food_ID]],Food_Catalog[[#All],[Client_Price_Per_Unit]],0,0)</f>
        <v>28500</v>
      </c>
      <c r="I1108">
        <f>Food_Orders[[#This Row],[Client_Price]]-Food_Orders[[#This Row],[Cost]]</f>
        <v>4750</v>
      </c>
    </row>
    <row r="1109" spans="1:9" x14ac:dyDescent="0.25">
      <c r="A1109">
        <v>49</v>
      </c>
      <c r="B1109" t="s">
        <v>82</v>
      </c>
      <c r="C1109" t="s">
        <v>83</v>
      </c>
      <c r="D1109" t="s">
        <v>84</v>
      </c>
      <c r="E1109" t="s">
        <v>85</v>
      </c>
      <c r="F1109" cm="1">
        <f t="array" ref="F1109">_xlfn.XLOOKUP(Food_Orders[[#This Row],[Event_No]],Event_Master[[#All],[Event_No]],Event_Master[[#All],[Guest_Count]],,0)</f>
        <v>950</v>
      </c>
      <c r="G1109" cm="1">
        <f t="array" ref="G1109">Food_Orders[[#This Row],[Quantity_Orderd]]*_xlfn.XLOOKUP(Food_Orders[[#This Row],[Food_ID]],Food_Catalog[[#All],[Food_ID]],Food_Catalog[[#All],[Price_Per_Unit]],0,0)</f>
        <v>19000</v>
      </c>
      <c r="H1109" cm="1">
        <f t="array" ref="H1109">Food_Orders[[#This Row],[Quantity_Orderd]]*_xlfn.XLOOKUP(Food_Orders[[#This Row],[Food_ID]],Food_Catalog[[#All],[Food_ID]],Food_Catalog[[#All],[Client_Price_Per_Unit]],0,0)</f>
        <v>22800</v>
      </c>
      <c r="I1109">
        <f>Food_Orders[[#This Row],[Client_Price]]-Food_Orders[[#This Row],[Cost]]</f>
        <v>3800</v>
      </c>
    </row>
    <row r="1110" spans="1:9" x14ac:dyDescent="0.25">
      <c r="A1110">
        <v>49</v>
      </c>
      <c r="B1110" t="s">
        <v>96</v>
      </c>
      <c r="C1110" t="s">
        <v>83</v>
      </c>
      <c r="D1110" t="s">
        <v>97</v>
      </c>
      <c r="E1110" t="s">
        <v>79</v>
      </c>
      <c r="F1110" cm="1">
        <f t="array" ref="F1110">_xlfn.XLOOKUP(Food_Orders[[#This Row],[Event_No]],Event_Master[[#All],[Event_No]],Event_Master[[#All],[Guest_Count]],,0)</f>
        <v>950</v>
      </c>
      <c r="G1110" cm="1">
        <f t="array" ref="G1110">Food_Orders[[#This Row],[Quantity_Orderd]]*_xlfn.XLOOKUP(Food_Orders[[#This Row],[Food_ID]],Food_Catalog[[#All],[Food_ID]],Food_Catalog[[#All],[Price_Per_Unit]],0,0)</f>
        <v>28500</v>
      </c>
      <c r="H1110" cm="1">
        <f t="array" ref="H1110">Food_Orders[[#This Row],[Quantity_Orderd]]*_xlfn.XLOOKUP(Food_Orders[[#This Row],[Food_ID]],Food_Catalog[[#All],[Food_ID]],Food_Catalog[[#All],[Client_Price_Per_Unit]],0,0)</f>
        <v>34200</v>
      </c>
      <c r="I1110">
        <f>Food_Orders[[#This Row],[Client_Price]]-Food_Orders[[#This Row],[Cost]]</f>
        <v>5700</v>
      </c>
    </row>
    <row r="1111" spans="1:9" x14ac:dyDescent="0.25">
      <c r="A1111">
        <v>49</v>
      </c>
      <c r="B1111" t="s">
        <v>92</v>
      </c>
      <c r="C1111" t="s">
        <v>83</v>
      </c>
      <c r="D1111" t="s">
        <v>93</v>
      </c>
      <c r="E1111" t="s">
        <v>85</v>
      </c>
      <c r="F1111" cm="1">
        <f t="array" ref="F1111">_xlfn.XLOOKUP(Food_Orders[[#This Row],[Event_No]],Event_Master[[#All],[Event_No]],Event_Master[[#All],[Guest_Count]],,0)</f>
        <v>950</v>
      </c>
      <c r="G1111" cm="1">
        <f t="array" ref="G1111">Food_Orders[[#This Row],[Quantity_Orderd]]*_xlfn.XLOOKUP(Food_Orders[[#This Row],[Food_ID]],Food_Catalog[[#All],[Food_ID]],Food_Catalog[[#All],[Price_Per_Unit]],0,0)</f>
        <v>14250</v>
      </c>
      <c r="H1111" cm="1">
        <f t="array" ref="H1111">Food_Orders[[#This Row],[Quantity_Orderd]]*_xlfn.XLOOKUP(Food_Orders[[#This Row],[Food_ID]],Food_Catalog[[#All],[Food_ID]],Food_Catalog[[#All],[Client_Price_Per_Unit]],0,0)</f>
        <v>17100</v>
      </c>
      <c r="I1111">
        <f>Food_Orders[[#This Row],[Client_Price]]-Food_Orders[[#This Row],[Cost]]</f>
        <v>2850</v>
      </c>
    </row>
    <row r="1112" spans="1:9" x14ac:dyDescent="0.25">
      <c r="A1112">
        <v>50</v>
      </c>
      <c r="B1112" t="s">
        <v>60</v>
      </c>
      <c r="C1112" t="s">
        <v>61</v>
      </c>
      <c r="D1112" t="s">
        <v>62</v>
      </c>
      <c r="E1112" t="s">
        <v>10</v>
      </c>
      <c r="F1112" cm="1">
        <f t="array" ref="F1112">_xlfn.XLOOKUP(Food_Orders[[#This Row],[Event_No]],Event_Master[[#All],[Event_No]],Event_Master[[#All],[Guest_Count]],,0)</f>
        <v>420</v>
      </c>
      <c r="G1112" cm="1">
        <f t="array" ref="G1112">Food_Orders[[#This Row],[Quantity_Orderd]]*_xlfn.XLOOKUP(Food_Orders[[#This Row],[Food_ID]],Food_Catalog[[#All],[Food_ID]],Food_Catalog[[#All],[Price_Per_Unit]],0,0)</f>
        <v>8400</v>
      </c>
      <c r="H1112" cm="1">
        <f t="array" ref="H1112">Food_Orders[[#This Row],[Quantity_Orderd]]*_xlfn.XLOOKUP(Food_Orders[[#This Row],[Food_ID]],Food_Catalog[[#All],[Food_ID]],Food_Catalog[[#All],[Client_Price_Per_Unit]],0,0)</f>
        <v>10080</v>
      </c>
      <c r="I1112">
        <f>Food_Orders[[#This Row],[Client_Price]]-Food_Orders[[#This Row],[Cost]]</f>
        <v>1680</v>
      </c>
    </row>
    <row r="1113" spans="1:9" x14ac:dyDescent="0.25">
      <c r="A1113">
        <v>50</v>
      </c>
      <c r="B1113" t="s">
        <v>71</v>
      </c>
      <c r="C1113" t="s">
        <v>61</v>
      </c>
      <c r="D1113" t="s">
        <v>72</v>
      </c>
      <c r="E1113" t="s">
        <v>10</v>
      </c>
      <c r="F1113" cm="1">
        <f t="array" ref="F1113">_xlfn.XLOOKUP(Food_Orders[[#This Row],[Event_No]],Event_Master[[#All],[Event_No]],Event_Master[[#All],[Guest_Count]],,0)</f>
        <v>420</v>
      </c>
      <c r="G1113" cm="1">
        <f t="array" ref="G1113">Food_Orders[[#This Row],[Quantity_Orderd]]*_xlfn.XLOOKUP(Food_Orders[[#This Row],[Food_ID]],Food_Catalog[[#All],[Food_ID]],Food_Catalog[[#All],[Price_Per_Unit]],0,0)</f>
        <v>10500</v>
      </c>
      <c r="H1113" cm="1">
        <f t="array" ref="H1113">Food_Orders[[#This Row],[Quantity_Orderd]]*_xlfn.XLOOKUP(Food_Orders[[#This Row],[Food_ID]],Food_Catalog[[#All],[Food_ID]],Food_Catalog[[#All],[Client_Price_Per_Unit]],0,0)</f>
        <v>12600</v>
      </c>
      <c r="I1113">
        <f>Food_Orders[[#This Row],[Client_Price]]-Food_Orders[[#This Row],[Cost]]</f>
        <v>2100</v>
      </c>
    </row>
    <row r="1114" spans="1:9" x14ac:dyDescent="0.25">
      <c r="A1114">
        <v>50</v>
      </c>
      <c r="B1114" t="s">
        <v>80</v>
      </c>
      <c r="C1114" t="s">
        <v>61</v>
      </c>
      <c r="D1114" t="s">
        <v>81</v>
      </c>
      <c r="E1114" t="s">
        <v>10</v>
      </c>
      <c r="F1114" cm="1">
        <f t="array" ref="F1114">_xlfn.XLOOKUP(Food_Orders[[#This Row],[Event_No]],Event_Master[[#All],[Event_No]],Event_Master[[#All],[Guest_Count]],,0)</f>
        <v>420</v>
      </c>
      <c r="G1114" cm="1">
        <f t="array" ref="G1114">Food_Orders[[#This Row],[Quantity_Orderd]]*_xlfn.XLOOKUP(Food_Orders[[#This Row],[Food_ID]],Food_Catalog[[#All],[Food_ID]],Food_Catalog[[#All],[Price_Per_Unit]],0,0)</f>
        <v>12600</v>
      </c>
      <c r="H1114" cm="1">
        <f t="array" ref="H1114">Food_Orders[[#This Row],[Quantity_Orderd]]*_xlfn.XLOOKUP(Food_Orders[[#This Row],[Food_ID]],Food_Catalog[[#All],[Food_ID]],Food_Catalog[[#All],[Client_Price_Per_Unit]],0,0)</f>
        <v>15120</v>
      </c>
      <c r="I1114">
        <f>Food_Orders[[#This Row],[Client_Price]]-Food_Orders[[#This Row],[Cost]]</f>
        <v>2520</v>
      </c>
    </row>
    <row r="1115" spans="1:9" x14ac:dyDescent="0.25">
      <c r="A1115">
        <v>50</v>
      </c>
      <c r="B1115" t="s">
        <v>73</v>
      </c>
      <c r="C1115" t="s">
        <v>61</v>
      </c>
      <c r="D1115" t="s">
        <v>74</v>
      </c>
      <c r="E1115" t="s">
        <v>10</v>
      </c>
      <c r="F1115" cm="1">
        <f t="array" ref="F1115">_xlfn.XLOOKUP(Food_Orders[[#This Row],[Event_No]],Event_Master[[#All],[Event_No]],Event_Master[[#All],[Guest_Count]],,0)</f>
        <v>420</v>
      </c>
      <c r="G1115" cm="1">
        <f t="array" ref="G1115">Food_Orders[[#This Row],[Quantity_Orderd]]*_xlfn.XLOOKUP(Food_Orders[[#This Row],[Food_ID]],Food_Catalog[[#All],[Food_ID]],Food_Catalog[[#All],[Price_Per_Unit]],0,0)</f>
        <v>16800</v>
      </c>
      <c r="H1115" cm="1">
        <f t="array" ref="H1115">Food_Orders[[#This Row],[Quantity_Orderd]]*_xlfn.XLOOKUP(Food_Orders[[#This Row],[Food_ID]],Food_Catalog[[#All],[Food_ID]],Food_Catalog[[#All],[Client_Price_Per_Unit]],0,0)</f>
        <v>20160</v>
      </c>
      <c r="I1115">
        <f>Food_Orders[[#This Row],[Client_Price]]-Food_Orders[[#This Row],[Cost]]</f>
        <v>3360</v>
      </c>
    </row>
    <row r="1116" spans="1:9" x14ac:dyDescent="0.25">
      <c r="A1116">
        <v>50</v>
      </c>
      <c r="B1116" t="s">
        <v>69</v>
      </c>
      <c r="C1116" t="s">
        <v>61</v>
      </c>
      <c r="D1116" t="s">
        <v>70</v>
      </c>
      <c r="E1116" t="s">
        <v>10</v>
      </c>
      <c r="F1116" cm="1">
        <f t="array" ref="F1116">_xlfn.XLOOKUP(Food_Orders[[#This Row],[Event_No]],Event_Master[[#All],[Event_No]],Event_Master[[#All],[Guest_Count]],,0)</f>
        <v>420</v>
      </c>
      <c r="G1116" cm="1">
        <f t="array" ref="G1116">Food_Orders[[#This Row],[Quantity_Orderd]]*_xlfn.XLOOKUP(Food_Orders[[#This Row],[Food_ID]],Food_Catalog[[#All],[Food_ID]],Food_Catalog[[#All],[Price_Per_Unit]],0,0)</f>
        <v>21000</v>
      </c>
      <c r="H1116" cm="1">
        <f t="array" ref="H1116">Food_Orders[[#This Row],[Quantity_Orderd]]*_xlfn.XLOOKUP(Food_Orders[[#This Row],[Food_ID]],Food_Catalog[[#All],[Food_ID]],Food_Catalog[[#All],[Client_Price_Per_Unit]],0,0)</f>
        <v>25200</v>
      </c>
      <c r="I1116">
        <f>Food_Orders[[#This Row],[Client_Price]]-Food_Orders[[#This Row],[Cost]]</f>
        <v>4200</v>
      </c>
    </row>
    <row r="1117" spans="1:9" x14ac:dyDescent="0.25">
      <c r="A1117">
        <v>50</v>
      </c>
      <c r="B1117" t="s">
        <v>67</v>
      </c>
      <c r="C1117" t="s">
        <v>61</v>
      </c>
      <c r="D1117" t="s">
        <v>68</v>
      </c>
      <c r="E1117" t="s">
        <v>10</v>
      </c>
      <c r="F1117" cm="1">
        <f t="array" ref="F1117">_xlfn.XLOOKUP(Food_Orders[[#This Row],[Event_No]],Event_Master[[#All],[Event_No]],Event_Master[[#All],[Guest_Count]],,0)</f>
        <v>420</v>
      </c>
      <c r="G1117" cm="1">
        <f t="array" ref="G1117">Food_Orders[[#This Row],[Quantity_Orderd]]*_xlfn.XLOOKUP(Food_Orders[[#This Row],[Food_ID]],Food_Catalog[[#All],[Food_ID]],Food_Catalog[[#All],[Price_Per_Unit]],0,0)</f>
        <v>12600</v>
      </c>
      <c r="H1117" cm="1">
        <f t="array" ref="H1117">Food_Orders[[#This Row],[Quantity_Orderd]]*_xlfn.XLOOKUP(Food_Orders[[#This Row],[Food_ID]],Food_Catalog[[#All],[Food_ID]],Food_Catalog[[#All],[Client_Price_Per_Unit]],0,0)</f>
        <v>15120</v>
      </c>
      <c r="I1117">
        <f>Food_Orders[[#This Row],[Client_Price]]-Food_Orders[[#This Row],[Cost]]</f>
        <v>2520</v>
      </c>
    </row>
    <row r="1118" spans="1:9" x14ac:dyDescent="0.25">
      <c r="A1118">
        <v>50</v>
      </c>
      <c r="B1118" t="s">
        <v>77</v>
      </c>
      <c r="C1118" t="s">
        <v>61</v>
      </c>
      <c r="D1118" t="s">
        <v>78</v>
      </c>
      <c r="E1118" t="s">
        <v>79</v>
      </c>
      <c r="F1118" cm="1">
        <f t="array" ref="F1118">_xlfn.XLOOKUP(Food_Orders[[#This Row],[Event_No]],Event_Master[[#All],[Event_No]],Event_Master[[#All],[Guest_Count]],,0)</f>
        <v>420</v>
      </c>
      <c r="G1118" cm="1">
        <f t="array" ref="G1118">Food_Orders[[#This Row],[Quantity_Orderd]]*_xlfn.XLOOKUP(Food_Orders[[#This Row],[Food_ID]],Food_Catalog[[#All],[Food_ID]],Food_Catalog[[#All],[Price_Per_Unit]],0,0)</f>
        <v>14700</v>
      </c>
      <c r="H1118" cm="1">
        <f t="array" ref="H1118">Food_Orders[[#This Row],[Quantity_Orderd]]*_xlfn.XLOOKUP(Food_Orders[[#This Row],[Food_ID]],Food_Catalog[[#All],[Food_ID]],Food_Catalog[[#All],[Client_Price_Per_Unit]],0,0)</f>
        <v>17640</v>
      </c>
      <c r="I1118">
        <f>Food_Orders[[#This Row],[Client_Price]]-Food_Orders[[#This Row],[Cost]]</f>
        <v>2940</v>
      </c>
    </row>
    <row r="1119" spans="1:9" x14ac:dyDescent="0.25">
      <c r="A1119">
        <v>50</v>
      </c>
      <c r="B1119" t="s">
        <v>7</v>
      </c>
      <c r="C1119" t="s">
        <v>8</v>
      </c>
      <c r="D1119" t="s">
        <v>9</v>
      </c>
      <c r="E1119" t="s">
        <v>10</v>
      </c>
      <c r="F1119" cm="1">
        <f t="array" ref="F1119">_xlfn.XLOOKUP(Food_Orders[[#This Row],[Event_No]],Event_Master[[#All],[Event_No]],Event_Master[[#All],[Guest_Count]],,0)</f>
        <v>420</v>
      </c>
      <c r="G1119" cm="1">
        <f t="array" ref="G1119">Food_Orders[[#This Row],[Quantity_Orderd]]*_xlfn.XLOOKUP(Food_Orders[[#This Row],[Food_ID]],Food_Catalog[[#All],[Food_ID]],Food_Catalog[[#All],[Price_Per_Unit]],0,0)</f>
        <v>10500</v>
      </c>
      <c r="H1119" cm="1">
        <f t="array" ref="H1119">Food_Orders[[#This Row],[Quantity_Orderd]]*_xlfn.XLOOKUP(Food_Orders[[#This Row],[Food_ID]],Food_Catalog[[#All],[Food_ID]],Food_Catalog[[#All],[Client_Price_Per_Unit]],0,0)</f>
        <v>12600</v>
      </c>
      <c r="I1119">
        <f>Food_Orders[[#This Row],[Client_Price]]-Food_Orders[[#This Row],[Cost]]</f>
        <v>2100</v>
      </c>
    </row>
    <row r="1120" spans="1:9" x14ac:dyDescent="0.25">
      <c r="A1120">
        <v>50</v>
      </c>
      <c r="B1120" t="s">
        <v>13</v>
      </c>
      <c r="C1120" t="s">
        <v>8</v>
      </c>
      <c r="D1120" t="s">
        <v>14</v>
      </c>
      <c r="E1120" t="s">
        <v>10</v>
      </c>
      <c r="F1120" cm="1">
        <f t="array" ref="F1120">_xlfn.XLOOKUP(Food_Orders[[#This Row],[Event_No]],Event_Master[[#All],[Event_No]],Event_Master[[#All],[Guest_Count]],,0)</f>
        <v>420</v>
      </c>
      <c r="G1120" cm="1">
        <f t="array" ref="G1120">Food_Orders[[#This Row],[Quantity_Orderd]]*_xlfn.XLOOKUP(Food_Orders[[#This Row],[Food_ID]],Food_Catalog[[#All],[Food_ID]],Food_Catalog[[#All],[Price_Per_Unit]],0,0)</f>
        <v>14700</v>
      </c>
      <c r="H1120" cm="1">
        <f t="array" ref="H1120">Food_Orders[[#This Row],[Quantity_Orderd]]*_xlfn.XLOOKUP(Food_Orders[[#This Row],[Food_ID]],Food_Catalog[[#All],[Food_ID]],Food_Catalog[[#All],[Client_Price_Per_Unit]],0,0)</f>
        <v>17640</v>
      </c>
      <c r="I1120">
        <f>Food_Orders[[#This Row],[Client_Price]]-Food_Orders[[#This Row],[Cost]]</f>
        <v>2940</v>
      </c>
    </row>
    <row r="1121" spans="1:9" x14ac:dyDescent="0.25">
      <c r="A1121">
        <v>50</v>
      </c>
      <c r="B1121" t="s">
        <v>25</v>
      </c>
      <c r="C1121" t="s">
        <v>8</v>
      </c>
      <c r="D1121" t="s">
        <v>26</v>
      </c>
      <c r="E1121" t="s">
        <v>10</v>
      </c>
      <c r="F1121" cm="1">
        <f t="array" ref="F1121">_xlfn.XLOOKUP(Food_Orders[[#This Row],[Event_No]],Event_Master[[#All],[Event_No]],Event_Master[[#All],[Guest_Count]],,0)</f>
        <v>420</v>
      </c>
      <c r="G1121" cm="1">
        <f t="array" ref="G1121">Food_Orders[[#This Row],[Quantity_Orderd]]*_xlfn.XLOOKUP(Food_Orders[[#This Row],[Food_ID]],Food_Catalog[[#All],[Food_ID]],Food_Catalog[[#All],[Price_Per_Unit]],0,0)</f>
        <v>12600</v>
      </c>
      <c r="H1121" cm="1">
        <f t="array" ref="H1121">Food_Orders[[#This Row],[Quantity_Orderd]]*_xlfn.XLOOKUP(Food_Orders[[#This Row],[Food_ID]],Food_Catalog[[#All],[Food_ID]],Food_Catalog[[#All],[Client_Price_Per_Unit]],0,0)</f>
        <v>15120</v>
      </c>
      <c r="I1121">
        <f>Food_Orders[[#This Row],[Client_Price]]-Food_Orders[[#This Row],[Cost]]</f>
        <v>2520</v>
      </c>
    </row>
    <row r="1122" spans="1:9" x14ac:dyDescent="0.25">
      <c r="A1122">
        <v>50</v>
      </c>
      <c r="B1122" t="s">
        <v>15</v>
      </c>
      <c r="C1122" t="s">
        <v>8</v>
      </c>
      <c r="D1122" t="s">
        <v>16</v>
      </c>
      <c r="E1122" t="s">
        <v>10</v>
      </c>
      <c r="F1122" cm="1">
        <f t="array" ref="F1122">_xlfn.XLOOKUP(Food_Orders[[#This Row],[Event_No]],Event_Master[[#All],[Event_No]],Event_Master[[#All],[Guest_Count]],,0)</f>
        <v>420</v>
      </c>
      <c r="G1122" cm="1">
        <f t="array" ref="G1122">Food_Orders[[#This Row],[Quantity_Orderd]]*_xlfn.XLOOKUP(Food_Orders[[#This Row],[Food_ID]],Food_Catalog[[#All],[Food_ID]],Food_Catalog[[#All],[Price_Per_Unit]],0,0)</f>
        <v>12600</v>
      </c>
      <c r="H1122" cm="1">
        <f t="array" ref="H1122">Food_Orders[[#This Row],[Quantity_Orderd]]*_xlfn.XLOOKUP(Food_Orders[[#This Row],[Food_ID]],Food_Catalog[[#All],[Food_ID]],Food_Catalog[[#All],[Client_Price_Per_Unit]],0,0)</f>
        <v>15120</v>
      </c>
      <c r="I1122">
        <f>Food_Orders[[#This Row],[Client_Price]]-Food_Orders[[#This Row],[Cost]]</f>
        <v>2520</v>
      </c>
    </row>
    <row r="1123" spans="1:9" x14ac:dyDescent="0.25">
      <c r="A1123">
        <v>50</v>
      </c>
      <c r="B1123" t="s">
        <v>35</v>
      </c>
      <c r="C1123" t="s">
        <v>8</v>
      </c>
      <c r="D1123" t="s">
        <v>36</v>
      </c>
      <c r="E1123" t="s">
        <v>10</v>
      </c>
      <c r="F1123" cm="1">
        <f t="array" ref="F1123">_xlfn.XLOOKUP(Food_Orders[[#This Row],[Event_No]],Event_Master[[#All],[Event_No]],Event_Master[[#All],[Guest_Count]],,0)</f>
        <v>420</v>
      </c>
      <c r="G1123" cm="1">
        <f t="array" ref="G1123">Food_Orders[[#This Row],[Quantity_Orderd]]*_xlfn.XLOOKUP(Food_Orders[[#This Row],[Food_ID]],Food_Catalog[[#All],[Food_ID]],Food_Catalog[[#All],[Price_Per_Unit]],0,0)</f>
        <v>12600</v>
      </c>
      <c r="H1123" cm="1">
        <f t="array" ref="H1123">Food_Orders[[#This Row],[Quantity_Orderd]]*_xlfn.XLOOKUP(Food_Orders[[#This Row],[Food_ID]],Food_Catalog[[#All],[Food_ID]],Food_Catalog[[#All],[Client_Price_Per_Unit]],0,0)</f>
        <v>15120</v>
      </c>
      <c r="I1123">
        <f>Food_Orders[[#This Row],[Client_Price]]-Food_Orders[[#This Row],[Cost]]</f>
        <v>2520</v>
      </c>
    </row>
    <row r="1124" spans="1:9" x14ac:dyDescent="0.25">
      <c r="A1124">
        <v>50</v>
      </c>
      <c r="B1124" t="s">
        <v>27</v>
      </c>
      <c r="C1124" t="s">
        <v>8</v>
      </c>
      <c r="D1124" t="s">
        <v>28</v>
      </c>
      <c r="E1124" t="s">
        <v>10</v>
      </c>
      <c r="F1124" cm="1">
        <f t="array" ref="F1124">_xlfn.XLOOKUP(Food_Orders[[#This Row],[Event_No]],Event_Master[[#All],[Event_No]],Event_Master[[#All],[Guest_Count]],,0)</f>
        <v>420</v>
      </c>
      <c r="G1124" cm="1">
        <f t="array" ref="G1124">Food_Orders[[#This Row],[Quantity_Orderd]]*_xlfn.XLOOKUP(Food_Orders[[#This Row],[Food_ID]],Food_Catalog[[#All],[Food_ID]],Food_Catalog[[#All],[Price_Per_Unit]],0,0)</f>
        <v>16800</v>
      </c>
      <c r="H1124" cm="1">
        <f t="array" ref="H1124">Food_Orders[[#This Row],[Quantity_Orderd]]*_xlfn.XLOOKUP(Food_Orders[[#This Row],[Food_ID]],Food_Catalog[[#All],[Food_ID]],Food_Catalog[[#All],[Client_Price_Per_Unit]],0,0)</f>
        <v>20160</v>
      </c>
      <c r="I1124">
        <f>Food_Orders[[#This Row],[Client_Price]]-Food_Orders[[#This Row],[Cost]]</f>
        <v>3360</v>
      </c>
    </row>
    <row r="1125" spans="1:9" x14ac:dyDescent="0.25">
      <c r="A1125">
        <v>50</v>
      </c>
      <c r="B1125" t="s">
        <v>17</v>
      </c>
      <c r="C1125" t="s">
        <v>8</v>
      </c>
      <c r="D1125" t="s">
        <v>18</v>
      </c>
      <c r="E1125" t="s">
        <v>10</v>
      </c>
      <c r="F1125" cm="1">
        <f t="array" ref="F1125">_xlfn.XLOOKUP(Food_Orders[[#This Row],[Event_No]],Event_Master[[#All],[Event_No]],Event_Master[[#All],[Guest_Count]],,0)</f>
        <v>420</v>
      </c>
      <c r="G1125" cm="1">
        <f t="array" ref="G1125">Food_Orders[[#This Row],[Quantity_Orderd]]*_xlfn.XLOOKUP(Food_Orders[[#This Row],[Food_ID]],Food_Catalog[[#All],[Food_ID]],Food_Catalog[[#All],[Price_Per_Unit]],0,0)</f>
        <v>16800</v>
      </c>
      <c r="H1125" cm="1">
        <f t="array" ref="H1125">Food_Orders[[#This Row],[Quantity_Orderd]]*_xlfn.XLOOKUP(Food_Orders[[#This Row],[Food_ID]],Food_Catalog[[#All],[Food_ID]],Food_Catalog[[#All],[Client_Price_Per_Unit]],0,0)</f>
        <v>20160</v>
      </c>
      <c r="I1125">
        <f>Food_Orders[[#This Row],[Client_Price]]-Food_Orders[[#This Row],[Cost]]</f>
        <v>3360</v>
      </c>
    </row>
    <row r="1126" spans="1:9" x14ac:dyDescent="0.25">
      <c r="A1126">
        <v>50</v>
      </c>
      <c r="B1126" t="s">
        <v>21</v>
      </c>
      <c r="C1126" t="s">
        <v>8</v>
      </c>
      <c r="D1126" t="s">
        <v>22</v>
      </c>
      <c r="E1126" t="s">
        <v>10</v>
      </c>
      <c r="F1126" cm="1">
        <f t="array" ref="F1126">_xlfn.XLOOKUP(Food_Orders[[#This Row],[Event_No]],Event_Master[[#All],[Event_No]],Event_Master[[#All],[Guest_Count]],,0)</f>
        <v>420</v>
      </c>
      <c r="G1126" cm="1">
        <f t="array" ref="G1126">Food_Orders[[#This Row],[Quantity_Orderd]]*_xlfn.XLOOKUP(Food_Orders[[#This Row],[Food_ID]],Food_Catalog[[#All],[Food_ID]],Food_Catalog[[#All],[Price_Per_Unit]],0,0)</f>
        <v>14700</v>
      </c>
      <c r="H1126" cm="1">
        <f t="array" ref="H1126">Food_Orders[[#This Row],[Quantity_Orderd]]*_xlfn.XLOOKUP(Food_Orders[[#This Row],[Food_ID]],Food_Catalog[[#All],[Food_ID]],Food_Catalog[[#All],[Client_Price_Per_Unit]],0,0)</f>
        <v>17640</v>
      </c>
      <c r="I1126">
        <f>Food_Orders[[#This Row],[Client_Price]]-Food_Orders[[#This Row],[Cost]]</f>
        <v>2940</v>
      </c>
    </row>
    <row r="1127" spans="1:9" x14ac:dyDescent="0.25">
      <c r="A1127">
        <v>50</v>
      </c>
      <c r="B1127" t="s">
        <v>19</v>
      </c>
      <c r="C1127" t="s">
        <v>8</v>
      </c>
      <c r="D1127" t="s">
        <v>20</v>
      </c>
      <c r="E1127" t="s">
        <v>10</v>
      </c>
      <c r="F1127" cm="1">
        <f t="array" ref="F1127">_xlfn.XLOOKUP(Food_Orders[[#This Row],[Event_No]],Event_Master[[#All],[Event_No]],Event_Master[[#All],[Guest_Count]],,0)</f>
        <v>420</v>
      </c>
      <c r="G1127" cm="1">
        <f t="array" ref="G1127">Food_Orders[[#This Row],[Quantity_Orderd]]*_xlfn.XLOOKUP(Food_Orders[[#This Row],[Food_ID]],Food_Catalog[[#All],[Food_ID]],Food_Catalog[[#All],[Price_Per_Unit]],0,0)</f>
        <v>14700</v>
      </c>
      <c r="H1127" cm="1">
        <f t="array" ref="H1127">Food_Orders[[#This Row],[Quantity_Orderd]]*_xlfn.XLOOKUP(Food_Orders[[#This Row],[Food_ID]],Food_Catalog[[#All],[Food_ID]],Food_Catalog[[#All],[Client_Price_Per_Unit]],0,0)</f>
        <v>17640</v>
      </c>
      <c r="I1127">
        <f>Food_Orders[[#This Row],[Client_Price]]-Food_Orders[[#This Row],[Cost]]</f>
        <v>2940</v>
      </c>
    </row>
    <row r="1128" spans="1:9" x14ac:dyDescent="0.25">
      <c r="A1128">
        <v>50</v>
      </c>
      <c r="B1128" t="s">
        <v>29</v>
      </c>
      <c r="C1128" t="s">
        <v>8</v>
      </c>
      <c r="D1128" t="s">
        <v>30</v>
      </c>
      <c r="E1128" t="s">
        <v>10</v>
      </c>
      <c r="F1128" cm="1">
        <f t="array" ref="F1128">_xlfn.XLOOKUP(Food_Orders[[#This Row],[Event_No]],Event_Master[[#All],[Event_No]],Event_Master[[#All],[Guest_Count]],,0)</f>
        <v>420</v>
      </c>
      <c r="G1128" cm="1">
        <f t="array" ref="G1128">Food_Orders[[#This Row],[Quantity_Orderd]]*_xlfn.XLOOKUP(Food_Orders[[#This Row],[Food_ID]],Food_Catalog[[#All],[Food_ID]],Food_Catalog[[#All],[Price_Per_Unit]],0,0)</f>
        <v>12600</v>
      </c>
      <c r="H1128" cm="1">
        <f t="array" ref="H1128">Food_Orders[[#This Row],[Quantity_Orderd]]*_xlfn.XLOOKUP(Food_Orders[[#This Row],[Food_ID]],Food_Catalog[[#All],[Food_ID]],Food_Catalog[[#All],[Client_Price_Per_Unit]],0,0)</f>
        <v>15120</v>
      </c>
      <c r="I1128">
        <f>Food_Orders[[#This Row],[Client_Price]]-Food_Orders[[#This Row],[Cost]]</f>
        <v>2520</v>
      </c>
    </row>
    <row r="1129" spans="1:9" x14ac:dyDescent="0.25">
      <c r="A1129">
        <v>50</v>
      </c>
      <c r="B1129" t="s">
        <v>42</v>
      </c>
      <c r="C1129" t="s">
        <v>40</v>
      </c>
      <c r="D1129" t="s">
        <v>43</v>
      </c>
      <c r="E1129" t="s">
        <v>10</v>
      </c>
      <c r="F1129" cm="1">
        <f t="array" ref="F1129">_xlfn.XLOOKUP(Food_Orders[[#This Row],[Event_No]],Event_Master[[#All],[Event_No]],Event_Master[[#All],[Guest_Count]],,0)</f>
        <v>420</v>
      </c>
      <c r="G1129" cm="1">
        <f t="array" ref="G1129">Food_Orders[[#This Row],[Quantity_Orderd]]*_xlfn.XLOOKUP(Food_Orders[[#This Row],[Food_ID]],Food_Catalog[[#All],[Food_ID]],Food_Catalog[[#All],[Price_Per_Unit]],0,0)</f>
        <v>29400</v>
      </c>
      <c r="H1129" cm="1">
        <f t="array" ref="H1129">Food_Orders[[#This Row],[Quantity_Orderd]]*_xlfn.XLOOKUP(Food_Orders[[#This Row],[Food_ID]],Food_Catalog[[#All],[Food_ID]],Food_Catalog[[#All],[Client_Price_Per_Unit]],0,0)</f>
        <v>35280</v>
      </c>
      <c r="I1129">
        <f>Food_Orders[[#This Row],[Client_Price]]-Food_Orders[[#This Row],[Cost]]</f>
        <v>5880</v>
      </c>
    </row>
    <row r="1130" spans="1:9" x14ac:dyDescent="0.25">
      <c r="A1130">
        <v>50</v>
      </c>
      <c r="B1130" t="s">
        <v>46</v>
      </c>
      <c r="C1130" t="s">
        <v>40</v>
      </c>
      <c r="D1130" t="s">
        <v>47</v>
      </c>
      <c r="E1130" t="s">
        <v>10</v>
      </c>
      <c r="F1130" cm="1">
        <f t="array" ref="F1130">_xlfn.XLOOKUP(Food_Orders[[#This Row],[Event_No]],Event_Master[[#All],[Event_No]],Event_Master[[#All],[Guest_Count]],,0)</f>
        <v>420</v>
      </c>
      <c r="G1130" cm="1">
        <f t="array" ref="G1130">Food_Orders[[#This Row],[Quantity_Orderd]]*_xlfn.XLOOKUP(Food_Orders[[#This Row],[Food_ID]],Food_Catalog[[#All],[Food_ID]],Food_Catalog[[#All],[Price_Per_Unit]],0,0)</f>
        <v>37800</v>
      </c>
      <c r="H1130" cm="1">
        <f t="array" ref="H1130">Food_Orders[[#This Row],[Quantity_Orderd]]*_xlfn.XLOOKUP(Food_Orders[[#This Row],[Food_ID]],Food_Catalog[[#All],[Food_ID]],Food_Catalog[[#All],[Client_Price_Per_Unit]],0,0)</f>
        <v>45360</v>
      </c>
      <c r="I1130">
        <f>Food_Orders[[#This Row],[Client_Price]]-Food_Orders[[#This Row],[Cost]]</f>
        <v>7560</v>
      </c>
    </row>
    <row r="1131" spans="1:9" x14ac:dyDescent="0.25">
      <c r="A1131">
        <v>50</v>
      </c>
      <c r="B1131" t="s">
        <v>48</v>
      </c>
      <c r="C1131" t="s">
        <v>40</v>
      </c>
      <c r="D1131" t="s">
        <v>49</v>
      </c>
      <c r="E1131" t="s">
        <v>10</v>
      </c>
      <c r="F1131" cm="1">
        <f t="array" ref="F1131">_xlfn.XLOOKUP(Food_Orders[[#This Row],[Event_No]],Event_Master[[#All],[Event_No]],Event_Master[[#All],[Guest_Count]],,0)</f>
        <v>420</v>
      </c>
      <c r="G1131" cm="1">
        <f t="array" ref="G1131">Food_Orders[[#This Row],[Quantity_Orderd]]*_xlfn.XLOOKUP(Food_Orders[[#This Row],[Food_ID]],Food_Catalog[[#All],[Food_ID]],Food_Catalog[[#All],[Price_Per_Unit]],0,0)</f>
        <v>42000</v>
      </c>
      <c r="H1131" cm="1">
        <f t="array" ref="H1131">Food_Orders[[#This Row],[Quantity_Orderd]]*_xlfn.XLOOKUP(Food_Orders[[#This Row],[Food_ID]],Food_Catalog[[#All],[Food_ID]],Food_Catalog[[#All],[Client_Price_Per_Unit]],0,0)</f>
        <v>50400</v>
      </c>
      <c r="I1131">
        <f>Food_Orders[[#This Row],[Client_Price]]-Food_Orders[[#This Row],[Cost]]</f>
        <v>8400</v>
      </c>
    </row>
    <row r="1132" spans="1:9" x14ac:dyDescent="0.25">
      <c r="A1132">
        <v>50</v>
      </c>
      <c r="B1132" t="s">
        <v>58</v>
      </c>
      <c r="C1132" t="s">
        <v>40</v>
      </c>
      <c r="D1132" t="s">
        <v>59</v>
      </c>
      <c r="E1132" t="s">
        <v>10</v>
      </c>
      <c r="F1132" cm="1">
        <f t="array" ref="F1132">_xlfn.XLOOKUP(Food_Orders[[#This Row],[Event_No]],Event_Master[[#All],[Event_No]],Event_Master[[#All],[Guest_Count]],,0)</f>
        <v>420</v>
      </c>
      <c r="G1132" cm="1">
        <f t="array" ref="G1132">Food_Orders[[#This Row],[Quantity_Orderd]]*_xlfn.XLOOKUP(Food_Orders[[#This Row],[Food_ID]],Food_Catalog[[#All],[Food_ID]],Food_Catalog[[#All],[Price_Per_Unit]],0,0)</f>
        <v>37800</v>
      </c>
      <c r="H1132" cm="1">
        <f t="array" ref="H1132">Food_Orders[[#This Row],[Quantity_Orderd]]*_xlfn.XLOOKUP(Food_Orders[[#This Row],[Food_ID]],Food_Catalog[[#All],[Food_ID]],Food_Catalog[[#All],[Client_Price_Per_Unit]],0,0)</f>
        <v>45360</v>
      </c>
      <c r="I1132">
        <f>Food_Orders[[#This Row],[Client_Price]]-Food_Orders[[#This Row],[Cost]]</f>
        <v>7560</v>
      </c>
    </row>
    <row r="1133" spans="1:9" x14ac:dyDescent="0.25">
      <c r="A1133">
        <v>50</v>
      </c>
      <c r="B1133" t="s">
        <v>86</v>
      </c>
      <c r="C1133" t="s">
        <v>83</v>
      </c>
      <c r="D1133" t="s">
        <v>87</v>
      </c>
      <c r="E1133" t="s">
        <v>85</v>
      </c>
      <c r="F1133" cm="1">
        <f t="array" ref="F1133">_xlfn.XLOOKUP(Food_Orders[[#This Row],[Event_No]],Event_Master[[#All],[Event_No]],Event_Master[[#All],[Guest_Count]],,0)</f>
        <v>420</v>
      </c>
      <c r="G1133" cm="1">
        <f t="array" ref="G1133">Food_Orders[[#This Row],[Quantity_Orderd]]*_xlfn.XLOOKUP(Food_Orders[[#This Row],[Food_ID]],Food_Catalog[[#All],[Food_ID]],Food_Catalog[[#All],[Price_Per_Unit]],0,0)</f>
        <v>8400</v>
      </c>
      <c r="H1133" cm="1">
        <f t="array" ref="H1133">Food_Orders[[#This Row],[Quantity_Orderd]]*_xlfn.XLOOKUP(Food_Orders[[#This Row],[Food_ID]],Food_Catalog[[#All],[Food_ID]],Food_Catalog[[#All],[Client_Price_Per_Unit]],0,0)</f>
        <v>10080</v>
      </c>
      <c r="I1133">
        <f>Food_Orders[[#This Row],[Client_Price]]-Food_Orders[[#This Row],[Cost]]</f>
        <v>1680</v>
      </c>
    </row>
    <row r="1134" spans="1:9" x14ac:dyDescent="0.25">
      <c r="A1134">
        <v>50</v>
      </c>
      <c r="B1134" t="s">
        <v>88</v>
      </c>
      <c r="C1134" t="s">
        <v>83</v>
      </c>
      <c r="D1134" t="s">
        <v>89</v>
      </c>
      <c r="E1134" t="s">
        <v>85</v>
      </c>
      <c r="F1134" cm="1">
        <f t="array" ref="F1134">_xlfn.XLOOKUP(Food_Orders[[#This Row],[Event_No]],Event_Master[[#All],[Event_No]],Event_Master[[#All],[Guest_Count]],,0)</f>
        <v>420</v>
      </c>
      <c r="G1134" cm="1">
        <f t="array" ref="G1134">Food_Orders[[#This Row],[Quantity_Orderd]]*_xlfn.XLOOKUP(Food_Orders[[#This Row],[Food_ID]],Food_Catalog[[#All],[Food_ID]],Food_Catalog[[#All],[Price_Per_Unit]],0,0)</f>
        <v>6300</v>
      </c>
      <c r="H1134" cm="1">
        <f t="array" ref="H1134">Food_Orders[[#This Row],[Quantity_Orderd]]*_xlfn.XLOOKUP(Food_Orders[[#This Row],[Food_ID]],Food_Catalog[[#All],[Food_ID]],Food_Catalog[[#All],[Client_Price_Per_Unit]],0,0)</f>
        <v>7560</v>
      </c>
      <c r="I1134">
        <f>Food_Orders[[#This Row],[Client_Price]]-Food_Orders[[#This Row],[Cost]]</f>
        <v>1260</v>
      </c>
    </row>
    <row r="1135" spans="1:9" x14ac:dyDescent="0.25">
      <c r="A1135">
        <v>50</v>
      </c>
      <c r="B1135" t="s">
        <v>100</v>
      </c>
      <c r="C1135" t="s">
        <v>83</v>
      </c>
      <c r="D1135" t="s">
        <v>101</v>
      </c>
      <c r="E1135" t="s">
        <v>79</v>
      </c>
      <c r="F1135" cm="1">
        <f t="array" ref="F1135">_xlfn.XLOOKUP(Food_Orders[[#This Row],[Event_No]],Event_Master[[#All],[Event_No]],Event_Master[[#All],[Guest_Count]],,0)</f>
        <v>420</v>
      </c>
      <c r="G1135" cm="1">
        <f t="array" ref="G1135">Food_Orders[[#This Row],[Quantity_Orderd]]*_xlfn.XLOOKUP(Food_Orders[[#This Row],[Food_ID]],Food_Catalog[[#All],[Food_ID]],Food_Catalog[[#All],[Price_Per_Unit]],0,0)</f>
        <v>14700</v>
      </c>
      <c r="H1135" cm="1">
        <f t="array" ref="H1135">Food_Orders[[#This Row],[Quantity_Orderd]]*_xlfn.XLOOKUP(Food_Orders[[#This Row],[Food_ID]],Food_Catalog[[#All],[Food_ID]],Food_Catalog[[#All],[Client_Price_Per_Unit]],0,0)</f>
        <v>17640</v>
      </c>
      <c r="I1135">
        <f>Food_Orders[[#This Row],[Client_Price]]-Food_Orders[[#This Row],[Cost]]</f>
        <v>2940</v>
      </c>
    </row>
    <row r="1136" spans="1:9" x14ac:dyDescent="0.25">
      <c r="A1136">
        <v>50</v>
      </c>
      <c r="B1136" t="s">
        <v>92</v>
      </c>
      <c r="C1136" t="s">
        <v>83</v>
      </c>
      <c r="D1136" t="s">
        <v>93</v>
      </c>
      <c r="E1136" t="s">
        <v>85</v>
      </c>
      <c r="F1136" cm="1">
        <f t="array" ref="F1136">_xlfn.XLOOKUP(Food_Orders[[#This Row],[Event_No]],Event_Master[[#All],[Event_No]],Event_Master[[#All],[Guest_Count]],,0)</f>
        <v>420</v>
      </c>
      <c r="G1136" cm="1">
        <f t="array" ref="G1136">Food_Orders[[#This Row],[Quantity_Orderd]]*_xlfn.XLOOKUP(Food_Orders[[#This Row],[Food_ID]],Food_Catalog[[#All],[Food_ID]],Food_Catalog[[#All],[Price_Per_Unit]],0,0)</f>
        <v>6300</v>
      </c>
      <c r="H1136" cm="1">
        <f t="array" ref="H1136">Food_Orders[[#This Row],[Quantity_Orderd]]*_xlfn.XLOOKUP(Food_Orders[[#This Row],[Food_ID]],Food_Catalog[[#All],[Food_ID]],Food_Catalog[[#All],[Client_Price_Per_Unit]],0,0)</f>
        <v>7560</v>
      </c>
      <c r="I1136">
        <f>Food_Orders[[#This Row],[Client_Price]]-Food_Orders[[#This Row],[Cost]]</f>
        <v>1260</v>
      </c>
    </row>
    <row r="1137" spans="1:9" x14ac:dyDescent="0.25">
      <c r="A1137">
        <v>50</v>
      </c>
      <c r="B1137" t="s">
        <v>102</v>
      </c>
      <c r="C1137" t="s">
        <v>83</v>
      </c>
      <c r="D1137" t="s">
        <v>103</v>
      </c>
      <c r="E1137" t="s">
        <v>85</v>
      </c>
      <c r="F1137" cm="1">
        <f t="array" ref="F1137">_xlfn.XLOOKUP(Food_Orders[[#This Row],[Event_No]],Event_Master[[#All],[Event_No]],Event_Master[[#All],[Guest_Count]],,0)</f>
        <v>420</v>
      </c>
      <c r="G1137" cm="1">
        <f t="array" ref="G1137">Food_Orders[[#This Row],[Quantity_Orderd]]*_xlfn.XLOOKUP(Food_Orders[[#This Row],[Food_ID]],Food_Catalog[[#All],[Food_ID]],Food_Catalog[[#All],[Price_Per_Unit]],0,0)</f>
        <v>8400</v>
      </c>
      <c r="H1137" cm="1">
        <f t="array" ref="H1137">Food_Orders[[#This Row],[Quantity_Orderd]]*_xlfn.XLOOKUP(Food_Orders[[#This Row],[Food_ID]],Food_Catalog[[#All],[Food_ID]],Food_Catalog[[#All],[Client_Price_Per_Unit]],0,0)</f>
        <v>10080</v>
      </c>
      <c r="I1137">
        <f>Food_Orders[[#This Row],[Client_Price]]-Food_Orders[[#This Row],[Cost]]</f>
        <v>1680</v>
      </c>
    </row>
    <row r="1138" spans="1:9" x14ac:dyDescent="0.25">
      <c r="A1138">
        <v>50</v>
      </c>
      <c r="B1138" t="s">
        <v>98</v>
      </c>
      <c r="C1138" t="s">
        <v>83</v>
      </c>
      <c r="D1138" t="s">
        <v>99</v>
      </c>
      <c r="E1138" t="s">
        <v>85</v>
      </c>
      <c r="F1138" cm="1">
        <f t="array" ref="F1138">_xlfn.XLOOKUP(Food_Orders[[#This Row],[Event_No]],Event_Master[[#All],[Event_No]],Event_Master[[#All],[Guest_Count]],,0)</f>
        <v>420</v>
      </c>
      <c r="G1138" cm="1">
        <f t="array" ref="G1138">Food_Orders[[#This Row],[Quantity_Orderd]]*_xlfn.XLOOKUP(Food_Orders[[#This Row],[Food_ID]],Food_Catalog[[#All],[Food_ID]],Food_Catalog[[#All],[Price_Per_Unit]],0,0)</f>
        <v>6300</v>
      </c>
      <c r="H1138" cm="1">
        <f t="array" ref="H1138">Food_Orders[[#This Row],[Quantity_Orderd]]*_xlfn.XLOOKUP(Food_Orders[[#This Row],[Food_ID]],Food_Catalog[[#All],[Food_ID]],Food_Catalog[[#All],[Client_Price_Per_Unit]],0,0)</f>
        <v>7560</v>
      </c>
      <c r="I1138">
        <f>Food_Orders[[#This Row],[Client_Price]]-Food_Orders[[#This Row],[Cost]]</f>
        <v>1260</v>
      </c>
    </row>
    <row r="1139" spans="1:9" x14ac:dyDescent="0.25">
      <c r="A1139">
        <v>50</v>
      </c>
      <c r="B1139" t="s">
        <v>104</v>
      </c>
      <c r="C1139" t="s">
        <v>105</v>
      </c>
      <c r="D1139" t="s">
        <v>106</v>
      </c>
      <c r="E1139" t="s">
        <v>107</v>
      </c>
      <c r="F1139" cm="1">
        <f t="array" ref="F1139">_xlfn.XLOOKUP(Food_Orders[[#This Row],[Event_No]],Event_Master[[#All],[Event_No]],Event_Master[[#All],[Guest_Count]],,0)</f>
        <v>420</v>
      </c>
      <c r="G1139" cm="1">
        <f t="array" ref="G1139">Food_Orders[[#This Row],[Quantity_Orderd]]*_xlfn.XLOOKUP(Food_Orders[[#This Row],[Food_ID]],Food_Catalog[[#All],[Food_ID]],Food_Catalog[[#All],[Price_Per_Unit]],0,0)</f>
        <v>4200</v>
      </c>
      <c r="H1139" cm="1">
        <f t="array" ref="H1139">Food_Orders[[#This Row],[Quantity_Orderd]]*_xlfn.XLOOKUP(Food_Orders[[#This Row],[Food_ID]],Food_Catalog[[#All],[Food_ID]],Food_Catalog[[#All],[Client_Price_Per_Unit]],0,0)</f>
        <v>5040</v>
      </c>
      <c r="I1139">
        <f>Food_Orders[[#This Row],[Client_Price]]-Food_Orders[[#This Row],[Cost]]</f>
        <v>840</v>
      </c>
    </row>
    <row r="1140" spans="1:9" x14ac:dyDescent="0.25">
      <c r="A1140">
        <v>50</v>
      </c>
      <c r="B1140" t="s">
        <v>115</v>
      </c>
      <c r="C1140" t="s">
        <v>105</v>
      </c>
      <c r="D1140" t="s">
        <v>116</v>
      </c>
      <c r="E1140" t="s">
        <v>117</v>
      </c>
      <c r="F1140" cm="1">
        <f t="array" ref="F1140">_xlfn.XLOOKUP(Food_Orders[[#This Row],[Event_No]],Event_Master[[#All],[Event_No]],Event_Master[[#All],[Guest_Count]],,0)</f>
        <v>420</v>
      </c>
      <c r="G1140" cm="1">
        <f t="array" ref="G1140">Food_Orders[[#This Row],[Quantity_Orderd]]*_xlfn.XLOOKUP(Food_Orders[[#This Row],[Food_ID]],Food_Catalog[[#All],[Food_ID]],Food_Catalog[[#All],[Price_Per_Unit]],0,0)</f>
        <v>10500</v>
      </c>
      <c r="H1140" cm="1">
        <f t="array" ref="H1140">Food_Orders[[#This Row],[Quantity_Orderd]]*_xlfn.XLOOKUP(Food_Orders[[#This Row],[Food_ID]],Food_Catalog[[#All],[Food_ID]],Food_Catalog[[#All],[Client_Price_Per_Unit]],0,0)</f>
        <v>12600</v>
      </c>
      <c r="I1140">
        <f>Food_Orders[[#This Row],[Client_Price]]-Food_Orders[[#This Row],[Cost]]</f>
        <v>2100</v>
      </c>
    </row>
    <row r="1141" spans="1:9" x14ac:dyDescent="0.25">
      <c r="A1141">
        <v>50</v>
      </c>
      <c r="B1141" t="s">
        <v>110</v>
      </c>
      <c r="C1141" t="s">
        <v>105</v>
      </c>
      <c r="D1141" t="s">
        <v>111</v>
      </c>
      <c r="E1141" t="s">
        <v>112</v>
      </c>
      <c r="F1141" cm="1">
        <f t="array" ref="F1141">_xlfn.XLOOKUP(Food_Orders[[#This Row],[Event_No]],Event_Master[[#All],[Event_No]],Event_Master[[#All],[Guest_Count]],,0)</f>
        <v>420</v>
      </c>
      <c r="G1141" cm="1">
        <f t="array" ref="G1141">Food_Orders[[#This Row],[Quantity_Orderd]]*_xlfn.XLOOKUP(Food_Orders[[#This Row],[Food_ID]],Food_Catalog[[#All],[Food_ID]],Food_Catalog[[#All],[Price_Per_Unit]],0,0)</f>
        <v>8400</v>
      </c>
      <c r="H1141" cm="1">
        <f t="array" ref="H1141">Food_Orders[[#This Row],[Quantity_Orderd]]*_xlfn.XLOOKUP(Food_Orders[[#This Row],[Food_ID]],Food_Catalog[[#All],[Food_ID]],Food_Catalog[[#All],[Client_Price_Per_Unit]],0,0)</f>
        <v>10080</v>
      </c>
      <c r="I1141">
        <f>Food_Orders[[#This Row],[Client_Price]]-Food_Orders[[#This Row],[Cost]]</f>
        <v>1680</v>
      </c>
    </row>
    <row r="1142" spans="1:9" x14ac:dyDescent="0.25">
      <c r="A1142">
        <v>50</v>
      </c>
      <c r="B1142" t="s">
        <v>118</v>
      </c>
      <c r="C1142" t="s">
        <v>119</v>
      </c>
      <c r="D1142" t="s">
        <v>120</v>
      </c>
      <c r="E1142" t="s">
        <v>112</v>
      </c>
      <c r="F1142" cm="1">
        <f t="array" ref="F1142">_xlfn.XLOOKUP(Food_Orders[[#This Row],[Event_No]],Event_Master[[#All],[Event_No]],Event_Master[[#All],[Guest_Count]],,0)</f>
        <v>420</v>
      </c>
      <c r="G1142" cm="1">
        <f t="array" ref="G1142">Food_Orders[[#This Row],[Quantity_Orderd]]*_xlfn.XLOOKUP(Food_Orders[[#This Row],[Food_ID]],Food_Catalog[[#All],[Food_ID]],Food_Catalog[[#All],[Price_Per_Unit]],0,0)</f>
        <v>4200</v>
      </c>
      <c r="H1142" cm="1">
        <f t="array" ref="H1142">Food_Orders[[#This Row],[Quantity_Orderd]]*_xlfn.XLOOKUP(Food_Orders[[#This Row],[Food_ID]],Food_Catalog[[#All],[Food_ID]],Food_Catalog[[#All],[Client_Price_Per_Unit]],0,0)</f>
        <v>5040</v>
      </c>
      <c r="I1142">
        <f>Food_Orders[[#This Row],[Client_Price]]-Food_Orders[[#This Row],[Cost]]</f>
        <v>840</v>
      </c>
    </row>
    <row r="1143" spans="1:9" x14ac:dyDescent="0.25">
      <c r="A1143">
        <v>50</v>
      </c>
      <c r="B1143" t="s">
        <v>127</v>
      </c>
      <c r="C1143" t="s">
        <v>119</v>
      </c>
      <c r="D1143" t="s">
        <v>128</v>
      </c>
      <c r="E1143" t="s">
        <v>107</v>
      </c>
      <c r="F1143" cm="1">
        <f t="array" ref="F1143">_xlfn.XLOOKUP(Food_Orders[[#This Row],[Event_No]],Event_Master[[#All],[Event_No]],Event_Master[[#All],[Guest_Count]],,0)</f>
        <v>420</v>
      </c>
      <c r="G1143" cm="1">
        <f t="array" ref="G1143">Food_Orders[[#This Row],[Quantity_Orderd]]*_xlfn.XLOOKUP(Food_Orders[[#This Row],[Food_ID]],Food_Catalog[[#All],[Food_ID]],Food_Catalog[[#All],[Price_Per_Unit]],0,0)</f>
        <v>8400</v>
      </c>
      <c r="H1143" cm="1">
        <f t="array" ref="H1143">Food_Orders[[#This Row],[Quantity_Orderd]]*_xlfn.XLOOKUP(Food_Orders[[#This Row],[Food_ID]],Food_Catalog[[#All],[Food_ID]],Food_Catalog[[#All],[Client_Price_Per_Unit]],0,0)</f>
        <v>10080</v>
      </c>
      <c r="I1143">
        <f>Food_Orders[[#This Row],[Client_Price]]-Food_Orders[[#This Row],[Cost]]</f>
        <v>1680</v>
      </c>
    </row>
    <row r="1144" spans="1:9" x14ac:dyDescent="0.25">
      <c r="A1144">
        <v>51</v>
      </c>
      <c r="B1144" t="s">
        <v>60</v>
      </c>
      <c r="C1144" t="s">
        <v>61</v>
      </c>
      <c r="D1144" t="s">
        <v>62</v>
      </c>
      <c r="E1144" t="s">
        <v>10</v>
      </c>
      <c r="F1144" cm="1">
        <f t="array" ref="F1144">_xlfn.XLOOKUP(Food_Orders[[#This Row],[Event_No]],Event_Master[[#All],[Event_No]],Event_Master[[#All],[Guest_Count]],,0)</f>
        <v>200</v>
      </c>
      <c r="G1144" cm="1">
        <f t="array" ref="G1144">Food_Orders[[#This Row],[Quantity_Orderd]]*_xlfn.XLOOKUP(Food_Orders[[#This Row],[Food_ID]],Food_Catalog[[#All],[Food_ID]],Food_Catalog[[#All],[Price_Per_Unit]],0,0)</f>
        <v>4000</v>
      </c>
      <c r="H1144" cm="1">
        <f t="array" ref="H1144">Food_Orders[[#This Row],[Quantity_Orderd]]*_xlfn.XLOOKUP(Food_Orders[[#This Row],[Food_ID]],Food_Catalog[[#All],[Food_ID]],Food_Catalog[[#All],[Client_Price_Per_Unit]],0,0)</f>
        <v>4800</v>
      </c>
      <c r="I1144">
        <f>Food_Orders[[#This Row],[Client_Price]]-Food_Orders[[#This Row],[Cost]]</f>
        <v>800</v>
      </c>
    </row>
    <row r="1145" spans="1:9" x14ac:dyDescent="0.25">
      <c r="A1145">
        <v>51</v>
      </c>
      <c r="B1145" t="s">
        <v>63</v>
      </c>
      <c r="C1145" t="s">
        <v>61</v>
      </c>
      <c r="D1145" t="s">
        <v>64</v>
      </c>
      <c r="E1145" t="s">
        <v>10</v>
      </c>
      <c r="F1145" cm="1">
        <f t="array" ref="F1145">_xlfn.XLOOKUP(Food_Orders[[#This Row],[Event_No]],Event_Master[[#All],[Event_No]],Event_Master[[#All],[Guest_Count]],,0)</f>
        <v>200</v>
      </c>
      <c r="G1145" cm="1">
        <f t="array" ref="G1145">Food_Orders[[#This Row],[Quantity_Orderd]]*_xlfn.XLOOKUP(Food_Orders[[#This Row],[Food_ID]],Food_Catalog[[#All],[Food_ID]],Food_Catalog[[#All],[Price_Per_Unit]],0,0)</f>
        <v>6000</v>
      </c>
      <c r="H1145" cm="1">
        <f t="array" ref="H1145">Food_Orders[[#This Row],[Quantity_Orderd]]*_xlfn.XLOOKUP(Food_Orders[[#This Row],[Food_ID]],Food_Catalog[[#All],[Food_ID]],Food_Catalog[[#All],[Client_Price_Per_Unit]],0,0)</f>
        <v>7200</v>
      </c>
      <c r="I1145">
        <f>Food_Orders[[#This Row],[Client_Price]]-Food_Orders[[#This Row],[Cost]]</f>
        <v>1200</v>
      </c>
    </row>
    <row r="1146" spans="1:9" x14ac:dyDescent="0.25">
      <c r="A1146">
        <v>51</v>
      </c>
      <c r="B1146" t="s">
        <v>71</v>
      </c>
      <c r="C1146" t="s">
        <v>61</v>
      </c>
      <c r="D1146" t="s">
        <v>72</v>
      </c>
      <c r="E1146" t="s">
        <v>10</v>
      </c>
      <c r="F1146" cm="1">
        <f t="array" ref="F1146">_xlfn.XLOOKUP(Food_Orders[[#This Row],[Event_No]],Event_Master[[#All],[Event_No]],Event_Master[[#All],[Guest_Count]],,0)</f>
        <v>200</v>
      </c>
      <c r="G1146" cm="1">
        <f t="array" ref="G1146">Food_Orders[[#This Row],[Quantity_Orderd]]*_xlfn.XLOOKUP(Food_Orders[[#This Row],[Food_ID]],Food_Catalog[[#All],[Food_ID]],Food_Catalog[[#All],[Price_Per_Unit]],0,0)</f>
        <v>5000</v>
      </c>
      <c r="H1146" cm="1">
        <f t="array" ref="H1146">Food_Orders[[#This Row],[Quantity_Orderd]]*_xlfn.XLOOKUP(Food_Orders[[#This Row],[Food_ID]],Food_Catalog[[#All],[Food_ID]],Food_Catalog[[#All],[Client_Price_Per_Unit]],0,0)</f>
        <v>6000</v>
      </c>
      <c r="I1146">
        <f>Food_Orders[[#This Row],[Client_Price]]-Food_Orders[[#This Row],[Cost]]</f>
        <v>1000</v>
      </c>
    </row>
    <row r="1147" spans="1:9" x14ac:dyDescent="0.25">
      <c r="A1147">
        <v>51</v>
      </c>
      <c r="B1147" t="s">
        <v>73</v>
      </c>
      <c r="C1147" t="s">
        <v>61</v>
      </c>
      <c r="D1147" t="s">
        <v>74</v>
      </c>
      <c r="E1147" t="s">
        <v>10</v>
      </c>
      <c r="F1147" cm="1">
        <f t="array" ref="F1147">_xlfn.XLOOKUP(Food_Orders[[#This Row],[Event_No]],Event_Master[[#All],[Event_No]],Event_Master[[#All],[Guest_Count]],,0)</f>
        <v>200</v>
      </c>
      <c r="G1147" cm="1">
        <f t="array" ref="G1147">Food_Orders[[#This Row],[Quantity_Orderd]]*_xlfn.XLOOKUP(Food_Orders[[#This Row],[Food_ID]],Food_Catalog[[#All],[Food_ID]],Food_Catalog[[#All],[Price_Per_Unit]],0,0)</f>
        <v>8000</v>
      </c>
      <c r="H1147" cm="1">
        <f t="array" ref="H1147">Food_Orders[[#This Row],[Quantity_Orderd]]*_xlfn.XLOOKUP(Food_Orders[[#This Row],[Food_ID]],Food_Catalog[[#All],[Food_ID]],Food_Catalog[[#All],[Client_Price_Per_Unit]],0,0)</f>
        <v>9600</v>
      </c>
      <c r="I1147">
        <f>Food_Orders[[#This Row],[Client_Price]]-Food_Orders[[#This Row],[Cost]]</f>
        <v>1600</v>
      </c>
    </row>
    <row r="1148" spans="1:9" x14ac:dyDescent="0.25">
      <c r="A1148">
        <v>51</v>
      </c>
      <c r="B1148" t="s">
        <v>75</v>
      </c>
      <c r="C1148" t="s">
        <v>61</v>
      </c>
      <c r="D1148" t="s">
        <v>76</v>
      </c>
      <c r="E1148" t="s">
        <v>10</v>
      </c>
      <c r="F1148" cm="1">
        <f t="array" ref="F1148">_xlfn.XLOOKUP(Food_Orders[[#This Row],[Event_No]],Event_Master[[#All],[Event_No]],Event_Master[[#All],[Guest_Count]],,0)</f>
        <v>200</v>
      </c>
      <c r="G1148" cm="1">
        <f t="array" ref="G1148">Food_Orders[[#This Row],[Quantity_Orderd]]*_xlfn.XLOOKUP(Food_Orders[[#This Row],[Food_ID]],Food_Catalog[[#All],[Food_ID]],Food_Catalog[[#All],[Price_Per_Unit]],0,0)</f>
        <v>8000</v>
      </c>
      <c r="H1148" cm="1">
        <f t="array" ref="H1148">Food_Orders[[#This Row],[Quantity_Orderd]]*_xlfn.XLOOKUP(Food_Orders[[#This Row],[Food_ID]],Food_Catalog[[#All],[Food_ID]],Food_Catalog[[#All],[Client_Price_Per_Unit]],0,0)</f>
        <v>9600</v>
      </c>
      <c r="I1148">
        <f>Food_Orders[[#This Row],[Client_Price]]-Food_Orders[[#This Row],[Cost]]</f>
        <v>1600</v>
      </c>
    </row>
    <row r="1149" spans="1:9" x14ac:dyDescent="0.25">
      <c r="A1149">
        <v>51</v>
      </c>
      <c r="B1149" t="s">
        <v>69</v>
      </c>
      <c r="C1149" t="s">
        <v>61</v>
      </c>
      <c r="D1149" t="s">
        <v>70</v>
      </c>
      <c r="E1149" t="s">
        <v>10</v>
      </c>
      <c r="F1149" cm="1">
        <f t="array" ref="F1149">_xlfn.XLOOKUP(Food_Orders[[#This Row],[Event_No]],Event_Master[[#All],[Event_No]],Event_Master[[#All],[Guest_Count]],,0)</f>
        <v>200</v>
      </c>
      <c r="G1149" cm="1">
        <f t="array" ref="G1149">Food_Orders[[#This Row],[Quantity_Orderd]]*_xlfn.XLOOKUP(Food_Orders[[#This Row],[Food_ID]],Food_Catalog[[#All],[Food_ID]],Food_Catalog[[#All],[Price_Per_Unit]],0,0)</f>
        <v>10000</v>
      </c>
      <c r="H1149" cm="1">
        <f t="array" ref="H1149">Food_Orders[[#This Row],[Quantity_Orderd]]*_xlfn.XLOOKUP(Food_Orders[[#This Row],[Food_ID]],Food_Catalog[[#All],[Food_ID]],Food_Catalog[[#All],[Client_Price_Per_Unit]],0,0)</f>
        <v>12000</v>
      </c>
      <c r="I1149">
        <f>Food_Orders[[#This Row],[Client_Price]]-Food_Orders[[#This Row],[Cost]]</f>
        <v>2000</v>
      </c>
    </row>
    <row r="1150" spans="1:9" x14ac:dyDescent="0.25">
      <c r="A1150">
        <v>51</v>
      </c>
      <c r="B1150" t="s">
        <v>67</v>
      </c>
      <c r="C1150" t="s">
        <v>61</v>
      </c>
      <c r="D1150" t="s">
        <v>68</v>
      </c>
      <c r="E1150" t="s">
        <v>10</v>
      </c>
      <c r="F1150" cm="1">
        <f t="array" ref="F1150">_xlfn.XLOOKUP(Food_Orders[[#This Row],[Event_No]],Event_Master[[#All],[Event_No]],Event_Master[[#All],[Guest_Count]],,0)</f>
        <v>200</v>
      </c>
      <c r="G1150" cm="1">
        <f t="array" ref="G1150">Food_Orders[[#This Row],[Quantity_Orderd]]*_xlfn.XLOOKUP(Food_Orders[[#This Row],[Food_ID]],Food_Catalog[[#All],[Food_ID]],Food_Catalog[[#All],[Price_Per_Unit]],0,0)</f>
        <v>6000</v>
      </c>
      <c r="H1150" cm="1">
        <f t="array" ref="H1150">Food_Orders[[#This Row],[Quantity_Orderd]]*_xlfn.XLOOKUP(Food_Orders[[#This Row],[Food_ID]],Food_Catalog[[#All],[Food_ID]],Food_Catalog[[#All],[Client_Price_Per_Unit]],0,0)</f>
        <v>7200</v>
      </c>
      <c r="I1150">
        <f>Food_Orders[[#This Row],[Client_Price]]-Food_Orders[[#This Row],[Cost]]</f>
        <v>1200</v>
      </c>
    </row>
    <row r="1151" spans="1:9" x14ac:dyDescent="0.25">
      <c r="A1151">
        <v>51</v>
      </c>
      <c r="B1151" t="s">
        <v>77</v>
      </c>
      <c r="C1151" t="s">
        <v>61</v>
      </c>
      <c r="D1151" t="s">
        <v>78</v>
      </c>
      <c r="E1151" t="s">
        <v>79</v>
      </c>
      <c r="F1151" cm="1">
        <f t="array" ref="F1151">_xlfn.XLOOKUP(Food_Orders[[#This Row],[Event_No]],Event_Master[[#All],[Event_No]],Event_Master[[#All],[Guest_Count]],,0)</f>
        <v>200</v>
      </c>
      <c r="G1151" cm="1">
        <f t="array" ref="G1151">Food_Orders[[#This Row],[Quantity_Orderd]]*_xlfn.XLOOKUP(Food_Orders[[#This Row],[Food_ID]],Food_Catalog[[#All],[Food_ID]],Food_Catalog[[#All],[Price_Per_Unit]],0,0)</f>
        <v>7000</v>
      </c>
      <c r="H1151" cm="1">
        <f t="array" ref="H1151">Food_Orders[[#This Row],[Quantity_Orderd]]*_xlfn.XLOOKUP(Food_Orders[[#This Row],[Food_ID]],Food_Catalog[[#All],[Food_ID]],Food_Catalog[[#All],[Client_Price_Per_Unit]],0,0)</f>
        <v>8400</v>
      </c>
      <c r="I1151">
        <f>Food_Orders[[#This Row],[Client_Price]]-Food_Orders[[#This Row],[Cost]]</f>
        <v>1400</v>
      </c>
    </row>
    <row r="1152" spans="1:9" x14ac:dyDescent="0.25">
      <c r="A1152">
        <v>51</v>
      </c>
      <c r="B1152" t="s">
        <v>7</v>
      </c>
      <c r="C1152" t="s">
        <v>8</v>
      </c>
      <c r="D1152" t="s">
        <v>9</v>
      </c>
      <c r="E1152" t="s">
        <v>10</v>
      </c>
      <c r="F1152" cm="1">
        <f t="array" ref="F1152">_xlfn.XLOOKUP(Food_Orders[[#This Row],[Event_No]],Event_Master[[#All],[Event_No]],Event_Master[[#All],[Guest_Count]],,0)</f>
        <v>200</v>
      </c>
      <c r="G1152" cm="1">
        <f t="array" ref="G1152">Food_Orders[[#This Row],[Quantity_Orderd]]*_xlfn.XLOOKUP(Food_Orders[[#This Row],[Food_ID]],Food_Catalog[[#All],[Food_ID]],Food_Catalog[[#All],[Price_Per_Unit]],0,0)</f>
        <v>5000</v>
      </c>
      <c r="H1152" cm="1">
        <f t="array" ref="H1152">Food_Orders[[#This Row],[Quantity_Orderd]]*_xlfn.XLOOKUP(Food_Orders[[#This Row],[Food_ID]],Food_Catalog[[#All],[Food_ID]],Food_Catalog[[#All],[Client_Price_Per_Unit]],0,0)</f>
        <v>6000</v>
      </c>
      <c r="I1152">
        <f>Food_Orders[[#This Row],[Client_Price]]-Food_Orders[[#This Row],[Cost]]</f>
        <v>1000</v>
      </c>
    </row>
    <row r="1153" spans="1:9" x14ac:dyDescent="0.25">
      <c r="A1153">
        <v>51</v>
      </c>
      <c r="B1153" t="s">
        <v>13</v>
      </c>
      <c r="C1153" t="s">
        <v>8</v>
      </c>
      <c r="D1153" t="s">
        <v>14</v>
      </c>
      <c r="E1153" t="s">
        <v>10</v>
      </c>
      <c r="F1153" cm="1">
        <f t="array" ref="F1153">_xlfn.XLOOKUP(Food_Orders[[#This Row],[Event_No]],Event_Master[[#All],[Event_No]],Event_Master[[#All],[Guest_Count]],,0)</f>
        <v>200</v>
      </c>
      <c r="G1153" cm="1">
        <f t="array" ref="G1153">Food_Orders[[#This Row],[Quantity_Orderd]]*_xlfn.XLOOKUP(Food_Orders[[#This Row],[Food_ID]],Food_Catalog[[#All],[Food_ID]],Food_Catalog[[#All],[Price_Per_Unit]],0,0)</f>
        <v>7000</v>
      </c>
      <c r="H1153" cm="1">
        <f t="array" ref="H1153">Food_Orders[[#This Row],[Quantity_Orderd]]*_xlfn.XLOOKUP(Food_Orders[[#This Row],[Food_ID]],Food_Catalog[[#All],[Food_ID]],Food_Catalog[[#All],[Client_Price_Per_Unit]],0,0)</f>
        <v>8400</v>
      </c>
      <c r="I1153">
        <f>Food_Orders[[#This Row],[Client_Price]]-Food_Orders[[#This Row],[Cost]]</f>
        <v>1400</v>
      </c>
    </row>
    <row r="1154" spans="1:9" x14ac:dyDescent="0.25">
      <c r="A1154">
        <v>51</v>
      </c>
      <c r="B1154" t="s">
        <v>27</v>
      </c>
      <c r="C1154" t="s">
        <v>8</v>
      </c>
      <c r="D1154" t="s">
        <v>28</v>
      </c>
      <c r="E1154" t="s">
        <v>10</v>
      </c>
      <c r="F1154" cm="1">
        <f t="array" ref="F1154">_xlfn.XLOOKUP(Food_Orders[[#This Row],[Event_No]],Event_Master[[#All],[Event_No]],Event_Master[[#All],[Guest_Count]],,0)</f>
        <v>200</v>
      </c>
      <c r="G1154" cm="1">
        <f t="array" ref="G1154">Food_Orders[[#This Row],[Quantity_Orderd]]*_xlfn.XLOOKUP(Food_Orders[[#This Row],[Food_ID]],Food_Catalog[[#All],[Food_ID]],Food_Catalog[[#All],[Price_Per_Unit]],0,0)</f>
        <v>8000</v>
      </c>
      <c r="H1154" cm="1">
        <f t="array" ref="H1154">Food_Orders[[#This Row],[Quantity_Orderd]]*_xlfn.XLOOKUP(Food_Orders[[#This Row],[Food_ID]],Food_Catalog[[#All],[Food_ID]],Food_Catalog[[#All],[Client_Price_Per_Unit]],0,0)</f>
        <v>9600</v>
      </c>
      <c r="I1154">
        <f>Food_Orders[[#This Row],[Client_Price]]-Food_Orders[[#This Row],[Cost]]</f>
        <v>1600</v>
      </c>
    </row>
    <row r="1155" spans="1:9" x14ac:dyDescent="0.25">
      <c r="A1155">
        <v>51</v>
      </c>
      <c r="B1155" t="s">
        <v>31</v>
      </c>
      <c r="C1155" t="s">
        <v>8</v>
      </c>
      <c r="D1155" t="s">
        <v>32</v>
      </c>
      <c r="E1155" t="s">
        <v>10</v>
      </c>
      <c r="F1155" cm="1">
        <f t="array" ref="F1155">_xlfn.XLOOKUP(Food_Orders[[#This Row],[Event_No]],Event_Master[[#All],[Event_No]],Event_Master[[#All],[Guest_Count]],,0)</f>
        <v>200</v>
      </c>
      <c r="G1155" cm="1">
        <f t="array" ref="G1155">Food_Orders[[#This Row],[Quantity_Orderd]]*_xlfn.XLOOKUP(Food_Orders[[#This Row],[Food_ID]],Food_Catalog[[#All],[Food_ID]],Food_Catalog[[#All],[Price_Per_Unit]],0,0)</f>
        <v>6000</v>
      </c>
      <c r="H1155" cm="1">
        <f t="array" ref="H1155">Food_Orders[[#This Row],[Quantity_Orderd]]*_xlfn.XLOOKUP(Food_Orders[[#This Row],[Food_ID]],Food_Catalog[[#All],[Food_ID]],Food_Catalog[[#All],[Client_Price_Per_Unit]],0,0)</f>
        <v>7200</v>
      </c>
      <c r="I1155">
        <f>Food_Orders[[#This Row],[Client_Price]]-Food_Orders[[#This Row],[Cost]]</f>
        <v>1200</v>
      </c>
    </row>
    <row r="1156" spans="1:9" x14ac:dyDescent="0.25">
      <c r="A1156">
        <v>51</v>
      </c>
      <c r="B1156" t="s">
        <v>33</v>
      </c>
      <c r="C1156" t="s">
        <v>8</v>
      </c>
      <c r="D1156" t="s">
        <v>34</v>
      </c>
      <c r="E1156" t="s">
        <v>10</v>
      </c>
      <c r="F1156" cm="1">
        <f t="array" ref="F1156">_xlfn.XLOOKUP(Food_Orders[[#This Row],[Event_No]],Event_Master[[#All],[Event_No]],Event_Master[[#All],[Guest_Count]],,0)</f>
        <v>200</v>
      </c>
      <c r="G1156" cm="1">
        <f t="array" ref="G1156">Food_Orders[[#This Row],[Quantity_Orderd]]*_xlfn.XLOOKUP(Food_Orders[[#This Row],[Food_ID]],Food_Catalog[[#All],[Food_ID]],Food_Catalog[[#All],[Price_Per_Unit]],0,0)</f>
        <v>6000</v>
      </c>
      <c r="H1156" cm="1">
        <f t="array" ref="H1156">Food_Orders[[#This Row],[Quantity_Orderd]]*_xlfn.XLOOKUP(Food_Orders[[#This Row],[Food_ID]],Food_Catalog[[#All],[Food_ID]],Food_Catalog[[#All],[Client_Price_Per_Unit]],0,0)</f>
        <v>7200</v>
      </c>
      <c r="I1156">
        <f>Food_Orders[[#This Row],[Client_Price]]-Food_Orders[[#This Row],[Cost]]</f>
        <v>1200</v>
      </c>
    </row>
    <row r="1157" spans="1:9" x14ac:dyDescent="0.25">
      <c r="A1157">
        <v>51</v>
      </c>
      <c r="B1157" t="s">
        <v>17</v>
      </c>
      <c r="C1157" t="s">
        <v>8</v>
      </c>
      <c r="D1157" t="s">
        <v>18</v>
      </c>
      <c r="E1157" t="s">
        <v>10</v>
      </c>
      <c r="F1157" cm="1">
        <f t="array" ref="F1157">_xlfn.XLOOKUP(Food_Orders[[#This Row],[Event_No]],Event_Master[[#All],[Event_No]],Event_Master[[#All],[Guest_Count]],,0)</f>
        <v>200</v>
      </c>
      <c r="G1157" cm="1">
        <f t="array" ref="G1157">Food_Orders[[#This Row],[Quantity_Orderd]]*_xlfn.XLOOKUP(Food_Orders[[#This Row],[Food_ID]],Food_Catalog[[#All],[Food_ID]],Food_Catalog[[#All],[Price_Per_Unit]],0,0)</f>
        <v>8000</v>
      </c>
      <c r="H1157" cm="1">
        <f t="array" ref="H1157">Food_Orders[[#This Row],[Quantity_Orderd]]*_xlfn.XLOOKUP(Food_Orders[[#This Row],[Food_ID]],Food_Catalog[[#All],[Food_ID]],Food_Catalog[[#All],[Client_Price_Per_Unit]],0,0)</f>
        <v>9600</v>
      </c>
      <c r="I1157">
        <f>Food_Orders[[#This Row],[Client_Price]]-Food_Orders[[#This Row],[Cost]]</f>
        <v>1600</v>
      </c>
    </row>
    <row r="1158" spans="1:9" x14ac:dyDescent="0.25">
      <c r="A1158">
        <v>51</v>
      </c>
      <c r="B1158" t="s">
        <v>29</v>
      </c>
      <c r="C1158" t="s">
        <v>8</v>
      </c>
      <c r="D1158" t="s">
        <v>30</v>
      </c>
      <c r="E1158" t="s">
        <v>10</v>
      </c>
      <c r="F1158" cm="1">
        <f t="array" ref="F1158">_xlfn.XLOOKUP(Food_Orders[[#This Row],[Event_No]],Event_Master[[#All],[Event_No]],Event_Master[[#All],[Guest_Count]],,0)</f>
        <v>200</v>
      </c>
      <c r="G1158" cm="1">
        <f t="array" ref="G1158">Food_Orders[[#This Row],[Quantity_Orderd]]*_xlfn.XLOOKUP(Food_Orders[[#This Row],[Food_ID]],Food_Catalog[[#All],[Food_ID]],Food_Catalog[[#All],[Price_Per_Unit]],0,0)</f>
        <v>6000</v>
      </c>
      <c r="H1158" cm="1">
        <f t="array" ref="H1158">Food_Orders[[#This Row],[Quantity_Orderd]]*_xlfn.XLOOKUP(Food_Orders[[#This Row],[Food_ID]],Food_Catalog[[#All],[Food_ID]],Food_Catalog[[#All],[Client_Price_Per_Unit]],0,0)</f>
        <v>7200</v>
      </c>
      <c r="I1158">
        <f>Food_Orders[[#This Row],[Client_Price]]-Food_Orders[[#This Row],[Cost]]</f>
        <v>1200</v>
      </c>
    </row>
    <row r="1159" spans="1:9" x14ac:dyDescent="0.25">
      <c r="A1159">
        <v>51</v>
      </c>
      <c r="B1159" t="s">
        <v>37</v>
      </c>
      <c r="C1159" t="s">
        <v>8</v>
      </c>
      <c r="D1159" t="s">
        <v>38</v>
      </c>
      <c r="E1159" t="s">
        <v>10</v>
      </c>
      <c r="F1159" cm="1">
        <f t="array" ref="F1159">_xlfn.XLOOKUP(Food_Orders[[#This Row],[Event_No]],Event_Master[[#All],[Event_No]],Event_Master[[#All],[Guest_Count]],,0)</f>
        <v>200</v>
      </c>
      <c r="G1159" cm="1">
        <f t="array" ref="G1159">Food_Orders[[#This Row],[Quantity_Orderd]]*_xlfn.XLOOKUP(Food_Orders[[#This Row],[Food_ID]],Food_Catalog[[#All],[Food_ID]],Food_Catalog[[#All],[Price_Per_Unit]],0,0)</f>
        <v>5000</v>
      </c>
      <c r="H1159" cm="1">
        <f t="array" ref="H1159">Food_Orders[[#This Row],[Quantity_Orderd]]*_xlfn.XLOOKUP(Food_Orders[[#This Row],[Food_ID]],Food_Catalog[[#All],[Food_ID]],Food_Catalog[[#All],[Client_Price_Per_Unit]],0,0)</f>
        <v>6000</v>
      </c>
      <c r="I1159">
        <f>Food_Orders[[#This Row],[Client_Price]]-Food_Orders[[#This Row],[Cost]]</f>
        <v>1000</v>
      </c>
    </row>
    <row r="1160" spans="1:9" x14ac:dyDescent="0.25">
      <c r="A1160">
        <v>51</v>
      </c>
      <c r="B1160" t="s">
        <v>39</v>
      </c>
      <c r="C1160" t="s">
        <v>40</v>
      </c>
      <c r="D1160" t="s">
        <v>41</v>
      </c>
      <c r="E1160" t="s">
        <v>10</v>
      </c>
      <c r="F1160" cm="1">
        <f t="array" ref="F1160">_xlfn.XLOOKUP(Food_Orders[[#This Row],[Event_No]],Event_Master[[#All],[Event_No]],Event_Master[[#All],[Guest_Count]],,0)</f>
        <v>200</v>
      </c>
      <c r="G1160" cm="1">
        <f t="array" ref="G1160">Food_Orders[[#This Row],[Quantity_Orderd]]*_xlfn.XLOOKUP(Food_Orders[[#This Row],[Food_ID]],Food_Catalog[[#All],[Food_ID]],Food_Catalog[[#All],[Price_Per_Unit]],0,0)</f>
        <v>12000</v>
      </c>
      <c r="H1160" cm="1">
        <f t="array" ref="H1160">Food_Orders[[#This Row],[Quantity_Orderd]]*_xlfn.XLOOKUP(Food_Orders[[#This Row],[Food_ID]],Food_Catalog[[#All],[Food_ID]],Food_Catalog[[#All],[Client_Price_Per_Unit]],0,0)</f>
        <v>14400</v>
      </c>
      <c r="I1160">
        <f>Food_Orders[[#This Row],[Client_Price]]-Food_Orders[[#This Row],[Cost]]</f>
        <v>2400</v>
      </c>
    </row>
    <row r="1161" spans="1:9" x14ac:dyDescent="0.25">
      <c r="A1161">
        <v>51</v>
      </c>
      <c r="B1161" t="s">
        <v>42</v>
      </c>
      <c r="C1161" t="s">
        <v>40</v>
      </c>
      <c r="D1161" t="s">
        <v>43</v>
      </c>
      <c r="E1161" t="s">
        <v>10</v>
      </c>
      <c r="F1161" cm="1">
        <f t="array" ref="F1161">_xlfn.XLOOKUP(Food_Orders[[#This Row],[Event_No]],Event_Master[[#All],[Event_No]],Event_Master[[#All],[Guest_Count]],,0)</f>
        <v>200</v>
      </c>
      <c r="G1161" cm="1">
        <f t="array" ref="G1161">Food_Orders[[#This Row],[Quantity_Orderd]]*_xlfn.XLOOKUP(Food_Orders[[#This Row],[Food_ID]],Food_Catalog[[#All],[Food_ID]],Food_Catalog[[#All],[Price_Per_Unit]],0,0)</f>
        <v>14000</v>
      </c>
      <c r="H1161" cm="1">
        <f t="array" ref="H1161">Food_Orders[[#This Row],[Quantity_Orderd]]*_xlfn.XLOOKUP(Food_Orders[[#This Row],[Food_ID]],Food_Catalog[[#All],[Food_ID]],Food_Catalog[[#All],[Client_Price_Per_Unit]],0,0)</f>
        <v>16800</v>
      </c>
      <c r="I1161">
        <f>Food_Orders[[#This Row],[Client_Price]]-Food_Orders[[#This Row],[Cost]]</f>
        <v>2800</v>
      </c>
    </row>
    <row r="1162" spans="1:9" x14ac:dyDescent="0.25">
      <c r="A1162">
        <v>51</v>
      </c>
      <c r="B1162" t="s">
        <v>58</v>
      </c>
      <c r="C1162" t="s">
        <v>40</v>
      </c>
      <c r="D1162" t="s">
        <v>59</v>
      </c>
      <c r="E1162" t="s">
        <v>10</v>
      </c>
      <c r="F1162" cm="1">
        <f t="array" ref="F1162">_xlfn.XLOOKUP(Food_Orders[[#This Row],[Event_No]],Event_Master[[#All],[Event_No]],Event_Master[[#All],[Guest_Count]],,0)</f>
        <v>200</v>
      </c>
      <c r="G1162" cm="1">
        <f t="array" ref="G1162">Food_Orders[[#This Row],[Quantity_Orderd]]*_xlfn.XLOOKUP(Food_Orders[[#This Row],[Food_ID]],Food_Catalog[[#All],[Food_ID]],Food_Catalog[[#All],[Price_Per_Unit]],0,0)</f>
        <v>18000</v>
      </c>
      <c r="H1162" cm="1">
        <f t="array" ref="H1162">Food_Orders[[#This Row],[Quantity_Orderd]]*_xlfn.XLOOKUP(Food_Orders[[#This Row],[Food_ID]],Food_Catalog[[#All],[Food_ID]],Food_Catalog[[#All],[Client_Price_Per_Unit]],0,0)</f>
        <v>21600</v>
      </c>
      <c r="I1162">
        <f>Food_Orders[[#This Row],[Client_Price]]-Food_Orders[[#This Row],[Cost]]</f>
        <v>3600</v>
      </c>
    </row>
    <row r="1163" spans="1:9" x14ac:dyDescent="0.25">
      <c r="A1163">
        <v>51</v>
      </c>
      <c r="B1163" t="s">
        <v>46</v>
      </c>
      <c r="C1163" t="s">
        <v>40</v>
      </c>
      <c r="D1163" t="s">
        <v>47</v>
      </c>
      <c r="E1163" t="s">
        <v>10</v>
      </c>
      <c r="F1163" cm="1">
        <f t="array" ref="F1163">_xlfn.XLOOKUP(Food_Orders[[#This Row],[Event_No]],Event_Master[[#All],[Event_No]],Event_Master[[#All],[Guest_Count]],,0)</f>
        <v>200</v>
      </c>
      <c r="G1163" cm="1">
        <f t="array" ref="G1163">Food_Orders[[#This Row],[Quantity_Orderd]]*_xlfn.XLOOKUP(Food_Orders[[#This Row],[Food_ID]],Food_Catalog[[#All],[Food_ID]],Food_Catalog[[#All],[Price_Per_Unit]],0,0)</f>
        <v>18000</v>
      </c>
      <c r="H1163" cm="1">
        <f t="array" ref="H1163">Food_Orders[[#This Row],[Quantity_Orderd]]*_xlfn.XLOOKUP(Food_Orders[[#This Row],[Food_ID]],Food_Catalog[[#All],[Food_ID]],Food_Catalog[[#All],[Client_Price_Per_Unit]],0,0)</f>
        <v>21600</v>
      </c>
      <c r="I1163">
        <f>Food_Orders[[#This Row],[Client_Price]]-Food_Orders[[#This Row],[Cost]]</f>
        <v>3600</v>
      </c>
    </row>
    <row r="1164" spans="1:9" x14ac:dyDescent="0.25">
      <c r="A1164">
        <v>51</v>
      </c>
      <c r="B1164" t="s">
        <v>50</v>
      </c>
      <c r="C1164" t="s">
        <v>40</v>
      </c>
      <c r="D1164" t="s">
        <v>51</v>
      </c>
      <c r="E1164" t="s">
        <v>10</v>
      </c>
      <c r="F1164" cm="1">
        <f t="array" ref="F1164">_xlfn.XLOOKUP(Food_Orders[[#This Row],[Event_No]],Event_Master[[#All],[Event_No]],Event_Master[[#All],[Guest_Count]],,0)</f>
        <v>200</v>
      </c>
      <c r="G1164" cm="1">
        <f t="array" ref="G1164">Food_Orders[[#This Row],[Quantity_Orderd]]*_xlfn.XLOOKUP(Food_Orders[[#This Row],[Food_ID]],Food_Catalog[[#All],[Food_ID]],Food_Catalog[[#All],[Price_Per_Unit]],0,0)</f>
        <v>16000</v>
      </c>
      <c r="H1164" cm="1">
        <f t="array" ref="H1164">Food_Orders[[#This Row],[Quantity_Orderd]]*_xlfn.XLOOKUP(Food_Orders[[#This Row],[Food_ID]],Food_Catalog[[#All],[Food_ID]],Food_Catalog[[#All],[Client_Price_Per_Unit]],0,0)</f>
        <v>19200</v>
      </c>
      <c r="I1164">
        <f>Food_Orders[[#This Row],[Client_Price]]-Food_Orders[[#This Row],[Cost]]</f>
        <v>3200</v>
      </c>
    </row>
    <row r="1165" spans="1:9" x14ac:dyDescent="0.25">
      <c r="A1165">
        <v>51</v>
      </c>
      <c r="B1165" t="s">
        <v>82</v>
      </c>
      <c r="C1165" t="s">
        <v>83</v>
      </c>
      <c r="D1165" t="s">
        <v>84</v>
      </c>
      <c r="E1165" t="s">
        <v>85</v>
      </c>
      <c r="F1165" cm="1">
        <f t="array" ref="F1165">_xlfn.XLOOKUP(Food_Orders[[#This Row],[Event_No]],Event_Master[[#All],[Event_No]],Event_Master[[#All],[Guest_Count]],,0)</f>
        <v>200</v>
      </c>
      <c r="G1165" cm="1">
        <f t="array" ref="G1165">Food_Orders[[#This Row],[Quantity_Orderd]]*_xlfn.XLOOKUP(Food_Orders[[#This Row],[Food_ID]],Food_Catalog[[#All],[Food_ID]],Food_Catalog[[#All],[Price_Per_Unit]],0,0)</f>
        <v>4000</v>
      </c>
      <c r="H1165" cm="1">
        <f t="array" ref="H1165">Food_Orders[[#This Row],[Quantity_Orderd]]*_xlfn.XLOOKUP(Food_Orders[[#This Row],[Food_ID]],Food_Catalog[[#All],[Food_ID]],Food_Catalog[[#All],[Client_Price_Per_Unit]],0,0)</f>
        <v>4800</v>
      </c>
      <c r="I1165">
        <f>Food_Orders[[#This Row],[Client_Price]]-Food_Orders[[#This Row],[Cost]]</f>
        <v>800</v>
      </c>
    </row>
    <row r="1166" spans="1:9" x14ac:dyDescent="0.25">
      <c r="A1166">
        <v>51</v>
      </c>
      <c r="B1166" t="s">
        <v>86</v>
      </c>
      <c r="C1166" t="s">
        <v>83</v>
      </c>
      <c r="D1166" t="s">
        <v>87</v>
      </c>
      <c r="E1166" t="s">
        <v>85</v>
      </c>
      <c r="F1166" cm="1">
        <f t="array" ref="F1166">_xlfn.XLOOKUP(Food_Orders[[#This Row],[Event_No]],Event_Master[[#All],[Event_No]],Event_Master[[#All],[Guest_Count]],,0)</f>
        <v>200</v>
      </c>
      <c r="G1166" cm="1">
        <f t="array" ref="G1166">Food_Orders[[#This Row],[Quantity_Orderd]]*_xlfn.XLOOKUP(Food_Orders[[#This Row],[Food_ID]],Food_Catalog[[#All],[Food_ID]],Food_Catalog[[#All],[Price_Per_Unit]],0,0)</f>
        <v>4000</v>
      </c>
      <c r="H1166" cm="1">
        <f t="array" ref="H1166">Food_Orders[[#This Row],[Quantity_Orderd]]*_xlfn.XLOOKUP(Food_Orders[[#This Row],[Food_ID]],Food_Catalog[[#All],[Food_ID]],Food_Catalog[[#All],[Client_Price_Per_Unit]],0,0)</f>
        <v>4800</v>
      </c>
      <c r="I1166">
        <f>Food_Orders[[#This Row],[Client_Price]]-Food_Orders[[#This Row],[Cost]]</f>
        <v>800</v>
      </c>
    </row>
    <row r="1167" spans="1:9" x14ac:dyDescent="0.25">
      <c r="A1167">
        <v>51</v>
      </c>
      <c r="B1167" t="s">
        <v>96</v>
      </c>
      <c r="C1167" t="s">
        <v>83</v>
      </c>
      <c r="D1167" t="s">
        <v>97</v>
      </c>
      <c r="E1167" t="s">
        <v>79</v>
      </c>
      <c r="F1167" cm="1">
        <f t="array" ref="F1167">_xlfn.XLOOKUP(Food_Orders[[#This Row],[Event_No]],Event_Master[[#All],[Event_No]],Event_Master[[#All],[Guest_Count]],,0)</f>
        <v>200</v>
      </c>
      <c r="G1167" cm="1">
        <f t="array" ref="G1167">Food_Orders[[#This Row],[Quantity_Orderd]]*_xlfn.XLOOKUP(Food_Orders[[#This Row],[Food_ID]],Food_Catalog[[#All],[Food_ID]],Food_Catalog[[#All],[Price_Per_Unit]],0,0)</f>
        <v>6000</v>
      </c>
      <c r="H1167" cm="1">
        <f t="array" ref="H1167">Food_Orders[[#This Row],[Quantity_Orderd]]*_xlfn.XLOOKUP(Food_Orders[[#This Row],[Food_ID]],Food_Catalog[[#All],[Food_ID]],Food_Catalog[[#All],[Client_Price_Per_Unit]],0,0)</f>
        <v>7200</v>
      </c>
      <c r="I1167">
        <f>Food_Orders[[#This Row],[Client_Price]]-Food_Orders[[#This Row],[Cost]]</f>
        <v>1200</v>
      </c>
    </row>
    <row r="1168" spans="1:9" x14ac:dyDescent="0.25">
      <c r="A1168">
        <v>51</v>
      </c>
      <c r="B1168" t="s">
        <v>88</v>
      </c>
      <c r="C1168" t="s">
        <v>83</v>
      </c>
      <c r="D1168" t="s">
        <v>89</v>
      </c>
      <c r="E1168" t="s">
        <v>85</v>
      </c>
      <c r="F1168" cm="1">
        <f t="array" ref="F1168">_xlfn.XLOOKUP(Food_Orders[[#This Row],[Event_No]],Event_Master[[#All],[Event_No]],Event_Master[[#All],[Guest_Count]],,0)</f>
        <v>200</v>
      </c>
      <c r="G1168" cm="1">
        <f t="array" ref="G1168">Food_Orders[[#This Row],[Quantity_Orderd]]*_xlfn.XLOOKUP(Food_Orders[[#This Row],[Food_ID]],Food_Catalog[[#All],[Food_ID]],Food_Catalog[[#All],[Price_Per_Unit]],0,0)</f>
        <v>3000</v>
      </c>
      <c r="H1168" cm="1">
        <f t="array" ref="H1168">Food_Orders[[#This Row],[Quantity_Orderd]]*_xlfn.XLOOKUP(Food_Orders[[#This Row],[Food_ID]],Food_Catalog[[#All],[Food_ID]],Food_Catalog[[#All],[Client_Price_Per_Unit]],0,0)</f>
        <v>3600</v>
      </c>
      <c r="I1168">
        <f>Food_Orders[[#This Row],[Client_Price]]-Food_Orders[[#This Row],[Cost]]</f>
        <v>600</v>
      </c>
    </row>
    <row r="1169" spans="1:9" x14ac:dyDescent="0.25">
      <c r="A1169">
        <v>51</v>
      </c>
      <c r="B1169" t="s">
        <v>92</v>
      </c>
      <c r="C1169" t="s">
        <v>83</v>
      </c>
      <c r="D1169" t="s">
        <v>93</v>
      </c>
      <c r="E1169" t="s">
        <v>85</v>
      </c>
      <c r="F1169" cm="1">
        <f t="array" ref="F1169">_xlfn.XLOOKUP(Food_Orders[[#This Row],[Event_No]],Event_Master[[#All],[Event_No]],Event_Master[[#All],[Guest_Count]],,0)</f>
        <v>200</v>
      </c>
      <c r="G1169" cm="1">
        <f t="array" ref="G1169">Food_Orders[[#This Row],[Quantity_Orderd]]*_xlfn.XLOOKUP(Food_Orders[[#This Row],[Food_ID]],Food_Catalog[[#All],[Food_ID]],Food_Catalog[[#All],[Price_Per_Unit]],0,0)</f>
        <v>3000</v>
      </c>
      <c r="H1169" cm="1">
        <f t="array" ref="H1169">Food_Orders[[#This Row],[Quantity_Orderd]]*_xlfn.XLOOKUP(Food_Orders[[#This Row],[Food_ID]],Food_Catalog[[#All],[Food_ID]],Food_Catalog[[#All],[Client_Price_Per_Unit]],0,0)</f>
        <v>3600</v>
      </c>
      <c r="I1169">
        <f>Food_Orders[[#This Row],[Client_Price]]-Food_Orders[[#This Row],[Cost]]</f>
        <v>600</v>
      </c>
    </row>
    <row r="1170" spans="1:9" x14ac:dyDescent="0.25">
      <c r="A1170">
        <v>51</v>
      </c>
      <c r="B1170" t="s">
        <v>98</v>
      </c>
      <c r="C1170" t="s">
        <v>83</v>
      </c>
      <c r="D1170" t="s">
        <v>99</v>
      </c>
      <c r="E1170" t="s">
        <v>85</v>
      </c>
      <c r="F1170" cm="1">
        <f t="array" ref="F1170">_xlfn.XLOOKUP(Food_Orders[[#This Row],[Event_No]],Event_Master[[#All],[Event_No]],Event_Master[[#All],[Guest_Count]],,0)</f>
        <v>200</v>
      </c>
      <c r="G1170" cm="1">
        <f t="array" ref="G1170">Food_Orders[[#This Row],[Quantity_Orderd]]*_xlfn.XLOOKUP(Food_Orders[[#This Row],[Food_ID]],Food_Catalog[[#All],[Food_ID]],Food_Catalog[[#All],[Price_Per_Unit]],0,0)</f>
        <v>3000</v>
      </c>
      <c r="H1170" cm="1">
        <f t="array" ref="H1170">Food_Orders[[#This Row],[Quantity_Orderd]]*_xlfn.XLOOKUP(Food_Orders[[#This Row],[Food_ID]],Food_Catalog[[#All],[Food_ID]],Food_Catalog[[#All],[Client_Price_Per_Unit]],0,0)</f>
        <v>3600</v>
      </c>
      <c r="I1170">
        <f>Food_Orders[[#This Row],[Client_Price]]-Food_Orders[[#This Row],[Cost]]</f>
        <v>600</v>
      </c>
    </row>
    <row r="1171" spans="1:9" x14ac:dyDescent="0.25">
      <c r="A1171">
        <v>51</v>
      </c>
      <c r="B1171" t="s">
        <v>104</v>
      </c>
      <c r="C1171" t="s">
        <v>105</v>
      </c>
      <c r="D1171" t="s">
        <v>106</v>
      </c>
      <c r="E1171" t="s">
        <v>107</v>
      </c>
      <c r="F1171" cm="1">
        <f t="array" ref="F1171">_xlfn.XLOOKUP(Food_Orders[[#This Row],[Event_No]],Event_Master[[#All],[Event_No]],Event_Master[[#All],[Guest_Count]],,0)</f>
        <v>200</v>
      </c>
      <c r="G1171" cm="1">
        <f t="array" ref="G1171">Food_Orders[[#This Row],[Quantity_Orderd]]*_xlfn.XLOOKUP(Food_Orders[[#This Row],[Food_ID]],Food_Catalog[[#All],[Food_ID]],Food_Catalog[[#All],[Price_Per_Unit]],0,0)</f>
        <v>2000</v>
      </c>
      <c r="H1171" cm="1">
        <f t="array" ref="H1171">Food_Orders[[#This Row],[Quantity_Orderd]]*_xlfn.XLOOKUP(Food_Orders[[#This Row],[Food_ID]],Food_Catalog[[#All],[Food_ID]],Food_Catalog[[#All],[Client_Price_Per_Unit]],0,0)</f>
        <v>2400</v>
      </c>
      <c r="I1171">
        <f>Food_Orders[[#This Row],[Client_Price]]-Food_Orders[[#This Row],[Cost]]</f>
        <v>400</v>
      </c>
    </row>
    <row r="1172" spans="1:9" x14ac:dyDescent="0.25">
      <c r="A1172">
        <v>51</v>
      </c>
      <c r="B1172" t="s">
        <v>108</v>
      </c>
      <c r="C1172" t="s">
        <v>105</v>
      </c>
      <c r="D1172" t="s">
        <v>109</v>
      </c>
      <c r="E1172" t="s">
        <v>107</v>
      </c>
      <c r="F1172" cm="1">
        <f t="array" ref="F1172">_xlfn.XLOOKUP(Food_Orders[[#This Row],[Event_No]],Event_Master[[#All],[Event_No]],Event_Master[[#All],[Guest_Count]],,0)</f>
        <v>200</v>
      </c>
      <c r="G1172" cm="1">
        <f t="array" ref="G1172">Food_Orders[[#This Row],[Quantity_Orderd]]*_xlfn.XLOOKUP(Food_Orders[[#This Row],[Food_ID]],Food_Catalog[[#All],[Food_ID]],Food_Catalog[[#All],[Price_Per_Unit]],0,0)</f>
        <v>3000</v>
      </c>
      <c r="H1172" cm="1">
        <f t="array" ref="H1172">Food_Orders[[#This Row],[Quantity_Orderd]]*_xlfn.XLOOKUP(Food_Orders[[#This Row],[Food_ID]],Food_Catalog[[#All],[Food_ID]],Food_Catalog[[#All],[Client_Price_Per_Unit]],0,0)</f>
        <v>3600</v>
      </c>
      <c r="I1172">
        <f>Food_Orders[[#This Row],[Client_Price]]-Food_Orders[[#This Row],[Cost]]</f>
        <v>600</v>
      </c>
    </row>
    <row r="1173" spans="1:9" x14ac:dyDescent="0.25">
      <c r="A1173">
        <v>51</v>
      </c>
      <c r="B1173" t="s">
        <v>118</v>
      </c>
      <c r="C1173" t="s">
        <v>119</v>
      </c>
      <c r="D1173" t="s">
        <v>120</v>
      </c>
      <c r="E1173" t="s">
        <v>112</v>
      </c>
      <c r="F1173" cm="1">
        <f t="array" ref="F1173">_xlfn.XLOOKUP(Food_Orders[[#This Row],[Event_No]],Event_Master[[#All],[Event_No]],Event_Master[[#All],[Guest_Count]],,0)</f>
        <v>200</v>
      </c>
      <c r="G1173" cm="1">
        <f t="array" ref="G1173">Food_Orders[[#This Row],[Quantity_Orderd]]*_xlfn.XLOOKUP(Food_Orders[[#This Row],[Food_ID]],Food_Catalog[[#All],[Food_ID]],Food_Catalog[[#All],[Price_Per_Unit]],0,0)</f>
        <v>2000</v>
      </c>
      <c r="H1173" cm="1">
        <f t="array" ref="H1173">Food_Orders[[#This Row],[Quantity_Orderd]]*_xlfn.XLOOKUP(Food_Orders[[#This Row],[Food_ID]],Food_Catalog[[#All],[Food_ID]],Food_Catalog[[#All],[Client_Price_Per_Unit]],0,0)</f>
        <v>2400</v>
      </c>
      <c r="I1173">
        <f>Food_Orders[[#This Row],[Client_Price]]-Food_Orders[[#This Row],[Cost]]</f>
        <v>400</v>
      </c>
    </row>
    <row r="1174" spans="1:9" x14ac:dyDescent="0.25">
      <c r="A1174">
        <v>51</v>
      </c>
      <c r="B1174" t="s">
        <v>129</v>
      </c>
      <c r="C1174" t="s">
        <v>119</v>
      </c>
      <c r="D1174" t="s">
        <v>130</v>
      </c>
      <c r="E1174" t="s">
        <v>112</v>
      </c>
      <c r="F1174" cm="1">
        <f t="array" ref="F1174">_xlfn.XLOOKUP(Food_Orders[[#This Row],[Event_No]],Event_Master[[#All],[Event_No]],Event_Master[[#All],[Guest_Count]],,0)</f>
        <v>200</v>
      </c>
      <c r="G1174" cm="1">
        <f t="array" ref="G1174">Food_Orders[[#This Row],[Quantity_Orderd]]*_xlfn.XLOOKUP(Food_Orders[[#This Row],[Food_ID]],Food_Catalog[[#All],[Food_ID]],Food_Catalog[[#All],[Price_Per_Unit]],0,0)</f>
        <v>2000</v>
      </c>
      <c r="H1174" cm="1">
        <f t="array" ref="H1174">Food_Orders[[#This Row],[Quantity_Orderd]]*_xlfn.XLOOKUP(Food_Orders[[#This Row],[Food_ID]],Food_Catalog[[#All],[Food_ID]],Food_Catalog[[#All],[Client_Price_Per_Unit]],0,0)</f>
        <v>2400</v>
      </c>
      <c r="I1174">
        <f>Food_Orders[[#This Row],[Client_Price]]-Food_Orders[[#This Row],[Cost]]</f>
        <v>400</v>
      </c>
    </row>
    <row r="1175" spans="1:9" x14ac:dyDescent="0.25">
      <c r="A1175">
        <v>51</v>
      </c>
      <c r="B1175" t="s">
        <v>124</v>
      </c>
      <c r="C1175" t="s">
        <v>119</v>
      </c>
      <c r="D1175" t="s">
        <v>125</v>
      </c>
      <c r="E1175" t="s">
        <v>126</v>
      </c>
      <c r="F1175" cm="1">
        <f t="array" ref="F1175">_xlfn.XLOOKUP(Food_Orders[[#This Row],[Event_No]],Event_Master[[#All],[Event_No]],Event_Master[[#All],[Guest_Count]],,0)</f>
        <v>200</v>
      </c>
      <c r="G1175" cm="1">
        <f t="array" ref="G1175">Food_Orders[[#This Row],[Quantity_Orderd]]*_xlfn.XLOOKUP(Food_Orders[[#This Row],[Food_ID]],Food_Catalog[[#All],[Food_ID]],Food_Catalog[[#All],[Price_Per_Unit]],0,0)</f>
        <v>4000</v>
      </c>
      <c r="H1175" cm="1">
        <f t="array" ref="H1175">Food_Orders[[#This Row],[Quantity_Orderd]]*_xlfn.XLOOKUP(Food_Orders[[#This Row],[Food_ID]],Food_Catalog[[#All],[Food_ID]],Food_Catalog[[#All],[Client_Price_Per_Unit]],0,0)</f>
        <v>4800</v>
      </c>
      <c r="I1175">
        <f>Food_Orders[[#This Row],[Client_Price]]-Food_Orders[[#This Row],[Cost]]</f>
        <v>800</v>
      </c>
    </row>
    <row r="1176" spans="1:9" x14ac:dyDescent="0.25">
      <c r="A1176">
        <v>51</v>
      </c>
      <c r="B1176" t="s">
        <v>127</v>
      </c>
      <c r="C1176" t="s">
        <v>119</v>
      </c>
      <c r="D1176" t="s">
        <v>128</v>
      </c>
      <c r="E1176" t="s">
        <v>107</v>
      </c>
      <c r="F1176" cm="1">
        <f t="array" ref="F1176">_xlfn.XLOOKUP(Food_Orders[[#This Row],[Event_No]],Event_Master[[#All],[Event_No]],Event_Master[[#All],[Guest_Count]],,0)</f>
        <v>200</v>
      </c>
      <c r="G1176" cm="1">
        <f t="array" ref="G1176">Food_Orders[[#This Row],[Quantity_Orderd]]*_xlfn.XLOOKUP(Food_Orders[[#This Row],[Food_ID]],Food_Catalog[[#All],[Food_ID]],Food_Catalog[[#All],[Price_Per_Unit]],0,0)</f>
        <v>4000</v>
      </c>
      <c r="H1176" cm="1">
        <f t="array" ref="H1176">Food_Orders[[#This Row],[Quantity_Orderd]]*_xlfn.XLOOKUP(Food_Orders[[#This Row],[Food_ID]],Food_Catalog[[#All],[Food_ID]],Food_Catalog[[#All],[Client_Price_Per_Unit]],0,0)</f>
        <v>4800</v>
      </c>
      <c r="I1176">
        <f>Food_Orders[[#This Row],[Client_Price]]-Food_Orders[[#This Row],[Cost]]</f>
        <v>800</v>
      </c>
    </row>
    <row r="1177" spans="1:9" x14ac:dyDescent="0.25">
      <c r="A1177">
        <v>52</v>
      </c>
      <c r="B1177" t="s">
        <v>60</v>
      </c>
      <c r="C1177" t="s">
        <v>61</v>
      </c>
      <c r="D1177" t="s">
        <v>62</v>
      </c>
      <c r="E1177" t="s">
        <v>10</v>
      </c>
      <c r="F1177" cm="1">
        <f t="array" ref="F1177">_xlfn.XLOOKUP(Food_Orders[[#This Row],[Event_No]],Event_Master[[#All],[Event_No]],Event_Master[[#All],[Guest_Count]],,0)</f>
        <v>460</v>
      </c>
      <c r="G1177" cm="1">
        <f t="array" ref="G1177">Food_Orders[[#This Row],[Quantity_Orderd]]*_xlfn.XLOOKUP(Food_Orders[[#This Row],[Food_ID]],Food_Catalog[[#All],[Food_ID]],Food_Catalog[[#All],[Price_Per_Unit]],0,0)</f>
        <v>9200</v>
      </c>
      <c r="H1177" cm="1">
        <f t="array" ref="H1177">Food_Orders[[#This Row],[Quantity_Orderd]]*_xlfn.XLOOKUP(Food_Orders[[#This Row],[Food_ID]],Food_Catalog[[#All],[Food_ID]],Food_Catalog[[#All],[Client_Price_Per_Unit]],0,0)</f>
        <v>11040</v>
      </c>
      <c r="I1177">
        <f>Food_Orders[[#This Row],[Client_Price]]-Food_Orders[[#This Row],[Cost]]</f>
        <v>1840</v>
      </c>
    </row>
    <row r="1178" spans="1:9" x14ac:dyDescent="0.25">
      <c r="A1178">
        <v>52</v>
      </c>
      <c r="B1178" t="s">
        <v>71</v>
      </c>
      <c r="C1178" t="s">
        <v>61</v>
      </c>
      <c r="D1178" t="s">
        <v>72</v>
      </c>
      <c r="E1178" t="s">
        <v>10</v>
      </c>
      <c r="F1178" cm="1">
        <f t="array" ref="F1178">_xlfn.XLOOKUP(Food_Orders[[#This Row],[Event_No]],Event_Master[[#All],[Event_No]],Event_Master[[#All],[Guest_Count]],,0)</f>
        <v>460</v>
      </c>
      <c r="G1178" cm="1">
        <f t="array" ref="G1178">Food_Orders[[#This Row],[Quantity_Orderd]]*_xlfn.XLOOKUP(Food_Orders[[#This Row],[Food_ID]],Food_Catalog[[#All],[Food_ID]],Food_Catalog[[#All],[Price_Per_Unit]],0,0)</f>
        <v>11500</v>
      </c>
      <c r="H1178" cm="1">
        <f t="array" ref="H1178">Food_Orders[[#This Row],[Quantity_Orderd]]*_xlfn.XLOOKUP(Food_Orders[[#This Row],[Food_ID]],Food_Catalog[[#All],[Food_ID]],Food_Catalog[[#All],[Client_Price_Per_Unit]],0,0)</f>
        <v>13800</v>
      </c>
      <c r="I1178">
        <f>Food_Orders[[#This Row],[Client_Price]]-Food_Orders[[#This Row],[Cost]]</f>
        <v>2300</v>
      </c>
    </row>
    <row r="1179" spans="1:9" x14ac:dyDescent="0.25">
      <c r="A1179">
        <v>52</v>
      </c>
      <c r="B1179" t="s">
        <v>80</v>
      </c>
      <c r="C1179" t="s">
        <v>61</v>
      </c>
      <c r="D1179" t="s">
        <v>81</v>
      </c>
      <c r="E1179" t="s">
        <v>10</v>
      </c>
      <c r="F1179" cm="1">
        <f t="array" ref="F1179">_xlfn.XLOOKUP(Food_Orders[[#This Row],[Event_No]],Event_Master[[#All],[Event_No]],Event_Master[[#All],[Guest_Count]],,0)</f>
        <v>460</v>
      </c>
      <c r="G1179" cm="1">
        <f t="array" ref="G1179">Food_Orders[[#This Row],[Quantity_Orderd]]*_xlfn.XLOOKUP(Food_Orders[[#This Row],[Food_ID]],Food_Catalog[[#All],[Food_ID]],Food_Catalog[[#All],[Price_Per_Unit]],0,0)</f>
        <v>13800</v>
      </c>
      <c r="H1179" cm="1">
        <f t="array" ref="H1179">Food_Orders[[#This Row],[Quantity_Orderd]]*_xlfn.XLOOKUP(Food_Orders[[#This Row],[Food_ID]],Food_Catalog[[#All],[Food_ID]],Food_Catalog[[#All],[Client_Price_Per_Unit]],0,0)</f>
        <v>16560</v>
      </c>
      <c r="I1179">
        <f>Food_Orders[[#This Row],[Client_Price]]-Food_Orders[[#This Row],[Cost]]</f>
        <v>2760</v>
      </c>
    </row>
    <row r="1180" spans="1:9" x14ac:dyDescent="0.25">
      <c r="A1180">
        <v>52</v>
      </c>
      <c r="B1180" t="s">
        <v>73</v>
      </c>
      <c r="C1180" t="s">
        <v>61</v>
      </c>
      <c r="D1180" t="s">
        <v>74</v>
      </c>
      <c r="E1180" t="s">
        <v>10</v>
      </c>
      <c r="F1180" cm="1">
        <f t="array" ref="F1180">_xlfn.XLOOKUP(Food_Orders[[#This Row],[Event_No]],Event_Master[[#All],[Event_No]],Event_Master[[#All],[Guest_Count]],,0)</f>
        <v>460</v>
      </c>
      <c r="G1180" cm="1">
        <f t="array" ref="G1180">Food_Orders[[#This Row],[Quantity_Orderd]]*_xlfn.XLOOKUP(Food_Orders[[#This Row],[Food_ID]],Food_Catalog[[#All],[Food_ID]],Food_Catalog[[#All],[Price_Per_Unit]],0,0)</f>
        <v>18400</v>
      </c>
      <c r="H1180" cm="1">
        <f t="array" ref="H1180">Food_Orders[[#This Row],[Quantity_Orderd]]*_xlfn.XLOOKUP(Food_Orders[[#This Row],[Food_ID]],Food_Catalog[[#All],[Food_ID]],Food_Catalog[[#All],[Client_Price_Per_Unit]],0,0)</f>
        <v>22080</v>
      </c>
      <c r="I1180">
        <f>Food_Orders[[#This Row],[Client_Price]]-Food_Orders[[#This Row],[Cost]]</f>
        <v>3680</v>
      </c>
    </row>
    <row r="1181" spans="1:9" x14ac:dyDescent="0.25">
      <c r="A1181">
        <v>52</v>
      </c>
      <c r="B1181" t="s">
        <v>69</v>
      </c>
      <c r="C1181" t="s">
        <v>61</v>
      </c>
      <c r="D1181" t="s">
        <v>70</v>
      </c>
      <c r="E1181" t="s">
        <v>10</v>
      </c>
      <c r="F1181" cm="1">
        <f t="array" ref="F1181">_xlfn.XLOOKUP(Food_Orders[[#This Row],[Event_No]],Event_Master[[#All],[Event_No]],Event_Master[[#All],[Guest_Count]],,0)</f>
        <v>460</v>
      </c>
      <c r="G1181" cm="1">
        <f t="array" ref="G1181">Food_Orders[[#This Row],[Quantity_Orderd]]*_xlfn.XLOOKUP(Food_Orders[[#This Row],[Food_ID]],Food_Catalog[[#All],[Food_ID]],Food_Catalog[[#All],[Price_Per_Unit]],0,0)</f>
        <v>23000</v>
      </c>
      <c r="H1181" cm="1">
        <f t="array" ref="H1181">Food_Orders[[#This Row],[Quantity_Orderd]]*_xlfn.XLOOKUP(Food_Orders[[#This Row],[Food_ID]],Food_Catalog[[#All],[Food_ID]],Food_Catalog[[#All],[Client_Price_Per_Unit]],0,0)</f>
        <v>27600</v>
      </c>
      <c r="I1181">
        <f>Food_Orders[[#This Row],[Client_Price]]-Food_Orders[[#This Row],[Cost]]</f>
        <v>4600</v>
      </c>
    </row>
    <row r="1182" spans="1:9" x14ac:dyDescent="0.25">
      <c r="A1182">
        <v>52</v>
      </c>
      <c r="B1182" t="s">
        <v>67</v>
      </c>
      <c r="C1182" t="s">
        <v>61</v>
      </c>
      <c r="D1182" t="s">
        <v>68</v>
      </c>
      <c r="E1182" t="s">
        <v>10</v>
      </c>
      <c r="F1182" cm="1">
        <f t="array" ref="F1182">_xlfn.XLOOKUP(Food_Orders[[#This Row],[Event_No]],Event_Master[[#All],[Event_No]],Event_Master[[#All],[Guest_Count]],,0)</f>
        <v>460</v>
      </c>
      <c r="G1182" cm="1">
        <f t="array" ref="G1182">Food_Orders[[#This Row],[Quantity_Orderd]]*_xlfn.XLOOKUP(Food_Orders[[#This Row],[Food_ID]],Food_Catalog[[#All],[Food_ID]],Food_Catalog[[#All],[Price_Per_Unit]],0,0)</f>
        <v>13800</v>
      </c>
      <c r="H1182" cm="1">
        <f t="array" ref="H1182">Food_Orders[[#This Row],[Quantity_Orderd]]*_xlfn.XLOOKUP(Food_Orders[[#This Row],[Food_ID]],Food_Catalog[[#All],[Food_ID]],Food_Catalog[[#All],[Client_Price_Per_Unit]],0,0)</f>
        <v>16560</v>
      </c>
      <c r="I1182">
        <f>Food_Orders[[#This Row],[Client_Price]]-Food_Orders[[#This Row],[Cost]]</f>
        <v>2760</v>
      </c>
    </row>
    <row r="1183" spans="1:9" x14ac:dyDescent="0.25">
      <c r="A1183">
        <v>52</v>
      </c>
      <c r="B1183" t="s">
        <v>77</v>
      </c>
      <c r="C1183" t="s">
        <v>61</v>
      </c>
      <c r="D1183" t="s">
        <v>78</v>
      </c>
      <c r="E1183" t="s">
        <v>79</v>
      </c>
      <c r="F1183" cm="1">
        <f t="array" ref="F1183">_xlfn.XLOOKUP(Food_Orders[[#This Row],[Event_No]],Event_Master[[#All],[Event_No]],Event_Master[[#All],[Guest_Count]],,0)</f>
        <v>460</v>
      </c>
      <c r="G1183" cm="1">
        <f t="array" ref="G1183">Food_Orders[[#This Row],[Quantity_Orderd]]*_xlfn.XLOOKUP(Food_Orders[[#This Row],[Food_ID]],Food_Catalog[[#All],[Food_ID]],Food_Catalog[[#All],[Price_Per_Unit]],0,0)</f>
        <v>16100</v>
      </c>
      <c r="H1183" cm="1">
        <f t="array" ref="H1183">Food_Orders[[#This Row],[Quantity_Orderd]]*_xlfn.XLOOKUP(Food_Orders[[#This Row],[Food_ID]],Food_Catalog[[#All],[Food_ID]],Food_Catalog[[#All],[Client_Price_Per_Unit]],0,0)</f>
        <v>19320</v>
      </c>
      <c r="I1183">
        <f>Food_Orders[[#This Row],[Client_Price]]-Food_Orders[[#This Row],[Cost]]</f>
        <v>3220</v>
      </c>
    </row>
    <row r="1184" spans="1:9" x14ac:dyDescent="0.25">
      <c r="A1184">
        <v>52</v>
      </c>
      <c r="B1184" t="s">
        <v>7</v>
      </c>
      <c r="C1184" t="s">
        <v>8</v>
      </c>
      <c r="D1184" t="s">
        <v>9</v>
      </c>
      <c r="E1184" t="s">
        <v>10</v>
      </c>
      <c r="F1184" cm="1">
        <f t="array" ref="F1184">_xlfn.XLOOKUP(Food_Orders[[#This Row],[Event_No]],Event_Master[[#All],[Event_No]],Event_Master[[#All],[Guest_Count]],,0)</f>
        <v>460</v>
      </c>
      <c r="G1184" cm="1">
        <f t="array" ref="G1184">Food_Orders[[#This Row],[Quantity_Orderd]]*_xlfn.XLOOKUP(Food_Orders[[#This Row],[Food_ID]],Food_Catalog[[#All],[Food_ID]],Food_Catalog[[#All],[Price_Per_Unit]],0,0)</f>
        <v>11500</v>
      </c>
      <c r="H1184" cm="1">
        <f t="array" ref="H1184">Food_Orders[[#This Row],[Quantity_Orderd]]*_xlfn.XLOOKUP(Food_Orders[[#This Row],[Food_ID]],Food_Catalog[[#All],[Food_ID]],Food_Catalog[[#All],[Client_Price_Per_Unit]],0,0)</f>
        <v>13800</v>
      </c>
      <c r="I1184">
        <f>Food_Orders[[#This Row],[Client_Price]]-Food_Orders[[#This Row],[Cost]]</f>
        <v>2300</v>
      </c>
    </row>
    <row r="1185" spans="1:9" x14ac:dyDescent="0.25">
      <c r="A1185">
        <v>52</v>
      </c>
      <c r="B1185" t="s">
        <v>13</v>
      </c>
      <c r="C1185" t="s">
        <v>8</v>
      </c>
      <c r="D1185" t="s">
        <v>14</v>
      </c>
      <c r="E1185" t="s">
        <v>10</v>
      </c>
      <c r="F1185" cm="1">
        <f t="array" ref="F1185">_xlfn.XLOOKUP(Food_Orders[[#This Row],[Event_No]],Event_Master[[#All],[Event_No]],Event_Master[[#All],[Guest_Count]],,0)</f>
        <v>460</v>
      </c>
      <c r="G1185" cm="1">
        <f t="array" ref="G1185">Food_Orders[[#This Row],[Quantity_Orderd]]*_xlfn.XLOOKUP(Food_Orders[[#This Row],[Food_ID]],Food_Catalog[[#All],[Food_ID]],Food_Catalog[[#All],[Price_Per_Unit]],0,0)</f>
        <v>16100</v>
      </c>
      <c r="H1185" cm="1">
        <f t="array" ref="H1185">Food_Orders[[#This Row],[Quantity_Orderd]]*_xlfn.XLOOKUP(Food_Orders[[#This Row],[Food_ID]],Food_Catalog[[#All],[Food_ID]],Food_Catalog[[#All],[Client_Price_Per_Unit]],0,0)</f>
        <v>19320</v>
      </c>
      <c r="I1185">
        <f>Food_Orders[[#This Row],[Client_Price]]-Food_Orders[[#This Row],[Cost]]</f>
        <v>3220</v>
      </c>
    </row>
    <row r="1186" spans="1:9" x14ac:dyDescent="0.25">
      <c r="A1186">
        <v>52</v>
      </c>
      <c r="B1186" t="s">
        <v>25</v>
      </c>
      <c r="C1186" t="s">
        <v>8</v>
      </c>
      <c r="D1186" t="s">
        <v>26</v>
      </c>
      <c r="E1186" t="s">
        <v>10</v>
      </c>
      <c r="F1186" cm="1">
        <f t="array" ref="F1186">_xlfn.XLOOKUP(Food_Orders[[#This Row],[Event_No]],Event_Master[[#All],[Event_No]],Event_Master[[#All],[Guest_Count]],,0)</f>
        <v>460</v>
      </c>
      <c r="G1186" cm="1">
        <f t="array" ref="G1186">Food_Orders[[#This Row],[Quantity_Orderd]]*_xlfn.XLOOKUP(Food_Orders[[#This Row],[Food_ID]],Food_Catalog[[#All],[Food_ID]],Food_Catalog[[#All],[Price_Per_Unit]],0,0)</f>
        <v>13800</v>
      </c>
      <c r="H1186" cm="1">
        <f t="array" ref="H1186">Food_Orders[[#This Row],[Quantity_Orderd]]*_xlfn.XLOOKUP(Food_Orders[[#This Row],[Food_ID]],Food_Catalog[[#All],[Food_ID]],Food_Catalog[[#All],[Client_Price_Per_Unit]],0,0)</f>
        <v>16560</v>
      </c>
      <c r="I1186">
        <f>Food_Orders[[#This Row],[Client_Price]]-Food_Orders[[#This Row],[Cost]]</f>
        <v>2760</v>
      </c>
    </row>
    <row r="1187" spans="1:9" x14ac:dyDescent="0.25">
      <c r="A1187">
        <v>52</v>
      </c>
      <c r="B1187" t="s">
        <v>15</v>
      </c>
      <c r="C1187" t="s">
        <v>8</v>
      </c>
      <c r="D1187" t="s">
        <v>16</v>
      </c>
      <c r="E1187" t="s">
        <v>10</v>
      </c>
      <c r="F1187" cm="1">
        <f t="array" ref="F1187">_xlfn.XLOOKUP(Food_Orders[[#This Row],[Event_No]],Event_Master[[#All],[Event_No]],Event_Master[[#All],[Guest_Count]],,0)</f>
        <v>460</v>
      </c>
      <c r="G1187" cm="1">
        <f t="array" ref="G1187">Food_Orders[[#This Row],[Quantity_Orderd]]*_xlfn.XLOOKUP(Food_Orders[[#This Row],[Food_ID]],Food_Catalog[[#All],[Food_ID]],Food_Catalog[[#All],[Price_Per_Unit]],0,0)</f>
        <v>13800</v>
      </c>
      <c r="H1187" cm="1">
        <f t="array" ref="H1187">Food_Orders[[#This Row],[Quantity_Orderd]]*_xlfn.XLOOKUP(Food_Orders[[#This Row],[Food_ID]],Food_Catalog[[#All],[Food_ID]],Food_Catalog[[#All],[Client_Price_Per_Unit]],0,0)</f>
        <v>16560</v>
      </c>
      <c r="I1187">
        <f>Food_Orders[[#This Row],[Client_Price]]-Food_Orders[[#This Row],[Cost]]</f>
        <v>2760</v>
      </c>
    </row>
    <row r="1188" spans="1:9" x14ac:dyDescent="0.25">
      <c r="A1188">
        <v>52</v>
      </c>
      <c r="B1188" t="s">
        <v>35</v>
      </c>
      <c r="C1188" t="s">
        <v>8</v>
      </c>
      <c r="D1188" t="s">
        <v>36</v>
      </c>
      <c r="E1188" t="s">
        <v>10</v>
      </c>
      <c r="F1188" cm="1">
        <f t="array" ref="F1188">_xlfn.XLOOKUP(Food_Orders[[#This Row],[Event_No]],Event_Master[[#All],[Event_No]],Event_Master[[#All],[Guest_Count]],,0)</f>
        <v>460</v>
      </c>
      <c r="G1188" cm="1">
        <f t="array" ref="G1188">Food_Orders[[#This Row],[Quantity_Orderd]]*_xlfn.XLOOKUP(Food_Orders[[#This Row],[Food_ID]],Food_Catalog[[#All],[Food_ID]],Food_Catalog[[#All],[Price_Per_Unit]],0,0)</f>
        <v>13800</v>
      </c>
      <c r="H1188" cm="1">
        <f t="array" ref="H1188">Food_Orders[[#This Row],[Quantity_Orderd]]*_xlfn.XLOOKUP(Food_Orders[[#This Row],[Food_ID]],Food_Catalog[[#All],[Food_ID]],Food_Catalog[[#All],[Client_Price_Per_Unit]],0,0)</f>
        <v>16560</v>
      </c>
      <c r="I1188">
        <f>Food_Orders[[#This Row],[Client_Price]]-Food_Orders[[#This Row],[Cost]]</f>
        <v>2760</v>
      </c>
    </row>
    <row r="1189" spans="1:9" x14ac:dyDescent="0.25">
      <c r="A1189">
        <v>52</v>
      </c>
      <c r="B1189" t="s">
        <v>27</v>
      </c>
      <c r="C1189" t="s">
        <v>8</v>
      </c>
      <c r="D1189" t="s">
        <v>28</v>
      </c>
      <c r="E1189" t="s">
        <v>10</v>
      </c>
      <c r="F1189" cm="1">
        <f t="array" ref="F1189">_xlfn.XLOOKUP(Food_Orders[[#This Row],[Event_No]],Event_Master[[#All],[Event_No]],Event_Master[[#All],[Guest_Count]],,0)</f>
        <v>460</v>
      </c>
      <c r="G1189" cm="1">
        <f t="array" ref="G1189">Food_Orders[[#This Row],[Quantity_Orderd]]*_xlfn.XLOOKUP(Food_Orders[[#This Row],[Food_ID]],Food_Catalog[[#All],[Food_ID]],Food_Catalog[[#All],[Price_Per_Unit]],0,0)</f>
        <v>18400</v>
      </c>
      <c r="H1189" cm="1">
        <f t="array" ref="H1189">Food_Orders[[#This Row],[Quantity_Orderd]]*_xlfn.XLOOKUP(Food_Orders[[#This Row],[Food_ID]],Food_Catalog[[#All],[Food_ID]],Food_Catalog[[#All],[Client_Price_Per_Unit]],0,0)</f>
        <v>22080</v>
      </c>
      <c r="I1189">
        <f>Food_Orders[[#This Row],[Client_Price]]-Food_Orders[[#This Row],[Cost]]</f>
        <v>3680</v>
      </c>
    </row>
    <row r="1190" spans="1:9" x14ac:dyDescent="0.25">
      <c r="A1190">
        <v>52</v>
      </c>
      <c r="B1190" t="s">
        <v>17</v>
      </c>
      <c r="C1190" t="s">
        <v>8</v>
      </c>
      <c r="D1190" t="s">
        <v>18</v>
      </c>
      <c r="E1190" t="s">
        <v>10</v>
      </c>
      <c r="F1190" cm="1">
        <f t="array" ref="F1190">_xlfn.XLOOKUP(Food_Orders[[#This Row],[Event_No]],Event_Master[[#All],[Event_No]],Event_Master[[#All],[Guest_Count]],,0)</f>
        <v>460</v>
      </c>
      <c r="G1190" cm="1">
        <f t="array" ref="G1190">Food_Orders[[#This Row],[Quantity_Orderd]]*_xlfn.XLOOKUP(Food_Orders[[#This Row],[Food_ID]],Food_Catalog[[#All],[Food_ID]],Food_Catalog[[#All],[Price_Per_Unit]],0,0)</f>
        <v>18400</v>
      </c>
      <c r="H1190" cm="1">
        <f t="array" ref="H1190">Food_Orders[[#This Row],[Quantity_Orderd]]*_xlfn.XLOOKUP(Food_Orders[[#This Row],[Food_ID]],Food_Catalog[[#All],[Food_ID]],Food_Catalog[[#All],[Client_Price_Per_Unit]],0,0)</f>
        <v>22080</v>
      </c>
      <c r="I1190">
        <f>Food_Orders[[#This Row],[Client_Price]]-Food_Orders[[#This Row],[Cost]]</f>
        <v>3680</v>
      </c>
    </row>
    <row r="1191" spans="1:9" x14ac:dyDescent="0.25">
      <c r="A1191">
        <v>52</v>
      </c>
      <c r="B1191" t="s">
        <v>21</v>
      </c>
      <c r="C1191" t="s">
        <v>8</v>
      </c>
      <c r="D1191" t="s">
        <v>22</v>
      </c>
      <c r="E1191" t="s">
        <v>10</v>
      </c>
      <c r="F1191" cm="1">
        <f t="array" ref="F1191">_xlfn.XLOOKUP(Food_Orders[[#This Row],[Event_No]],Event_Master[[#All],[Event_No]],Event_Master[[#All],[Guest_Count]],,0)</f>
        <v>460</v>
      </c>
      <c r="G1191" cm="1">
        <f t="array" ref="G1191">Food_Orders[[#This Row],[Quantity_Orderd]]*_xlfn.XLOOKUP(Food_Orders[[#This Row],[Food_ID]],Food_Catalog[[#All],[Food_ID]],Food_Catalog[[#All],[Price_Per_Unit]],0,0)</f>
        <v>16100</v>
      </c>
      <c r="H1191" cm="1">
        <f t="array" ref="H1191">Food_Orders[[#This Row],[Quantity_Orderd]]*_xlfn.XLOOKUP(Food_Orders[[#This Row],[Food_ID]],Food_Catalog[[#All],[Food_ID]],Food_Catalog[[#All],[Client_Price_Per_Unit]],0,0)</f>
        <v>19320</v>
      </c>
      <c r="I1191">
        <f>Food_Orders[[#This Row],[Client_Price]]-Food_Orders[[#This Row],[Cost]]</f>
        <v>3220</v>
      </c>
    </row>
    <row r="1192" spans="1:9" x14ac:dyDescent="0.25">
      <c r="A1192">
        <v>52</v>
      </c>
      <c r="B1192" t="s">
        <v>19</v>
      </c>
      <c r="C1192" t="s">
        <v>8</v>
      </c>
      <c r="D1192" t="s">
        <v>20</v>
      </c>
      <c r="E1192" t="s">
        <v>10</v>
      </c>
      <c r="F1192" cm="1">
        <f t="array" ref="F1192">_xlfn.XLOOKUP(Food_Orders[[#This Row],[Event_No]],Event_Master[[#All],[Event_No]],Event_Master[[#All],[Guest_Count]],,0)</f>
        <v>460</v>
      </c>
      <c r="G1192" cm="1">
        <f t="array" ref="G1192">Food_Orders[[#This Row],[Quantity_Orderd]]*_xlfn.XLOOKUP(Food_Orders[[#This Row],[Food_ID]],Food_Catalog[[#All],[Food_ID]],Food_Catalog[[#All],[Price_Per_Unit]],0,0)</f>
        <v>16100</v>
      </c>
      <c r="H1192" cm="1">
        <f t="array" ref="H1192">Food_Orders[[#This Row],[Quantity_Orderd]]*_xlfn.XLOOKUP(Food_Orders[[#This Row],[Food_ID]],Food_Catalog[[#All],[Food_ID]],Food_Catalog[[#All],[Client_Price_Per_Unit]],0,0)</f>
        <v>19320</v>
      </c>
      <c r="I1192">
        <f>Food_Orders[[#This Row],[Client_Price]]-Food_Orders[[#This Row],[Cost]]</f>
        <v>3220</v>
      </c>
    </row>
    <row r="1193" spans="1:9" x14ac:dyDescent="0.25">
      <c r="A1193">
        <v>52</v>
      </c>
      <c r="B1193" t="s">
        <v>29</v>
      </c>
      <c r="C1193" t="s">
        <v>8</v>
      </c>
      <c r="D1193" t="s">
        <v>30</v>
      </c>
      <c r="E1193" t="s">
        <v>10</v>
      </c>
      <c r="F1193" cm="1">
        <f t="array" ref="F1193">_xlfn.XLOOKUP(Food_Orders[[#This Row],[Event_No]],Event_Master[[#All],[Event_No]],Event_Master[[#All],[Guest_Count]],,0)</f>
        <v>460</v>
      </c>
      <c r="G1193" cm="1">
        <f t="array" ref="G1193">Food_Orders[[#This Row],[Quantity_Orderd]]*_xlfn.XLOOKUP(Food_Orders[[#This Row],[Food_ID]],Food_Catalog[[#All],[Food_ID]],Food_Catalog[[#All],[Price_Per_Unit]],0,0)</f>
        <v>13800</v>
      </c>
      <c r="H1193" cm="1">
        <f t="array" ref="H1193">Food_Orders[[#This Row],[Quantity_Orderd]]*_xlfn.XLOOKUP(Food_Orders[[#This Row],[Food_ID]],Food_Catalog[[#All],[Food_ID]],Food_Catalog[[#All],[Client_Price_Per_Unit]],0,0)</f>
        <v>16560</v>
      </c>
      <c r="I1193">
        <f>Food_Orders[[#This Row],[Client_Price]]-Food_Orders[[#This Row],[Cost]]</f>
        <v>2760</v>
      </c>
    </row>
    <row r="1194" spans="1:9" x14ac:dyDescent="0.25">
      <c r="A1194">
        <v>52</v>
      </c>
      <c r="B1194" t="s">
        <v>42</v>
      </c>
      <c r="C1194" t="s">
        <v>40</v>
      </c>
      <c r="D1194" t="s">
        <v>43</v>
      </c>
      <c r="E1194" t="s">
        <v>10</v>
      </c>
      <c r="F1194" cm="1">
        <f t="array" ref="F1194">_xlfn.XLOOKUP(Food_Orders[[#This Row],[Event_No]],Event_Master[[#All],[Event_No]],Event_Master[[#All],[Guest_Count]],,0)</f>
        <v>460</v>
      </c>
      <c r="G1194" cm="1">
        <f t="array" ref="G1194">Food_Orders[[#This Row],[Quantity_Orderd]]*_xlfn.XLOOKUP(Food_Orders[[#This Row],[Food_ID]],Food_Catalog[[#All],[Food_ID]],Food_Catalog[[#All],[Price_Per_Unit]],0,0)</f>
        <v>32200</v>
      </c>
      <c r="H1194" cm="1">
        <f t="array" ref="H1194">Food_Orders[[#This Row],[Quantity_Orderd]]*_xlfn.XLOOKUP(Food_Orders[[#This Row],[Food_ID]],Food_Catalog[[#All],[Food_ID]],Food_Catalog[[#All],[Client_Price_Per_Unit]],0,0)</f>
        <v>38640</v>
      </c>
      <c r="I1194">
        <f>Food_Orders[[#This Row],[Client_Price]]-Food_Orders[[#This Row],[Cost]]</f>
        <v>6440</v>
      </c>
    </row>
    <row r="1195" spans="1:9" x14ac:dyDescent="0.25">
      <c r="A1195">
        <v>52</v>
      </c>
      <c r="B1195" t="s">
        <v>46</v>
      </c>
      <c r="C1195" t="s">
        <v>40</v>
      </c>
      <c r="D1195" t="s">
        <v>47</v>
      </c>
      <c r="E1195" t="s">
        <v>10</v>
      </c>
      <c r="F1195" cm="1">
        <f t="array" ref="F1195">_xlfn.XLOOKUP(Food_Orders[[#This Row],[Event_No]],Event_Master[[#All],[Event_No]],Event_Master[[#All],[Guest_Count]],,0)</f>
        <v>460</v>
      </c>
      <c r="G1195" cm="1">
        <f t="array" ref="G1195">Food_Orders[[#This Row],[Quantity_Orderd]]*_xlfn.XLOOKUP(Food_Orders[[#This Row],[Food_ID]],Food_Catalog[[#All],[Food_ID]],Food_Catalog[[#All],[Price_Per_Unit]],0,0)</f>
        <v>41400</v>
      </c>
      <c r="H1195" cm="1">
        <f t="array" ref="H1195">Food_Orders[[#This Row],[Quantity_Orderd]]*_xlfn.XLOOKUP(Food_Orders[[#This Row],[Food_ID]],Food_Catalog[[#All],[Food_ID]],Food_Catalog[[#All],[Client_Price_Per_Unit]],0,0)</f>
        <v>49680</v>
      </c>
      <c r="I1195">
        <f>Food_Orders[[#This Row],[Client_Price]]-Food_Orders[[#This Row],[Cost]]</f>
        <v>8280</v>
      </c>
    </row>
    <row r="1196" spans="1:9" x14ac:dyDescent="0.25">
      <c r="A1196">
        <v>52</v>
      </c>
      <c r="B1196" t="s">
        <v>48</v>
      </c>
      <c r="C1196" t="s">
        <v>40</v>
      </c>
      <c r="D1196" t="s">
        <v>49</v>
      </c>
      <c r="E1196" t="s">
        <v>10</v>
      </c>
      <c r="F1196" cm="1">
        <f t="array" ref="F1196">_xlfn.XLOOKUP(Food_Orders[[#This Row],[Event_No]],Event_Master[[#All],[Event_No]],Event_Master[[#All],[Guest_Count]],,0)</f>
        <v>460</v>
      </c>
      <c r="G1196" cm="1">
        <f t="array" ref="G1196">Food_Orders[[#This Row],[Quantity_Orderd]]*_xlfn.XLOOKUP(Food_Orders[[#This Row],[Food_ID]],Food_Catalog[[#All],[Food_ID]],Food_Catalog[[#All],[Price_Per_Unit]],0,0)</f>
        <v>46000</v>
      </c>
      <c r="H1196" cm="1">
        <f t="array" ref="H1196">Food_Orders[[#This Row],[Quantity_Orderd]]*_xlfn.XLOOKUP(Food_Orders[[#This Row],[Food_ID]],Food_Catalog[[#All],[Food_ID]],Food_Catalog[[#All],[Client_Price_Per_Unit]],0,0)</f>
        <v>55200</v>
      </c>
      <c r="I1196">
        <f>Food_Orders[[#This Row],[Client_Price]]-Food_Orders[[#This Row],[Cost]]</f>
        <v>9200</v>
      </c>
    </row>
    <row r="1197" spans="1:9" x14ac:dyDescent="0.25">
      <c r="A1197">
        <v>52</v>
      </c>
      <c r="B1197" t="s">
        <v>58</v>
      </c>
      <c r="C1197" t="s">
        <v>40</v>
      </c>
      <c r="D1197" t="s">
        <v>59</v>
      </c>
      <c r="E1197" t="s">
        <v>10</v>
      </c>
      <c r="F1197" cm="1">
        <f t="array" ref="F1197">_xlfn.XLOOKUP(Food_Orders[[#This Row],[Event_No]],Event_Master[[#All],[Event_No]],Event_Master[[#All],[Guest_Count]],,0)</f>
        <v>460</v>
      </c>
      <c r="G1197" cm="1">
        <f t="array" ref="G1197">Food_Orders[[#This Row],[Quantity_Orderd]]*_xlfn.XLOOKUP(Food_Orders[[#This Row],[Food_ID]],Food_Catalog[[#All],[Food_ID]],Food_Catalog[[#All],[Price_Per_Unit]],0,0)</f>
        <v>41400</v>
      </c>
      <c r="H1197" cm="1">
        <f t="array" ref="H1197">Food_Orders[[#This Row],[Quantity_Orderd]]*_xlfn.XLOOKUP(Food_Orders[[#This Row],[Food_ID]],Food_Catalog[[#All],[Food_ID]],Food_Catalog[[#All],[Client_Price_Per_Unit]],0,0)</f>
        <v>49680</v>
      </c>
      <c r="I1197">
        <f>Food_Orders[[#This Row],[Client_Price]]-Food_Orders[[#This Row],[Cost]]</f>
        <v>8280</v>
      </c>
    </row>
    <row r="1198" spans="1:9" x14ac:dyDescent="0.25">
      <c r="A1198">
        <v>52</v>
      </c>
      <c r="B1198" t="s">
        <v>86</v>
      </c>
      <c r="C1198" t="s">
        <v>83</v>
      </c>
      <c r="D1198" t="s">
        <v>87</v>
      </c>
      <c r="E1198" t="s">
        <v>85</v>
      </c>
      <c r="F1198" cm="1">
        <f t="array" ref="F1198">_xlfn.XLOOKUP(Food_Orders[[#This Row],[Event_No]],Event_Master[[#All],[Event_No]],Event_Master[[#All],[Guest_Count]],,0)</f>
        <v>460</v>
      </c>
      <c r="G1198" cm="1">
        <f t="array" ref="G1198">Food_Orders[[#This Row],[Quantity_Orderd]]*_xlfn.XLOOKUP(Food_Orders[[#This Row],[Food_ID]],Food_Catalog[[#All],[Food_ID]],Food_Catalog[[#All],[Price_Per_Unit]],0,0)</f>
        <v>9200</v>
      </c>
      <c r="H1198" cm="1">
        <f t="array" ref="H1198">Food_Orders[[#This Row],[Quantity_Orderd]]*_xlfn.XLOOKUP(Food_Orders[[#This Row],[Food_ID]],Food_Catalog[[#All],[Food_ID]],Food_Catalog[[#All],[Client_Price_Per_Unit]],0,0)</f>
        <v>11040</v>
      </c>
      <c r="I1198">
        <f>Food_Orders[[#This Row],[Client_Price]]-Food_Orders[[#This Row],[Cost]]</f>
        <v>1840</v>
      </c>
    </row>
    <row r="1199" spans="1:9" x14ac:dyDescent="0.25">
      <c r="A1199">
        <v>52</v>
      </c>
      <c r="B1199" t="s">
        <v>88</v>
      </c>
      <c r="C1199" t="s">
        <v>83</v>
      </c>
      <c r="D1199" t="s">
        <v>89</v>
      </c>
      <c r="E1199" t="s">
        <v>85</v>
      </c>
      <c r="F1199" cm="1">
        <f t="array" ref="F1199">_xlfn.XLOOKUP(Food_Orders[[#This Row],[Event_No]],Event_Master[[#All],[Event_No]],Event_Master[[#All],[Guest_Count]],,0)</f>
        <v>460</v>
      </c>
      <c r="G1199" cm="1">
        <f t="array" ref="G1199">Food_Orders[[#This Row],[Quantity_Orderd]]*_xlfn.XLOOKUP(Food_Orders[[#This Row],[Food_ID]],Food_Catalog[[#All],[Food_ID]],Food_Catalog[[#All],[Price_Per_Unit]],0,0)</f>
        <v>6900</v>
      </c>
      <c r="H1199" cm="1">
        <f t="array" ref="H1199">Food_Orders[[#This Row],[Quantity_Orderd]]*_xlfn.XLOOKUP(Food_Orders[[#This Row],[Food_ID]],Food_Catalog[[#All],[Food_ID]],Food_Catalog[[#All],[Client_Price_Per_Unit]],0,0)</f>
        <v>8280</v>
      </c>
      <c r="I1199">
        <f>Food_Orders[[#This Row],[Client_Price]]-Food_Orders[[#This Row],[Cost]]</f>
        <v>1380</v>
      </c>
    </row>
    <row r="1200" spans="1:9" x14ac:dyDescent="0.25">
      <c r="A1200">
        <v>52</v>
      </c>
      <c r="B1200" t="s">
        <v>100</v>
      </c>
      <c r="C1200" t="s">
        <v>83</v>
      </c>
      <c r="D1200" t="s">
        <v>101</v>
      </c>
      <c r="E1200" t="s">
        <v>79</v>
      </c>
      <c r="F1200" cm="1">
        <f t="array" ref="F1200">_xlfn.XLOOKUP(Food_Orders[[#This Row],[Event_No]],Event_Master[[#All],[Event_No]],Event_Master[[#All],[Guest_Count]],,0)</f>
        <v>460</v>
      </c>
      <c r="G1200" cm="1">
        <f t="array" ref="G1200">Food_Orders[[#This Row],[Quantity_Orderd]]*_xlfn.XLOOKUP(Food_Orders[[#This Row],[Food_ID]],Food_Catalog[[#All],[Food_ID]],Food_Catalog[[#All],[Price_Per_Unit]],0,0)</f>
        <v>16100</v>
      </c>
      <c r="H1200" cm="1">
        <f t="array" ref="H1200">Food_Orders[[#This Row],[Quantity_Orderd]]*_xlfn.XLOOKUP(Food_Orders[[#This Row],[Food_ID]],Food_Catalog[[#All],[Food_ID]],Food_Catalog[[#All],[Client_Price_Per_Unit]],0,0)</f>
        <v>19320</v>
      </c>
      <c r="I1200">
        <f>Food_Orders[[#This Row],[Client_Price]]-Food_Orders[[#This Row],[Cost]]</f>
        <v>3220</v>
      </c>
    </row>
    <row r="1201" spans="1:9" x14ac:dyDescent="0.25">
      <c r="A1201">
        <v>52</v>
      </c>
      <c r="B1201" t="s">
        <v>92</v>
      </c>
      <c r="C1201" t="s">
        <v>83</v>
      </c>
      <c r="D1201" t="s">
        <v>93</v>
      </c>
      <c r="E1201" t="s">
        <v>85</v>
      </c>
      <c r="F1201" cm="1">
        <f t="array" ref="F1201">_xlfn.XLOOKUP(Food_Orders[[#This Row],[Event_No]],Event_Master[[#All],[Event_No]],Event_Master[[#All],[Guest_Count]],,0)</f>
        <v>460</v>
      </c>
      <c r="G1201" cm="1">
        <f t="array" ref="G1201">Food_Orders[[#This Row],[Quantity_Orderd]]*_xlfn.XLOOKUP(Food_Orders[[#This Row],[Food_ID]],Food_Catalog[[#All],[Food_ID]],Food_Catalog[[#All],[Price_Per_Unit]],0,0)</f>
        <v>6900</v>
      </c>
      <c r="H1201" cm="1">
        <f t="array" ref="H1201">Food_Orders[[#This Row],[Quantity_Orderd]]*_xlfn.XLOOKUP(Food_Orders[[#This Row],[Food_ID]],Food_Catalog[[#All],[Food_ID]],Food_Catalog[[#All],[Client_Price_Per_Unit]],0,0)</f>
        <v>8280</v>
      </c>
      <c r="I1201">
        <f>Food_Orders[[#This Row],[Client_Price]]-Food_Orders[[#This Row],[Cost]]</f>
        <v>1380</v>
      </c>
    </row>
    <row r="1202" spans="1:9" x14ac:dyDescent="0.25">
      <c r="A1202">
        <v>52</v>
      </c>
      <c r="B1202" t="s">
        <v>102</v>
      </c>
      <c r="C1202" t="s">
        <v>83</v>
      </c>
      <c r="D1202" t="s">
        <v>103</v>
      </c>
      <c r="E1202" t="s">
        <v>85</v>
      </c>
      <c r="F1202" cm="1">
        <f t="array" ref="F1202">_xlfn.XLOOKUP(Food_Orders[[#This Row],[Event_No]],Event_Master[[#All],[Event_No]],Event_Master[[#All],[Guest_Count]],,0)</f>
        <v>460</v>
      </c>
      <c r="G1202" cm="1">
        <f t="array" ref="G1202">Food_Orders[[#This Row],[Quantity_Orderd]]*_xlfn.XLOOKUP(Food_Orders[[#This Row],[Food_ID]],Food_Catalog[[#All],[Food_ID]],Food_Catalog[[#All],[Price_Per_Unit]],0,0)</f>
        <v>9200</v>
      </c>
      <c r="H1202" cm="1">
        <f t="array" ref="H1202">Food_Orders[[#This Row],[Quantity_Orderd]]*_xlfn.XLOOKUP(Food_Orders[[#This Row],[Food_ID]],Food_Catalog[[#All],[Food_ID]],Food_Catalog[[#All],[Client_Price_Per_Unit]],0,0)</f>
        <v>11040</v>
      </c>
      <c r="I1202">
        <f>Food_Orders[[#This Row],[Client_Price]]-Food_Orders[[#This Row],[Cost]]</f>
        <v>1840</v>
      </c>
    </row>
    <row r="1203" spans="1:9" x14ac:dyDescent="0.25">
      <c r="A1203">
        <v>52</v>
      </c>
      <c r="B1203" t="s">
        <v>98</v>
      </c>
      <c r="C1203" t="s">
        <v>83</v>
      </c>
      <c r="D1203" t="s">
        <v>99</v>
      </c>
      <c r="E1203" t="s">
        <v>85</v>
      </c>
      <c r="F1203" cm="1">
        <f t="array" ref="F1203">_xlfn.XLOOKUP(Food_Orders[[#This Row],[Event_No]],Event_Master[[#All],[Event_No]],Event_Master[[#All],[Guest_Count]],,0)</f>
        <v>460</v>
      </c>
      <c r="G1203" cm="1">
        <f t="array" ref="G1203">Food_Orders[[#This Row],[Quantity_Orderd]]*_xlfn.XLOOKUP(Food_Orders[[#This Row],[Food_ID]],Food_Catalog[[#All],[Food_ID]],Food_Catalog[[#All],[Price_Per_Unit]],0,0)</f>
        <v>6900</v>
      </c>
      <c r="H1203" cm="1">
        <f t="array" ref="H1203">Food_Orders[[#This Row],[Quantity_Orderd]]*_xlfn.XLOOKUP(Food_Orders[[#This Row],[Food_ID]],Food_Catalog[[#All],[Food_ID]],Food_Catalog[[#All],[Client_Price_Per_Unit]],0,0)</f>
        <v>8280</v>
      </c>
      <c r="I1203">
        <f>Food_Orders[[#This Row],[Client_Price]]-Food_Orders[[#This Row],[Cost]]</f>
        <v>1380</v>
      </c>
    </row>
    <row r="1204" spans="1:9" x14ac:dyDescent="0.25">
      <c r="A1204">
        <v>52</v>
      </c>
      <c r="B1204" t="s">
        <v>104</v>
      </c>
      <c r="C1204" t="s">
        <v>105</v>
      </c>
      <c r="D1204" t="s">
        <v>106</v>
      </c>
      <c r="E1204" t="s">
        <v>107</v>
      </c>
      <c r="F1204" cm="1">
        <f t="array" ref="F1204">_xlfn.XLOOKUP(Food_Orders[[#This Row],[Event_No]],Event_Master[[#All],[Event_No]],Event_Master[[#All],[Guest_Count]],,0)</f>
        <v>460</v>
      </c>
      <c r="G1204" cm="1">
        <f t="array" ref="G1204">Food_Orders[[#This Row],[Quantity_Orderd]]*_xlfn.XLOOKUP(Food_Orders[[#This Row],[Food_ID]],Food_Catalog[[#All],[Food_ID]],Food_Catalog[[#All],[Price_Per_Unit]],0,0)</f>
        <v>4600</v>
      </c>
      <c r="H1204" cm="1">
        <f t="array" ref="H1204">Food_Orders[[#This Row],[Quantity_Orderd]]*_xlfn.XLOOKUP(Food_Orders[[#This Row],[Food_ID]],Food_Catalog[[#All],[Food_ID]],Food_Catalog[[#All],[Client_Price_Per_Unit]],0,0)</f>
        <v>5520</v>
      </c>
      <c r="I1204">
        <f>Food_Orders[[#This Row],[Client_Price]]-Food_Orders[[#This Row],[Cost]]</f>
        <v>920</v>
      </c>
    </row>
    <row r="1205" spans="1:9" x14ac:dyDescent="0.25">
      <c r="A1205">
        <v>52</v>
      </c>
      <c r="B1205" t="s">
        <v>115</v>
      </c>
      <c r="C1205" t="s">
        <v>105</v>
      </c>
      <c r="D1205" t="s">
        <v>116</v>
      </c>
      <c r="E1205" t="s">
        <v>117</v>
      </c>
      <c r="F1205" cm="1">
        <f t="array" ref="F1205">_xlfn.XLOOKUP(Food_Orders[[#This Row],[Event_No]],Event_Master[[#All],[Event_No]],Event_Master[[#All],[Guest_Count]],,0)</f>
        <v>460</v>
      </c>
      <c r="G1205" cm="1">
        <f t="array" ref="G1205">Food_Orders[[#This Row],[Quantity_Orderd]]*_xlfn.XLOOKUP(Food_Orders[[#This Row],[Food_ID]],Food_Catalog[[#All],[Food_ID]],Food_Catalog[[#All],[Price_Per_Unit]],0,0)</f>
        <v>11500</v>
      </c>
      <c r="H1205" cm="1">
        <f t="array" ref="H1205">Food_Orders[[#This Row],[Quantity_Orderd]]*_xlfn.XLOOKUP(Food_Orders[[#This Row],[Food_ID]],Food_Catalog[[#All],[Food_ID]],Food_Catalog[[#All],[Client_Price_Per_Unit]],0,0)</f>
        <v>13800</v>
      </c>
      <c r="I1205">
        <f>Food_Orders[[#This Row],[Client_Price]]-Food_Orders[[#This Row],[Cost]]</f>
        <v>2300</v>
      </c>
    </row>
    <row r="1206" spans="1:9" x14ac:dyDescent="0.25">
      <c r="A1206">
        <v>52</v>
      </c>
      <c r="B1206" t="s">
        <v>110</v>
      </c>
      <c r="C1206" t="s">
        <v>105</v>
      </c>
      <c r="D1206" t="s">
        <v>111</v>
      </c>
      <c r="E1206" t="s">
        <v>112</v>
      </c>
      <c r="F1206" cm="1">
        <f t="array" ref="F1206">_xlfn.XLOOKUP(Food_Orders[[#This Row],[Event_No]],Event_Master[[#All],[Event_No]],Event_Master[[#All],[Guest_Count]],,0)</f>
        <v>460</v>
      </c>
      <c r="G1206" cm="1">
        <f t="array" ref="G1206">Food_Orders[[#This Row],[Quantity_Orderd]]*_xlfn.XLOOKUP(Food_Orders[[#This Row],[Food_ID]],Food_Catalog[[#All],[Food_ID]],Food_Catalog[[#All],[Price_Per_Unit]],0,0)</f>
        <v>9200</v>
      </c>
      <c r="H1206" cm="1">
        <f t="array" ref="H1206">Food_Orders[[#This Row],[Quantity_Orderd]]*_xlfn.XLOOKUP(Food_Orders[[#This Row],[Food_ID]],Food_Catalog[[#All],[Food_ID]],Food_Catalog[[#All],[Client_Price_Per_Unit]],0,0)</f>
        <v>11040</v>
      </c>
      <c r="I1206">
        <f>Food_Orders[[#This Row],[Client_Price]]-Food_Orders[[#This Row],[Cost]]</f>
        <v>1840</v>
      </c>
    </row>
    <row r="1207" spans="1:9" x14ac:dyDescent="0.25">
      <c r="A1207">
        <v>52</v>
      </c>
      <c r="B1207" t="s">
        <v>118</v>
      </c>
      <c r="C1207" t="s">
        <v>119</v>
      </c>
      <c r="D1207" t="s">
        <v>120</v>
      </c>
      <c r="E1207" t="s">
        <v>112</v>
      </c>
      <c r="F1207" cm="1">
        <f t="array" ref="F1207">_xlfn.XLOOKUP(Food_Orders[[#This Row],[Event_No]],Event_Master[[#All],[Event_No]],Event_Master[[#All],[Guest_Count]],,0)</f>
        <v>460</v>
      </c>
      <c r="G1207" cm="1">
        <f t="array" ref="G1207">Food_Orders[[#This Row],[Quantity_Orderd]]*_xlfn.XLOOKUP(Food_Orders[[#This Row],[Food_ID]],Food_Catalog[[#All],[Food_ID]],Food_Catalog[[#All],[Price_Per_Unit]],0,0)</f>
        <v>4600</v>
      </c>
      <c r="H1207" cm="1">
        <f t="array" ref="H1207">Food_Orders[[#This Row],[Quantity_Orderd]]*_xlfn.XLOOKUP(Food_Orders[[#This Row],[Food_ID]],Food_Catalog[[#All],[Food_ID]],Food_Catalog[[#All],[Client_Price_Per_Unit]],0,0)</f>
        <v>5520</v>
      </c>
      <c r="I1207">
        <f>Food_Orders[[#This Row],[Client_Price]]-Food_Orders[[#This Row],[Cost]]</f>
        <v>920</v>
      </c>
    </row>
    <row r="1208" spans="1:9" x14ac:dyDescent="0.25">
      <c r="A1208">
        <v>52</v>
      </c>
      <c r="B1208" t="s">
        <v>127</v>
      </c>
      <c r="C1208" t="s">
        <v>119</v>
      </c>
      <c r="D1208" t="s">
        <v>128</v>
      </c>
      <c r="E1208" t="s">
        <v>107</v>
      </c>
      <c r="F1208" cm="1">
        <f t="array" ref="F1208">_xlfn.XLOOKUP(Food_Orders[[#This Row],[Event_No]],Event_Master[[#All],[Event_No]],Event_Master[[#All],[Guest_Count]],,0)</f>
        <v>460</v>
      </c>
      <c r="G1208" cm="1">
        <f t="array" ref="G1208">Food_Orders[[#This Row],[Quantity_Orderd]]*_xlfn.XLOOKUP(Food_Orders[[#This Row],[Food_ID]],Food_Catalog[[#All],[Food_ID]],Food_Catalog[[#All],[Price_Per_Unit]],0,0)</f>
        <v>9200</v>
      </c>
      <c r="H1208" cm="1">
        <f t="array" ref="H1208">Food_Orders[[#This Row],[Quantity_Orderd]]*_xlfn.XLOOKUP(Food_Orders[[#This Row],[Food_ID]],Food_Catalog[[#All],[Food_ID]],Food_Catalog[[#All],[Client_Price_Per_Unit]],0,0)</f>
        <v>11040</v>
      </c>
      <c r="I1208">
        <f>Food_Orders[[#This Row],[Client_Price]]-Food_Orders[[#This Row],[Cost]]</f>
        <v>1840</v>
      </c>
    </row>
    <row r="1209" spans="1:9" x14ac:dyDescent="0.25">
      <c r="A1209">
        <v>53</v>
      </c>
      <c r="B1209" t="s">
        <v>63</v>
      </c>
      <c r="C1209" t="s">
        <v>61</v>
      </c>
      <c r="D1209" t="s">
        <v>64</v>
      </c>
      <c r="E1209" t="s">
        <v>10</v>
      </c>
      <c r="F1209" cm="1">
        <f t="array" ref="F1209">_xlfn.XLOOKUP(Food_Orders[[#This Row],[Event_No]],Event_Master[[#All],[Event_No]],Event_Master[[#All],[Guest_Count]],,0)</f>
        <v>180</v>
      </c>
      <c r="G1209" cm="1">
        <f t="array" ref="G1209">Food_Orders[[#This Row],[Quantity_Orderd]]*_xlfn.XLOOKUP(Food_Orders[[#This Row],[Food_ID]],Food_Catalog[[#All],[Food_ID]],Food_Catalog[[#All],[Price_Per_Unit]],0,0)</f>
        <v>5400</v>
      </c>
      <c r="H1209" cm="1">
        <f t="array" ref="H1209">Food_Orders[[#This Row],[Quantity_Orderd]]*_xlfn.XLOOKUP(Food_Orders[[#This Row],[Food_ID]],Food_Catalog[[#All],[Food_ID]],Food_Catalog[[#All],[Client_Price_Per_Unit]],0,0)</f>
        <v>6480</v>
      </c>
      <c r="I1209">
        <f>Food_Orders[[#This Row],[Client_Price]]-Food_Orders[[#This Row],[Cost]]</f>
        <v>1080</v>
      </c>
    </row>
    <row r="1210" spans="1:9" x14ac:dyDescent="0.25">
      <c r="A1210">
        <v>53</v>
      </c>
      <c r="B1210" t="s">
        <v>71</v>
      </c>
      <c r="C1210" t="s">
        <v>61</v>
      </c>
      <c r="D1210" t="s">
        <v>72</v>
      </c>
      <c r="E1210" t="s">
        <v>10</v>
      </c>
      <c r="F1210" cm="1">
        <f t="array" ref="F1210">_xlfn.XLOOKUP(Food_Orders[[#This Row],[Event_No]],Event_Master[[#All],[Event_No]],Event_Master[[#All],[Guest_Count]],,0)</f>
        <v>180</v>
      </c>
      <c r="G1210" cm="1">
        <f t="array" ref="G1210">Food_Orders[[#This Row],[Quantity_Orderd]]*_xlfn.XLOOKUP(Food_Orders[[#This Row],[Food_ID]],Food_Catalog[[#All],[Food_ID]],Food_Catalog[[#All],[Price_Per_Unit]],0,0)</f>
        <v>4500</v>
      </c>
      <c r="H1210" cm="1">
        <f t="array" ref="H1210">Food_Orders[[#This Row],[Quantity_Orderd]]*_xlfn.XLOOKUP(Food_Orders[[#This Row],[Food_ID]],Food_Catalog[[#All],[Food_ID]],Food_Catalog[[#All],[Client_Price_Per_Unit]],0,0)</f>
        <v>5400</v>
      </c>
      <c r="I1210">
        <f>Food_Orders[[#This Row],[Client_Price]]-Food_Orders[[#This Row],[Cost]]</f>
        <v>900</v>
      </c>
    </row>
    <row r="1211" spans="1:9" x14ac:dyDescent="0.25">
      <c r="A1211">
        <v>53</v>
      </c>
      <c r="B1211" t="s">
        <v>60</v>
      </c>
      <c r="C1211" t="s">
        <v>61</v>
      </c>
      <c r="D1211" t="s">
        <v>62</v>
      </c>
      <c r="E1211" t="s">
        <v>10</v>
      </c>
      <c r="F1211" cm="1">
        <f t="array" ref="F1211">_xlfn.XLOOKUP(Food_Orders[[#This Row],[Event_No]],Event_Master[[#All],[Event_No]],Event_Master[[#All],[Guest_Count]],,0)</f>
        <v>180</v>
      </c>
      <c r="G1211" cm="1">
        <f t="array" ref="G1211">Food_Orders[[#This Row],[Quantity_Orderd]]*_xlfn.XLOOKUP(Food_Orders[[#This Row],[Food_ID]],Food_Catalog[[#All],[Food_ID]],Food_Catalog[[#All],[Price_Per_Unit]],0,0)</f>
        <v>3600</v>
      </c>
      <c r="H1211" cm="1">
        <f t="array" ref="H1211">Food_Orders[[#This Row],[Quantity_Orderd]]*_xlfn.XLOOKUP(Food_Orders[[#This Row],[Food_ID]],Food_Catalog[[#All],[Food_ID]],Food_Catalog[[#All],[Client_Price_Per_Unit]],0,0)</f>
        <v>4320</v>
      </c>
      <c r="I1211">
        <f>Food_Orders[[#This Row],[Client_Price]]-Food_Orders[[#This Row],[Cost]]</f>
        <v>720</v>
      </c>
    </row>
    <row r="1212" spans="1:9" x14ac:dyDescent="0.25">
      <c r="A1212">
        <v>53</v>
      </c>
      <c r="B1212" t="s">
        <v>77</v>
      </c>
      <c r="C1212" t="s">
        <v>61</v>
      </c>
      <c r="D1212" t="s">
        <v>78</v>
      </c>
      <c r="E1212" t="s">
        <v>79</v>
      </c>
      <c r="F1212" cm="1">
        <f t="array" ref="F1212">_xlfn.XLOOKUP(Food_Orders[[#This Row],[Event_No]],Event_Master[[#All],[Event_No]],Event_Master[[#All],[Guest_Count]],,0)</f>
        <v>180</v>
      </c>
      <c r="G1212" cm="1">
        <f t="array" ref="G1212">Food_Orders[[#This Row],[Quantity_Orderd]]*_xlfn.XLOOKUP(Food_Orders[[#This Row],[Food_ID]],Food_Catalog[[#All],[Food_ID]],Food_Catalog[[#All],[Price_Per_Unit]],0,0)</f>
        <v>6300</v>
      </c>
      <c r="H1212" cm="1">
        <f t="array" ref="H1212">Food_Orders[[#This Row],[Quantity_Orderd]]*_xlfn.XLOOKUP(Food_Orders[[#This Row],[Food_ID]],Food_Catalog[[#All],[Food_ID]],Food_Catalog[[#All],[Client_Price_Per_Unit]],0,0)</f>
        <v>7560</v>
      </c>
      <c r="I1212">
        <f>Food_Orders[[#This Row],[Client_Price]]-Food_Orders[[#This Row],[Cost]]</f>
        <v>1260</v>
      </c>
    </row>
    <row r="1213" spans="1:9" x14ac:dyDescent="0.25">
      <c r="A1213">
        <v>53</v>
      </c>
      <c r="B1213" t="s">
        <v>7</v>
      </c>
      <c r="C1213" t="s">
        <v>8</v>
      </c>
      <c r="D1213" t="s">
        <v>9</v>
      </c>
      <c r="E1213" t="s">
        <v>10</v>
      </c>
      <c r="F1213" cm="1">
        <f t="array" ref="F1213">_xlfn.XLOOKUP(Food_Orders[[#This Row],[Event_No]],Event_Master[[#All],[Event_No]],Event_Master[[#All],[Guest_Count]],,0)</f>
        <v>180</v>
      </c>
      <c r="G1213" cm="1">
        <f t="array" ref="G1213">Food_Orders[[#This Row],[Quantity_Orderd]]*_xlfn.XLOOKUP(Food_Orders[[#This Row],[Food_ID]],Food_Catalog[[#All],[Food_ID]],Food_Catalog[[#All],[Price_Per_Unit]],0,0)</f>
        <v>4500</v>
      </c>
      <c r="H1213" cm="1">
        <f t="array" ref="H1213">Food_Orders[[#This Row],[Quantity_Orderd]]*_xlfn.XLOOKUP(Food_Orders[[#This Row],[Food_ID]],Food_Catalog[[#All],[Food_ID]],Food_Catalog[[#All],[Client_Price_Per_Unit]],0,0)</f>
        <v>5400</v>
      </c>
      <c r="I1213">
        <f>Food_Orders[[#This Row],[Client_Price]]-Food_Orders[[#This Row],[Cost]]</f>
        <v>900</v>
      </c>
    </row>
    <row r="1214" spans="1:9" x14ac:dyDescent="0.25">
      <c r="A1214">
        <v>53</v>
      </c>
      <c r="B1214" t="s">
        <v>13</v>
      </c>
      <c r="C1214" t="s">
        <v>8</v>
      </c>
      <c r="D1214" t="s">
        <v>14</v>
      </c>
      <c r="E1214" t="s">
        <v>10</v>
      </c>
      <c r="F1214" cm="1">
        <f t="array" ref="F1214">_xlfn.XLOOKUP(Food_Orders[[#This Row],[Event_No]],Event_Master[[#All],[Event_No]],Event_Master[[#All],[Guest_Count]],,0)</f>
        <v>180</v>
      </c>
      <c r="G1214" cm="1">
        <f t="array" ref="G1214">Food_Orders[[#This Row],[Quantity_Orderd]]*_xlfn.XLOOKUP(Food_Orders[[#This Row],[Food_ID]],Food_Catalog[[#All],[Food_ID]],Food_Catalog[[#All],[Price_Per_Unit]],0,0)</f>
        <v>6300</v>
      </c>
      <c r="H1214" cm="1">
        <f t="array" ref="H1214">Food_Orders[[#This Row],[Quantity_Orderd]]*_xlfn.XLOOKUP(Food_Orders[[#This Row],[Food_ID]],Food_Catalog[[#All],[Food_ID]],Food_Catalog[[#All],[Client_Price_Per_Unit]],0,0)</f>
        <v>7560</v>
      </c>
      <c r="I1214">
        <f>Food_Orders[[#This Row],[Client_Price]]-Food_Orders[[#This Row],[Cost]]</f>
        <v>1260</v>
      </c>
    </row>
    <row r="1215" spans="1:9" x14ac:dyDescent="0.25">
      <c r="A1215">
        <v>53</v>
      </c>
      <c r="B1215" t="s">
        <v>35</v>
      </c>
      <c r="C1215" t="s">
        <v>8</v>
      </c>
      <c r="D1215" t="s">
        <v>36</v>
      </c>
      <c r="E1215" t="s">
        <v>10</v>
      </c>
      <c r="F1215" cm="1">
        <f t="array" ref="F1215">_xlfn.XLOOKUP(Food_Orders[[#This Row],[Event_No]],Event_Master[[#All],[Event_No]],Event_Master[[#All],[Guest_Count]],,0)</f>
        <v>180</v>
      </c>
      <c r="G1215" cm="1">
        <f t="array" ref="G1215">Food_Orders[[#This Row],[Quantity_Orderd]]*_xlfn.XLOOKUP(Food_Orders[[#This Row],[Food_ID]],Food_Catalog[[#All],[Food_ID]],Food_Catalog[[#All],[Price_Per_Unit]],0,0)</f>
        <v>5400</v>
      </c>
      <c r="H1215" cm="1">
        <f t="array" ref="H1215">Food_Orders[[#This Row],[Quantity_Orderd]]*_xlfn.XLOOKUP(Food_Orders[[#This Row],[Food_ID]],Food_Catalog[[#All],[Food_ID]],Food_Catalog[[#All],[Client_Price_Per_Unit]],0,0)</f>
        <v>6480</v>
      </c>
      <c r="I1215">
        <f>Food_Orders[[#This Row],[Client_Price]]-Food_Orders[[#This Row],[Cost]]</f>
        <v>1080</v>
      </c>
    </row>
    <row r="1216" spans="1:9" x14ac:dyDescent="0.25">
      <c r="A1216">
        <v>53</v>
      </c>
      <c r="B1216" t="s">
        <v>27</v>
      </c>
      <c r="C1216" t="s">
        <v>8</v>
      </c>
      <c r="D1216" t="s">
        <v>28</v>
      </c>
      <c r="E1216" t="s">
        <v>10</v>
      </c>
      <c r="F1216" cm="1">
        <f t="array" ref="F1216">_xlfn.XLOOKUP(Food_Orders[[#This Row],[Event_No]],Event_Master[[#All],[Event_No]],Event_Master[[#All],[Guest_Count]],,0)</f>
        <v>180</v>
      </c>
      <c r="G1216" cm="1">
        <f t="array" ref="G1216">Food_Orders[[#This Row],[Quantity_Orderd]]*_xlfn.XLOOKUP(Food_Orders[[#This Row],[Food_ID]],Food_Catalog[[#All],[Food_ID]],Food_Catalog[[#All],[Price_Per_Unit]],0,0)</f>
        <v>7200</v>
      </c>
      <c r="H1216" cm="1">
        <f t="array" ref="H1216">Food_Orders[[#This Row],[Quantity_Orderd]]*_xlfn.XLOOKUP(Food_Orders[[#This Row],[Food_ID]],Food_Catalog[[#All],[Food_ID]],Food_Catalog[[#All],[Client_Price_Per_Unit]],0,0)</f>
        <v>8640</v>
      </c>
      <c r="I1216">
        <f>Food_Orders[[#This Row],[Client_Price]]-Food_Orders[[#This Row],[Cost]]</f>
        <v>1440</v>
      </c>
    </row>
    <row r="1217" spans="1:9" x14ac:dyDescent="0.25">
      <c r="A1217">
        <v>53</v>
      </c>
      <c r="B1217" t="s">
        <v>31</v>
      </c>
      <c r="C1217" t="s">
        <v>8</v>
      </c>
      <c r="D1217" t="s">
        <v>32</v>
      </c>
      <c r="E1217" t="s">
        <v>10</v>
      </c>
      <c r="F1217" cm="1">
        <f t="array" ref="F1217">_xlfn.XLOOKUP(Food_Orders[[#This Row],[Event_No]],Event_Master[[#All],[Event_No]],Event_Master[[#All],[Guest_Count]],,0)</f>
        <v>180</v>
      </c>
      <c r="G1217" cm="1">
        <f t="array" ref="G1217">Food_Orders[[#This Row],[Quantity_Orderd]]*_xlfn.XLOOKUP(Food_Orders[[#This Row],[Food_ID]],Food_Catalog[[#All],[Food_ID]],Food_Catalog[[#All],[Price_Per_Unit]],0,0)</f>
        <v>5400</v>
      </c>
      <c r="H1217" cm="1">
        <f t="array" ref="H1217">Food_Orders[[#This Row],[Quantity_Orderd]]*_xlfn.XLOOKUP(Food_Orders[[#This Row],[Food_ID]],Food_Catalog[[#All],[Food_ID]],Food_Catalog[[#All],[Client_Price_Per_Unit]],0,0)</f>
        <v>6480</v>
      </c>
      <c r="I1217">
        <f>Food_Orders[[#This Row],[Client_Price]]-Food_Orders[[#This Row],[Cost]]</f>
        <v>1080</v>
      </c>
    </row>
    <row r="1218" spans="1:9" x14ac:dyDescent="0.25">
      <c r="A1218">
        <v>53</v>
      </c>
      <c r="B1218" t="s">
        <v>29</v>
      </c>
      <c r="C1218" t="s">
        <v>8</v>
      </c>
      <c r="D1218" t="s">
        <v>30</v>
      </c>
      <c r="E1218" t="s">
        <v>10</v>
      </c>
      <c r="F1218" cm="1">
        <f t="array" ref="F1218">_xlfn.XLOOKUP(Food_Orders[[#This Row],[Event_No]],Event_Master[[#All],[Event_No]],Event_Master[[#All],[Guest_Count]],,0)</f>
        <v>180</v>
      </c>
      <c r="G1218" cm="1">
        <f t="array" ref="G1218">Food_Orders[[#This Row],[Quantity_Orderd]]*_xlfn.XLOOKUP(Food_Orders[[#This Row],[Food_ID]],Food_Catalog[[#All],[Food_ID]],Food_Catalog[[#All],[Price_Per_Unit]],0,0)</f>
        <v>5400</v>
      </c>
      <c r="H1218" cm="1">
        <f t="array" ref="H1218">Food_Orders[[#This Row],[Quantity_Orderd]]*_xlfn.XLOOKUP(Food_Orders[[#This Row],[Food_ID]],Food_Catalog[[#All],[Food_ID]],Food_Catalog[[#All],[Client_Price_Per_Unit]],0,0)</f>
        <v>6480</v>
      </c>
      <c r="I1218">
        <f>Food_Orders[[#This Row],[Client_Price]]-Food_Orders[[#This Row],[Cost]]</f>
        <v>1080</v>
      </c>
    </row>
    <row r="1219" spans="1:9" x14ac:dyDescent="0.25">
      <c r="A1219">
        <v>53</v>
      </c>
      <c r="B1219" t="s">
        <v>37</v>
      </c>
      <c r="C1219" t="s">
        <v>8</v>
      </c>
      <c r="D1219" t="s">
        <v>38</v>
      </c>
      <c r="E1219" t="s">
        <v>10</v>
      </c>
      <c r="F1219" cm="1">
        <f t="array" ref="F1219">_xlfn.XLOOKUP(Food_Orders[[#This Row],[Event_No]],Event_Master[[#All],[Event_No]],Event_Master[[#All],[Guest_Count]],,0)</f>
        <v>180</v>
      </c>
      <c r="G1219" cm="1">
        <f t="array" ref="G1219">Food_Orders[[#This Row],[Quantity_Orderd]]*_xlfn.XLOOKUP(Food_Orders[[#This Row],[Food_ID]],Food_Catalog[[#All],[Food_ID]],Food_Catalog[[#All],[Price_Per_Unit]],0,0)</f>
        <v>4500</v>
      </c>
      <c r="H1219" cm="1">
        <f t="array" ref="H1219">Food_Orders[[#This Row],[Quantity_Orderd]]*_xlfn.XLOOKUP(Food_Orders[[#This Row],[Food_ID]],Food_Catalog[[#All],[Food_ID]],Food_Catalog[[#All],[Client_Price_Per_Unit]],0,0)</f>
        <v>5400</v>
      </c>
      <c r="I1219">
        <f>Food_Orders[[#This Row],[Client_Price]]-Food_Orders[[#This Row],[Cost]]</f>
        <v>900</v>
      </c>
    </row>
    <row r="1220" spans="1:9" x14ac:dyDescent="0.25">
      <c r="A1220">
        <v>53</v>
      </c>
      <c r="B1220" t="s">
        <v>82</v>
      </c>
      <c r="C1220" t="s">
        <v>83</v>
      </c>
      <c r="D1220" t="s">
        <v>84</v>
      </c>
      <c r="E1220" t="s">
        <v>85</v>
      </c>
      <c r="F1220" cm="1">
        <f t="array" ref="F1220">_xlfn.XLOOKUP(Food_Orders[[#This Row],[Event_No]],Event_Master[[#All],[Event_No]],Event_Master[[#All],[Guest_Count]],,0)</f>
        <v>180</v>
      </c>
      <c r="G1220" cm="1">
        <f t="array" ref="G1220">Food_Orders[[#This Row],[Quantity_Orderd]]*_xlfn.XLOOKUP(Food_Orders[[#This Row],[Food_ID]],Food_Catalog[[#All],[Food_ID]],Food_Catalog[[#All],[Price_Per_Unit]],0,0)</f>
        <v>3600</v>
      </c>
      <c r="H1220" cm="1">
        <f t="array" ref="H1220">Food_Orders[[#This Row],[Quantity_Orderd]]*_xlfn.XLOOKUP(Food_Orders[[#This Row],[Food_ID]],Food_Catalog[[#All],[Food_ID]],Food_Catalog[[#All],[Client_Price_Per_Unit]],0,0)</f>
        <v>4320</v>
      </c>
      <c r="I1220">
        <f>Food_Orders[[#This Row],[Client_Price]]-Food_Orders[[#This Row],[Cost]]</f>
        <v>720</v>
      </c>
    </row>
    <row r="1221" spans="1:9" x14ac:dyDescent="0.25">
      <c r="A1221">
        <v>53</v>
      </c>
      <c r="B1221" t="s">
        <v>86</v>
      </c>
      <c r="C1221" t="s">
        <v>83</v>
      </c>
      <c r="D1221" t="s">
        <v>87</v>
      </c>
      <c r="E1221" t="s">
        <v>85</v>
      </c>
      <c r="F1221" cm="1">
        <f t="array" ref="F1221">_xlfn.XLOOKUP(Food_Orders[[#This Row],[Event_No]],Event_Master[[#All],[Event_No]],Event_Master[[#All],[Guest_Count]],,0)</f>
        <v>180</v>
      </c>
      <c r="G1221" cm="1">
        <f t="array" ref="G1221">Food_Orders[[#This Row],[Quantity_Orderd]]*_xlfn.XLOOKUP(Food_Orders[[#This Row],[Food_ID]],Food_Catalog[[#All],[Food_ID]],Food_Catalog[[#All],[Price_Per_Unit]],0,0)</f>
        <v>3600</v>
      </c>
      <c r="H1221" cm="1">
        <f t="array" ref="H1221">Food_Orders[[#This Row],[Quantity_Orderd]]*_xlfn.XLOOKUP(Food_Orders[[#This Row],[Food_ID]],Food_Catalog[[#All],[Food_ID]],Food_Catalog[[#All],[Client_Price_Per_Unit]],0,0)</f>
        <v>4320</v>
      </c>
      <c r="I1221">
        <f>Food_Orders[[#This Row],[Client_Price]]-Food_Orders[[#This Row],[Cost]]</f>
        <v>720</v>
      </c>
    </row>
    <row r="1222" spans="1:9" x14ac:dyDescent="0.25">
      <c r="A1222">
        <v>53</v>
      </c>
      <c r="B1222" t="s">
        <v>96</v>
      </c>
      <c r="C1222" t="s">
        <v>83</v>
      </c>
      <c r="D1222" t="s">
        <v>97</v>
      </c>
      <c r="E1222" t="s">
        <v>79</v>
      </c>
      <c r="F1222" cm="1">
        <f t="array" ref="F1222">_xlfn.XLOOKUP(Food_Orders[[#This Row],[Event_No]],Event_Master[[#All],[Event_No]],Event_Master[[#All],[Guest_Count]],,0)</f>
        <v>180</v>
      </c>
      <c r="G1222" cm="1">
        <f t="array" ref="G1222">Food_Orders[[#This Row],[Quantity_Orderd]]*_xlfn.XLOOKUP(Food_Orders[[#This Row],[Food_ID]],Food_Catalog[[#All],[Food_ID]],Food_Catalog[[#All],[Price_Per_Unit]],0,0)</f>
        <v>5400</v>
      </c>
      <c r="H1222" cm="1">
        <f t="array" ref="H1222">Food_Orders[[#This Row],[Quantity_Orderd]]*_xlfn.XLOOKUP(Food_Orders[[#This Row],[Food_ID]],Food_Catalog[[#All],[Food_ID]],Food_Catalog[[#All],[Client_Price_Per_Unit]],0,0)</f>
        <v>6480</v>
      </c>
      <c r="I1222">
        <f>Food_Orders[[#This Row],[Client_Price]]-Food_Orders[[#This Row],[Cost]]</f>
        <v>1080</v>
      </c>
    </row>
    <row r="1223" spans="1:9" x14ac:dyDescent="0.25">
      <c r="A1223">
        <v>53</v>
      </c>
      <c r="B1223" t="s">
        <v>88</v>
      </c>
      <c r="C1223" t="s">
        <v>83</v>
      </c>
      <c r="D1223" t="s">
        <v>89</v>
      </c>
      <c r="E1223" t="s">
        <v>85</v>
      </c>
      <c r="F1223" cm="1">
        <f t="array" ref="F1223">_xlfn.XLOOKUP(Food_Orders[[#This Row],[Event_No]],Event_Master[[#All],[Event_No]],Event_Master[[#All],[Guest_Count]],,0)</f>
        <v>180</v>
      </c>
      <c r="G1223" cm="1">
        <f t="array" ref="G1223">Food_Orders[[#This Row],[Quantity_Orderd]]*_xlfn.XLOOKUP(Food_Orders[[#This Row],[Food_ID]],Food_Catalog[[#All],[Food_ID]],Food_Catalog[[#All],[Price_Per_Unit]],0,0)</f>
        <v>2700</v>
      </c>
      <c r="H1223" cm="1">
        <f t="array" ref="H1223">Food_Orders[[#This Row],[Quantity_Orderd]]*_xlfn.XLOOKUP(Food_Orders[[#This Row],[Food_ID]],Food_Catalog[[#All],[Food_ID]],Food_Catalog[[#All],[Client_Price_Per_Unit]],0,0)</f>
        <v>3240</v>
      </c>
      <c r="I1223">
        <f>Food_Orders[[#This Row],[Client_Price]]-Food_Orders[[#This Row],[Cost]]</f>
        <v>540</v>
      </c>
    </row>
    <row r="1224" spans="1:9" x14ac:dyDescent="0.25">
      <c r="A1224">
        <v>53</v>
      </c>
      <c r="B1224" t="s">
        <v>92</v>
      </c>
      <c r="C1224" t="s">
        <v>83</v>
      </c>
      <c r="D1224" t="s">
        <v>93</v>
      </c>
      <c r="E1224" t="s">
        <v>85</v>
      </c>
      <c r="F1224" cm="1">
        <f t="array" ref="F1224">_xlfn.XLOOKUP(Food_Orders[[#This Row],[Event_No]],Event_Master[[#All],[Event_No]],Event_Master[[#All],[Guest_Count]],,0)</f>
        <v>180</v>
      </c>
      <c r="G1224" cm="1">
        <f t="array" ref="G1224">Food_Orders[[#This Row],[Quantity_Orderd]]*_xlfn.XLOOKUP(Food_Orders[[#This Row],[Food_ID]],Food_Catalog[[#All],[Food_ID]],Food_Catalog[[#All],[Price_Per_Unit]],0,0)</f>
        <v>2700</v>
      </c>
      <c r="H1224" cm="1">
        <f t="array" ref="H1224">Food_Orders[[#This Row],[Quantity_Orderd]]*_xlfn.XLOOKUP(Food_Orders[[#This Row],[Food_ID]],Food_Catalog[[#All],[Food_ID]],Food_Catalog[[#All],[Client_Price_Per_Unit]],0,0)</f>
        <v>3240</v>
      </c>
      <c r="I1224">
        <f>Food_Orders[[#This Row],[Client_Price]]-Food_Orders[[#This Row],[Cost]]</f>
        <v>540</v>
      </c>
    </row>
    <row r="1225" spans="1:9" x14ac:dyDescent="0.25">
      <c r="A1225">
        <v>53</v>
      </c>
      <c r="B1225" t="s">
        <v>104</v>
      </c>
      <c r="C1225" t="s">
        <v>105</v>
      </c>
      <c r="D1225" t="s">
        <v>106</v>
      </c>
      <c r="E1225" t="s">
        <v>107</v>
      </c>
      <c r="F1225" cm="1">
        <f t="array" ref="F1225">_xlfn.XLOOKUP(Food_Orders[[#This Row],[Event_No]],Event_Master[[#All],[Event_No]],Event_Master[[#All],[Guest_Count]],,0)</f>
        <v>180</v>
      </c>
      <c r="G1225" cm="1">
        <f t="array" ref="G1225">Food_Orders[[#This Row],[Quantity_Orderd]]*_xlfn.XLOOKUP(Food_Orders[[#This Row],[Food_ID]],Food_Catalog[[#All],[Food_ID]],Food_Catalog[[#All],[Price_Per_Unit]],0,0)</f>
        <v>1800</v>
      </c>
      <c r="H1225" cm="1">
        <f t="array" ref="H1225">Food_Orders[[#This Row],[Quantity_Orderd]]*_xlfn.XLOOKUP(Food_Orders[[#This Row],[Food_ID]],Food_Catalog[[#All],[Food_ID]],Food_Catalog[[#All],[Client_Price_Per_Unit]],0,0)</f>
        <v>2160</v>
      </c>
      <c r="I1225">
        <f>Food_Orders[[#This Row],[Client_Price]]-Food_Orders[[#This Row],[Cost]]</f>
        <v>360</v>
      </c>
    </row>
    <row r="1226" spans="1:9" x14ac:dyDescent="0.25">
      <c r="A1226">
        <v>53</v>
      </c>
      <c r="B1226" t="s">
        <v>118</v>
      </c>
      <c r="C1226" t="s">
        <v>119</v>
      </c>
      <c r="D1226" t="s">
        <v>120</v>
      </c>
      <c r="E1226" t="s">
        <v>112</v>
      </c>
      <c r="F1226" cm="1">
        <f t="array" ref="F1226">_xlfn.XLOOKUP(Food_Orders[[#This Row],[Event_No]],Event_Master[[#All],[Event_No]],Event_Master[[#All],[Guest_Count]],,0)</f>
        <v>180</v>
      </c>
      <c r="G1226" cm="1">
        <f t="array" ref="G1226">Food_Orders[[#This Row],[Quantity_Orderd]]*_xlfn.XLOOKUP(Food_Orders[[#This Row],[Food_ID]],Food_Catalog[[#All],[Food_ID]],Food_Catalog[[#All],[Price_Per_Unit]],0,0)</f>
        <v>1800</v>
      </c>
      <c r="H1226" cm="1">
        <f t="array" ref="H1226">Food_Orders[[#This Row],[Quantity_Orderd]]*_xlfn.XLOOKUP(Food_Orders[[#This Row],[Food_ID]],Food_Catalog[[#All],[Food_ID]],Food_Catalog[[#All],[Client_Price_Per_Unit]],0,0)</f>
        <v>2160</v>
      </c>
      <c r="I1226">
        <f>Food_Orders[[#This Row],[Client_Price]]-Food_Orders[[#This Row],[Cost]]</f>
        <v>360</v>
      </c>
    </row>
    <row r="1227" spans="1:9" x14ac:dyDescent="0.25">
      <c r="A1227">
        <v>53</v>
      </c>
      <c r="B1227" t="s">
        <v>129</v>
      </c>
      <c r="C1227" t="s">
        <v>119</v>
      </c>
      <c r="D1227" t="s">
        <v>130</v>
      </c>
      <c r="E1227" t="s">
        <v>112</v>
      </c>
      <c r="F1227" cm="1">
        <f t="array" ref="F1227">_xlfn.XLOOKUP(Food_Orders[[#This Row],[Event_No]],Event_Master[[#All],[Event_No]],Event_Master[[#All],[Guest_Count]],,0)</f>
        <v>180</v>
      </c>
      <c r="G1227" cm="1">
        <f t="array" ref="G1227">Food_Orders[[#This Row],[Quantity_Orderd]]*_xlfn.XLOOKUP(Food_Orders[[#This Row],[Food_ID]],Food_Catalog[[#All],[Food_ID]],Food_Catalog[[#All],[Price_Per_Unit]],0,0)</f>
        <v>1800</v>
      </c>
      <c r="H1227" cm="1">
        <f t="array" ref="H1227">Food_Orders[[#This Row],[Quantity_Orderd]]*_xlfn.XLOOKUP(Food_Orders[[#This Row],[Food_ID]],Food_Catalog[[#All],[Food_ID]],Food_Catalog[[#All],[Client_Price_Per_Unit]],0,0)</f>
        <v>2160</v>
      </c>
      <c r="I1227">
        <f>Food_Orders[[#This Row],[Client_Price]]-Food_Orders[[#This Row],[Cost]]</f>
        <v>360</v>
      </c>
    </row>
    <row r="1228" spans="1:9" x14ac:dyDescent="0.25">
      <c r="A1228">
        <v>54</v>
      </c>
      <c r="B1228" t="s">
        <v>63</v>
      </c>
      <c r="C1228" t="s">
        <v>61</v>
      </c>
      <c r="D1228" t="s">
        <v>64</v>
      </c>
      <c r="E1228" t="s">
        <v>10</v>
      </c>
      <c r="F1228" cm="1">
        <f t="array" ref="F1228">_xlfn.XLOOKUP(Food_Orders[[#This Row],[Event_No]],Event_Master[[#All],[Event_No]],Event_Master[[#All],[Guest_Count]],,0)</f>
        <v>220</v>
      </c>
      <c r="G1228" cm="1">
        <f t="array" ref="G1228">Food_Orders[[#This Row],[Quantity_Orderd]]*_xlfn.XLOOKUP(Food_Orders[[#This Row],[Food_ID]],Food_Catalog[[#All],[Food_ID]],Food_Catalog[[#All],[Price_Per_Unit]],0,0)</f>
        <v>6600</v>
      </c>
      <c r="H1228" cm="1">
        <f t="array" ref="H1228">Food_Orders[[#This Row],[Quantity_Orderd]]*_xlfn.XLOOKUP(Food_Orders[[#This Row],[Food_ID]],Food_Catalog[[#All],[Food_ID]],Food_Catalog[[#All],[Client_Price_Per_Unit]],0,0)</f>
        <v>7920</v>
      </c>
      <c r="I1228">
        <f>Food_Orders[[#This Row],[Client_Price]]-Food_Orders[[#This Row],[Cost]]</f>
        <v>1320</v>
      </c>
    </row>
    <row r="1229" spans="1:9" x14ac:dyDescent="0.25">
      <c r="A1229">
        <v>54</v>
      </c>
      <c r="B1229" t="s">
        <v>71</v>
      </c>
      <c r="C1229" t="s">
        <v>61</v>
      </c>
      <c r="D1229" t="s">
        <v>72</v>
      </c>
      <c r="E1229" t="s">
        <v>10</v>
      </c>
      <c r="F1229" cm="1">
        <f t="array" ref="F1229">_xlfn.XLOOKUP(Food_Orders[[#This Row],[Event_No]],Event_Master[[#All],[Event_No]],Event_Master[[#All],[Guest_Count]],,0)</f>
        <v>220</v>
      </c>
      <c r="G1229" cm="1">
        <f t="array" ref="G1229">Food_Orders[[#This Row],[Quantity_Orderd]]*_xlfn.XLOOKUP(Food_Orders[[#This Row],[Food_ID]],Food_Catalog[[#All],[Food_ID]],Food_Catalog[[#All],[Price_Per_Unit]],0,0)</f>
        <v>5500</v>
      </c>
      <c r="H1229" cm="1">
        <f t="array" ref="H1229">Food_Orders[[#This Row],[Quantity_Orderd]]*_xlfn.XLOOKUP(Food_Orders[[#This Row],[Food_ID]],Food_Catalog[[#All],[Food_ID]],Food_Catalog[[#All],[Client_Price_Per_Unit]],0,0)</f>
        <v>6600</v>
      </c>
      <c r="I1229">
        <f>Food_Orders[[#This Row],[Client_Price]]-Food_Orders[[#This Row],[Cost]]</f>
        <v>1100</v>
      </c>
    </row>
    <row r="1230" spans="1:9" x14ac:dyDescent="0.25">
      <c r="A1230">
        <v>54</v>
      </c>
      <c r="B1230" t="s">
        <v>60</v>
      </c>
      <c r="C1230" t="s">
        <v>61</v>
      </c>
      <c r="D1230" t="s">
        <v>62</v>
      </c>
      <c r="E1230" t="s">
        <v>10</v>
      </c>
      <c r="F1230" cm="1">
        <f t="array" ref="F1230">_xlfn.XLOOKUP(Food_Orders[[#This Row],[Event_No]],Event_Master[[#All],[Event_No]],Event_Master[[#All],[Guest_Count]],,0)</f>
        <v>220</v>
      </c>
      <c r="G1230" cm="1">
        <f t="array" ref="G1230">Food_Orders[[#This Row],[Quantity_Orderd]]*_xlfn.XLOOKUP(Food_Orders[[#This Row],[Food_ID]],Food_Catalog[[#All],[Food_ID]],Food_Catalog[[#All],[Price_Per_Unit]],0,0)</f>
        <v>4400</v>
      </c>
      <c r="H1230" cm="1">
        <f t="array" ref="H1230">Food_Orders[[#This Row],[Quantity_Orderd]]*_xlfn.XLOOKUP(Food_Orders[[#This Row],[Food_ID]],Food_Catalog[[#All],[Food_ID]],Food_Catalog[[#All],[Client_Price_Per_Unit]],0,0)</f>
        <v>5280</v>
      </c>
      <c r="I1230">
        <f>Food_Orders[[#This Row],[Client_Price]]-Food_Orders[[#This Row],[Cost]]</f>
        <v>880</v>
      </c>
    </row>
    <row r="1231" spans="1:9" x14ac:dyDescent="0.25">
      <c r="A1231">
        <v>54</v>
      </c>
      <c r="B1231" t="s">
        <v>69</v>
      </c>
      <c r="C1231" t="s">
        <v>61</v>
      </c>
      <c r="D1231" t="s">
        <v>70</v>
      </c>
      <c r="E1231" t="s">
        <v>10</v>
      </c>
      <c r="F1231" cm="1">
        <f t="array" ref="F1231">_xlfn.XLOOKUP(Food_Orders[[#This Row],[Event_No]],Event_Master[[#All],[Event_No]],Event_Master[[#All],[Guest_Count]],,0)</f>
        <v>220</v>
      </c>
      <c r="G1231" cm="1">
        <f t="array" ref="G1231">Food_Orders[[#This Row],[Quantity_Orderd]]*_xlfn.XLOOKUP(Food_Orders[[#This Row],[Food_ID]],Food_Catalog[[#All],[Food_ID]],Food_Catalog[[#All],[Price_Per_Unit]],0,0)</f>
        <v>11000</v>
      </c>
      <c r="H1231" cm="1">
        <f t="array" ref="H1231">Food_Orders[[#This Row],[Quantity_Orderd]]*_xlfn.XLOOKUP(Food_Orders[[#This Row],[Food_ID]],Food_Catalog[[#All],[Food_ID]],Food_Catalog[[#All],[Client_Price_Per_Unit]],0,0)</f>
        <v>13200</v>
      </c>
      <c r="I1231">
        <f>Food_Orders[[#This Row],[Client_Price]]-Food_Orders[[#This Row],[Cost]]</f>
        <v>2200</v>
      </c>
    </row>
    <row r="1232" spans="1:9" x14ac:dyDescent="0.25">
      <c r="A1232">
        <v>54</v>
      </c>
      <c r="B1232" t="s">
        <v>13</v>
      </c>
      <c r="C1232" t="s">
        <v>8</v>
      </c>
      <c r="D1232" t="s">
        <v>14</v>
      </c>
      <c r="E1232" t="s">
        <v>10</v>
      </c>
      <c r="F1232" cm="1">
        <f t="array" ref="F1232">_xlfn.XLOOKUP(Food_Orders[[#This Row],[Event_No]],Event_Master[[#All],[Event_No]],Event_Master[[#All],[Guest_Count]],,0)</f>
        <v>220</v>
      </c>
      <c r="G1232" cm="1">
        <f t="array" ref="G1232">Food_Orders[[#This Row],[Quantity_Orderd]]*_xlfn.XLOOKUP(Food_Orders[[#This Row],[Food_ID]],Food_Catalog[[#All],[Food_ID]],Food_Catalog[[#All],[Price_Per_Unit]],0,0)</f>
        <v>7700</v>
      </c>
      <c r="H1232" cm="1">
        <f t="array" ref="H1232">Food_Orders[[#This Row],[Quantity_Orderd]]*_xlfn.XLOOKUP(Food_Orders[[#This Row],[Food_ID]],Food_Catalog[[#All],[Food_ID]],Food_Catalog[[#All],[Client_Price_Per_Unit]],0,0)</f>
        <v>9240</v>
      </c>
      <c r="I1232">
        <f>Food_Orders[[#This Row],[Client_Price]]-Food_Orders[[#This Row],[Cost]]</f>
        <v>1540</v>
      </c>
    </row>
    <row r="1233" spans="1:9" x14ac:dyDescent="0.25">
      <c r="A1233">
        <v>54</v>
      </c>
      <c r="B1233" t="s">
        <v>27</v>
      </c>
      <c r="C1233" t="s">
        <v>8</v>
      </c>
      <c r="D1233" t="s">
        <v>28</v>
      </c>
      <c r="E1233" t="s">
        <v>10</v>
      </c>
      <c r="F1233" cm="1">
        <f t="array" ref="F1233">_xlfn.XLOOKUP(Food_Orders[[#This Row],[Event_No]],Event_Master[[#All],[Event_No]],Event_Master[[#All],[Guest_Count]],,0)</f>
        <v>220</v>
      </c>
      <c r="G1233" cm="1">
        <f t="array" ref="G1233">Food_Orders[[#This Row],[Quantity_Orderd]]*_xlfn.XLOOKUP(Food_Orders[[#This Row],[Food_ID]],Food_Catalog[[#All],[Food_ID]],Food_Catalog[[#All],[Price_Per_Unit]],0,0)</f>
        <v>8800</v>
      </c>
      <c r="H1233" cm="1">
        <f t="array" ref="H1233">Food_Orders[[#This Row],[Quantity_Orderd]]*_xlfn.XLOOKUP(Food_Orders[[#This Row],[Food_ID]],Food_Catalog[[#All],[Food_ID]],Food_Catalog[[#All],[Client_Price_Per_Unit]],0,0)</f>
        <v>10560</v>
      </c>
      <c r="I1233">
        <f>Food_Orders[[#This Row],[Client_Price]]-Food_Orders[[#This Row],[Cost]]</f>
        <v>1760</v>
      </c>
    </row>
    <row r="1234" spans="1:9" x14ac:dyDescent="0.25">
      <c r="A1234">
        <v>54</v>
      </c>
      <c r="B1234" t="s">
        <v>31</v>
      </c>
      <c r="C1234" t="s">
        <v>8</v>
      </c>
      <c r="D1234" t="s">
        <v>32</v>
      </c>
      <c r="E1234" t="s">
        <v>10</v>
      </c>
      <c r="F1234" cm="1">
        <f t="array" ref="F1234">_xlfn.XLOOKUP(Food_Orders[[#This Row],[Event_No]],Event_Master[[#All],[Event_No]],Event_Master[[#All],[Guest_Count]],,0)</f>
        <v>220</v>
      </c>
      <c r="G1234" cm="1">
        <f t="array" ref="G1234">Food_Orders[[#This Row],[Quantity_Orderd]]*_xlfn.XLOOKUP(Food_Orders[[#This Row],[Food_ID]],Food_Catalog[[#All],[Food_ID]],Food_Catalog[[#All],[Price_Per_Unit]],0,0)</f>
        <v>6600</v>
      </c>
      <c r="H1234" cm="1">
        <f t="array" ref="H1234">Food_Orders[[#This Row],[Quantity_Orderd]]*_xlfn.XLOOKUP(Food_Orders[[#This Row],[Food_ID]],Food_Catalog[[#All],[Food_ID]],Food_Catalog[[#All],[Client_Price_Per_Unit]],0,0)</f>
        <v>7920</v>
      </c>
      <c r="I1234">
        <f>Food_Orders[[#This Row],[Client_Price]]-Food_Orders[[#This Row],[Cost]]</f>
        <v>1320</v>
      </c>
    </row>
    <row r="1235" spans="1:9" x14ac:dyDescent="0.25">
      <c r="A1235">
        <v>54</v>
      </c>
      <c r="B1235" t="s">
        <v>29</v>
      </c>
      <c r="C1235" t="s">
        <v>8</v>
      </c>
      <c r="D1235" t="s">
        <v>30</v>
      </c>
      <c r="E1235" t="s">
        <v>10</v>
      </c>
      <c r="F1235" cm="1">
        <f t="array" ref="F1235">_xlfn.XLOOKUP(Food_Orders[[#This Row],[Event_No]],Event_Master[[#All],[Event_No]],Event_Master[[#All],[Guest_Count]],,0)</f>
        <v>220</v>
      </c>
      <c r="G1235" cm="1">
        <f t="array" ref="G1235">Food_Orders[[#This Row],[Quantity_Orderd]]*_xlfn.XLOOKUP(Food_Orders[[#This Row],[Food_ID]],Food_Catalog[[#All],[Food_ID]],Food_Catalog[[#All],[Price_Per_Unit]],0,0)</f>
        <v>6600</v>
      </c>
      <c r="H1235" cm="1">
        <f t="array" ref="H1235">Food_Orders[[#This Row],[Quantity_Orderd]]*_xlfn.XLOOKUP(Food_Orders[[#This Row],[Food_ID]],Food_Catalog[[#All],[Food_ID]],Food_Catalog[[#All],[Client_Price_Per_Unit]],0,0)</f>
        <v>7920</v>
      </c>
      <c r="I1235">
        <f>Food_Orders[[#This Row],[Client_Price]]-Food_Orders[[#This Row],[Cost]]</f>
        <v>1320</v>
      </c>
    </row>
    <row r="1236" spans="1:9" x14ac:dyDescent="0.25">
      <c r="A1236">
        <v>54</v>
      </c>
      <c r="B1236" t="s">
        <v>37</v>
      </c>
      <c r="C1236" t="s">
        <v>8</v>
      </c>
      <c r="D1236" t="s">
        <v>38</v>
      </c>
      <c r="E1236" t="s">
        <v>10</v>
      </c>
      <c r="F1236" cm="1">
        <f t="array" ref="F1236">_xlfn.XLOOKUP(Food_Orders[[#This Row],[Event_No]],Event_Master[[#All],[Event_No]],Event_Master[[#All],[Guest_Count]],,0)</f>
        <v>220</v>
      </c>
      <c r="G1236" cm="1">
        <f t="array" ref="G1236">Food_Orders[[#This Row],[Quantity_Orderd]]*_xlfn.XLOOKUP(Food_Orders[[#This Row],[Food_ID]],Food_Catalog[[#All],[Food_ID]],Food_Catalog[[#All],[Price_Per_Unit]],0,0)</f>
        <v>5500</v>
      </c>
      <c r="H1236" cm="1">
        <f t="array" ref="H1236">Food_Orders[[#This Row],[Quantity_Orderd]]*_xlfn.XLOOKUP(Food_Orders[[#This Row],[Food_ID]],Food_Catalog[[#All],[Food_ID]],Food_Catalog[[#All],[Client_Price_Per_Unit]],0,0)</f>
        <v>6600</v>
      </c>
      <c r="I1236">
        <f>Food_Orders[[#This Row],[Client_Price]]-Food_Orders[[#This Row],[Cost]]</f>
        <v>1100</v>
      </c>
    </row>
    <row r="1237" spans="1:9" x14ac:dyDescent="0.25">
      <c r="A1237">
        <v>54</v>
      </c>
      <c r="B1237" t="s">
        <v>39</v>
      </c>
      <c r="C1237" t="s">
        <v>40</v>
      </c>
      <c r="D1237" t="s">
        <v>41</v>
      </c>
      <c r="E1237" t="s">
        <v>10</v>
      </c>
      <c r="F1237" cm="1">
        <f t="array" ref="F1237">_xlfn.XLOOKUP(Food_Orders[[#This Row],[Event_No]],Event_Master[[#All],[Event_No]],Event_Master[[#All],[Guest_Count]],,0)</f>
        <v>220</v>
      </c>
      <c r="G1237" cm="1">
        <f t="array" ref="G1237">Food_Orders[[#This Row],[Quantity_Orderd]]*_xlfn.XLOOKUP(Food_Orders[[#This Row],[Food_ID]],Food_Catalog[[#All],[Food_ID]],Food_Catalog[[#All],[Price_Per_Unit]],0,0)</f>
        <v>13200</v>
      </c>
      <c r="H1237" cm="1">
        <f t="array" ref="H1237">Food_Orders[[#This Row],[Quantity_Orderd]]*_xlfn.XLOOKUP(Food_Orders[[#This Row],[Food_ID]],Food_Catalog[[#All],[Food_ID]],Food_Catalog[[#All],[Client_Price_Per_Unit]],0,0)</f>
        <v>15840</v>
      </c>
      <c r="I1237">
        <f>Food_Orders[[#This Row],[Client_Price]]-Food_Orders[[#This Row],[Cost]]</f>
        <v>2640</v>
      </c>
    </row>
    <row r="1238" spans="1:9" x14ac:dyDescent="0.25">
      <c r="A1238">
        <v>54</v>
      </c>
      <c r="B1238" t="s">
        <v>42</v>
      </c>
      <c r="C1238" t="s">
        <v>40</v>
      </c>
      <c r="D1238" t="s">
        <v>43</v>
      </c>
      <c r="E1238" t="s">
        <v>10</v>
      </c>
      <c r="F1238" cm="1">
        <f t="array" ref="F1238">_xlfn.XLOOKUP(Food_Orders[[#This Row],[Event_No]],Event_Master[[#All],[Event_No]],Event_Master[[#All],[Guest_Count]],,0)</f>
        <v>220</v>
      </c>
      <c r="G1238" cm="1">
        <f t="array" ref="G1238">Food_Orders[[#This Row],[Quantity_Orderd]]*_xlfn.XLOOKUP(Food_Orders[[#This Row],[Food_ID]],Food_Catalog[[#All],[Food_ID]],Food_Catalog[[#All],[Price_Per_Unit]],0,0)</f>
        <v>15400</v>
      </c>
      <c r="H1238" cm="1">
        <f t="array" ref="H1238">Food_Orders[[#This Row],[Quantity_Orderd]]*_xlfn.XLOOKUP(Food_Orders[[#This Row],[Food_ID]],Food_Catalog[[#All],[Food_ID]],Food_Catalog[[#All],[Client_Price_Per_Unit]],0,0)</f>
        <v>18480</v>
      </c>
      <c r="I1238">
        <f>Food_Orders[[#This Row],[Client_Price]]-Food_Orders[[#This Row],[Cost]]</f>
        <v>3080</v>
      </c>
    </row>
    <row r="1239" spans="1:9" x14ac:dyDescent="0.25">
      <c r="A1239">
        <v>54</v>
      </c>
      <c r="B1239" t="s">
        <v>58</v>
      </c>
      <c r="C1239" t="s">
        <v>40</v>
      </c>
      <c r="D1239" t="s">
        <v>59</v>
      </c>
      <c r="E1239" t="s">
        <v>10</v>
      </c>
      <c r="F1239" cm="1">
        <f t="array" ref="F1239">_xlfn.XLOOKUP(Food_Orders[[#This Row],[Event_No]],Event_Master[[#All],[Event_No]],Event_Master[[#All],[Guest_Count]],,0)</f>
        <v>220</v>
      </c>
      <c r="G1239" cm="1">
        <f t="array" ref="G1239">Food_Orders[[#This Row],[Quantity_Orderd]]*_xlfn.XLOOKUP(Food_Orders[[#This Row],[Food_ID]],Food_Catalog[[#All],[Food_ID]],Food_Catalog[[#All],[Price_Per_Unit]],0,0)</f>
        <v>19800</v>
      </c>
      <c r="H1239" cm="1">
        <f t="array" ref="H1239">Food_Orders[[#This Row],[Quantity_Orderd]]*_xlfn.XLOOKUP(Food_Orders[[#This Row],[Food_ID]],Food_Catalog[[#All],[Food_ID]],Food_Catalog[[#All],[Client_Price_Per_Unit]],0,0)</f>
        <v>23760</v>
      </c>
      <c r="I1239">
        <f>Food_Orders[[#This Row],[Client_Price]]-Food_Orders[[#This Row],[Cost]]</f>
        <v>3960</v>
      </c>
    </row>
    <row r="1240" spans="1:9" x14ac:dyDescent="0.25">
      <c r="A1240">
        <v>54</v>
      </c>
      <c r="B1240" t="s">
        <v>46</v>
      </c>
      <c r="C1240" t="s">
        <v>40</v>
      </c>
      <c r="D1240" t="s">
        <v>47</v>
      </c>
      <c r="E1240" t="s">
        <v>10</v>
      </c>
      <c r="F1240" cm="1">
        <f t="array" ref="F1240">_xlfn.XLOOKUP(Food_Orders[[#This Row],[Event_No]],Event_Master[[#All],[Event_No]],Event_Master[[#All],[Guest_Count]],,0)</f>
        <v>220</v>
      </c>
      <c r="G1240" cm="1">
        <f t="array" ref="G1240">Food_Orders[[#This Row],[Quantity_Orderd]]*_xlfn.XLOOKUP(Food_Orders[[#This Row],[Food_ID]],Food_Catalog[[#All],[Food_ID]],Food_Catalog[[#All],[Price_Per_Unit]],0,0)</f>
        <v>19800</v>
      </c>
      <c r="H1240" cm="1">
        <f t="array" ref="H1240">Food_Orders[[#This Row],[Quantity_Orderd]]*_xlfn.XLOOKUP(Food_Orders[[#This Row],[Food_ID]],Food_Catalog[[#All],[Food_ID]],Food_Catalog[[#All],[Client_Price_Per_Unit]],0,0)</f>
        <v>23760</v>
      </c>
      <c r="I1240">
        <f>Food_Orders[[#This Row],[Client_Price]]-Food_Orders[[#This Row],[Cost]]</f>
        <v>3960</v>
      </c>
    </row>
    <row r="1241" spans="1:9" x14ac:dyDescent="0.25">
      <c r="A1241">
        <v>54</v>
      </c>
      <c r="B1241" t="s">
        <v>50</v>
      </c>
      <c r="C1241" t="s">
        <v>40</v>
      </c>
      <c r="D1241" t="s">
        <v>51</v>
      </c>
      <c r="E1241" t="s">
        <v>10</v>
      </c>
      <c r="F1241" cm="1">
        <f t="array" ref="F1241">_xlfn.XLOOKUP(Food_Orders[[#This Row],[Event_No]],Event_Master[[#All],[Event_No]],Event_Master[[#All],[Guest_Count]],,0)</f>
        <v>220</v>
      </c>
      <c r="G1241" cm="1">
        <f t="array" ref="G1241">Food_Orders[[#This Row],[Quantity_Orderd]]*_xlfn.XLOOKUP(Food_Orders[[#This Row],[Food_ID]],Food_Catalog[[#All],[Food_ID]],Food_Catalog[[#All],[Price_Per_Unit]],0,0)</f>
        <v>17600</v>
      </c>
      <c r="H1241" cm="1">
        <f t="array" ref="H1241">Food_Orders[[#This Row],[Quantity_Orderd]]*_xlfn.XLOOKUP(Food_Orders[[#This Row],[Food_ID]],Food_Catalog[[#All],[Food_ID]],Food_Catalog[[#All],[Client_Price_Per_Unit]],0,0)</f>
        <v>21120</v>
      </c>
      <c r="I1241">
        <f>Food_Orders[[#This Row],[Client_Price]]-Food_Orders[[#This Row],[Cost]]</f>
        <v>3520</v>
      </c>
    </row>
    <row r="1242" spans="1:9" x14ac:dyDescent="0.25">
      <c r="A1242">
        <v>54</v>
      </c>
      <c r="B1242" t="s">
        <v>82</v>
      </c>
      <c r="C1242" t="s">
        <v>83</v>
      </c>
      <c r="D1242" t="s">
        <v>84</v>
      </c>
      <c r="E1242" t="s">
        <v>85</v>
      </c>
      <c r="F1242" cm="1">
        <f t="array" ref="F1242">_xlfn.XLOOKUP(Food_Orders[[#This Row],[Event_No]],Event_Master[[#All],[Event_No]],Event_Master[[#All],[Guest_Count]],,0)</f>
        <v>220</v>
      </c>
      <c r="G1242" cm="1">
        <f t="array" ref="G1242">Food_Orders[[#This Row],[Quantity_Orderd]]*_xlfn.XLOOKUP(Food_Orders[[#This Row],[Food_ID]],Food_Catalog[[#All],[Food_ID]],Food_Catalog[[#All],[Price_Per_Unit]],0,0)</f>
        <v>4400</v>
      </c>
      <c r="H1242" cm="1">
        <f t="array" ref="H1242">Food_Orders[[#This Row],[Quantity_Orderd]]*_xlfn.XLOOKUP(Food_Orders[[#This Row],[Food_ID]],Food_Catalog[[#All],[Food_ID]],Food_Catalog[[#All],[Client_Price_Per_Unit]],0,0)</f>
        <v>5280</v>
      </c>
      <c r="I1242">
        <f>Food_Orders[[#This Row],[Client_Price]]-Food_Orders[[#This Row],[Cost]]</f>
        <v>880</v>
      </c>
    </row>
    <row r="1243" spans="1:9" x14ac:dyDescent="0.25">
      <c r="A1243">
        <v>54</v>
      </c>
      <c r="B1243" t="s">
        <v>86</v>
      </c>
      <c r="C1243" t="s">
        <v>83</v>
      </c>
      <c r="D1243" t="s">
        <v>87</v>
      </c>
      <c r="E1243" t="s">
        <v>85</v>
      </c>
      <c r="F1243" cm="1">
        <f t="array" ref="F1243">_xlfn.XLOOKUP(Food_Orders[[#This Row],[Event_No]],Event_Master[[#All],[Event_No]],Event_Master[[#All],[Guest_Count]],,0)</f>
        <v>220</v>
      </c>
      <c r="G1243" cm="1">
        <f t="array" ref="G1243">Food_Orders[[#This Row],[Quantity_Orderd]]*_xlfn.XLOOKUP(Food_Orders[[#This Row],[Food_ID]],Food_Catalog[[#All],[Food_ID]],Food_Catalog[[#All],[Price_Per_Unit]],0,0)</f>
        <v>4400</v>
      </c>
      <c r="H1243" cm="1">
        <f t="array" ref="H1243">Food_Orders[[#This Row],[Quantity_Orderd]]*_xlfn.XLOOKUP(Food_Orders[[#This Row],[Food_ID]],Food_Catalog[[#All],[Food_ID]],Food_Catalog[[#All],[Client_Price_Per_Unit]],0,0)</f>
        <v>5280</v>
      </c>
      <c r="I1243">
        <f>Food_Orders[[#This Row],[Client_Price]]-Food_Orders[[#This Row],[Cost]]</f>
        <v>880</v>
      </c>
    </row>
    <row r="1244" spans="1:9" x14ac:dyDescent="0.25">
      <c r="A1244">
        <v>54</v>
      </c>
      <c r="B1244" t="s">
        <v>96</v>
      </c>
      <c r="C1244" t="s">
        <v>83</v>
      </c>
      <c r="D1244" t="s">
        <v>97</v>
      </c>
      <c r="E1244" t="s">
        <v>79</v>
      </c>
      <c r="F1244" cm="1">
        <f t="array" ref="F1244">_xlfn.XLOOKUP(Food_Orders[[#This Row],[Event_No]],Event_Master[[#All],[Event_No]],Event_Master[[#All],[Guest_Count]],,0)</f>
        <v>220</v>
      </c>
      <c r="G1244" cm="1">
        <f t="array" ref="G1244">Food_Orders[[#This Row],[Quantity_Orderd]]*_xlfn.XLOOKUP(Food_Orders[[#This Row],[Food_ID]],Food_Catalog[[#All],[Food_ID]],Food_Catalog[[#All],[Price_Per_Unit]],0,0)</f>
        <v>6600</v>
      </c>
      <c r="H1244" cm="1">
        <f t="array" ref="H1244">Food_Orders[[#This Row],[Quantity_Orderd]]*_xlfn.XLOOKUP(Food_Orders[[#This Row],[Food_ID]],Food_Catalog[[#All],[Food_ID]],Food_Catalog[[#All],[Client_Price_Per_Unit]],0,0)</f>
        <v>7920</v>
      </c>
      <c r="I1244">
        <f>Food_Orders[[#This Row],[Client_Price]]-Food_Orders[[#This Row],[Cost]]</f>
        <v>1320</v>
      </c>
    </row>
    <row r="1245" spans="1:9" x14ac:dyDescent="0.25">
      <c r="A1245">
        <v>54</v>
      </c>
      <c r="B1245" t="s">
        <v>92</v>
      </c>
      <c r="C1245" t="s">
        <v>83</v>
      </c>
      <c r="D1245" t="s">
        <v>93</v>
      </c>
      <c r="E1245" t="s">
        <v>85</v>
      </c>
      <c r="F1245" cm="1">
        <f t="array" ref="F1245">_xlfn.XLOOKUP(Food_Orders[[#This Row],[Event_No]],Event_Master[[#All],[Event_No]],Event_Master[[#All],[Guest_Count]],,0)</f>
        <v>220</v>
      </c>
      <c r="G1245" cm="1">
        <f t="array" ref="G1245">Food_Orders[[#This Row],[Quantity_Orderd]]*_xlfn.XLOOKUP(Food_Orders[[#This Row],[Food_ID]],Food_Catalog[[#All],[Food_ID]],Food_Catalog[[#All],[Price_Per_Unit]],0,0)</f>
        <v>3300</v>
      </c>
      <c r="H1245" cm="1">
        <f t="array" ref="H1245">Food_Orders[[#This Row],[Quantity_Orderd]]*_xlfn.XLOOKUP(Food_Orders[[#This Row],[Food_ID]],Food_Catalog[[#All],[Food_ID]],Food_Catalog[[#All],[Client_Price_Per_Unit]],0,0)</f>
        <v>3960</v>
      </c>
      <c r="I1245">
        <f>Food_Orders[[#This Row],[Client_Price]]-Food_Orders[[#This Row],[Cost]]</f>
        <v>660</v>
      </c>
    </row>
    <row r="1246" spans="1:9" x14ac:dyDescent="0.25">
      <c r="A1246">
        <v>54</v>
      </c>
      <c r="B1246" t="s">
        <v>98</v>
      </c>
      <c r="C1246" t="s">
        <v>83</v>
      </c>
      <c r="D1246" t="s">
        <v>99</v>
      </c>
      <c r="E1246" t="s">
        <v>85</v>
      </c>
      <c r="F1246" cm="1">
        <f t="array" ref="F1246">_xlfn.XLOOKUP(Food_Orders[[#This Row],[Event_No]],Event_Master[[#All],[Event_No]],Event_Master[[#All],[Guest_Count]],,0)</f>
        <v>220</v>
      </c>
      <c r="G1246" cm="1">
        <f t="array" ref="G1246">Food_Orders[[#This Row],[Quantity_Orderd]]*_xlfn.XLOOKUP(Food_Orders[[#This Row],[Food_ID]],Food_Catalog[[#All],[Food_ID]],Food_Catalog[[#All],[Price_Per_Unit]],0,0)</f>
        <v>3300</v>
      </c>
      <c r="H1246" cm="1">
        <f t="array" ref="H1246">Food_Orders[[#This Row],[Quantity_Orderd]]*_xlfn.XLOOKUP(Food_Orders[[#This Row],[Food_ID]],Food_Catalog[[#All],[Food_ID]],Food_Catalog[[#All],[Client_Price_Per_Unit]],0,0)</f>
        <v>3960</v>
      </c>
      <c r="I1246">
        <f>Food_Orders[[#This Row],[Client_Price]]-Food_Orders[[#This Row],[Cost]]</f>
        <v>660</v>
      </c>
    </row>
    <row r="1247" spans="1:9" x14ac:dyDescent="0.25">
      <c r="A1247">
        <v>54</v>
      </c>
      <c r="B1247" t="s">
        <v>104</v>
      </c>
      <c r="C1247" t="s">
        <v>105</v>
      </c>
      <c r="D1247" t="s">
        <v>106</v>
      </c>
      <c r="E1247" t="s">
        <v>107</v>
      </c>
      <c r="F1247" cm="1">
        <f t="array" ref="F1247">_xlfn.XLOOKUP(Food_Orders[[#This Row],[Event_No]],Event_Master[[#All],[Event_No]],Event_Master[[#All],[Guest_Count]],,0)</f>
        <v>220</v>
      </c>
      <c r="G1247" cm="1">
        <f t="array" ref="G1247">Food_Orders[[#This Row],[Quantity_Orderd]]*_xlfn.XLOOKUP(Food_Orders[[#This Row],[Food_ID]],Food_Catalog[[#All],[Food_ID]],Food_Catalog[[#All],[Price_Per_Unit]],0,0)</f>
        <v>2200</v>
      </c>
      <c r="H1247" cm="1">
        <f t="array" ref="H1247">Food_Orders[[#This Row],[Quantity_Orderd]]*_xlfn.XLOOKUP(Food_Orders[[#This Row],[Food_ID]],Food_Catalog[[#All],[Food_ID]],Food_Catalog[[#All],[Client_Price_Per_Unit]],0,0)</f>
        <v>2640</v>
      </c>
      <c r="I1247">
        <f>Food_Orders[[#This Row],[Client_Price]]-Food_Orders[[#This Row],[Cost]]</f>
        <v>440</v>
      </c>
    </row>
    <row r="1248" spans="1:9" x14ac:dyDescent="0.25">
      <c r="A1248">
        <v>54</v>
      </c>
      <c r="B1248" t="s">
        <v>108</v>
      </c>
      <c r="C1248" t="s">
        <v>105</v>
      </c>
      <c r="D1248" t="s">
        <v>109</v>
      </c>
      <c r="E1248" t="s">
        <v>107</v>
      </c>
      <c r="F1248" cm="1">
        <f t="array" ref="F1248">_xlfn.XLOOKUP(Food_Orders[[#This Row],[Event_No]],Event_Master[[#All],[Event_No]],Event_Master[[#All],[Guest_Count]],,0)</f>
        <v>220</v>
      </c>
      <c r="G1248" cm="1">
        <f t="array" ref="G1248">Food_Orders[[#This Row],[Quantity_Orderd]]*_xlfn.XLOOKUP(Food_Orders[[#This Row],[Food_ID]],Food_Catalog[[#All],[Food_ID]],Food_Catalog[[#All],[Price_Per_Unit]],0,0)</f>
        <v>3300</v>
      </c>
      <c r="H1248" cm="1">
        <f t="array" ref="H1248">Food_Orders[[#This Row],[Quantity_Orderd]]*_xlfn.XLOOKUP(Food_Orders[[#This Row],[Food_ID]],Food_Catalog[[#All],[Food_ID]],Food_Catalog[[#All],[Client_Price_Per_Unit]],0,0)</f>
        <v>3960</v>
      </c>
      <c r="I1248">
        <f>Food_Orders[[#This Row],[Client_Price]]-Food_Orders[[#This Row],[Cost]]</f>
        <v>660</v>
      </c>
    </row>
    <row r="1249" spans="1:9" x14ac:dyDescent="0.25">
      <c r="A1249">
        <v>54</v>
      </c>
      <c r="B1249" t="s">
        <v>118</v>
      </c>
      <c r="C1249" t="s">
        <v>119</v>
      </c>
      <c r="D1249" t="s">
        <v>120</v>
      </c>
      <c r="E1249" t="s">
        <v>112</v>
      </c>
      <c r="F1249" cm="1">
        <f t="array" ref="F1249">_xlfn.XLOOKUP(Food_Orders[[#This Row],[Event_No]],Event_Master[[#All],[Event_No]],Event_Master[[#All],[Guest_Count]],,0)</f>
        <v>220</v>
      </c>
      <c r="G1249" cm="1">
        <f t="array" ref="G1249">Food_Orders[[#This Row],[Quantity_Orderd]]*_xlfn.XLOOKUP(Food_Orders[[#This Row],[Food_ID]],Food_Catalog[[#All],[Food_ID]],Food_Catalog[[#All],[Price_Per_Unit]],0,0)</f>
        <v>2200</v>
      </c>
      <c r="H1249" cm="1">
        <f t="array" ref="H1249">Food_Orders[[#This Row],[Quantity_Orderd]]*_xlfn.XLOOKUP(Food_Orders[[#This Row],[Food_ID]],Food_Catalog[[#All],[Food_ID]],Food_Catalog[[#All],[Client_Price_Per_Unit]],0,0)</f>
        <v>2640</v>
      </c>
      <c r="I1249">
        <f>Food_Orders[[#This Row],[Client_Price]]-Food_Orders[[#This Row],[Cost]]</f>
        <v>440</v>
      </c>
    </row>
    <row r="1250" spans="1:9" x14ac:dyDescent="0.25">
      <c r="A1250">
        <v>54</v>
      </c>
      <c r="B1250" t="s">
        <v>129</v>
      </c>
      <c r="C1250" t="s">
        <v>119</v>
      </c>
      <c r="D1250" t="s">
        <v>130</v>
      </c>
      <c r="E1250" t="s">
        <v>112</v>
      </c>
      <c r="F1250" cm="1">
        <f t="array" ref="F1250">_xlfn.XLOOKUP(Food_Orders[[#This Row],[Event_No]],Event_Master[[#All],[Event_No]],Event_Master[[#All],[Guest_Count]],,0)</f>
        <v>220</v>
      </c>
      <c r="G1250" cm="1">
        <f t="array" ref="G1250">Food_Orders[[#This Row],[Quantity_Orderd]]*_xlfn.XLOOKUP(Food_Orders[[#This Row],[Food_ID]],Food_Catalog[[#All],[Food_ID]],Food_Catalog[[#All],[Price_Per_Unit]],0,0)</f>
        <v>2200</v>
      </c>
      <c r="H1250" cm="1">
        <f t="array" ref="H1250">Food_Orders[[#This Row],[Quantity_Orderd]]*_xlfn.XLOOKUP(Food_Orders[[#This Row],[Food_ID]],Food_Catalog[[#All],[Food_ID]],Food_Catalog[[#All],[Client_Price_Per_Unit]],0,0)</f>
        <v>2640</v>
      </c>
      <c r="I1250">
        <f>Food_Orders[[#This Row],[Client_Price]]-Food_Orders[[#This Row],[Cost]]</f>
        <v>440</v>
      </c>
    </row>
    <row r="1251" spans="1:9" x14ac:dyDescent="0.25">
      <c r="A1251">
        <v>54</v>
      </c>
      <c r="B1251" t="s">
        <v>124</v>
      </c>
      <c r="C1251" t="s">
        <v>119</v>
      </c>
      <c r="D1251" t="s">
        <v>125</v>
      </c>
      <c r="E1251" t="s">
        <v>126</v>
      </c>
      <c r="F1251" cm="1">
        <f t="array" ref="F1251">_xlfn.XLOOKUP(Food_Orders[[#This Row],[Event_No]],Event_Master[[#All],[Event_No]],Event_Master[[#All],[Guest_Count]],,0)</f>
        <v>220</v>
      </c>
      <c r="G1251" cm="1">
        <f t="array" ref="G1251">Food_Orders[[#This Row],[Quantity_Orderd]]*_xlfn.XLOOKUP(Food_Orders[[#This Row],[Food_ID]],Food_Catalog[[#All],[Food_ID]],Food_Catalog[[#All],[Price_Per_Unit]],0,0)</f>
        <v>4400</v>
      </c>
      <c r="H1251" cm="1">
        <f t="array" ref="H1251">Food_Orders[[#This Row],[Quantity_Orderd]]*_xlfn.XLOOKUP(Food_Orders[[#This Row],[Food_ID]],Food_Catalog[[#All],[Food_ID]],Food_Catalog[[#All],[Client_Price_Per_Unit]],0,0)</f>
        <v>5280</v>
      </c>
      <c r="I1251">
        <f>Food_Orders[[#This Row],[Client_Price]]-Food_Orders[[#This Row],[Cost]]</f>
        <v>880</v>
      </c>
    </row>
    <row r="1252" spans="1:9" x14ac:dyDescent="0.25">
      <c r="A1252">
        <v>54</v>
      </c>
      <c r="B1252" t="s">
        <v>127</v>
      </c>
      <c r="C1252" t="s">
        <v>119</v>
      </c>
      <c r="D1252" t="s">
        <v>128</v>
      </c>
      <c r="E1252" t="s">
        <v>107</v>
      </c>
      <c r="F1252" cm="1">
        <f t="array" ref="F1252">_xlfn.XLOOKUP(Food_Orders[[#This Row],[Event_No]],Event_Master[[#All],[Event_No]],Event_Master[[#All],[Guest_Count]],,0)</f>
        <v>220</v>
      </c>
      <c r="G1252" cm="1">
        <f t="array" ref="G1252">Food_Orders[[#This Row],[Quantity_Orderd]]*_xlfn.XLOOKUP(Food_Orders[[#This Row],[Food_ID]],Food_Catalog[[#All],[Food_ID]],Food_Catalog[[#All],[Price_Per_Unit]],0,0)</f>
        <v>4400</v>
      </c>
      <c r="H1252" cm="1">
        <f t="array" ref="H1252">Food_Orders[[#This Row],[Quantity_Orderd]]*_xlfn.XLOOKUP(Food_Orders[[#This Row],[Food_ID]],Food_Catalog[[#All],[Food_ID]],Food_Catalog[[#All],[Client_Price_Per_Unit]],0,0)</f>
        <v>5280</v>
      </c>
      <c r="I1252">
        <f>Food_Orders[[#This Row],[Client_Price]]-Food_Orders[[#This Row],[Cost]]</f>
        <v>880</v>
      </c>
    </row>
    <row r="1253" spans="1:9" x14ac:dyDescent="0.25">
      <c r="A1253">
        <v>55</v>
      </c>
      <c r="B1253" t="s">
        <v>63</v>
      </c>
      <c r="C1253" t="s">
        <v>61</v>
      </c>
      <c r="D1253" t="s">
        <v>64</v>
      </c>
      <c r="E1253" t="s">
        <v>10</v>
      </c>
      <c r="F1253" cm="1">
        <f t="array" ref="F1253">_xlfn.XLOOKUP(Food_Orders[[#This Row],[Event_No]],Event_Master[[#All],[Event_No]],Event_Master[[#All],[Guest_Count]],,0)</f>
        <v>150</v>
      </c>
      <c r="G1253" cm="1">
        <f t="array" ref="G1253">Food_Orders[[#This Row],[Quantity_Orderd]]*_xlfn.XLOOKUP(Food_Orders[[#This Row],[Food_ID]],Food_Catalog[[#All],[Food_ID]],Food_Catalog[[#All],[Price_Per_Unit]],0,0)</f>
        <v>4500</v>
      </c>
      <c r="H1253" cm="1">
        <f t="array" ref="H1253">Food_Orders[[#This Row],[Quantity_Orderd]]*_xlfn.XLOOKUP(Food_Orders[[#This Row],[Food_ID]],Food_Catalog[[#All],[Food_ID]],Food_Catalog[[#All],[Client_Price_Per_Unit]],0,0)</f>
        <v>5400</v>
      </c>
      <c r="I1253">
        <f>Food_Orders[[#This Row],[Client_Price]]-Food_Orders[[#This Row],[Cost]]</f>
        <v>900</v>
      </c>
    </row>
    <row r="1254" spans="1:9" x14ac:dyDescent="0.25">
      <c r="A1254">
        <v>55</v>
      </c>
      <c r="B1254" t="s">
        <v>71</v>
      </c>
      <c r="C1254" t="s">
        <v>61</v>
      </c>
      <c r="D1254" t="s">
        <v>72</v>
      </c>
      <c r="E1254" t="s">
        <v>10</v>
      </c>
      <c r="F1254" cm="1">
        <f t="array" ref="F1254">_xlfn.XLOOKUP(Food_Orders[[#This Row],[Event_No]],Event_Master[[#All],[Event_No]],Event_Master[[#All],[Guest_Count]],,0)</f>
        <v>150</v>
      </c>
      <c r="G1254" cm="1">
        <f t="array" ref="G1254">Food_Orders[[#This Row],[Quantity_Orderd]]*_xlfn.XLOOKUP(Food_Orders[[#This Row],[Food_ID]],Food_Catalog[[#All],[Food_ID]],Food_Catalog[[#All],[Price_Per_Unit]],0,0)</f>
        <v>3750</v>
      </c>
      <c r="H1254" cm="1">
        <f t="array" ref="H1254">Food_Orders[[#This Row],[Quantity_Orderd]]*_xlfn.XLOOKUP(Food_Orders[[#This Row],[Food_ID]],Food_Catalog[[#All],[Food_ID]],Food_Catalog[[#All],[Client_Price_Per_Unit]],0,0)</f>
        <v>4500</v>
      </c>
      <c r="I1254">
        <f>Food_Orders[[#This Row],[Client_Price]]-Food_Orders[[#This Row],[Cost]]</f>
        <v>750</v>
      </c>
    </row>
    <row r="1255" spans="1:9" x14ac:dyDescent="0.25">
      <c r="A1255">
        <v>55</v>
      </c>
      <c r="B1255" t="s">
        <v>60</v>
      </c>
      <c r="C1255" t="s">
        <v>61</v>
      </c>
      <c r="D1255" t="s">
        <v>62</v>
      </c>
      <c r="E1255" t="s">
        <v>10</v>
      </c>
      <c r="F1255" cm="1">
        <f t="array" ref="F1255">_xlfn.XLOOKUP(Food_Orders[[#This Row],[Event_No]],Event_Master[[#All],[Event_No]],Event_Master[[#All],[Guest_Count]],,0)</f>
        <v>150</v>
      </c>
      <c r="G1255" cm="1">
        <f t="array" ref="G1255">Food_Orders[[#This Row],[Quantity_Orderd]]*_xlfn.XLOOKUP(Food_Orders[[#This Row],[Food_ID]],Food_Catalog[[#All],[Food_ID]],Food_Catalog[[#All],[Price_Per_Unit]],0,0)</f>
        <v>3000</v>
      </c>
      <c r="H1255" cm="1">
        <f t="array" ref="H1255">Food_Orders[[#This Row],[Quantity_Orderd]]*_xlfn.XLOOKUP(Food_Orders[[#This Row],[Food_ID]],Food_Catalog[[#All],[Food_ID]],Food_Catalog[[#All],[Client_Price_Per_Unit]],0,0)</f>
        <v>3600</v>
      </c>
      <c r="I1255">
        <f>Food_Orders[[#This Row],[Client_Price]]-Food_Orders[[#This Row],[Cost]]</f>
        <v>600</v>
      </c>
    </row>
    <row r="1256" spans="1:9" x14ac:dyDescent="0.25">
      <c r="A1256">
        <v>55</v>
      </c>
      <c r="B1256" t="s">
        <v>69</v>
      </c>
      <c r="C1256" t="s">
        <v>61</v>
      </c>
      <c r="D1256" t="s">
        <v>70</v>
      </c>
      <c r="E1256" t="s">
        <v>10</v>
      </c>
      <c r="F1256" cm="1">
        <f t="array" ref="F1256">_xlfn.XLOOKUP(Food_Orders[[#This Row],[Event_No]],Event_Master[[#All],[Event_No]],Event_Master[[#All],[Guest_Count]],,0)</f>
        <v>150</v>
      </c>
      <c r="G1256" cm="1">
        <f t="array" ref="G1256">Food_Orders[[#This Row],[Quantity_Orderd]]*_xlfn.XLOOKUP(Food_Orders[[#This Row],[Food_ID]],Food_Catalog[[#All],[Food_ID]],Food_Catalog[[#All],[Price_Per_Unit]],0,0)</f>
        <v>7500</v>
      </c>
      <c r="H1256" cm="1">
        <f t="array" ref="H1256">Food_Orders[[#This Row],[Quantity_Orderd]]*_xlfn.XLOOKUP(Food_Orders[[#This Row],[Food_ID]],Food_Catalog[[#All],[Food_ID]],Food_Catalog[[#All],[Client_Price_Per_Unit]],0,0)</f>
        <v>9000</v>
      </c>
      <c r="I1256">
        <f>Food_Orders[[#This Row],[Client_Price]]-Food_Orders[[#This Row],[Cost]]</f>
        <v>1500</v>
      </c>
    </row>
    <row r="1257" spans="1:9" x14ac:dyDescent="0.25">
      <c r="A1257">
        <v>55</v>
      </c>
      <c r="B1257" t="s">
        <v>13</v>
      </c>
      <c r="C1257" t="s">
        <v>8</v>
      </c>
      <c r="D1257" t="s">
        <v>14</v>
      </c>
      <c r="E1257" t="s">
        <v>10</v>
      </c>
      <c r="F1257" cm="1">
        <f t="array" ref="F1257">_xlfn.XLOOKUP(Food_Orders[[#This Row],[Event_No]],Event_Master[[#All],[Event_No]],Event_Master[[#All],[Guest_Count]],,0)</f>
        <v>150</v>
      </c>
      <c r="G1257" cm="1">
        <f t="array" ref="G1257">Food_Orders[[#This Row],[Quantity_Orderd]]*_xlfn.XLOOKUP(Food_Orders[[#This Row],[Food_ID]],Food_Catalog[[#All],[Food_ID]],Food_Catalog[[#All],[Price_Per_Unit]],0,0)</f>
        <v>5250</v>
      </c>
      <c r="H1257" cm="1">
        <f t="array" ref="H1257">Food_Orders[[#This Row],[Quantity_Orderd]]*_xlfn.XLOOKUP(Food_Orders[[#This Row],[Food_ID]],Food_Catalog[[#All],[Food_ID]],Food_Catalog[[#All],[Client_Price_Per_Unit]],0,0)</f>
        <v>6300</v>
      </c>
      <c r="I1257">
        <f>Food_Orders[[#This Row],[Client_Price]]-Food_Orders[[#This Row],[Cost]]</f>
        <v>1050</v>
      </c>
    </row>
    <row r="1258" spans="1:9" x14ac:dyDescent="0.25">
      <c r="A1258">
        <v>55</v>
      </c>
      <c r="B1258" t="s">
        <v>27</v>
      </c>
      <c r="C1258" t="s">
        <v>8</v>
      </c>
      <c r="D1258" t="s">
        <v>28</v>
      </c>
      <c r="E1258" t="s">
        <v>10</v>
      </c>
      <c r="F1258" cm="1">
        <f t="array" ref="F1258">_xlfn.XLOOKUP(Food_Orders[[#This Row],[Event_No]],Event_Master[[#All],[Event_No]],Event_Master[[#All],[Guest_Count]],,0)</f>
        <v>150</v>
      </c>
      <c r="G1258" cm="1">
        <f t="array" ref="G1258">Food_Orders[[#This Row],[Quantity_Orderd]]*_xlfn.XLOOKUP(Food_Orders[[#This Row],[Food_ID]],Food_Catalog[[#All],[Food_ID]],Food_Catalog[[#All],[Price_Per_Unit]],0,0)</f>
        <v>6000</v>
      </c>
      <c r="H1258" cm="1">
        <f t="array" ref="H1258">Food_Orders[[#This Row],[Quantity_Orderd]]*_xlfn.XLOOKUP(Food_Orders[[#This Row],[Food_ID]],Food_Catalog[[#All],[Food_ID]],Food_Catalog[[#All],[Client_Price_Per_Unit]],0,0)</f>
        <v>7200</v>
      </c>
      <c r="I1258">
        <f>Food_Orders[[#This Row],[Client_Price]]-Food_Orders[[#This Row],[Cost]]</f>
        <v>1200</v>
      </c>
    </row>
    <row r="1259" spans="1:9" x14ac:dyDescent="0.25">
      <c r="A1259">
        <v>55</v>
      </c>
      <c r="B1259" t="s">
        <v>31</v>
      </c>
      <c r="C1259" t="s">
        <v>8</v>
      </c>
      <c r="D1259" t="s">
        <v>32</v>
      </c>
      <c r="E1259" t="s">
        <v>10</v>
      </c>
      <c r="F1259" cm="1">
        <f t="array" ref="F1259">_xlfn.XLOOKUP(Food_Orders[[#This Row],[Event_No]],Event_Master[[#All],[Event_No]],Event_Master[[#All],[Guest_Count]],,0)</f>
        <v>150</v>
      </c>
      <c r="G1259" cm="1">
        <f t="array" ref="G1259">Food_Orders[[#This Row],[Quantity_Orderd]]*_xlfn.XLOOKUP(Food_Orders[[#This Row],[Food_ID]],Food_Catalog[[#All],[Food_ID]],Food_Catalog[[#All],[Price_Per_Unit]],0,0)</f>
        <v>4500</v>
      </c>
      <c r="H1259" cm="1">
        <f t="array" ref="H1259">Food_Orders[[#This Row],[Quantity_Orderd]]*_xlfn.XLOOKUP(Food_Orders[[#This Row],[Food_ID]],Food_Catalog[[#All],[Food_ID]],Food_Catalog[[#All],[Client_Price_Per_Unit]],0,0)</f>
        <v>5400</v>
      </c>
      <c r="I1259">
        <f>Food_Orders[[#This Row],[Client_Price]]-Food_Orders[[#This Row],[Cost]]</f>
        <v>900</v>
      </c>
    </row>
    <row r="1260" spans="1:9" x14ac:dyDescent="0.25">
      <c r="A1260">
        <v>55</v>
      </c>
      <c r="B1260" t="s">
        <v>29</v>
      </c>
      <c r="C1260" t="s">
        <v>8</v>
      </c>
      <c r="D1260" t="s">
        <v>30</v>
      </c>
      <c r="E1260" t="s">
        <v>10</v>
      </c>
      <c r="F1260" cm="1">
        <f t="array" ref="F1260">_xlfn.XLOOKUP(Food_Orders[[#This Row],[Event_No]],Event_Master[[#All],[Event_No]],Event_Master[[#All],[Guest_Count]],,0)</f>
        <v>150</v>
      </c>
      <c r="G1260" cm="1">
        <f t="array" ref="G1260">Food_Orders[[#This Row],[Quantity_Orderd]]*_xlfn.XLOOKUP(Food_Orders[[#This Row],[Food_ID]],Food_Catalog[[#All],[Food_ID]],Food_Catalog[[#All],[Price_Per_Unit]],0,0)</f>
        <v>4500</v>
      </c>
      <c r="H1260" cm="1">
        <f t="array" ref="H1260">Food_Orders[[#This Row],[Quantity_Orderd]]*_xlfn.XLOOKUP(Food_Orders[[#This Row],[Food_ID]],Food_Catalog[[#All],[Food_ID]],Food_Catalog[[#All],[Client_Price_Per_Unit]],0,0)</f>
        <v>5400</v>
      </c>
      <c r="I1260">
        <f>Food_Orders[[#This Row],[Client_Price]]-Food_Orders[[#This Row],[Cost]]</f>
        <v>900</v>
      </c>
    </row>
    <row r="1261" spans="1:9" x14ac:dyDescent="0.25">
      <c r="A1261">
        <v>55</v>
      </c>
      <c r="B1261" t="s">
        <v>37</v>
      </c>
      <c r="C1261" t="s">
        <v>8</v>
      </c>
      <c r="D1261" t="s">
        <v>38</v>
      </c>
      <c r="E1261" t="s">
        <v>10</v>
      </c>
      <c r="F1261" cm="1">
        <f t="array" ref="F1261">_xlfn.XLOOKUP(Food_Orders[[#This Row],[Event_No]],Event_Master[[#All],[Event_No]],Event_Master[[#All],[Guest_Count]],,0)</f>
        <v>150</v>
      </c>
      <c r="G1261" cm="1">
        <f t="array" ref="G1261">Food_Orders[[#This Row],[Quantity_Orderd]]*_xlfn.XLOOKUP(Food_Orders[[#This Row],[Food_ID]],Food_Catalog[[#All],[Food_ID]],Food_Catalog[[#All],[Price_Per_Unit]],0,0)</f>
        <v>3750</v>
      </c>
      <c r="H1261" cm="1">
        <f t="array" ref="H1261">Food_Orders[[#This Row],[Quantity_Orderd]]*_xlfn.XLOOKUP(Food_Orders[[#This Row],[Food_ID]],Food_Catalog[[#All],[Food_ID]],Food_Catalog[[#All],[Client_Price_Per_Unit]],0,0)</f>
        <v>4500</v>
      </c>
      <c r="I1261">
        <f>Food_Orders[[#This Row],[Client_Price]]-Food_Orders[[#This Row],[Cost]]</f>
        <v>750</v>
      </c>
    </row>
    <row r="1262" spans="1:9" x14ac:dyDescent="0.25">
      <c r="A1262">
        <v>55</v>
      </c>
      <c r="B1262" t="s">
        <v>39</v>
      </c>
      <c r="C1262" t="s">
        <v>40</v>
      </c>
      <c r="D1262" t="s">
        <v>41</v>
      </c>
      <c r="E1262" t="s">
        <v>10</v>
      </c>
      <c r="F1262" cm="1">
        <f t="array" ref="F1262">_xlfn.XLOOKUP(Food_Orders[[#This Row],[Event_No]],Event_Master[[#All],[Event_No]],Event_Master[[#All],[Guest_Count]],,0)</f>
        <v>150</v>
      </c>
      <c r="G1262" cm="1">
        <f t="array" ref="G1262">Food_Orders[[#This Row],[Quantity_Orderd]]*_xlfn.XLOOKUP(Food_Orders[[#This Row],[Food_ID]],Food_Catalog[[#All],[Food_ID]],Food_Catalog[[#All],[Price_Per_Unit]],0,0)</f>
        <v>9000</v>
      </c>
      <c r="H1262" cm="1">
        <f t="array" ref="H1262">Food_Orders[[#This Row],[Quantity_Orderd]]*_xlfn.XLOOKUP(Food_Orders[[#This Row],[Food_ID]],Food_Catalog[[#All],[Food_ID]],Food_Catalog[[#All],[Client_Price_Per_Unit]],0,0)</f>
        <v>10800</v>
      </c>
      <c r="I1262">
        <f>Food_Orders[[#This Row],[Client_Price]]-Food_Orders[[#This Row],[Cost]]</f>
        <v>1800</v>
      </c>
    </row>
    <row r="1263" spans="1:9" x14ac:dyDescent="0.25">
      <c r="A1263">
        <v>55</v>
      </c>
      <c r="B1263" t="s">
        <v>42</v>
      </c>
      <c r="C1263" t="s">
        <v>40</v>
      </c>
      <c r="D1263" t="s">
        <v>43</v>
      </c>
      <c r="E1263" t="s">
        <v>10</v>
      </c>
      <c r="F1263" cm="1">
        <f t="array" ref="F1263">_xlfn.XLOOKUP(Food_Orders[[#This Row],[Event_No]],Event_Master[[#All],[Event_No]],Event_Master[[#All],[Guest_Count]],,0)</f>
        <v>150</v>
      </c>
      <c r="G1263" cm="1">
        <f t="array" ref="G1263">Food_Orders[[#This Row],[Quantity_Orderd]]*_xlfn.XLOOKUP(Food_Orders[[#This Row],[Food_ID]],Food_Catalog[[#All],[Food_ID]],Food_Catalog[[#All],[Price_Per_Unit]],0,0)</f>
        <v>10500</v>
      </c>
      <c r="H1263" cm="1">
        <f t="array" ref="H1263">Food_Orders[[#This Row],[Quantity_Orderd]]*_xlfn.XLOOKUP(Food_Orders[[#This Row],[Food_ID]],Food_Catalog[[#All],[Food_ID]],Food_Catalog[[#All],[Client_Price_Per_Unit]],0,0)</f>
        <v>12600</v>
      </c>
      <c r="I1263">
        <f>Food_Orders[[#This Row],[Client_Price]]-Food_Orders[[#This Row],[Cost]]</f>
        <v>2100</v>
      </c>
    </row>
    <row r="1264" spans="1:9" x14ac:dyDescent="0.25">
      <c r="A1264">
        <v>55</v>
      </c>
      <c r="B1264" t="s">
        <v>58</v>
      </c>
      <c r="C1264" t="s">
        <v>40</v>
      </c>
      <c r="D1264" t="s">
        <v>59</v>
      </c>
      <c r="E1264" t="s">
        <v>10</v>
      </c>
      <c r="F1264" cm="1">
        <f t="array" ref="F1264">_xlfn.XLOOKUP(Food_Orders[[#This Row],[Event_No]],Event_Master[[#All],[Event_No]],Event_Master[[#All],[Guest_Count]],,0)</f>
        <v>150</v>
      </c>
      <c r="G1264" cm="1">
        <f t="array" ref="G1264">Food_Orders[[#This Row],[Quantity_Orderd]]*_xlfn.XLOOKUP(Food_Orders[[#This Row],[Food_ID]],Food_Catalog[[#All],[Food_ID]],Food_Catalog[[#All],[Price_Per_Unit]],0,0)</f>
        <v>13500</v>
      </c>
      <c r="H1264" cm="1">
        <f t="array" ref="H1264">Food_Orders[[#This Row],[Quantity_Orderd]]*_xlfn.XLOOKUP(Food_Orders[[#This Row],[Food_ID]],Food_Catalog[[#All],[Food_ID]],Food_Catalog[[#All],[Client_Price_Per_Unit]],0,0)</f>
        <v>16200</v>
      </c>
      <c r="I1264">
        <f>Food_Orders[[#This Row],[Client_Price]]-Food_Orders[[#This Row],[Cost]]</f>
        <v>2700</v>
      </c>
    </row>
    <row r="1265" spans="1:9" x14ac:dyDescent="0.25">
      <c r="A1265">
        <v>55</v>
      </c>
      <c r="B1265" t="s">
        <v>46</v>
      </c>
      <c r="C1265" t="s">
        <v>40</v>
      </c>
      <c r="D1265" t="s">
        <v>47</v>
      </c>
      <c r="E1265" t="s">
        <v>10</v>
      </c>
      <c r="F1265" cm="1">
        <f t="array" ref="F1265">_xlfn.XLOOKUP(Food_Orders[[#This Row],[Event_No]],Event_Master[[#All],[Event_No]],Event_Master[[#All],[Guest_Count]],,0)</f>
        <v>150</v>
      </c>
      <c r="G1265" cm="1">
        <f t="array" ref="G1265">Food_Orders[[#This Row],[Quantity_Orderd]]*_xlfn.XLOOKUP(Food_Orders[[#This Row],[Food_ID]],Food_Catalog[[#All],[Food_ID]],Food_Catalog[[#All],[Price_Per_Unit]],0,0)</f>
        <v>13500</v>
      </c>
      <c r="H1265" cm="1">
        <f t="array" ref="H1265">Food_Orders[[#This Row],[Quantity_Orderd]]*_xlfn.XLOOKUP(Food_Orders[[#This Row],[Food_ID]],Food_Catalog[[#All],[Food_ID]],Food_Catalog[[#All],[Client_Price_Per_Unit]],0,0)</f>
        <v>16200</v>
      </c>
      <c r="I1265">
        <f>Food_Orders[[#This Row],[Client_Price]]-Food_Orders[[#This Row],[Cost]]</f>
        <v>2700</v>
      </c>
    </row>
    <row r="1266" spans="1:9" x14ac:dyDescent="0.25">
      <c r="A1266">
        <v>55</v>
      </c>
      <c r="B1266" t="s">
        <v>50</v>
      </c>
      <c r="C1266" t="s">
        <v>40</v>
      </c>
      <c r="D1266" t="s">
        <v>51</v>
      </c>
      <c r="E1266" t="s">
        <v>10</v>
      </c>
      <c r="F1266" cm="1">
        <f t="array" ref="F1266">_xlfn.XLOOKUP(Food_Orders[[#This Row],[Event_No]],Event_Master[[#All],[Event_No]],Event_Master[[#All],[Guest_Count]],,0)</f>
        <v>150</v>
      </c>
      <c r="G1266" cm="1">
        <f t="array" ref="G1266">Food_Orders[[#This Row],[Quantity_Orderd]]*_xlfn.XLOOKUP(Food_Orders[[#This Row],[Food_ID]],Food_Catalog[[#All],[Food_ID]],Food_Catalog[[#All],[Price_Per_Unit]],0,0)</f>
        <v>12000</v>
      </c>
      <c r="H1266" cm="1">
        <f t="array" ref="H1266">Food_Orders[[#This Row],[Quantity_Orderd]]*_xlfn.XLOOKUP(Food_Orders[[#This Row],[Food_ID]],Food_Catalog[[#All],[Food_ID]],Food_Catalog[[#All],[Client_Price_Per_Unit]],0,0)</f>
        <v>14400</v>
      </c>
      <c r="I1266">
        <f>Food_Orders[[#This Row],[Client_Price]]-Food_Orders[[#This Row],[Cost]]</f>
        <v>2400</v>
      </c>
    </row>
    <row r="1267" spans="1:9" x14ac:dyDescent="0.25">
      <c r="A1267">
        <v>55</v>
      </c>
      <c r="B1267" t="s">
        <v>82</v>
      </c>
      <c r="C1267" t="s">
        <v>83</v>
      </c>
      <c r="D1267" t="s">
        <v>84</v>
      </c>
      <c r="E1267" t="s">
        <v>85</v>
      </c>
      <c r="F1267" cm="1">
        <f t="array" ref="F1267">_xlfn.XLOOKUP(Food_Orders[[#This Row],[Event_No]],Event_Master[[#All],[Event_No]],Event_Master[[#All],[Guest_Count]],,0)</f>
        <v>150</v>
      </c>
      <c r="G1267" cm="1">
        <f t="array" ref="G1267">Food_Orders[[#This Row],[Quantity_Orderd]]*_xlfn.XLOOKUP(Food_Orders[[#This Row],[Food_ID]],Food_Catalog[[#All],[Food_ID]],Food_Catalog[[#All],[Price_Per_Unit]],0,0)</f>
        <v>3000</v>
      </c>
      <c r="H1267" cm="1">
        <f t="array" ref="H1267">Food_Orders[[#This Row],[Quantity_Orderd]]*_xlfn.XLOOKUP(Food_Orders[[#This Row],[Food_ID]],Food_Catalog[[#All],[Food_ID]],Food_Catalog[[#All],[Client_Price_Per_Unit]],0,0)</f>
        <v>3600</v>
      </c>
      <c r="I1267">
        <f>Food_Orders[[#This Row],[Client_Price]]-Food_Orders[[#This Row],[Cost]]</f>
        <v>600</v>
      </c>
    </row>
    <row r="1268" spans="1:9" x14ac:dyDescent="0.25">
      <c r="A1268">
        <v>55</v>
      </c>
      <c r="B1268" t="s">
        <v>86</v>
      </c>
      <c r="C1268" t="s">
        <v>83</v>
      </c>
      <c r="D1268" t="s">
        <v>87</v>
      </c>
      <c r="E1268" t="s">
        <v>85</v>
      </c>
      <c r="F1268" cm="1">
        <f t="array" ref="F1268">_xlfn.XLOOKUP(Food_Orders[[#This Row],[Event_No]],Event_Master[[#All],[Event_No]],Event_Master[[#All],[Guest_Count]],,0)</f>
        <v>150</v>
      </c>
      <c r="G1268" cm="1">
        <f t="array" ref="G1268">Food_Orders[[#This Row],[Quantity_Orderd]]*_xlfn.XLOOKUP(Food_Orders[[#This Row],[Food_ID]],Food_Catalog[[#All],[Food_ID]],Food_Catalog[[#All],[Price_Per_Unit]],0,0)</f>
        <v>3000</v>
      </c>
      <c r="H1268" cm="1">
        <f t="array" ref="H1268">Food_Orders[[#This Row],[Quantity_Orderd]]*_xlfn.XLOOKUP(Food_Orders[[#This Row],[Food_ID]],Food_Catalog[[#All],[Food_ID]],Food_Catalog[[#All],[Client_Price_Per_Unit]],0,0)</f>
        <v>3600</v>
      </c>
      <c r="I1268">
        <f>Food_Orders[[#This Row],[Client_Price]]-Food_Orders[[#This Row],[Cost]]</f>
        <v>600</v>
      </c>
    </row>
    <row r="1269" spans="1:9" x14ac:dyDescent="0.25">
      <c r="A1269">
        <v>55</v>
      </c>
      <c r="B1269" t="s">
        <v>96</v>
      </c>
      <c r="C1269" t="s">
        <v>83</v>
      </c>
      <c r="D1269" t="s">
        <v>97</v>
      </c>
      <c r="E1269" t="s">
        <v>79</v>
      </c>
      <c r="F1269" cm="1">
        <f t="array" ref="F1269">_xlfn.XLOOKUP(Food_Orders[[#This Row],[Event_No]],Event_Master[[#All],[Event_No]],Event_Master[[#All],[Guest_Count]],,0)</f>
        <v>150</v>
      </c>
      <c r="G1269" cm="1">
        <f t="array" ref="G1269">Food_Orders[[#This Row],[Quantity_Orderd]]*_xlfn.XLOOKUP(Food_Orders[[#This Row],[Food_ID]],Food_Catalog[[#All],[Food_ID]],Food_Catalog[[#All],[Price_Per_Unit]],0,0)</f>
        <v>4500</v>
      </c>
      <c r="H1269" cm="1">
        <f t="array" ref="H1269">Food_Orders[[#This Row],[Quantity_Orderd]]*_xlfn.XLOOKUP(Food_Orders[[#This Row],[Food_ID]],Food_Catalog[[#All],[Food_ID]],Food_Catalog[[#All],[Client_Price_Per_Unit]],0,0)</f>
        <v>5400</v>
      </c>
      <c r="I1269">
        <f>Food_Orders[[#This Row],[Client_Price]]-Food_Orders[[#This Row],[Cost]]</f>
        <v>900</v>
      </c>
    </row>
    <row r="1270" spans="1:9" x14ac:dyDescent="0.25">
      <c r="A1270">
        <v>55</v>
      </c>
      <c r="B1270" t="s">
        <v>92</v>
      </c>
      <c r="C1270" t="s">
        <v>83</v>
      </c>
      <c r="D1270" t="s">
        <v>93</v>
      </c>
      <c r="E1270" t="s">
        <v>85</v>
      </c>
      <c r="F1270" cm="1">
        <f t="array" ref="F1270">_xlfn.XLOOKUP(Food_Orders[[#This Row],[Event_No]],Event_Master[[#All],[Event_No]],Event_Master[[#All],[Guest_Count]],,0)</f>
        <v>150</v>
      </c>
      <c r="G1270" cm="1">
        <f t="array" ref="G1270">Food_Orders[[#This Row],[Quantity_Orderd]]*_xlfn.XLOOKUP(Food_Orders[[#This Row],[Food_ID]],Food_Catalog[[#All],[Food_ID]],Food_Catalog[[#All],[Price_Per_Unit]],0,0)</f>
        <v>2250</v>
      </c>
      <c r="H1270" cm="1">
        <f t="array" ref="H1270">Food_Orders[[#This Row],[Quantity_Orderd]]*_xlfn.XLOOKUP(Food_Orders[[#This Row],[Food_ID]],Food_Catalog[[#All],[Food_ID]],Food_Catalog[[#All],[Client_Price_Per_Unit]],0,0)</f>
        <v>2700</v>
      </c>
      <c r="I1270">
        <f>Food_Orders[[#This Row],[Client_Price]]-Food_Orders[[#This Row],[Cost]]</f>
        <v>450</v>
      </c>
    </row>
    <row r="1271" spans="1:9" x14ac:dyDescent="0.25">
      <c r="A1271">
        <v>55</v>
      </c>
      <c r="B1271" t="s">
        <v>98</v>
      </c>
      <c r="C1271" t="s">
        <v>83</v>
      </c>
      <c r="D1271" t="s">
        <v>99</v>
      </c>
      <c r="E1271" t="s">
        <v>85</v>
      </c>
      <c r="F1271" cm="1">
        <f t="array" ref="F1271">_xlfn.XLOOKUP(Food_Orders[[#This Row],[Event_No]],Event_Master[[#All],[Event_No]],Event_Master[[#All],[Guest_Count]],,0)</f>
        <v>150</v>
      </c>
      <c r="G1271" cm="1">
        <f t="array" ref="G1271">Food_Orders[[#This Row],[Quantity_Orderd]]*_xlfn.XLOOKUP(Food_Orders[[#This Row],[Food_ID]],Food_Catalog[[#All],[Food_ID]],Food_Catalog[[#All],[Price_Per_Unit]],0,0)</f>
        <v>2250</v>
      </c>
      <c r="H1271" cm="1">
        <f t="array" ref="H1271">Food_Orders[[#This Row],[Quantity_Orderd]]*_xlfn.XLOOKUP(Food_Orders[[#This Row],[Food_ID]],Food_Catalog[[#All],[Food_ID]],Food_Catalog[[#All],[Client_Price_Per_Unit]],0,0)</f>
        <v>2700</v>
      </c>
      <c r="I1271">
        <f>Food_Orders[[#This Row],[Client_Price]]-Food_Orders[[#This Row],[Cost]]</f>
        <v>450</v>
      </c>
    </row>
    <row r="1272" spans="1:9" x14ac:dyDescent="0.25">
      <c r="A1272">
        <v>55</v>
      </c>
      <c r="B1272" t="s">
        <v>104</v>
      </c>
      <c r="C1272" t="s">
        <v>105</v>
      </c>
      <c r="D1272" t="s">
        <v>106</v>
      </c>
      <c r="E1272" t="s">
        <v>107</v>
      </c>
      <c r="F1272" cm="1">
        <f t="array" ref="F1272">_xlfn.XLOOKUP(Food_Orders[[#This Row],[Event_No]],Event_Master[[#All],[Event_No]],Event_Master[[#All],[Guest_Count]],,0)</f>
        <v>150</v>
      </c>
      <c r="G1272" cm="1">
        <f t="array" ref="G1272">Food_Orders[[#This Row],[Quantity_Orderd]]*_xlfn.XLOOKUP(Food_Orders[[#This Row],[Food_ID]],Food_Catalog[[#All],[Food_ID]],Food_Catalog[[#All],[Price_Per_Unit]],0,0)</f>
        <v>1500</v>
      </c>
      <c r="H1272" cm="1">
        <f t="array" ref="H1272">Food_Orders[[#This Row],[Quantity_Orderd]]*_xlfn.XLOOKUP(Food_Orders[[#This Row],[Food_ID]],Food_Catalog[[#All],[Food_ID]],Food_Catalog[[#All],[Client_Price_Per_Unit]],0,0)</f>
        <v>1800</v>
      </c>
      <c r="I1272">
        <f>Food_Orders[[#This Row],[Client_Price]]-Food_Orders[[#This Row],[Cost]]</f>
        <v>300</v>
      </c>
    </row>
    <row r="1273" spans="1:9" x14ac:dyDescent="0.25">
      <c r="A1273">
        <v>55</v>
      </c>
      <c r="B1273" t="s">
        <v>108</v>
      </c>
      <c r="C1273" t="s">
        <v>105</v>
      </c>
      <c r="D1273" t="s">
        <v>109</v>
      </c>
      <c r="E1273" t="s">
        <v>107</v>
      </c>
      <c r="F1273" cm="1">
        <f t="array" ref="F1273">_xlfn.XLOOKUP(Food_Orders[[#This Row],[Event_No]],Event_Master[[#All],[Event_No]],Event_Master[[#All],[Guest_Count]],,0)</f>
        <v>150</v>
      </c>
      <c r="G1273" cm="1">
        <f t="array" ref="G1273">Food_Orders[[#This Row],[Quantity_Orderd]]*_xlfn.XLOOKUP(Food_Orders[[#This Row],[Food_ID]],Food_Catalog[[#All],[Food_ID]],Food_Catalog[[#All],[Price_Per_Unit]],0,0)</f>
        <v>2250</v>
      </c>
      <c r="H1273" cm="1">
        <f t="array" ref="H1273">Food_Orders[[#This Row],[Quantity_Orderd]]*_xlfn.XLOOKUP(Food_Orders[[#This Row],[Food_ID]],Food_Catalog[[#All],[Food_ID]],Food_Catalog[[#All],[Client_Price_Per_Unit]],0,0)</f>
        <v>2700</v>
      </c>
      <c r="I1273">
        <f>Food_Orders[[#This Row],[Client_Price]]-Food_Orders[[#This Row],[Cost]]</f>
        <v>450</v>
      </c>
    </row>
    <row r="1274" spans="1:9" x14ac:dyDescent="0.25">
      <c r="A1274">
        <v>55</v>
      </c>
      <c r="B1274" t="s">
        <v>118</v>
      </c>
      <c r="C1274" t="s">
        <v>119</v>
      </c>
      <c r="D1274" t="s">
        <v>120</v>
      </c>
      <c r="E1274" t="s">
        <v>112</v>
      </c>
      <c r="F1274" cm="1">
        <f t="array" ref="F1274">_xlfn.XLOOKUP(Food_Orders[[#This Row],[Event_No]],Event_Master[[#All],[Event_No]],Event_Master[[#All],[Guest_Count]],,0)</f>
        <v>150</v>
      </c>
      <c r="G1274" cm="1">
        <f t="array" ref="G1274">Food_Orders[[#This Row],[Quantity_Orderd]]*_xlfn.XLOOKUP(Food_Orders[[#This Row],[Food_ID]],Food_Catalog[[#All],[Food_ID]],Food_Catalog[[#All],[Price_Per_Unit]],0,0)</f>
        <v>1500</v>
      </c>
      <c r="H1274" cm="1">
        <f t="array" ref="H1274">Food_Orders[[#This Row],[Quantity_Orderd]]*_xlfn.XLOOKUP(Food_Orders[[#This Row],[Food_ID]],Food_Catalog[[#All],[Food_ID]],Food_Catalog[[#All],[Client_Price_Per_Unit]],0,0)</f>
        <v>1800</v>
      </c>
      <c r="I1274">
        <f>Food_Orders[[#This Row],[Client_Price]]-Food_Orders[[#This Row],[Cost]]</f>
        <v>300</v>
      </c>
    </row>
    <row r="1275" spans="1:9" x14ac:dyDescent="0.25">
      <c r="A1275">
        <v>55</v>
      </c>
      <c r="B1275" t="s">
        <v>129</v>
      </c>
      <c r="C1275" t="s">
        <v>119</v>
      </c>
      <c r="D1275" t="s">
        <v>130</v>
      </c>
      <c r="E1275" t="s">
        <v>112</v>
      </c>
      <c r="F1275" cm="1">
        <f t="array" ref="F1275">_xlfn.XLOOKUP(Food_Orders[[#This Row],[Event_No]],Event_Master[[#All],[Event_No]],Event_Master[[#All],[Guest_Count]],,0)</f>
        <v>150</v>
      </c>
      <c r="G1275" cm="1">
        <f t="array" ref="G1275">Food_Orders[[#This Row],[Quantity_Orderd]]*_xlfn.XLOOKUP(Food_Orders[[#This Row],[Food_ID]],Food_Catalog[[#All],[Food_ID]],Food_Catalog[[#All],[Price_Per_Unit]],0,0)</f>
        <v>1500</v>
      </c>
      <c r="H1275" cm="1">
        <f t="array" ref="H1275">Food_Orders[[#This Row],[Quantity_Orderd]]*_xlfn.XLOOKUP(Food_Orders[[#This Row],[Food_ID]],Food_Catalog[[#All],[Food_ID]],Food_Catalog[[#All],[Client_Price_Per_Unit]],0,0)</f>
        <v>1800</v>
      </c>
      <c r="I1275">
        <f>Food_Orders[[#This Row],[Client_Price]]-Food_Orders[[#This Row],[Cost]]</f>
        <v>300</v>
      </c>
    </row>
    <row r="1276" spans="1:9" x14ac:dyDescent="0.25">
      <c r="A1276">
        <v>55</v>
      </c>
      <c r="B1276" t="s">
        <v>124</v>
      </c>
      <c r="C1276" t="s">
        <v>119</v>
      </c>
      <c r="D1276" t="s">
        <v>125</v>
      </c>
      <c r="E1276" t="s">
        <v>126</v>
      </c>
      <c r="F1276" cm="1">
        <f t="array" ref="F1276">_xlfn.XLOOKUP(Food_Orders[[#This Row],[Event_No]],Event_Master[[#All],[Event_No]],Event_Master[[#All],[Guest_Count]],,0)</f>
        <v>150</v>
      </c>
      <c r="G1276" cm="1">
        <f t="array" ref="G1276">Food_Orders[[#This Row],[Quantity_Orderd]]*_xlfn.XLOOKUP(Food_Orders[[#This Row],[Food_ID]],Food_Catalog[[#All],[Food_ID]],Food_Catalog[[#All],[Price_Per_Unit]],0,0)</f>
        <v>3000</v>
      </c>
      <c r="H1276" cm="1">
        <f t="array" ref="H1276">Food_Orders[[#This Row],[Quantity_Orderd]]*_xlfn.XLOOKUP(Food_Orders[[#This Row],[Food_ID]],Food_Catalog[[#All],[Food_ID]],Food_Catalog[[#All],[Client_Price_Per_Unit]],0,0)</f>
        <v>3600</v>
      </c>
      <c r="I1276">
        <f>Food_Orders[[#This Row],[Client_Price]]-Food_Orders[[#This Row],[Cost]]</f>
        <v>600</v>
      </c>
    </row>
    <row r="1277" spans="1:9" x14ac:dyDescent="0.25">
      <c r="A1277">
        <v>55</v>
      </c>
      <c r="B1277" t="s">
        <v>127</v>
      </c>
      <c r="C1277" t="s">
        <v>119</v>
      </c>
      <c r="D1277" t="s">
        <v>128</v>
      </c>
      <c r="E1277" t="s">
        <v>107</v>
      </c>
      <c r="F1277" cm="1">
        <f t="array" ref="F1277">_xlfn.XLOOKUP(Food_Orders[[#This Row],[Event_No]],Event_Master[[#All],[Event_No]],Event_Master[[#All],[Guest_Count]],,0)</f>
        <v>150</v>
      </c>
      <c r="G1277" cm="1">
        <f t="array" ref="G1277">Food_Orders[[#This Row],[Quantity_Orderd]]*_xlfn.XLOOKUP(Food_Orders[[#This Row],[Food_ID]],Food_Catalog[[#All],[Food_ID]],Food_Catalog[[#All],[Price_Per_Unit]],0,0)</f>
        <v>3000</v>
      </c>
      <c r="H1277" cm="1">
        <f t="array" ref="H1277">Food_Orders[[#This Row],[Quantity_Orderd]]*_xlfn.XLOOKUP(Food_Orders[[#This Row],[Food_ID]],Food_Catalog[[#All],[Food_ID]],Food_Catalog[[#All],[Client_Price_Per_Unit]],0,0)</f>
        <v>3600</v>
      </c>
      <c r="I1277">
        <f>Food_Orders[[#This Row],[Client_Price]]-Food_Orders[[#This Row],[Cost]]</f>
        <v>600</v>
      </c>
    </row>
    <row r="1278" spans="1:9" x14ac:dyDescent="0.25">
      <c r="A1278">
        <v>56</v>
      </c>
      <c r="B1278" t="s">
        <v>60</v>
      </c>
      <c r="C1278" t="s">
        <v>61</v>
      </c>
      <c r="D1278" t="s">
        <v>62</v>
      </c>
      <c r="E1278" t="s">
        <v>10</v>
      </c>
      <c r="F1278" cm="1">
        <f t="array" ref="F1278">_xlfn.XLOOKUP(Food_Orders[[#This Row],[Event_No]],Event_Master[[#All],[Event_No]],Event_Master[[#All],[Guest_Count]],,0)</f>
        <v>130</v>
      </c>
      <c r="G1278" cm="1">
        <f t="array" ref="G1278">Food_Orders[[#This Row],[Quantity_Orderd]]*_xlfn.XLOOKUP(Food_Orders[[#This Row],[Food_ID]],Food_Catalog[[#All],[Food_ID]],Food_Catalog[[#All],[Price_Per_Unit]],0,0)</f>
        <v>2600</v>
      </c>
      <c r="H1278" cm="1">
        <f t="array" ref="H1278">Food_Orders[[#This Row],[Quantity_Orderd]]*_xlfn.XLOOKUP(Food_Orders[[#This Row],[Food_ID]],Food_Catalog[[#All],[Food_ID]],Food_Catalog[[#All],[Client_Price_Per_Unit]],0,0)</f>
        <v>3120</v>
      </c>
      <c r="I1278">
        <f>Food_Orders[[#This Row],[Client_Price]]-Food_Orders[[#This Row],[Cost]]</f>
        <v>520</v>
      </c>
    </row>
    <row r="1279" spans="1:9" x14ac:dyDescent="0.25">
      <c r="A1279">
        <v>56</v>
      </c>
      <c r="B1279" t="s">
        <v>63</v>
      </c>
      <c r="C1279" t="s">
        <v>61</v>
      </c>
      <c r="D1279" t="s">
        <v>64</v>
      </c>
      <c r="E1279" t="s">
        <v>10</v>
      </c>
      <c r="F1279" cm="1">
        <f t="array" ref="F1279">_xlfn.XLOOKUP(Food_Orders[[#This Row],[Event_No]],Event_Master[[#All],[Event_No]],Event_Master[[#All],[Guest_Count]],,0)</f>
        <v>130</v>
      </c>
      <c r="G1279" cm="1">
        <f t="array" ref="G1279">Food_Orders[[#This Row],[Quantity_Orderd]]*_xlfn.XLOOKUP(Food_Orders[[#This Row],[Food_ID]],Food_Catalog[[#All],[Food_ID]],Food_Catalog[[#All],[Price_Per_Unit]],0,0)</f>
        <v>3900</v>
      </c>
      <c r="H1279" cm="1">
        <f t="array" ref="H1279">Food_Orders[[#This Row],[Quantity_Orderd]]*_xlfn.XLOOKUP(Food_Orders[[#This Row],[Food_ID]],Food_Catalog[[#All],[Food_ID]],Food_Catalog[[#All],[Client_Price_Per_Unit]],0,0)</f>
        <v>4680</v>
      </c>
      <c r="I1279">
        <f>Food_Orders[[#This Row],[Client_Price]]-Food_Orders[[#This Row],[Cost]]</f>
        <v>780</v>
      </c>
    </row>
    <row r="1280" spans="1:9" x14ac:dyDescent="0.25">
      <c r="A1280">
        <v>56</v>
      </c>
      <c r="B1280" t="s">
        <v>71</v>
      </c>
      <c r="C1280" t="s">
        <v>61</v>
      </c>
      <c r="D1280" t="s">
        <v>72</v>
      </c>
      <c r="E1280" t="s">
        <v>10</v>
      </c>
      <c r="F1280" cm="1">
        <f t="array" ref="F1280">_xlfn.XLOOKUP(Food_Orders[[#This Row],[Event_No]],Event_Master[[#All],[Event_No]],Event_Master[[#All],[Guest_Count]],,0)</f>
        <v>130</v>
      </c>
      <c r="G1280" cm="1">
        <f t="array" ref="G1280">Food_Orders[[#This Row],[Quantity_Orderd]]*_xlfn.XLOOKUP(Food_Orders[[#This Row],[Food_ID]],Food_Catalog[[#All],[Food_ID]],Food_Catalog[[#All],[Price_Per_Unit]],0,0)</f>
        <v>3250</v>
      </c>
      <c r="H1280" cm="1">
        <f t="array" ref="H1280">Food_Orders[[#This Row],[Quantity_Orderd]]*_xlfn.XLOOKUP(Food_Orders[[#This Row],[Food_ID]],Food_Catalog[[#All],[Food_ID]],Food_Catalog[[#All],[Client_Price_Per_Unit]],0,0)</f>
        <v>3900</v>
      </c>
      <c r="I1280">
        <f>Food_Orders[[#This Row],[Client_Price]]-Food_Orders[[#This Row],[Cost]]</f>
        <v>650</v>
      </c>
    </row>
    <row r="1281" spans="1:9" x14ac:dyDescent="0.25">
      <c r="A1281">
        <v>56</v>
      </c>
      <c r="B1281" t="s">
        <v>73</v>
      </c>
      <c r="C1281" t="s">
        <v>61</v>
      </c>
      <c r="D1281" t="s">
        <v>74</v>
      </c>
      <c r="E1281" t="s">
        <v>10</v>
      </c>
      <c r="F1281" cm="1">
        <f t="array" ref="F1281">_xlfn.XLOOKUP(Food_Orders[[#This Row],[Event_No]],Event_Master[[#All],[Event_No]],Event_Master[[#All],[Guest_Count]],,0)</f>
        <v>130</v>
      </c>
      <c r="G1281" cm="1">
        <f t="array" ref="G1281">Food_Orders[[#This Row],[Quantity_Orderd]]*_xlfn.XLOOKUP(Food_Orders[[#This Row],[Food_ID]],Food_Catalog[[#All],[Food_ID]],Food_Catalog[[#All],[Price_Per_Unit]],0,0)</f>
        <v>5200</v>
      </c>
      <c r="H1281" cm="1">
        <f t="array" ref="H1281">Food_Orders[[#This Row],[Quantity_Orderd]]*_xlfn.XLOOKUP(Food_Orders[[#This Row],[Food_ID]],Food_Catalog[[#All],[Food_ID]],Food_Catalog[[#All],[Client_Price_Per_Unit]],0,0)</f>
        <v>6240</v>
      </c>
      <c r="I1281">
        <f>Food_Orders[[#This Row],[Client_Price]]-Food_Orders[[#This Row],[Cost]]</f>
        <v>1040</v>
      </c>
    </row>
    <row r="1282" spans="1:9" x14ac:dyDescent="0.25">
      <c r="A1282">
        <v>56</v>
      </c>
      <c r="B1282" t="s">
        <v>75</v>
      </c>
      <c r="C1282" t="s">
        <v>61</v>
      </c>
      <c r="D1282" t="s">
        <v>76</v>
      </c>
      <c r="E1282" t="s">
        <v>10</v>
      </c>
      <c r="F1282" cm="1">
        <f t="array" ref="F1282">_xlfn.XLOOKUP(Food_Orders[[#This Row],[Event_No]],Event_Master[[#All],[Event_No]],Event_Master[[#All],[Guest_Count]],,0)</f>
        <v>130</v>
      </c>
      <c r="G1282" cm="1">
        <f t="array" ref="G1282">Food_Orders[[#This Row],[Quantity_Orderd]]*_xlfn.XLOOKUP(Food_Orders[[#This Row],[Food_ID]],Food_Catalog[[#All],[Food_ID]],Food_Catalog[[#All],[Price_Per_Unit]],0,0)</f>
        <v>5200</v>
      </c>
      <c r="H1282" cm="1">
        <f t="array" ref="H1282">Food_Orders[[#This Row],[Quantity_Orderd]]*_xlfn.XLOOKUP(Food_Orders[[#This Row],[Food_ID]],Food_Catalog[[#All],[Food_ID]],Food_Catalog[[#All],[Client_Price_Per_Unit]],0,0)</f>
        <v>6240</v>
      </c>
      <c r="I1282">
        <f>Food_Orders[[#This Row],[Client_Price]]-Food_Orders[[#This Row],[Cost]]</f>
        <v>1040</v>
      </c>
    </row>
    <row r="1283" spans="1:9" x14ac:dyDescent="0.25">
      <c r="A1283">
        <v>56</v>
      </c>
      <c r="B1283" t="s">
        <v>69</v>
      </c>
      <c r="C1283" t="s">
        <v>61</v>
      </c>
      <c r="D1283" t="s">
        <v>70</v>
      </c>
      <c r="E1283" t="s">
        <v>10</v>
      </c>
      <c r="F1283" cm="1">
        <f t="array" ref="F1283">_xlfn.XLOOKUP(Food_Orders[[#This Row],[Event_No]],Event_Master[[#All],[Event_No]],Event_Master[[#All],[Guest_Count]],,0)</f>
        <v>130</v>
      </c>
      <c r="G1283" cm="1">
        <f t="array" ref="G1283">Food_Orders[[#This Row],[Quantity_Orderd]]*_xlfn.XLOOKUP(Food_Orders[[#This Row],[Food_ID]],Food_Catalog[[#All],[Food_ID]],Food_Catalog[[#All],[Price_Per_Unit]],0,0)</f>
        <v>6500</v>
      </c>
      <c r="H1283" cm="1">
        <f t="array" ref="H1283">Food_Orders[[#This Row],[Quantity_Orderd]]*_xlfn.XLOOKUP(Food_Orders[[#This Row],[Food_ID]],Food_Catalog[[#All],[Food_ID]],Food_Catalog[[#All],[Client_Price_Per_Unit]],0,0)</f>
        <v>7800</v>
      </c>
      <c r="I1283">
        <f>Food_Orders[[#This Row],[Client_Price]]-Food_Orders[[#This Row],[Cost]]</f>
        <v>1300</v>
      </c>
    </row>
    <row r="1284" spans="1:9" x14ac:dyDescent="0.25">
      <c r="A1284">
        <v>56</v>
      </c>
      <c r="B1284" t="s">
        <v>77</v>
      </c>
      <c r="C1284" t="s">
        <v>61</v>
      </c>
      <c r="D1284" t="s">
        <v>78</v>
      </c>
      <c r="E1284" t="s">
        <v>79</v>
      </c>
      <c r="F1284" cm="1">
        <f t="array" ref="F1284">_xlfn.XLOOKUP(Food_Orders[[#This Row],[Event_No]],Event_Master[[#All],[Event_No]],Event_Master[[#All],[Guest_Count]],,0)</f>
        <v>130</v>
      </c>
      <c r="G1284" cm="1">
        <f t="array" ref="G1284">Food_Orders[[#This Row],[Quantity_Orderd]]*_xlfn.XLOOKUP(Food_Orders[[#This Row],[Food_ID]],Food_Catalog[[#All],[Food_ID]],Food_Catalog[[#All],[Price_Per_Unit]],0,0)</f>
        <v>4550</v>
      </c>
      <c r="H1284" cm="1">
        <f t="array" ref="H1284">Food_Orders[[#This Row],[Quantity_Orderd]]*_xlfn.XLOOKUP(Food_Orders[[#This Row],[Food_ID]],Food_Catalog[[#All],[Food_ID]],Food_Catalog[[#All],[Client_Price_Per_Unit]],0,0)</f>
        <v>5460</v>
      </c>
      <c r="I1284">
        <f>Food_Orders[[#This Row],[Client_Price]]-Food_Orders[[#This Row],[Cost]]</f>
        <v>910</v>
      </c>
    </row>
    <row r="1285" spans="1:9" x14ac:dyDescent="0.25">
      <c r="A1285">
        <v>56</v>
      </c>
      <c r="B1285" t="s">
        <v>7</v>
      </c>
      <c r="C1285" t="s">
        <v>8</v>
      </c>
      <c r="D1285" t="s">
        <v>9</v>
      </c>
      <c r="E1285" t="s">
        <v>10</v>
      </c>
      <c r="F1285" cm="1">
        <f t="array" ref="F1285">_xlfn.XLOOKUP(Food_Orders[[#This Row],[Event_No]],Event_Master[[#All],[Event_No]],Event_Master[[#All],[Guest_Count]],,0)</f>
        <v>130</v>
      </c>
      <c r="G1285" cm="1">
        <f t="array" ref="G1285">Food_Orders[[#This Row],[Quantity_Orderd]]*_xlfn.XLOOKUP(Food_Orders[[#This Row],[Food_ID]],Food_Catalog[[#All],[Food_ID]],Food_Catalog[[#All],[Price_Per_Unit]],0,0)</f>
        <v>3250</v>
      </c>
      <c r="H1285" cm="1">
        <f t="array" ref="H1285">Food_Orders[[#This Row],[Quantity_Orderd]]*_xlfn.XLOOKUP(Food_Orders[[#This Row],[Food_ID]],Food_Catalog[[#All],[Food_ID]],Food_Catalog[[#All],[Client_Price_Per_Unit]],0,0)</f>
        <v>3900</v>
      </c>
      <c r="I1285">
        <f>Food_Orders[[#This Row],[Client_Price]]-Food_Orders[[#This Row],[Cost]]</f>
        <v>650</v>
      </c>
    </row>
    <row r="1286" spans="1:9" x14ac:dyDescent="0.25">
      <c r="A1286">
        <v>56</v>
      </c>
      <c r="B1286" t="s">
        <v>13</v>
      </c>
      <c r="C1286" t="s">
        <v>8</v>
      </c>
      <c r="D1286" t="s">
        <v>14</v>
      </c>
      <c r="E1286" t="s">
        <v>10</v>
      </c>
      <c r="F1286" cm="1">
        <f t="array" ref="F1286">_xlfn.XLOOKUP(Food_Orders[[#This Row],[Event_No]],Event_Master[[#All],[Event_No]],Event_Master[[#All],[Guest_Count]],,0)</f>
        <v>130</v>
      </c>
      <c r="G1286" cm="1">
        <f t="array" ref="G1286">Food_Orders[[#This Row],[Quantity_Orderd]]*_xlfn.XLOOKUP(Food_Orders[[#This Row],[Food_ID]],Food_Catalog[[#All],[Food_ID]],Food_Catalog[[#All],[Price_Per_Unit]],0,0)</f>
        <v>4550</v>
      </c>
      <c r="H1286" cm="1">
        <f t="array" ref="H1286">Food_Orders[[#This Row],[Quantity_Orderd]]*_xlfn.XLOOKUP(Food_Orders[[#This Row],[Food_ID]],Food_Catalog[[#All],[Food_ID]],Food_Catalog[[#All],[Client_Price_Per_Unit]],0,0)</f>
        <v>5460</v>
      </c>
      <c r="I1286">
        <f>Food_Orders[[#This Row],[Client_Price]]-Food_Orders[[#This Row],[Cost]]</f>
        <v>910</v>
      </c>
    </row>
    <row r="1287" spans="1:9" x14ac:dyDescent="0.25">
      <c r="A1287">
        <v>56</v>
      </c>
      <c r="B1287" t="s">
        <v>27</v>
      </c>
      <c r="C1287" t="s">
        <v>8</v>
      </c>
      <c r="D1287" t="s">
        <v>28</v>
      </c>
      <c r="E1287" t="s">
        <v>10</v>
      </c>
      <c r="F1287" cm="1">
        <f t="array" ref="F1287">_xlfn.XLOOKUP(Food_Orders[[#This Row],[Event_No]],Event_Master[[#All],[Event_No]],Event_Master[[#All],[Guest_Count]],,0)</f>
        <v>130</v>
      </c>
      <c r="G1287" cm="1">
        <f t="array" ref="G1287">Food_Orders[[#This Row],[Quantity_Orderd]]*_xlfn.XLOOKUP(Food_Orders[[#This Row],[Food_ID]],Food_Catalog[[#All],[Food_ID]],Food_Catalog[[#All],[Price_Per_Unit]],0,0)</f>
        <v>5200</v>
      </c>
      <c r="H1287" cm="1">
        <f t="array" ref="H1287">Food_Orders[[#This Row],[Quantity_Orderd]]*_xlfn.XLOOKUP(Food_Orders[[#This Row],[Food_ID]],Food_Catalog[[#All],[Food_ID]],Food_Catalog[[#All],[Client_Price_Per_Unit]],0,0)</f>
        <v>6240</v>
      </c>
      <c r="I1287">
        <f>Food_Orders[[#This Row],[Client_Price]]-Food_Orders[[#This Row],[Cost]]</f>
        <v>1040</v>
      </c>
    </row>
    <row r="1288" spans="1:9" x14ac:dyDescent="0.25">
      <c r="A1288">
        <v>56</v>
      </c>
      <c r="B1288" t="s">
        <v>31</v>
      </c>
      <c r="C1288" t="s">
        <v>8</v>
      </c>
      <c r="D1288" t="s">
        <v>32</v>
      </c>
      <c r="E1288" t="s">
        <v>10</v>
      </c>
      <c r="F1288" cm="1">
        <f t="array" ref="F1288">_xlfn.XLOOKUP(Food_Orders[[#This Row],[Event_No]],Event_Master[[#All],[Event_No]],Event_Master[[#All],[Guest_Count]],,0)</f>
        <v>130</v>
      </c>
      <c r="G1288" cm="1">
        <f t="array" ref="G1288">Food_Orders[[#This Row],[Quantity_Orderd]]*_xlfn.XLOOKUP(Food_Orders[[#This Row],[Food_ID]],Food_Catalog[[#All],[Food_ID]],Food_Catalog[[#All],[Price_Per_Unit]],0,0)</f>
        <v>3900</v>
      </c>
      <c r="H1288" cm="1">
        <f t="array" ref="H1288">Food_Orders[[#This Row],[Quantity_Orderd]]*_xlfn.XLOOKUP(Food_Orders[[#This Row],[Food_ID]],Food_Catalog[[#All],[Food_ID]],Food_Catalog[[#All],[Client_Price_Per_Unit]],0,0)</f>
        <v>4680</v>
      </c>
      <c r="I1288">
        <f>Food_Orders[[#This Row],[Client_Price]]-Food_Orders[[#This Row],[Cost]]</f>
        <v>780</v>
      </c>
    </row>
    <row r="1289" spans="1:9" x14ac:dyDescent="0.25">
      <c r="A1289">
        <v>56</v>
      </c>
      <c r="B1289" t="s">
        <v>33</v>
      </c>
      <c r="C1289" t="s">
        <v>8</v>
      </c>
      <c r="D1289" t="s">
        <v>34</v>
      </c>
      <c r="E1289" t="s">
        <v>10</v>
      </c>
      <c r="F1289" cm="1">
        <f t="array" ref="F1289">_xlfn.XLOOKUP(Food_Orders[[#This Row],[Event_No]],Event_Master[[#All],[Event_No]],Event_Master[[#All],[Guest_Count]],,0)</f>
        <v>130</v>
      </c>
      <c r="G1289" cm="1">
        <f t="array" ref="G1289">Food_Orders[[#This Row],[Quantity_Orderd]]*_xlfn.XLOOKUP(Food_Orders[[#This Row],[Food_ID]],Food_Catalog[[#All],[Food_ID]],Food_Catalog[[#All],[Price_Per_Unit]],0,0)</f>
        <v>3900</v>
      </c>
      <c r="H1289" cm="1">
        <f t="array" ref="H1289">Food_Orders[[#This Row],[Quantity_Orderd]]*_xlfn.XLOOKUP(Food_Orders[[#This Row],[Food_ID]],Food_Catalog[[#All],[Food_ID]],Food_Catalog[[#All],[Client_Price_Per_Unit]],0,0)</f>
        <v>4680</v>
      </c>
      <c r="I1289">
        <f>Food_Orders[[#This Row],[Client_Price]]-Food_Orders[[#This Row],[Cost]]</f>
        <v>780</v>
      </c>
    </row>
    <row r="1290" spans="1:9" x14ac:dyDescent="0.25">
      <c r="A1290">
        <v>56</v>
      </c>
      <c r="B1290" t="s">
        <v>17</v>
      </c>
      <c r="C1290" t="s">
        <v>8</v>
      </c>
      <c r="D1290" t="s">
        <v>18</v>
      </c>
      <c r="E1290" t="s">
        <v>10</v>
      </c>
      <c r="F1290" cm="1">
        <f t="array" ref="F1290">_xlfn.XLOOKUP(Food_Orders[[#This Row],[Event_No]],Event_Master[[#All],[Event_No]],Event_Master[[#All],[Guest_Count]],,0)</f>
        <v>130</v>
      </c>
      <c r="G1290" cm="1">
        <f t="array" ref="G1290">Food_Orders[[#This Row],[Quantity_Orderd]]*_xlfn.XLOOKUP(Food_Orders[[#This Row],[Food_ID]],Food_Catalog[[#All],[Food_ID]],Food_Catalog[[#All],[Price_Per_Unit]],0,0)</f>
        <v>5200</v>
      </c>
      <c r="H1290" cm="1">
        <f t="array" ref="H1290">Food_Orders[[#This Row],[Quantity_Orderd]]*_xlfn.XLOOKUP(Food_Orders[[#This Row],[Food_ID]],Food_Catalog[[#All],[Food_ID]],Food_Catalog[[#All],[Client_Price_Per_Unit]],0,0)</f>
        <v>6240</v>
      </c>
      <c r="I1290">
        <f>Food_Orders[[#This Row],[Client_Price]]-Food_Orders[[#This Row],[Cost]]</f>
        <v>1040</v>
      </c>
    </row>
    <row r="1291" spans="1:9" x14ac:dyDescent="0.25">
      <c r="A1291">
        <v>56</v>
      </c>
      <c r="B1291" t="s">
        <v>29</v>
      </c>
      <c r="C1291" t="s">
        <v>8</v>
      </c>
      <c r="D1291" t="s">
        <v>30</v>
      </c>
      <c r="E1291" t="s">
        <v>10</v>
      </c>
      <c r="F1291" cm="1">
        <f t="array" ref="F1291">_xlfn.XLOOKUP(Food_Orders[[#This Row],[Event_No]],Event_Master[[#All],[Event_No]],Event_Master[[#All],[Guest_Count]],,0)</f>
        <v>130</v>
      </c>
      <c r="G1291" cm="1">
        <f t="array" ref="G1291">Food_Orders[[#This Row],[Quantity_Orderd]]*_xlfn.XLOOKUP(Food_Orders[[#This Row],[Food_ID]],Food_Catalog[[#All],[Food_ID]],Food_Catalog[[#All],[Price_Per_Unit]],0,0)</f>
        <v>3900</v>
      </c>
      <c r="H1291" cm="1">
        <f t="array" ref="H1291">Food_Orders[[#This Row],[Quantity_Orderd]]*_xlfn.XLOOKUP(Food_Orders[[#This Row],[Food_ID]],Food_Catalog[[#All],[Food_ID]],Food_Catalog[[#All],[Client_Price_Per_Unit]],0,0)</f>
        <v>4680</v>
      </c>
      <c r="I1291">
        <f>Food_Orders[[#This Row],[Client_Price]]-Food_Orders[[#This Row],[Cost]]</f>
        <v>780</v>
      </c>
    </row>
    <row r="1292" spans="1:9" x14ac:dyDescent="0.25">
      <c r="A1292">
        <v>56</v>
      </c>
      <c r="B1292" t="s">
        <v>37</v>
      </c>
      <c r="C1292" t="s">
        <v>8</v>
      </c>
      <c r="D1292" t="s">
        <v>38</v>
      </c>
      <c r="E1292" t="s">
        <v>10</v>
      </c>
      <c r="F1292" cm="1">
        <f t="array" ref="F1292">_xlfn.XLOOKUP(Food_Orders[[#This Row],[Event_No]],Event_Master[[#All],[Event_No]],Event_Master[[#All],[Guest_Count]],,0)</f>
        <v>130</v>
      </c>
      <c r="G1292" cm="1">
        <f t="array" ref="G1292">Food_Orders[[#This Row],[Quantity_Orderd]]*_xlfn.XLOOKUP(Food_Orders[[#This Row],[Food_ID]],Food_Catalog[[#All],[Food_ID]],Food_Catalog[[#All],[Price_Per_Unit]],0,0)</f>
        <v>3250</v>
      </c>
      <c r="H1292" cm="1">
        <f t="array" ref="H1292">Food_Orders[[#This Row],[Quantity_Orderd]]*_xlfn.XLOOKUP(Food_Orders[[#This Row],[Food_ID]],Food_Catalog[[#All],[Food_ID]],Food_Catalog[[#All],[Client_Price_Per_Unit]],0,0)</f>
        <v>3900</v>
      </c>
      <c r="I1292">
        <f>Food_Orders[[#This Row],[Client_Price]]-Food_Orders[[#This Row],[Cost]]</f>
        <v>650</v>
      </c>
    </row>
    <row r="1293" spans="1:9" x14ac:dyDescent="0.25">
      <c r="A1293">
        <v>56</v>
      </c>
      <c r="B1293" t="s">
        <v>82</v>
      </c>
      <c r="C1293" t="s">
        <v>83</v>
      </c>
      <c r="D1293" t="s">
        <v>84</v>
      </c>
      <c r="E1293" t="s">
        <v>85</v>
      </c>
      <c r="F1293" cm="1">
        <f t="array" ref="F1293">_xlfn.XLOOKUP(Food_Orders[[#This Row],[Event_No]],Event_Master[[#All],[Event_No]],Event_Master[[#All],[Guest_Count]],,0)</f>
        <v>130</v>
      </c>
      <c r="G1293" cm="1">
        <f t="array" ref="G1293">Food_Orders[[#This Row],[Quantity_Orderd]]*_xlfn.XLOOKUP(Food_Orders[[#This Row],[Food_ID]],Food_Catalog[[#All],[Food_ID]],Food_Catalog[[#All],[Price_Per_Unit]],0,0)</f>
        <v>2600</v>
      </c>
      <c r="H1293" cm="1">
        <f t="array" ref="H1293">Food_Orders[[#This Row],[Quantity_Orderd]]*_xlfn.XLOOKUP(Food_Orders[[#This Row],[Food_ID]],Food_Catalog[[#All],[Food_ID]],Food_Catalog[[#All],[Client_Price_Per_Unit]],0,0)</f>
        <v>3120</v>
      </c>
      <c r="I1293">
        <f>Food_Orders[[#This Row],[Client_Price]]-Food_Orders[[#This Row],[Cost]]</f>
        <v>520</v>
      </c>
    </row>
    <row r="1294" spans="1:9" x14ac:dyDescent="0.25">
      <c r="A1294">
        <v>56</v>
      </c>
      <c r="B1294" t="s">
        <v>86</v>
      </c>
      <c r="C1294" t="s">
        <v>83</v>
      </c>
      <c r="D1294" t="s">
        <v>87</v>
      </c>
      <c r="E1294" t="s">
        <v>85</v>
      </c>
      <c r="F1294" cm="1">
        <f t="array" ref="F1294">_xlfn.XLOOKUP(Food_Orders[[#This Row],[Event_No]],Event_Master[[#All],[Event_No]],Event_Master[[#All],[Guest_Count]],,0)</f>
        <v>130</v>
      </c>
      <c r="G1294" cm="1">
        <f t="array" ref="G1294">Food_Orders[[#This Row],[Quantity_Orderd]]*_xlfn.XLOOKUP(Food_Orders[[#This Row],[Food_ID]],Food_Catalog[[#All],[Food_ID]],Food_Catalog[[#All],[Price_Per_Unit]],0,0)</f>
        <v>2600</v>
      </c>
      <c r="H1294" cm="1">
        <f t="array" ref="H1294">Food_Orders[[#This Row],[Quantity_Orderd]]*_xlfn.XLOOKUP(Food_Orders[[#This Row],[Food_ID]],Food_Catalog[[#All],[Food_ID]],Food_Catalog[[#All],[Client_Price_Per_Unit]],0,0)</f>
        <v>3120</v>
      </c>
      <c r="I1294">
        <f>Food_Orders[[#This Row],[Client_Price]]-Food_Orders[[#This Row],[Cost]]</f>
        <v>520</v>
      </c>
    </row>
    <row r="1295" spans="1:9" x14ac:dyDescent="0.25">
      <c r="A1295">
        <v>56</v>
      </c>
      <c r="B1295" t="s">
        <v>96</v>
      </c>
      <c r="C1295" t="s">
        <v>83</v>
      </c>
      <c r="D1295" t="s">
        <v>97</v>
      </c>
      <c r="E1295" t="s">
        <v>79</v>
      </c>
      <c r="F1295" cm="1">
        <f t="array" ref="F1295">_xlfn.XLOOKUP(Food_Orders[[#This Row],[Event_No]],Event_Master[[#All],[Event_No]],Event_Master[[#All],[Guest_Count]],,0)</f>
        <v>130</v>
      </c>
      <c r="G1295" cm="1">
        <f t="array" ref="G1295">Food_Orders[[#This Row],[Quantity_Orderd]]*_xlfn.XLOOKUP(Food_Orders[[#This Row],[Food_ID]],Food_Catalog[[#All],[Food_ID]],Food_Catalog[[#All],[Price_Per_Unit]],0,0)</f>
        <v>3900</v>
      </c>
      <c r="H1295" cm="1">
        <f t="array" ref="H1295">Food_Orders[[#This Row],[Quantity_Orderd]]*_xlfn.XLOOKUP(Food_Orders[[#This Row],[Food_ID]],Food_Catalog[[#All],[Food_ID]],Food_Catalog[[#All],[Client_Price_Per_Unit]],0,0)</f>
        <v>4680</v>
      </c>
      <c r="I1295">
        <f>Food_Orders[[#This Row],[Client_Price]]-Food_Orders[[#This Row],[Cost]]</f>
        <v>780</v>
      </c>
    </row>
    <row r="1296" spans="1:9" x14ac:dyDescent="0.25">
      <c r="A1296">
        <v>56</v>
      </c>
      <c r="B1296" t="s">
        <v>88</v>
      </c>
      <c r="C1296" t="s">
        <v>83</v>
      </c>
      <c r="D1296" t="s">
        <v>89</v>
      </c>
      <c r="E1296" t="s">
        <v>85</v>
      </c>
      <c r="F1296" cm="1">
        <f t="array" ref="F1296">_xlfn.XLOOKUP(Food_Orders[[#This Row],[Event_No]],Event_Master[[#All],[Event_No]],Event_Master[[#All],[Guest_Count]],,0)</f>
        <v>130</v>
      </c>
      <c r="G1296" cm="1">
        <f t="array" ref="G1296">Food_Orders[[#This Row],[Quantity_Orderd]]*_xlfn.XLOOKUP(Food_Orders[[#This Row],[Food_ID]],Food_Catalog[[#All],[Food_ID]],Food_Catalog[[#All],[Price_Per_Unit]],0,0)</f>
        <v>1950</v>
      </c>
      <c r="H1296" cm="1">
        <f t="array" ref="H1296">Food_Orders[[#This Row],[Quantity_Orderd]]*_xlfn.XLOOKUP(Food_Orders[[#This Row],[Food_ID]],Food_Catalog[[#All],[Food_ID]],Food_Catalog[[#All],[Client_Price_Per_Unit]],0,0)</f>
        <v>2340</v>
      </c>
      <c r="I1296">
        <f>Food_Orders[[#This Row],[Client_Price]]-Food_Orders[[#This Row],[Cost]]</f>
        <v>390</v>
      </c>
    </row>
    <row r="1297" spans="1:9" x14ac:dyDescent="0.25">
      <c r="A1297">
        <v>56</v>
      </c>
      <c r="B1297" t="s">
        <v>92</v>
      </c>
      <c r="C1297" t="s">
        <v>83</v>
      </c>
      <c r="D1297" t="s">
        <v>93</v>
      </c>
      <c r="E1297" t="s">
        <v>85</v>
      </c>
      <c r="F1297" cm="1">
        <f t="array" ref="F1297">_xlfn.XLOOKUP(Food_Orders[[#This Row],[Event_No]],Event_Master[[#All],[Event_No]],Event_Master[[#All],[Guest_Count]],,0)</f>
        <v>130</v>
      </c>
      <c r="G1297" cm="1">
        <f t="array" ref="G1297">Food_Orders[[#This Row],[Quantity_Orderd]]*_xlfn.XLOOKUP(Food_Orders[[#This Row],[Food_ID]],Food_Catalog[[#All],[Food_ID]],Food_Catalog[[#All],[Price_Per_Unit]],0,0)</f>
        <v>1950</v>
      </c>
      <c r="H1297" cm="1">
        <f t="array" ref="H1297">Food_Orders[[#This Row],[Quantity_Orderd]]*_xlfn.XLOOKUP(Food_Orders[[#This Row],[Food_ID]],Food_Catalog[[#All],[Food_ID]],Food_Catalog[[#All],[Client_Price_Per_Unit]],0,0)</f>
        <v>2340</v>
      </c>
      <c r="I1297">
        <f>Food_Orders[[#This Row],[Client_Price]]-Food_Orders[[#This Row],[Cost]]</f>
        <v>390</v>
      </c>
    </row>
    <row r="1298" spans="1:9" x14ac:dyDescent="0.25">
      <c r="A1298">
        <v>56</v>
      </c>
      <c r="B1298" t="s">
        <v>98</v>
      </c>
      <c r="C1298" t="s">
        <v>83</v>
      </c>
      <c r="D1298" t="s">
        <v>99</v>
      </c>
      <c r="E1298" t="s">
        <v>85</v>
      </c>
      <c r="F1298" cm="1">
        <f t="array" ref="F1298">_xlfn.XLOOKUP(Food_Orders[[#This Row],[Event_No]],Event_Master[[#All],[Event_No]],Event_Master[[#All],[Guest_Count]],,0)</f>
        <v>130</v>
      </c>
      <c r="G1298" cm="1">
        <f t="array" ref="G1298">Food_Orders[[#This Row],[Quantity_Orderd]]*_xlfn.XLOOKUP(Food_Orders[[#This Row],[Food_ID]],Food_Catalog[[#All],[Food_ID]],Food_Catalog[[#All],[Price_Per_Unit]],0,0)</f>
        <v>1950</v>
      </c>
      <c r="H1298" cm="1">
        <f t="array" ref="H1298">Food_Orders[[#This Row],[Quantity_Orderd]]*_xlfn.XLOOKUP(Food_Orders[[#This Row],[Food_ID]],Food_Catalog[[#All],[Food_ID]],Food_Catalog[[#All],[Client_Price_Per_Unit]],0,0)</f>
        <v>2340</v>
      </c>
      <c r="I1298">
        <f>Food_Orders[[#This Row],[Client_Price]]-Food_Orders[[#This Row],[Cost]]</f>
        <v>390</v>
      </c>
    </row>
    <row r="1299" spans="1:9" x14ac:dyDescent="0.25">
      <c r="A1299">
        <v>56</v>
      </c>
      <c r="B1299" t="s">
        <v>104</v>
      </c>
      <c r="C1299" t="s">
        <v>105</v>
      </c>
      <c r="D1299" t="s">
        <v>106</v>
      </c>
      <c r="E1299" t="s">
        <v>107</v>
      </c>
      <c r="F1299" cm="1">
        <f t="array" ref="F1299">_xlfn.XLOOKUP(Food_Orders[[#This Row],[Event_No]],Event_Master[[#All],[Event_No]],Event_Master[[#All],[Guest_Count]],,0)</f>
        <v>130</v>
      </c>
      <c r="G1299" cm="1">
        <f t="array" ref="G1299">Food_Orders[[#This Row],[Quantity_Orderd]]*_xlfn.XLOOKUP(Food_Orders[[#This Row],[Food_ID]],Food_Catalog[[#All],[Food_ID]],Food_Catalog[[#All],[Price_Per_Unit]],0,0)</f>
        <v>1300</v>
      </c>
      <c r="H1299" cm="1">
        <f t="array" ref="H1299">Food_Orders[[#This Row],[Quantity_Orderd]]*_xlfn.XLOOKUP(Food_Orders[[#This Row],[Food_ID]],Food_Catalog[[#All],[Food_ID]],Food_Catalog[[#All],[Client_Price_Per_Unit]],0,0)</f>
        <v>1560</v>
      </c>
      <c r="I1299">
        <f>Food_Orders[[#This Row],[Client_Price]]-Food_Orders[[#This Row],[Cost]]</f>
        <v>260</v>
      </c>
    </row>
    <row r="1300" spans="1:9" x14ac:dyDescent="0.25">
      <c r="A1300">
        <v>56</v>
      </c>
      <c r="B1300" t="s">
        <v>108</v>
      </c>
      <c r="C1300" t="s">
        <v>105</v>
      </c>
      <c r="D1300" t="s">
        <v>109</v>
      </c>
      <c r="E1300" t="s">
        <v>107</v>
      </c>
      <c r="F1300" cm="1">
        <f t="array" ref="F1300">_xlfn.XLOOKUP(Food_Orders[[#This Row],[Event_No]],Event_Master[[#All],[Event_No]],Event_Master[[#All],[Guest_Count]],,0)</f>
        <v>130</v>
      </c>
      <c r="G1300" cm="1">
        <f t="array" ref="G1300">Food_Orders[[#This Row],[Quantity_Orderd]]*_xlfn.XLOOKUP(Food_Orders[[#This Row],[Food_ID]],Food_Catalog[[#All],[Food_ID]],Food_Catalog[[#All],[Price_Per_Unit]],0,0)</f>
        <v>1950</v>
      </c>
      <c r="H1300" cm="1">
        <f t="array" ref="H1300">Food_Orders[[#This Row],[Quantity_Orderd]]*_xlfn.XLOOKUP(Food_Orders[[#This Row],[Food_ID]],Food_Catalog[[#All],[Food_ID]],Food_Catalog[[#All],[Client_Price_Per_Unit]],0,0)</f>
        <v>2340</v>
      </c>
      <c r="I1300">
        <f>Food_Orders[[#This Row],[Client_Price]]-Food_Orders[[#This Row],[Cost]]</f>
        <v>390</v>
      </c>
    </row>
    <row r="1301" spans="1:9" x14ac:dyDescent="0.25">
      <c r="A1301">
        <v>56</v>
      </c>
      <c r="B1301" t="s">
        <v>118</v>
      </c>
      <c r="C1301" t="s">
        <v>119</v>
      </c>
      <c r="D1301" t="s">
        <v>120</v>
      </c>
      <c r="E1301" t="s">
        <v>112</v>
      </c>
      <c r="F1301" cm="1">
        <f t="array" ref="F1301">_xlfn.XLOOKUP(Food_Orders[[#This Row],[Event_No]],Event_Master[[#All],[Event_No]],Event_Master[[#All],[Guest_Count]],,0)</f>
        <v>130</v>
      </c>
      <c r="G1301" cm="1">
        <f t="array" ref="G1301">Food_Orders[[#This Row],[Quantity_Orderd]]*_xlfn.XLOOKUP(Food_Orders[[#This Row],[Food_ID]],Food_Catalog[[#All],[Food_ID]],Food_Catalog[[#All],[Price_Per_Unit]],0,0)</f>
        <v>1300</v>
      </c>
      <c r="H1301" cm="1">
        <f t="array" ref="H1301">Food_Orders[[#This Row],[Quantity_Orderd]]*_xlfn.XLOOKUP(Food_Orders[[#This Row],[Food_ID]],Food_Catalog[[#All],[Food_ID]],Food_Catalog[[#All],[Client_Price_Per_Unit]],0,0)</f>
        <v>1560</v>
      </c>
      <c r="I1301">
        <f>Food_Orders[[#This Row],[Client_Price]]-Food_Orders[[#This Row],[Cost]]</f>
        <v>260</v>
      </c>
    </row>
    <row r="1302" spans="1:9" x14ac:dyDescent="0.25">
      <c r="A1302">
        <v>56</v>
      </c>
      <c r="B1302" t="s">
        <v>129</v>
      </c>
      <c r="C1302" t="s">
        <v>119</v>
      </c>
      <c r="D1302" t="s">
        <v>130</v>
      </c>
      <c r="E1302" t="s">
        <v>112</v>
      </c>
      <c r="F1302" cm="1">
        <f t="array" ref="F1302">_xlfn.XLOOKUP(Food_Orders[[#This Row],[Event_No]],Event_Master[[#All],[Event_No]],Event_Master[[#All],[Guest_Count]],,0)</f>
        <v>130</v>
      </c>
      <c r="G1302" cm="1">
        <f t="array" ref="G1302">Food_Orders[[#This Row],[Quantity_Orderd]]*_xlfn.XLOOKUP(Food_Orders[[#This Row],[Food_ID]],Food_Catalog[[#All],[Food_ID]],Food_Catalog[[#All],[Price_Per_Unit]],0,0)</f>
        <v>1300</v>
      </c>
      <c r="H1302" cm="1">
        <f t="array" ref="H1302">Food_Orders[[#This Row],[Quantity_Orderd]]*_xlfn.XLOOKUP(Food_Orders[[#This Row],[Food_ID]],Food_Catalog[[#All],[Food_ID]],Food_Catalog[[#All],[Client_Price_Per_Unit]],0,0)</f>
        <v>1560</v>
      </c>
      <c r="I1302">
        <f>Food_Orders[[#This Row],[Client_Price]]-Food_Orders[[#This Row],[Cost]]</f>
        <v>260</v>
      </c>
    </row>
    <row r="1303" spans="1:9" x14ac:dyDescent="0.25">
      <c r="A1303">
        <v>56</v>
      </c>
      <c r="B1303" t="s">
        <v>127</v>
      </c>
      <c r="C1303" t="s">
        <v>119</v>
      </c>
      <c r="D1303" t="s">
        <v>128</v>
      </c>
      <c r="E1303" t="s">
        <v>107</v>
      </c>
      <c r="F1303" cm="1">
        <f t="array" ref="F1303">_xlfn.XLOOKUP(Food_Orders[[#This Row],[Event_No]],Event_Master[[#All],[Event_No]],Event_Master[[#All],[Guest_Count]],,0)</f>
        <v>130</v>
      </c>
      <c r="G1303" cm="1">
        <f t="array" ref="G1303">Food_Orders[[#This Row],[Quantity_Orderd]]*_xlfn.XLOOKUP(Food_Orders[[#This Row],[Food_ID]],Food_Catalog[[#All],[Food_ID]],Food_Catalog[[#All],[Price_Per_Unit]],0,0)</f>
        <v>2600</v>
      </c>
      <c r="H1303" cm="1">
        <f t="array" ref="H1303">Food_Orders[[#This Row],[Quantity_Orderd]]*_xlfn.XLOOKUP(Food_Orders[[#This Row],[Food_ID]],Food_Catalog[[#All],[Food_ID]],Food_Catalog[[#All],[Client_Price_Per_Unit]],0,0)</f>
        <v>3120</v>
      </c>
      <c r="I1303">
        <f>Food_Orders[[#This Row],[Client_Price]]-Food_Orders[[#This Row],[Cost]]</f>
        <v>520</v>
      </c>
    </row>
    <row r="1304" spans="1:9" x14ac:dyDescent="0.25">
      <c r="A1304">
        <v>56</v>
      </c>
      <c r="B1304" t="s">
        <v>124</v>
      </c>
      <c r="C1304" t="s">
        <v>119</v>
      </c>
      <c r="D1304" t="s">
        <v>125</v>
      </c>
      <c r="E1304" t="s">
        <v>126</v>
      </c>
      <c r="F1304" cm="1">
        <f t="array" ref="F1304">_xlfn.XLOOKUP(Food_Orders[[#This Row],[Event_No]],Event_Master[[#All],[Event_No]],Event_Master[[#All],[Guest_Count]],,0)</f>
        <v>130</v>
      </c>
      <c r="G1304" cm="1">
        <f t="array" ref="G1304">Food_Orders[[#This Row],[Quantity_Orderd]]*_xlfn.XLOOKUP(Food_Orders[[#This Row],[Food_ID]],Food_Catalog[[#All],[Food_ID]],Food_Catalog[[#All],[Price_Per_Unit]],0,0)</f>
        <v>2600</v>
      </c>
      <c r="H1304" cm="1">
        <f t="array" ref="H1304">Food_Orders[[#This Row],[Quantity_Orderd]]*_xlfn.XLOOKUP(Food_Orders[[#This Row],[Food_ID]],Food_Catalog[[#All],[Food_ID]],Food_Catalog[[#All],[Client_Price_Per_Unit]],0,0)</f>
        <v>3120</v>
      </c>
      <c r="I1304">
        <f>Food_Orders[[#This Row],[Client_Price]]-Food_Orders[[#This Row],[Cost]]</f>
        <v>520</v>
      </c>
    </row>
    <row r="1305" spans="1:9" x14ac:dyDescent="0.25">
      <c r="A1305">
        <v>56</v>
      </c>
      <c r="B1305" t="s">
        <v>121</v>
      </c>
      <c r="C1305" t="s">
        <v>119</v>
      </c>
      <c r="D1305" t="s">
        <v>122</v>
      </c>
      <c r="E1305" t="s">
        <v>123</v>
      </c>
      <c r="F1305" cm="1">
        <f t="array" ref="F1305">_xlfn.XLOOKUP(Food_Orders[[#This Row],[Event_No]],Event_Master[[#All],[Event_No]],Event_Master[[#All],[Guest_Count]],,0)</f>
        <v>130</v>
      </c>
      <c r="G1305" cm="1">
        <f t="array" ref="G1305">Food_Orders[[#This Row],[Quantity_Orderd]]*_xlfn.XLOOKUP(Food_Orders[[#This Row],[Food_ID]],Food_Catalog[[#All],[Food_ID]],Food_Catalog[[#All],[Price_Per_Unit]],0,0)</f>
        <v>1300</v>
      </c>
      <c r="H1305" cm="1">
        <f t="array" ref="H1305">Food_Orders[[#This Row],[Quantity_Orderd]]*_xlfn.XLOOKUP(Food_Orders[[#This Row],[Food_ID]],Food_Catalog[[#All],[Food_ID]],Food_Catalog[[#All],[Client_Price_Per_Unit]],0,0)</f>
        <v>1560</v>
      </c>
      <c r="I1305">
        <f>Food_Orders[[#This Row],[Client_Price]]-Food_Orders[[#This Row],[Cost]]</f>
        <v>260</v>
      </c>
    </row>
    <row r="1306" spans="1:9" x14ac:dyDescent="0.25">
      <c r="A1306">
        <v>57</v>
      </c>
      <c r="B1306" t="s">
        <v>60</v>
      </c>
      <c r="C1306" t="s">
        <v>61</v>
      </c>
      <c r="D1306" t="s">
        <v>62</v>
      </c>
      <c r="E1306" t="s">
        <v>10</v>
      </c>
      <c r="F1306" cm="1">
        <f t="array" ref="F1306">_xlfn.XLOOKUP(Food_Orders[[#This Row],[Event_No]],Event_Master[[#All],[Event_No]],Event_Master[[#All],[Guest_Count]],,0)</f>
        <v>250</v>
      </c>
      <c r="G1306" cm="1">
        <f t="array" ref="G1306">Food_Orders[[#This Row],[Quantity_Orderd]]*_xlfn.XLOOKUP(Food_Orders[[#This Row],[Food_ID]],Food_Catalog[[#All],[Food_ID]],Food_Catalog[[#All],[Price_Per_Unit]],0,0)</f>
        <v>5000</v>
      </c>
      <c r="H1306" cm="1">
        <f t="array" ref="H1306">Food_Orders[[#This Row],[Quantity_Orderd]]*_xlfn.XLOOKUP(Food_Orders[[#This Row],[Food_ID]],Food_Catalog[[#All],[Food_ID]],Food_Catalog[[#All],[Client_Price_Per_Unit]],0,0)</f>
        <v>6000</v>
      </c>
      <c r="I1306">
        <f>Food_Orders[[#This Row],[Client_Price]]-Food_Orders[[#This Row],[Cost]]</f>
        <v>1000</v>
      </c>
    </row>
    <row r="1307" spans="1:9" x14ac:dyDescent="0.25">
      <c r="A1307">
        <v>57</v>
      </c>
      <c r="B1307" t="s">
        <v>63</v>
      </c>
      <c r="C1307" t="s">
        <v>61</v>
      </c>
      <c r="D1307" t="s">
        <v>64</v>
      </c>
      <c r="E1307" t="s">
        <v>10</v>
      </c>
      <c r="F1307" cm="1">
        <f t="array" ref="F1307">_xlfn.XLOOKUP(Food_Orders[[#This Row],[Event_No]],Event_Master[[#All],[Event_No]],Event_Master[[#All],[Guest_Count]],,0)</f>
        <v>250</v>
      </c>
      <c r="G1307" cm="1">
        <f t="array" ref="G1307">Food_Orders[[#This Row],[Quantity_Orderd]]*_xlfn.XLOOKUP(Food_Orders[[#This Row],[Food_ID]],Food_Catalog[[#All],[Food_ID]],Food_Catalog[[#All],[Price_Per_Unit]],0,0)</f>
        <v>7500</v>
      </c>
      <c r="H1307" cm="1">
        <f t="array" ref="H1307">Food_Orders[[#This Row],[Quantity_Orderd]]*_xlfn.XLOOKUP(Food_Orders[[#This Row],[Food_ID]],Food_Catalog[[#All],[Food_ID]],Food_Catalog[[#All],[Client_Price_Per_Unit]],0,0)</f>
        <v>9000</v>
      </c>
      <c r="I1307">
        <f>Food_Orders[[#This Row],[Client_Price]]-Food_Orders[[#This Row],[Cost]]</f>
        <v>1500</v>
      </c>
    </row>
    <row r="1308" spans="1:9" x14ac:dyDescent="0.25">
      <c r="A1308">
        <v>57</v>
      </c>
      <c r="B1308" t="s">
        <v>71</v>
      </c>
      <c r="C1308" t="s">
        <v>61</v>
      </c>
      <c r="D1308" t="s">
        <v>72</v>
      </c>
      <c r="E1308" t="s">
        <v>10</v>
      </c>
      <c r="F1308" cm="1">
        <f t="array" ref="F1308">_xlfn.XLOOKUP(Food_Orders[[#This Row],[Event_No]],Event_Master[[#All],[Event_No]],Event_Master[[#All],[Guest_Count]],,0)</f>
        <v>250</v>
      </c>
      <c r="G1308" cm="1">
        <f t="array" ref="G1308">Food_Orders[[#This Row],[Quantity_Orderd]]*_xlfn.XLOOKUP(Food_Orders[[#This Row],[Food_ID]],Food_Catalog[[#All],[Food_ID]],Food_Catalog[[#All],[Price_Per_Unit]],0,0)</f>
        <v>6250</v>
      </c>
      <c r="H1308" cm="1">
        <f t="array" ref="H1308">Food_Orders[[#This Row],[Quantity_Orderd]]*_xlfn.XLOOKUP(Food_Orders[[#This Row],[Food_ID]],Food_Catalog[[#All],[Food_ID]],Food_Catalog[[#All],[Client_Price_Per_Unit]],0,0)</f>
        <v>7500</v>
      </c>
      <c r="I1308">
        <f>Food_Orders[[#This Row],[Client_Price]]-Food_Orders[[#This Row],[Cost]]</f>
        <v>1250</v>
      </c>
    </row>
    <row r="1309" spans="1:9" x14ac:dyDescent="0.25">
      <c r="A1309">
        <v>57</v>
      </c>
      <c r="B1309" t="s">
        <v>73</v>
      </c>
      <c r="C1309" t="s">
        <v>61</v>
      </c>
      <c r="D1309" t="s">
        <v>74</v>
      </c>
      <c r="E1309" t="s">
        <v>10</v>
      </c>
      <c r="F1309" cm="1">
        <f t="array" ref="F1309">_xlfn.XLOOKUP(Food_Orders[[#This Row],[Event_No]],Event_Master[[#All],[Event_No]],Event_Master[[#All],[Guest_Count]],,0)</f>
        <v>250</v>
      </c>
      <c r="G1309" cm="1">
        <f t="array" ref="G1309">Food_Orders[[#This Row],[Quantity_Orderd]]*_xlfn.XLOOKUP(Food_Orders[[#This Row],[Food_ID]],Food_Catalog[[#All],[Food_ID]],Food_Catalog[[#All],[Price_Per_Unit]],0,0)</f>
        <v>10000</v>
      </c>
      <c r="H1309" cm="1">
        <f t="array" ref="H1309">Food_Orders[[#This Row],[Quantity_Orderd]]*_xlfn.XLOOKUP(Food_Orders[[#This Row],[Food_ID]],Food_Catalog[[#All],[Food_ID]],Food_Catalog[[#All],[Client_Price_Per_Unit]],0,0)</f>
        <v>12000</v>
      </c>
      <c r="I1309">
        <f>Food_Orders[[#This Row],[Client_Price]]-Food_Orders[[#This Row],[Cost]]</f>
        <v>2000</v>
      </c>
    </row>
    <row r="1310" spans="1:9" x14ac:dyDescent="0.25">
      <c r="A1310">
        <v>57</v>
      </c>
      <c r="B1310" t="s">
        <v>75</v>
      </c>
      <c r="C1310" t="s">
        <v>61</v>
      </c>
      <c r="D1310" t="s">
        <v>76</v>
      </c>
      <c r="E1310" t="s">
        <v>10</v>
      </c>
      <c r="F1310" cm="1">
        <f t="array" ref="F1310">_xlfn.XLOOKUP(Food_Orders[[#This Row],[Event_No]],Event_Master[[#All],[Event_No]],Event_Master[[#All],[Guest_Count]],,0)</f>
        <v>250</v>
      </c>
      <c r="G1310" cm="1">
        <f t="array" ref="G1310">Food_Orders[[#This Row],[Quantity_Orderd]]*_xlfn.XLOOKUP(Food_Orders[[#This Row],[Food_ID]],Food_Catalog[[#All],[Food_ID]],Food_Catalog[[#All],[Price_Per_Unit]],0,0)</f>
        <v>10000</v>
      </c>
      <c r="H1310" cm="1">
        <f t="array" ref="H1310">Food_Orders[[#This Row],[Quantity_Orderd]]*_xlfn.XLOOKUP(Food_Orders[[#This Row],[Food_ID]],Food_Catalog[[#All],[Food_ID]],Food_Catalog[[#All],[Client_Price_Per_Unit]],0,0)</f>
        <v>12000</v>
      </c>
      <c r="I1310">
        <f>Food_Orders[[#This Row],[Client_Price]]-Food_Orders[[#This Row],[Cost]]</f>
        <v>2000</v>
      </c>
    </row>
    <row r="1311" spans="1:9" x14ac:dyDescent="0.25">
      <c r="A1311">
        <v>57</v>
      </c>
      <c r="B1311" t="s">
        <v>69</v>
      </c>
      <c r="C1311" t="s">
        <v>61</v>
      </c>
      <c r="D1311" t="s">
        <v>70</v>
      </c>
      <c r="E1311" t="s">
        <v>10</v>
      </c>
      <c r="F1311" cm="1">
        <f t="array" ref="F1311">_xlfn.XLOOKUP(Food_Orders[[#This Row],[Event_No]],Event_Master[[#All],[Event_No]],Event_Master[[#All],[Guest_Count]],,0)</f>
        <v>250</v>
      </c>
      <c r="G1311" cm="1">
        <f t="array" ref="G1311">Food_Orders[[#This Row],[Quantity_Orderd]]*_xlfn.XLOOKUP(Food_Orders[[#This Row],[Food_ID]],Food_Catalog[[#All],[Food_ID]],Food_Catalog[[#All],[Price_Per_Unit]],0,0)</f>
        <v>12500</v>
      </c>
      <c r="H1311" cm="1">
        <f t="array" ref="H1311">Food_Orders[[#This Row],[Quantity_Orderd]]*_xlfn.XLOOKUP(Food_Orders[[#This Row],[Food_ID]],Food_Catalog[[#All],[Food_ID]],Food_Catalog[[#All],[Client_Price_Per_Unit]],0,0)</f>
        <v>15000</v>
      </c>
      <c r="I1311">
        <f>Food_Orders[[#This Row],[Client_Price]]-Food_Orders[[#This Row],[Cost]]</f>
        <v>2500</v>
      </c>
    </row>
    <row r="1312" spans="1:9" x14ac:dyDescent="0.25">
      <c r="A1312">
        <v>57</v>
      </c>
      <c r="B1312" t="s">
        <v>58</v>
      </c>
      <c r="C1312" t="s">
        <v>40</v>
      </c>
      <c r="D1312" t="s">
        <v>59</v>
      </c>
      <c r="E1312" t="s">
        <v>10</v>
      </c>
      <c r="F1312" cm="1">
        <f t="array" ref="F1312">_xlfn.XLOOKUP(Food_Orders[[#This Row],[Event_No]],Event_Master[[#All],[Event_No]],Event_Master[[#All],[Guest_Count]],,0)</f>
        <v>250</v>
      </c>
      <c r="G1312" cm="1">
        <f t="array" ref="G1312">Food_Orders[[#This Row],[Quantity_Orderd]]*_xlfn.XLOOKUP(Food_Orders[[#This Row],[Food_ID]],Food_Catalog[[#All],[Food_ID]],Food_Catalog[[#All],[Price_Per_Unit]],0,0)</f>
        <v>22500</v>
      </c>
      <c r="H1312" cm="1">
        <f t="array" ref="H1312">Food_Orders[[#This Row],[Quantity_Orderd]]*_xlfn.XLOOKUP(Food_Orders[[#This Row],[Food_ID]],Food_Catalog[[#All],[Food_ID]],Food_Catalog[[#All],[Client_Price_Per_Unit]],0,0)</f>
        <v>27000</v>
      </c>
      <c r="I1312">
        <f>Food_Orders[[#This Row],[Client_Price]]-Food_Orders[[#This Row],[Cost]]</f>
        <v>4500</v>
      </c>
    </row>
    <row r="1313" spans="1:9" x14ac:dyDescent="0.25">
      <c r="A1313">
        <v>57</v>
      </c>
      <c r="B1313" t="s">
        <v>39</v>
      </c>
      <c r="C1313" t="s">
        <v>40</v>
      </c>
      <c r="D1313" t="s">
        <v>41</v>
      </c>
      <c r="E1313" t="s">
        <v>10</v>
      </c>
      <c r="F1313" cm="1">
        <f t="array" ref="F1313">_xlfn.XLOOKUP(Food_Orders[[#This Row],[Event_No]],Event_Master[[#All],[Event_No]],Event_Master[[#All],[Guest_Count]],,0)</f>
        <v>250</v>
      </c>
      <c r="G1313" cm="1">
        <f t="array" ref="G1313">Food_Orders[[#This Row],[Quantity_Orderd]]*_xlfn.XLOOKUP(Food_Orders[[#This Row],[Food_ID]],Food_Catalog[[#All],[Food_ID]],Food_Catalog[[#All],[Price_Per_Unit]],0,0)</f>
        <v>15000</v>
      </c>
      <c r="H1313" cm="1">
        <f t="array" ref="H1313">Food_Orders[[#This Row],[Quantity_Orderd]]*_xlfn.XLOOKUP(Food_Orders[[#This Row],[Food_ID]],Food_Catalog[[#All],[Food_ID]],Food_Catalog[[#All],[Client_Price_Per_Unit]],0,0)</f>
        <v>18000</v>
      </c>
      <c r="I1313">
        <f>Food_Orders[[#This Row],[Client_Price]]-Food_Orders[[#This Row],[Cost]]</f>
        <v>3000</v>
      </c>
    </row>
    <row r="1314" spans="1:9" x14ac:dyDescent="0.25">
      <c r="A1314">
        <v>57</v>
      </c>
      <c r="B1314" t="s">
        <v>42</v>
      </c>
      <c r="C1314" t="s">
        <v>40</v>
      </c>
      <c r="D1314" t="s">
        <v>43</v>
      </c>
      <c r="E1314" t="s">
        <v>10</v>
      </c>
      <c r="F1314" cm="1">
        <f t="array" ref="F1314">_xlfn.XLOOKUP(Food_Orders[[#This Row],[Event_No]],Event_Master[[#All],[Event_No]],Event_Master[[#All],[Guest_Count]],,0)</f>
        <v>250</v>
      </c>
      <c r="G1314" cm="1">
        <f t="array" ref="G1314">Food_Orders[[#This Row],[Quantity_Orderd]]*_xlfn.XLOOKUP(Food_Orders[[#This Row],[Food_ID]],Food_Catalog[[#All],[Food_ID]],Food_Catalog[[#All],[Price_Per_Unit]],0,0)</f>
        <v>17500</v>
      </c>
      <c r="H1314" cm="1">
        <f t="array" ref="H1314">Food_Orders[[#This Row],[Quantity_Orderd]]*_xlfn.XLOOKUP(Food_Orders[[#This Row],[Food_ID]],Food_Catalog[[#All],[Food_ID]],Food_Catalog[[#All],[Client_Price_Per_Unit]],0,0)</f>
        <v>21000</v>
      </c>
      <c r="I1314">
        <f>Food_Orders[[#This Row],[Client_Price]]-Food_Orders[[#This Row],[Cost]]</f>
        <v>3500</v>
      </c>
    </row>
    <row r="1315" spans="1:9" x14ac:dyDescent="0.25">
      <c r="A1315">
        <v>57</v>
      </c>
      <c r="B1315" t="s">
        <v>46</v>
      </c>
      <c r="C1315" t="s">
        <v>40</v>
      </c>
      <c r="D1315" t="s">
        <v>47</v>
      </c>
      <c r="E1315" t="s">
        <v>10</v>
      </c>
      <c r="F1315" cm="1">
        <f t="array" ref="F1315">_xlfn.XLOOKUP(Food_Orders[[#This Row],[Event_No]],Event_Master[[#All],[Event_No]],Event_Master[[#All],[Guest_Count]],,0)</f>
        <v>250</v>
      </c>
      <c r="G1315" cm="1">
        <f t="array" ref="G1315">Food_Orders[[#This Row],[Quantity_Orderd]]*_xlfn.XLOOKUP(Food_Orders[[#This Row],[Food_ID]],Food_Catalog[[#All],[Food_ID]],Food_Catalog[[#All],[Price_Per_Unit]],0,0)</f>
        <v>22500</v>
      </c>
      <c r="H1315" cm="1">
        <f t="array" ref="H1315">Food_Orders[[#This Row],[Quantity_Orderd]]*_xlfn.XLOOKUP(Food_Orders[[#This Row],[Food_ID]],Food_Catalog[[#All],[Food_ID]],Food_Catalog[[#All],[Client_Price_Per_Unit]],0,0)</f>
        <v>27000</v>
      </c>
      <c r="I1315">
        <f>Food_Orders[[#This Row],[Client_Price]]-Food_Orders[[#This Row],[Cost]]</f>
        <v>4500</v>
      </c>
    </row>
    <row r="1316" spans="1:9" x14ac:dyDescent="0.25">
      <c r="A1316">
        <v>57</v>
      </c>
      <c r="B1316" t="s">
        <v>50</v>
      </c>
      <c r="C1316" t="s">
        <v>40</v>
      </c>
      <c r="D1316" t="s">
        <v>51</v>
      </c>
      <c r="E1316" t="s">
        <v>10</v>
      </c>
      <c r="F1316" cm="1">
        <f t="array" ref="F1316">_xlfn.XLOOKUP(Food_Orders[[#This Row],[Event_No]],Event_Master[[#All],[Event_No]],Event_Master[[#All],[Guest_Count]],,0)</f>
        <v>250</v>
      </c>
      <c r="G1316" cm="1">
        <f t="array" ref="G1316">Food_Orders[[#This Row],[Quantity_Orderd]]*_xlfn.XLOOKUP(Food_Orders[[#This Row],[Food_ID]],Food_Catalog[[#All],[Food_ID]],Food_Catalog[[#All],[Price_Per_Unit]],0,0)</f>
        <v>20000</v>
      </c>
      <c r="H1316" cm="1">
        <f t="array" ref="H1316">Food_Orders[[#This Row],[Quantity_Orderd]]*_xlfn.XLOOKUP(Food_Orders[[#This Row],[Food_ID]],Food_Catalog[[#All],[Food_ID]],Food_Catalog[[#All],[Client_Price_Per_Unit]],0,0)</f>
        <v>24000</v>
      </c>
      <c r="I1316">
        <f>Food_Orders[[#This Row],[Client_Price]]-Food_Orders[[#This Row],[Cost]]</f>
        <v>4000</v>
      </c>
    </row>
    <row r="1317" spans="1:9" x14ac:dyDescent="0.25">
      <c r="A1317">
        <v>57</v>
      </c>
      <c r="B1317" t="s">
        <v>52</v>
      </c>
      <c r="C1317" t="s">
        <v>40</v>
      </c>
      <c r="D1317" t="s">
        <v>53</v>
      </c>
      <c r="E1317" t="s">
        <v>10</v>
      </c>
      <c r="F1317" cm="1">
        <f t="array" ref="F1317">_xlfn.XLOOKUP(Food_Orders[[#This Row],[Event_No]],Event_Master[[#All],[Event_No]],Event_Master[[#All],[Guest_Count]],,0)</f>
        <v>250</v>
      </c>
      <c r="G1317" cm="1">
        <f t="array" ref="G1317">Food_Orders[[#This Row],[Quantity_Orderd]]*_xlfn.XLOOKUP(Food_Orders[[#This Row],[Food_ID]],Food_Catalog[[#All],[Food_ID]],Food_Catalog[[#All],[Price_Per_Unit]],0,0)</f>
        <v>25000</v>
      </c>
      <c r="H1317" cm="1">
        <f t="array" ref="H1317">Food_Orders[[#This Row],[Quantity_Orderd]]*_xlfn.XLOOKUP(Food_Orders[[#This Row],[Food_ID]],Food_Catalog[[#All],[Food_ID]],Food_Catalog[[#All],[Client_Price_Per_Unit]],0,0)</f>
        <v>30000</v>
      </c>
      <c r="I1317">
        <f>Food_Orders[[#This Row],[Client_Price]]-Food_Orders[[#This Row],[Cost]]</f>
        <v>5000</v>
      </c>
    </row>
    <row r="1318" spans="1:9" x14ac:dyDescent="0.25">
      <c r="A1318">
        <v>57</v>
      </c>
      <c r="B1318" t="s">
        <v>27</v>
      </c>
      <c r="C1318" t="s">
        <v>8</v>
      </c>
      <c r="D1318" t="s">
        <v>28</v>
      </c>
      <c r="E1318" t="s">
        <v>10</v>
      </c>
      <c r="F1318" cm="1">
        <f t="array" ref="F1318">_xlfn.XLOOKUP(Food_Orders[[#This Row],[Event_No]],Event_Master[[#All],[Event_No]],Event_Master[[#All],[Guest_Count]],,0)</f>
        <v>250</v>
      </c>
      <c r="G1318" cm="1">
        <f t="array" ref="G1318">Food_Orders[[#This Row],[Quantity_Orderd]]*_xlfn.XLOOKUP(Food_Orders[[#This Row],[Food_ID]],Food_Catalog[[#All],[Food_ID]],Food_Catalog[[#All],[Price_Per_Unit]],0,0)</f>
        <v>10000</v>
      </c>
      <c r="H1318" cm="1">
        <f t="array" ref="H1318">Food_Orders[[#This Row],[Quantity_Orderd]]*_xlfn.XLOOKUP(Food_Orders[[#This Row],[Food_ID]],Food_Catalog[[#All],[Food_ID]],Food_Catalog[[#All],[Client_Price_Per_Unit]],0,0)</f>
        <v>12000</v>
      </c>
      <c r="I1318">
        <f>Food_Orders[[#This Row],[Client_Price]]-Food_Orders[[#This Row],[Cost]]</f>
        <v>2000</v>
      </c>
    </row>
    <row r="1319" spans="1:9" x14ac:dyDescent="0.25">
      <c r="A1319">
        <v>57</v>
      </c>
      <c r="B1319" t="s">
        <v>17</v>
      </c>
      <c r="C1319" t="s">
        <v>8</v>
      </c>
      <c r="D1319" t="s">
        <v>18</v>
      </c>
      <c r="E1319" t="s">
        <v>10</v>
      </c>
      <c r="F1319" cm="1">
        <f t="array" ref="F1319">_xlfn.XLOOKUP(Food_Orders[[#This Row],[Event_No]],Event_Master[[#All],[Event_No]],Event_Master[[#All],[Guest_Count]],,0)</f>
        <v>250</v>
      </c>
      <c r="G1319" cm="1">
        <f t="array" ref="G1319">Food_Orders[[#This Row],[Quantity_Orderd]]*_xlfn.XLOOKUP(Food_Orders[[#This Row],[Food_ID]],Food_Catalog[[#All],[Food_ID]],Food_Catalog[[#All],[Price_Per_Unit]],0,0)</f>
        <v>10000</v>
      </c>
      <c r="H1319" cm="1">
        <f t="array" ref="H1319">Food_Orders[[#This Row],[Quantity_Orderd]]*_xlfn.XLOOKUP(Food_Orders[[#This Row],[Food_ID]],Food_Catalog[[#All],[Food_ID]],Food_Catalog[[#All],[Client_Price_Per_Unit]],0,0)</f>
        <v>12000</v>
      </c>
      <c r="I1319">
        <f>Food_Orders[[#This Row],[Client_Price]]-Food_Orders[[#This Row],[Cost]]</f>
        <v>2000</v>
      </c>
    </row>
    <row r="1320" spans="1:9" x14ac:dyDescent="0.25">
      <c r="A1320">
        <v>57</v>
      </c>
      <c r="B1320" t="s">
        <v>29</v>
      </c>
      <c r="C1320" t="s">
        <v>8</v>
      </c>
      <c r="D1320" t="s">
        <v>30</v>
      </c>
      <c r="E1320" t="s">
        <v>10</v>
      </c>
      <c r="F1320" cm="1">
        <f t="array" ref="F1320">_xlfn.XLOOKUP(Food_Orders[[#This Row],[Event_No]],Event_Master[[#All],[Event_No]],Event_Master[[#All],[Guest_Count]],,0)</f>
        <v>250</v>
      </c>
      <c r="G1320" cm="1">
        <f t="array" ref="G1320">Food_Orders[[#This Row],[Quantity_Orderd]]*_xlfn.XLOOKUP(Food_Orders[[#This Row],[Food_ID]],Food_Catalog[[#All],[Food_ID]],Food_Catalog[[#All],[Price_Per_Unit]],0,0)</f>
        <v>7500</v>
      </c>
      <c r="H1320" cm="1">
        <f t="array" ref="H1320">Food_Orders[[#This Row],[Quantity_Orderd]]*_xlfn.XLOOKUP(Food_Orders[[#This Row],[Food_ID]],Food_Catalog[[#All],[Food_ID]],Food_Catalog[[#All],[Client_Price_Per_Unit]],0,0)</f>
        <v>9000</v>
      </c>
      <c r="I1320">
        <f>Food_Orders[[#This Row],[Client_Price]]-Food_Orders[[#This Row],[Cost]]</f>
        <v>1500</v>
      </c>
    </row>
    <row r="1321" spans="1:9" x14ac:dyDescent="0.25">
      <c r="A1321">
        <v>57</v>
      </c>
      <c r="B1321" t="s">
        <v>37</v>
      </c>
      <c r="C1321" t="s">
        <v>8</v>
      </c>
      <c r="D1321" t="s">
        <v>38</v>
      </c>
      <c r="E1321" t="s">
        <v>10</v>
      </c>
      <c r="F1321" cm="1">
        <f t="array" ref="F1321">_xlfn.XLOOKUP(Food_Orders[[#This Row],[Event_No]],Event_Master[[#All],[Event_No]],Event_Master[[#All],[Guest_Count]],,0)</f>
        <v>250</v>
      </c>
      <c r="G1321" cm="1">
        <f t="array" ref="G1321">Food_Orders[[#This Row],[Quantity_Orderd]]*_xlfn.XLOOKUP(Food_Orders[[#This Row],[Food_ID]],Food_Catalog[[#All],[Food_ID]],Food_Catalog[[#All],[Price_Per_Unit]],0,0)</f>
        <v>6250</v>
      </c>
      <c r="H1321" cm="1">
        <f t="array" ref="H1321">Food_Orders[[#This Row],[Quantity_Orderd]]*_xlfn.XLOOKUP(Food_Orders[[#This Row],[Food_ID]],Food_Catalog[[#All],[Food_ID]],Food_Catalog[[#All],[Client_Price_Per_Unit]],0,0)</f>
        <v>7500</v>
      </c>
      <c r="I1321">
        <f>Food_Orders[[#This Row],[Client_Price]]-Food_Orders[[#This Row],[Cost]]</f>
        <v>1250</v>
      </c>
    </row>
    <row r="1322" spans="1:9" x14ac:dyDescent="0.25">
      <c r="A1322">
        <v>57</v>
      </c>
      <c r="B1322" t="s">
        <v>82</v>
      </c>
      <c r="C1322" t="s">
        <v>83</v>
      </c>
      <c r="D1322" t="s">
        <v>84</v>
      </c>
      <c r="E1322" t="s">
        <v>85</v>
      </c>
      <c r="F1322" cm="1">
        <f t="array" ref="F1322">_xlfn.XLOOKUP(Food_Orders[[#This Row],[Event_No]],Event_Master[[#All],[Event_No]],Event_Master[[#All],[Guest_Count]],,0)</f>
        <v>250</v>
      </c>
      <c r="G1322" cm="1">
        <f t="array" ref="G1322">Food_Orders[[#This Row],[Quantity_Orderd]]*_xlfn.XLOOKUP(Food_Orders[[#This Row],[Food_ID]],Food_Catalog[[#All],[Food_ID]],Food_Catalog[[#All],[Price_Per_Unit]],0,0)</f>
        <v>5000</v>
      </c>
      <c r="H1322" cm="1">
        <f t="array" ref="H1322">Food_Orders[[#This Row],[Quantity_Orderd]]*_xlfn.XLOOKUP(Food_Orders[[#This Row],[Food_ID]],Food_Catalog[[#All],[Food_ID]],Food_Catalog[[#All],[Client_Price_Per_Unit]],0,0)</f>
        <v>6000</v>
      </c>
      <c r="I1322">
        <f>Food_Orders[[#This Row],[Client_Price]]-Food_Orders[[#This Row],[Cost]]</f>
        <v>1000</v>
      </c>
    </row>
    <row r="1323" spans="1:9" x14ac:dyDescent="0.25">
      <c r="A1323">
        <v>57</v>
      </c>
      <c r="B1323" t="s">
        <v>86</v>
      </c>
      <c r="C1323" t="s">
        <v>83</v>
      </c>
      <c r="D1323" t="s">
        <v>87</v>
      </c>
      <c r="E1323" t="s">
        <v>85</v>
      </c>
      <c r="F1323" cm="1">
        <f t="array" ref="F1323">_xlfn.XLOOKUP(Food_Orders[[#This Row],[Event_No]],Event_Master[[#All],[Event_No]],Event_Master[[#All],[Guest_Count]],,0)</f>
        <v>250</v>
      </c>
      <c r="G1323" cm="1">
        <f t="array" ref="G1323">Food_Orders[[#This Row],[Quantity_Orderd]]*_xlfn.XLOOKUP(Food_Orders[[#This Row],[Food_ID]],Food_Catalog[[#All],[Food_ID]],Food_Catalog[[#All],[Price_Per_Unit]],0,0)</f>
        <v>5000</v>
      </c>
      <c r="H1323" cm="1">
        <f t="array" ref="H1323">Food_Orders[[#This Row],[Quantity_Orderd]]*_xlfn.XLOOKUP(Food_Orders[[#This Row],[Food_ID]],Food_Catalog[[#All],[Food_ID]],Food_Catalog[[#All],[Client_Price_Per_Unit]],0,0)</f>
        <v>6000</v>
      </c>
      <c r="I1323">
        <f>Food_Orders[[#This Row],[Client_Price]]-Food_Orders[[#This Row],[Cost]]</f>
        <v>1000</v>
      </c>
    </row>
    <row r="1324" spans="1:9" x14ac:dyDescent="0.25">
      <c r="A1324">
        <v>57</v>
      </c>
      <c r="B1324" t="s">
        <v>96</v>
      </c>
      <c r="C1324" t="s">
        <v>83</v>
      </c>
      <c r="D1324" t="s">
        <v>97</v>
      </c>
      <c r="E1324" t="s">
        <v>79</v>
      </c>
      <c r="F1324" cm="1">
        <f t="array" ref="F1324">_xlfn.XLOOKUP(Food_Orders[[#This Row],[Event_No]],Event_Master[[#All],[Event_No]],Event_Master[[#All],[Guest_Count]],,0)</f>
        <v>250</v>
      </c>
      <c r="G1324" cm="1">
        <f t="array" ref="G1324">Food_Orders[[#This Row],[Quantity_Orderd]]*_xlfn.XLOOKUP(Food_Orders[[#This Row],[Food_ID]],Food_Catalog[[#All],[Food_ID]],Food_Catalog[[#All],[Price_Per_Unit]],0,0)</f>
        <v>7500</v>
      </c>
      <c r="H1324" cm="1">
        <f t="array" ref="H1324">Food_Orders[[#This Row],[Quantity_Orderd]]*_xlfn.XLOOKUP(Food_Orders[[#This Row],[Food_ID]],Food_Catalog[[#All],[Food_ID]],Food_Catalog[[#All],[Client_Price_Per_Unit]],0,0)</f>
        <v>9000</v>
      </c>
      <c r="I1324">
        <f>Food_Orders[[#This Row],[Client_Price]]-Food_Orders[[#This Row],[Cost]]</f>
        <v>1500</v>
      </c>
    </row>
    <row r="1325" spans="1:9" x14ac:dyDescent="0.25">
      <c r="A1325">
        <v>57</v>
      </c>
      <c r="B1325" t="s">
        <v>100</v>
      </c>
      <c r="C1325" t="s">
        <v>83</v>
      </c>
      <c r="D1325" t="s">
        <v>101</v>
      </c>
      <c r="E1325" t="s">
        <v>79</v>
      </c>
      <c r="F1325" cm="1">
        <f t="array" ref="F1325">_xlfn.XLOOKUP(Food_Orders[[#This Row],[Event_No]],Event_Master[[#All],[Event_No]],Event_Master[[#All],[Guest_Count]],,0)</f>
        <v>250</v>
      </c>
      <c r="G1325" cm="1">
        <f t="array" ref="G1325">Food_Orders[[#This Row],[Quantity_Orderd]]*_xlfn.XLOOKUP(Food_Orders[[#This Row],[Food_ID]],Food_Catalog[[#All],[Food_ID]],Food_Catalog[[#All],[Price_Per_Unit]],0,0)</f>
        <v>8750</v>
      </c>
      <c r="H1325" cm="1">
        <f t="array" ref="H1325">Food_Orders[[#This Row],[Quantity_Orderd]]*_xlfn.XLOOKUP(Food_Orders[[#This Row],[Food_ID]],Food_Catalog[[#All],[Food_ID]],Food_Catalog[[#All],[Client_Price_Per_Unit]],0,0)</f>
        <v>10500</v>
      </c>
      <c r="I1325">
        <f>Food_Orders[[#This Row],[Client_Price]]-Food_Orders[[#This Row],[Cost]]</f>
        <v>1750</v>
      </c>
    </row>
    <row r="1326" spans="1:9" x14ac:dyDescent="0.25">
      <c r="A1326">
        <v>57</v>
      </c>
      <c r="B1326" t="s">
        <v>92</v>
      </c>
      <c r="C1326" t="s">
        <v>83</v>
      </c>
      <c r="D1326" t="s">
        <v>93</v>
      </c>
      <c r="E1326" t="s">
        <v>85</v>
      </c>
      <c r="F1326" cm="1">
        <f t="array" ref="F1326">_xlfn.XLOOKUP(Food_Orders[[#This Row],[Event_No]],Event_Master[[#All],[Event_No]],Event_Master[[#All],[Guest_Count]],,0)</f>
        <v>250</v>
      </c>
      <c r="G1326" cm="1">
        <f t="array" ref="G1326">Food_Orders[[#This Row],[Quantity_Orderd]]*_xlfn.XLOOKUP(Food_Orders[[#This Row],[Food_ID]],Food_Catalog[[#All],[Food_ID]],Food_Catalog[[#All],[Price_Per_Unit]],0,0)</f>
        <v>3750</v>
      </c>
      <c r="H1326" cm="1">
        <f t="array" ref="H1326">Food_Orders[[#This Row],[Quantity_Orderd]]*_xlfn.XLOOKUP(Food_Orders[[#This Row],[Food_ID]],Food_Catalog[[#All],[Food_ID]],Food_Catalog[[#All],[Client_Price_Per_Unit]],0,0)</f>
        <v>4500</v>
      </c>
      <c r="I1326">
        <f>Food_Orders[[#This Row],[Client_Price]]-Food_Orders[[#This Row],[Cost]]</f>
        <v>750</v>
      </c>
    </row>
    <row r="1327" spans="1:9" x14ac:dyDescent="0.25">
      <c r="A1327">
        <v>57</v>
      </c>
      <c r="B1327" t="s">
        <v>98</v>
      </c>
      <c r="C1327" t="s">
        <v>83</v>
      </c>
      <c r="D1327" t="s">
        <v>99</v>
      </c>
      <c r="E1327" t="s">
        <v>85</v>
      </c>
      <c r="F1327" cm="1">
        <f t="array" ref="F1327">_xlfn.XLOOKUP(Food_Orders[[#This Row],[Event_No]],Event_Master[[#All],[Event_No]],Event_Master[[#All],[Guest_Count]],,0)</f>
        <v>250</v>
      </c>
      <c r="G1327" cm="1">
        <f t="array" ref="G1327">Food_Orders[[#This Row],[Quantity_Orderd]]*_xlfn.XLOOKUP(Food_Orders[[#This Row],[Food_ID]],Food_Catalog[[#All],[Food_ID]],Food_Catalog[[#All],[Price_Per_Unit]],0,0)</f>
        <v>3750</v>
      </c>
      <c r="H1327" cm="1">
        <f t="array" ref="H1327">Food_Orders[[#This Row],[Quantity_Orderd]]*_xlfn.XLOOKUP(Food_Orders[[#This Row],[Food_ID]],Food_Catalog[[#All],[Food_ID]],Food_Catalog[[#All],[Client_Price_Per_Unit]],0,0)</f>
        <v>4500</v>
      </c>
      <c r="I1327">
        <f>Food_Orders[[#This Row],[Client_Price]]-Food_Orders[[#This Row],[Cost]]</f>
        <v>750</v>
      </c>
    </row>
    <row r="1328" spans="1:9" x14ac:dyDescent="0.25">
      <c r="A1328">
        <v>57</v>
      </c>
      <c r="B1328" t="s">
        <v>104</v>
      </c>
      <c r="C1328" t="s">
        <v>105</v>
      </c>
      <c r="D1328" t="s">
        <v>106</v>
      </c>
      <c r="E1328" t="s">
        <v>107</v>
      </c>
      <c r="F1328" cm="1">
        <f t="array" ref="F1328">_xlfn.XLOOKUP(Food_Orders[[#This Row],[Event_No]],Event_Master[[#All],[Event_No]],Event_Master[[#All],[Guest_Count]],,0)</f>
        <v>250</v>
      </c>
      <c r="G1328" cm="1">
        <f t="array" ref="G1328">Food_Orders[[#This Row],[Quantity_Orderd]]*_xlfn.XLOOKUP(Food_Orders[[#This Row],[Food_ID]],Food_Catalog[[#All],[Food_ID]],Food_Catalog[[#All],[Price_Per_Unit]],0,0)</f>
        <v>2500</v>
      </c>
      <c r="H1328" cm="1">
        <f t="array" ref="H1328">Food_Orders[[#This Row],[Quantity_Orderd]]*_xlfn.XLOOKUP(Food_Orders[[#This Row],[Food_ID]],Food_Catalog[[#All],[Food_ID]],Food_Catalog[[#All],[Client_Price_Per_Unit]],0,0)</f>
        <v>3000</v>
      </c>
      <c r="I1328">
        <f>Food_Orders[[#This Row],[Client_Price]]-Food_Orders[[#This Row],[Cost]]</f>
        <v>500</v>
      </c>
    </row>
    <row r="1329" spans="1:9" x14ac:dyDescent="0.25">
      <c r="A1329">
        <v>57</v>
      </c>
      <c r="B1329" t="s">
        <v>108</v>
      </c>
      <c r="C1329" t="s">
        <v>105</v>
      </c>
      <c r="D1329" t="s">
        <v>109</v>
      </c>
      <c r="E1329" t="s">
        <v>107</v>
      </c>
      <c r="F1329" cm="1">
        <f t="array" ref="F1329">_xlfn.XLOOKUP(Food_Orders[[#This Row],[Event_No]],Event_Master[[#All],[Event_No]],Event_Master[[#All],[Guest_Count]],,0)</f>
        <v>250</v>
      </c>
      <c r="G1329" cm="1">
        <f t="array" ref="G1329">Food_Orders[[#This Row],[Quantity_Orderd]]*_xlfn.XLOOKUP(Food_Orders[[#This Row],[Food_ID]],Food_Catalog[[#All],[Food_ID]],Food_Catalog[[#All],[Price_Per_Unit]],0,0)</f>
        <v>3750</v>
      </c>
      <c r="H1329" cm="1">
        <f t="array" ref="H1329">Food_Orders[[#This Row],[Quantity_Orderd]]*_xlfn.XLOOKUP(Food_Orders[[#This Row],[Food_ID]],Food_Catalog[[#All],[Food_ID]],Food_Catalog[[#All],[Client_Price_Per_Unit]],0,0)</f>
        <v>4500</v>
      </c>
      <c r="I1329">
        <f>Food_Orders[[#This Row],[Client_Price]]-Food_Orders[[#This Row],[Cost]]</f>
        <v>750</v>
      </c>
    </row>
    <row r="1330" spans="1:9" x14ac:dyDescent="0.25">
      <c r="A1330">
        <v>57</v>
      </c>
      <c r="B1330" t="s">
        <v>118</v>
      </c>
      <c r="C1330" t="s">
        <v>119</v>
      </c>
      <c r="D1330" t="s">
        <v>120</v>
      </c>
      <c r="E1330" t="s">
        <v>112</v>
      </c>
      <c r="F1330" cm="1">
        <f t="array" ref="F1330">_xlfn.XLOOKUP(Food_Orders[[#This Row],[Event_No]],Event_Master[[#All],[Event_No]],Event_Master[[#All],[Guest_Count]],,0)</f>
        <v>250</v>
      </c>
      <c r="G1330" cm="1">
        <f t="array" ref="G1330">Food_Orders[[#This Row],[Quantity_Orderd]]*_xlfn.XLOOKUP(Food_Orders[[#This Row],[Food_ID]],Food_Catalog[[#All],[Food_ID]],Food_Catalog[[#All],[Price_Per_Unit]],0,0)</f>
        <v>2500</v>
      </c>
      <c r="H1330" cm="1">
        <f t="array" ref="H1330">Food_Orders[[#This Row],[Quantity_Orderd]]*_xlfn.XLOOKUP(Food_Orders[[#This Row],[Food_ID]],Food_Catalog[[#All],[Food_ID]],Food_Catalog[[#All],[Client_Price_Per_Unit]],0,0)</f>
        <v>3000</v>
      </c>
      <c r="I1330">
        <f>Food_Orders[[#This Row],[Client_Price]]-Food_Orders[[#This Row],[Cost]]</f>
        <v>500</v>
      </c>
    </row>
    <row r="1331" spans="1:9" x14ac:dyDescent="0.25">
      <c r="A1331">
        <v>57</v>
      </c>
      <c r="B1331" t="s">
        <v>129</v>
      </c>
      <c r="C1331" t="s">
        <v>119</v>
      </c>
      <c r="D1331" t="s">
        <v>130</v>
      </c>
      <c r="E1331" t="s">
        <v>112</v>
      </c>
      <c r="F1331" cm="1">
        <f t="array" ref="F1331">_xlfn.XLOOKUP(Food_Orders[[#This Row],[Event_No]],Event_Master[[#All],[Event_No]],Event_Master[[#All],[Guest_Count]],,0)</f>
        <v>250</v>
      </c>
      <c r="G1331" cm="1">
        <f t="array" ref="G1331">Food_Orders[[#This Row],[Quantity_Orderd]]*_xlfn.XLOOKUP(Food_Orders[[#This Row],[Food_ID]],Food_Catalog[[#All],[Food_ID]],Food_Catalog[[#All],[Price_Per_Unit]],0,0)</f>
        <v>2500</v>
      </c>
      <c r="H1331" cm="1">
        <f t="array" ref="H1331">Food_Orders[[#This Row],[Quantity_Orderd]]*_xlfn.XLOOKUP(Food_Orders[[#This Row],[Food_ID]],Food_Catalog[[#All],[Food_ID]],Food_Catalog[[#All],[Client_Price_Per_Unit]],0,0)</f>
        <v>3000</v>
      </c>
      <c r="I1331">
        <f>Food_Orders[[#This Row],[Client_Price]]-Food_Orders[[#This Row],[Cost]]</f>
        <v>500</v>
      </c>
    </row>
    <row r="1332" spans="1:9" x14ac:dyDescent="0.25">
      <c r="A1332">
        <v>57</v>
      </c>
      <c r="B1332" t="s">
        <v>127</v>
      </c>
      <c r="C1332" t="s">
        <v>119</v>
      </c>
      <c r="D1332" t="s">
        <v>128</v>
      </c>
      <c r="E1332" t="s">
        <v>107</v>
      </c>
      <c r="F1332" cm="1">
        <f t="array" ref="F1332">_xlfn.XLOOKUP(Food_Orders[[#This Row],[Event_No]],Event_Master[[#All],[Event_No]],Event_Master[[#All],[Guest_Count]],,0)</f>
        <v>250</v>
      </c>
      <c r="G1332" cm="1">
        <f t="array" ref="G1332">Food_Orders[[#This Row],[Quantity_Orderd]]*_xlfn.XLOOKUP(Food_Orders[[#This Row],[Food_ID]],Food_Catalog[[#All],[Food_ID]],Food_Catalog[[#All],[Price_Per_Unit]],0,0)</f>
        <v>5000</v>
      </c>
      <c r="H1332" cm="1">
        <f t="array" ref="H1332">Food_Orders[[#This Row],[Quantity_Orderd]]*_xlfn.XLOOKUP(Food_Orders[[#This Row],[Food_ID]],Food_Catalog[[#All],[Food_ID]],Food_Catalog[[#All],[Client_Price_Per_Unit]],0,0)</f>
        <v>6000</v>
      </c>
      <c r="I1332">
        <f>Food_Orders[[#This Row],[Client_Price]]-Food_Orders[[#This Row],[Cost]]</f>
        <v>1000</v>
      </c>
    </row>
    <row r="1333" spans="1:9" x14ac:dyDescent="0.25">
      <c r="A1333">
        <v>57</v>
      </c>
      <c r="B1333" t="s">
        <v>124</v>
      </c>
      <c r="C1333" t="s">
        <v>119</v>
      </c>
      <c r="D1333" t="s">
        <v>125</v>
      </c>
      <c r="E1333" t="s">
        <v>126</v>
      </c>
      <c r="F1333" cm="1">
        <f t="array" ref="F1333">_xlfn.XLOOKUP(Food_Orders[[#This Row],[Event_No]],Event_Master[[#All],[Event_No]],Event_Master[[#All],[Guest_Count]],,0)</f>
        <v>250</v>
      </c>
      <c r="G1333" cm="1">
        <f t="array" ref="G1333">Food_Orders[[#This Row],[Quantity_Orderd]]*_xlfn.XLOOKUP(Food_Orders[[#This Row],[Food_ID]],Food_Catalog[[#All],[Food_ID]],Food_Catalog[[#All],[Price_Per_Unit]],0,0)</f>
        <v>5000</v>
      </c>
      <c r="H1333" cm="1">
        <f t="array" ref="H1333">Food_Orders[[#This Row],[Quantity_Orderd]]*_xlfn.XLOOKUP(Food_Orders[[#This Row],[Food_ID]],Food_Catalog[[#All],[Food_ID]],Food_Catalog[[#All],[Client_Price_Per_Unit]],0,0)</f>
        <v>6000</v>
      </c>
      <c r="I1333">
        <f>Food_Orders[[#This Row],[Client_Price]]-Food_Orders[[#This Row],[Cost]]</f>
        <v>1000</v>
      </c>
    </row>
    <row r="1334" spans="1:9" x14ac:dyDescent="0.25">
      <c r="A1334">
        <v>57</v>
      </c>
      <c r="B1334" t="s">
        <v>121</v>
      </c>
      <c r="C1334" t="s">
        <v>119</v>
      </c>
      <c r="D1334" t="s">
        <v>122</v>
      </c>
      <c r="E1334" t="s">
        <v>123</v>
      </c>
      <c r="F1334" cm="1">
        <f t="array" ref="F1334">_xlfn.XLOOKUP(Food_Orders[[#This Row],[Event_No]],Event_Master[[#All],[Event_No]],Event_Master[[#All],[Guest_Count]],,0)</f>
        <v>250</v>
      </c>
      <c r="G1334" cm="1">
        <f t="array" ref="G1334">Food_Orders[[#This Row],[Quantity_Orderd]]*_xlfn.XLOOKUP(Food_Orders[[#This Row],[Food_ID]],Food_Catalog[[#All],[Food_ID]],Food_Catalog[[#All],[Price_Per_Unit]],0,0)</f>
        <v>2500</v>
      </c>
      <c r="H1334" cm="1">
        <f t="array" ref="H1334">Food_Orders[[#This Row],[Quantity_Orderd]]*_xlfn.XLOOKUP(Food_Orders[[#This Row],[Food_ID]],Food_Catalog[[#All],[Food_ID]],Food_Catalog[[#All],[Client_Price_Per_Unit]],0,0)</f>
        <v>3000</v>
      </c>
      <c r="I1334">
        <f>Food_Orders[[#This Row],[Client_Price]]-Food_Orders[[#This Row],[Cost]]</f>
        <v>500</v>
      </c>
    </row>
    <row r="1335" spans="1:9" x14ac:dyDescent="0.25">
      <c r="A1335">
        <v>58</v>
      </c>
      <c r="B1335" t="s">
        <v>60</v>
      </c>
      <c r="C1335" t="s">
        <v>61</v>
      </c>
      <c r="D1335" t="s">
        <v>62</v>
      </c>
      <c r="E1335" t="s">
        <v>10</v>
      </c>
      <c r="F1335" cm="1">
        <f t="array" ref="F1335">_xlfn.XLOOKUP(Food_Orders[[#This Row],[Event_No]],Event_Master[[#All],[Event_No]],Event_Master[[#All],[Guest_Count]],,0)</f>
        <v>300</v>
      </c>
      <c r="G1335" cm="1">
        <f t="array" ref="G1335">Food_Orders[[#This Row],[Quantity_Orderd]]*_xlfn.XLOOKUP(Food_Orders[[#This Row],[Food_ID]],Food_Catalog[[#All],[Food_ID]],Food_Catalog[[#All],[Price_Per_Unit]],0,0)</f>
        <v>6000</v>
      </c>
      <c r="H1335" cm="1">
        <f t="array" ref="H1335">Food_Orders[[#This Row],[Quantity_Orderd]]*_xlfn.XLOOKUP(Food_Orders[[#This Row],[Food_ID]],Food_Catalog[[#All],[Food_ID]],Food_Catalog[[#All],[Client_Price_Per_Unit]],0,0)</f>
        <v>7200</v>
      </c>
      <c r="I1335">
        <f>Food_Orders[[#This Row],[Client_Price]]-Food_Orders[[#This Row],[Cost]]</f>
        <v>1200</v>
      </c>
    </row>
    <row r="1336" spans="1:9" x14ac:dyDescent="0.25">
      <c r="A1336">
        <v>58</v>
      </c>
      <c r="B1336" t="s">
        <v>63</v>
      </c>
      <c r="C1336" t="s">
        <v>61</v>
      </c>
      <c r="D1336" t="s">
        <v>64</v>
      </c>
      <c r="E1336" t="s">
        <v>10</v>
      </c>
      <c r="F1336" cm="1">
        <f t="array" ref="F1336">_xlfn.XLOOKUP(Food_Orders[[#This Row],[Event_No]],Event_Master[[#All],[Event_No]],Event_Master[[#All],[Guest_Count]],,0)</f>
        <v>300</v>
      </c>
      <c r="G1336" cm="1">
        <f t="array" ref="G1336">Food_Orders[[#This Row],[Quantity_Orderd]]*_xlfn.XLOOKUP(Food_Orders[[#This Row],[Food_ID]],Food_Catalog[[#All],[Food_ID]],Food_Catalog[[#All],[Price_Per_Unit]],0,0)</f>
        <v>9000</v>
      </c>
      <c r="H1336" cm="1">
        <f t="array" ref="H1336">Food_Orders[[#This Row],[Quantity_Orderd]]*_xlfn.XLOOKUP(Food_Orders[[#This Row],[Food_ID]],Food_Catalog[[#All],[Food_ID]],Food_Catalog[[#All],[Client_Price_Per_Unit]],0,0)</f>
        <v>10800</v>
      </c>
      <c r="I1336">
        <f>Food_Orders[[#This Row],[Client_Price]]-Food_Orders[[#This Row],[Cost]]</f>
        <v>1800</v>
      </c>
    </row>
    <row r="1337" spans="1:9" x14ac:dyDescent="0.25">
      <c r="A1337">
        <v>58</v>
      </c>
      <c r="B1337" t="s">
        <v>71</v>
      </c>
      <c r="C1337" t="s">
        <v>61</v>
      </c>
      <c r="D1337" t="s">
        <v>72</v>
      </c>
      <c r="E1337" t="s">
        <v>10</v>
      </c>
      <c r="F1337" cm="1">
        <f t="array" ref="F1337">_xlfn.XLOOKUP(Food_Orders[[#This Row],[Event_No]],Event_Master[[#All],[Event_No]],Event_Master[[#All],[Guest_Count]],,0)</f>
        <v>300</v>
      </c>
      <c r="G1337" cm="1">
        <f t="array" ref="G1337">Food_Orders[[#This Row],[Quantity_Orderd]]*_xlfn.XLOOKUP(Food_Orders[[#This Row],[Food_ID]],Food_Catalog[[#All],[Food_ID]],Food_Catalog[[#All],[Price_Per_Unit]],0,0)</f>
        <v>7500</v>
      </c>
      <c r="H1337" cm="1">
        <f t="array" ref="H1337">Food_Orders[[#This Row],[Quantity_Orderd]]*_xlfn.XLOOKUP(Food_Orders[[#This Row],[Food_ID]],Food_Catalog[[#All],[Food_ID]],Food_Catalog[[#All],[Client_Price_Per_Unit]],0,0)</f>
        <v>9000</v>
      </c>
      <c r="I1337">
        <f>Food_Orders[[#This Row],[Client_Price]]-Food_Orders[[#This Row],[Cost]]</f>
        <v>1500</v>
      </c>
    </row>
    <row r="1338" spans="1:9" x14ac:dyDescent="0.25">
      <c r="A1338">
        <v>58</v>
      </c>
      <c r="B1338" t="s">
        <v>73</v>
      </c>
      <c r="C1338" t="s">
        <v>61</v>
      </c>
      <c r="D1338" t="s">
        <v>74</v>
      </c>
      <c r="E1338" t="s">
        <v>10</v>
      </c>
      <c r="F1338" cm="1">
        <f t="array" ref="F1338">_xlfn.XLOOKUP(Food_Orders[[#This Row],[Event_No]],Event_Master[[#All],[Event_No]],Event_Master[[#All],[Guest_Count]],,0)</f>
        <v>300</v>
      </c>
      <c r="G1338" cm="1">
        <f t="array" ref="G1338">Food_Orders[[#This Row],[Quantity_Orderd]]*_xlfn.XLOOKUP(Food_Orders[[#This Row],[Food_ID]],Food_Catalog[[#All],[Food_ID]],Food_Catalog[[#All],[Price_Per_Unit]],0,0)</f>
        <v>12000</v>
      </c>
      <c r="H1338" cm="1">
        <f t="array" ref="H1338">Food_Orders[[#This Row],[Quantity_Orderd]]*_xlfn.XLOOKUP(Food_Orders[[#This Row],[Food_ID]],Food_Catalog[[#All],[Food_ID]],Food_Catalog[[#All],[Client_Price_Per_Unit]],0,0)</f>
        <v>14400</v>
      </c>
      <c r="I1338">
        <f>Food_Orders[[#This Row],[Client_Price]]-Food_Orders[[#This Row],[Cost]]</f>
        <v>2400</v>
      </c>
    </row>
    <row r="1339" spans="1:9" x14ac:dyDescent="0.25">
      <c r="A1339">
        <v>58</v>
      </c>
      <c r="B1339" t="s">
        <v>75</v>
      </c>
      <c r="C1339" t="s">
        <v>61</v>
      </c>
      <c r="D1339" t="s">
        <v>76</v>
      </c>
      <c r="E1339" t="s">
        <v>10</v>
      </c>
      <c r="F1339" cm="1">
        <f t="array" ref="F1339">_xlfn.XLOOKUP(Food_Orders[[#This Row],[Event_No]],Event_Master[[#All],[Event_No]],Event_Master[[#All],[Guest_Count]],,0)</f>
        <v>300</v>
      </c>
      <c r="G1339" cm="1">
        <f t="array" ref="G1339">Food_Orders[[#This Row],[Quantity_Orderd]]*_xlfn.XLOOKUP(Food_Orders[[#This Row],[Food_ID]],Food_Catalog[[#All],[Food_ID]],Food_Catalog[[#All],[Price_Per_Unit]],0,0)</f>
        <v>12000</v>
      </c>
      <c r="H1339" cm="1">
        <f t="array" ref="H1339">Food_Orders[[#This Row],[Quantity_Orderd]]*_xlfn.XLOOKUP(Food_Orders[[#This Row],[Food_ID]],Food_Catalog[[#All],[Food_ID]],Food_Catalog[[#All],[Client_Price_Per_Unit]],0,0)</f>
        <v>14400</v>
      </c>
      <c r="I1339">
        <f>Food_Orders[[#This Row],[Client_Price]]-Food_Orders[[#This Row],[Cost]]</f>
        <v>2400</v>
      </c>
    </row>
    <row r="1340" spans="1:9" x14ac:dyDescent="0.25">
      <c r="A1340">
        <v>58</v>
      </c>
      <c r="B1340" t="s">
        <v>69</v>
      </c>
      <c r="C1340" t="s">
        <v>61</v>
      </c>
      <c r="D1340" t="s">
        <v>70</v>
      </c>
      <c r="E1340" t="s">
        <v>10</v>
      </c>
      <c r="F1340" cm="1">
        <f t="array" ref="F1340">_xlfn.XLOOKUP(Food_Orders[[#This Row],[Event_No]],Event_Master[[#All],[Event_No]],Event_Master[[#All],[Guest_Count]],,0)</f>
        <v>300</v>
      </c>
      <c r="G1340" cm="1">
        <f t="array" ref="G1340">Food_Orders[[#This Row],[Quantity_Orderd]]*_xlfn.XLOOKUP(Food_Orders[[#This Row],[Food_ID]],Food_Catalog[[#All],[Food_ID]],Food_Catalog[[#All],[Price_Per_Unit]],0,0)</f>
        <v>15000</v>
      </c>
      <c r="H1340" cm="1">
        <f t="array" ref="H1340">Food_Orders[[#This Row],[Quantity_Orderd]]*_xlfn.XLOOKUP(Food_Orders[[#This Row],[Food_ID]],Food_Catalog[[#All],[Food_ID]],Food_Catalog[[#All],[Client_Price_Per_Unit]],0,0)</f>
        <v>18000</v>
      </c>
      <c r="I1340">
        <f>Food_Orders[[#This Row],[Client_Price]]-Food_Orders[[#This Row],[Cost]]</f>
        <v>3000</v>
      </c>
    </row>
    <row r="1341" spans="1:9" x14ac:dyDescent="0.25">
      <c r="A1341">
        <v>58</v>
      </c>
      <c r="B1341" t="s">
        <v>58</v>
      </c>
      <c r="C1341" t="s">
        <v>40</v>
      </c>
      <c r="D1341" t="s">
        <v>59</v>
      </c>
      <c r="E1341" t="s">
        <v>10</v>
      </c>
      <c r="F1341" cm="1">
        <f t="array" ref="F1341">_xlfn.XLOOKUP(Food_Orders[[#This Row],[Event_No]],Event_Master[[#All],[Event_No]],Event_Master[[#All],[Guest_Count]],,0)</f>
        <v>300</v>
      </c>
      <c r="G1341" cm="1">
        <f t="array" ref="G1341">Food_Orders[[#This Row],[Quantity_Orderd]]*_xlfn.XLOOKUP(Food_Orders[[#This Row],[Food_ID]],Food_Catalog[[#All],[Food_ID]],Food_Catalog[[#All],[Price_Per_Unit]],0,0)</f>
        <v>27000</v>
      </c>
      <c r="H1341" cm="1">
        <f t="array" ref="H1341">Food_Orders[[#This Row],[Quantity_Orderd]]*_xlfn.XLOOKUP(Food_Orders[[#This Row],[Food_ID]],Food_Catalog[[#All],[Food_ID]],Food_Catalog[[#All],[Client_Price_Per_Unit]],0,0)</f>
        <v>32400</v>
      </c>
      <c r="I1341">
        <f>Food_Orders[[#This Row],[Client_Price]]-Food_Orders[[#This Row],[Cost]]</f>
        <v>5400</v>
      </c>
    </row>
    <row r="1342" spans="1:9" x14ac:dyDescent="0.25">
      <c r="A1342">
        <v>58</v>
      </c>
      <c r="B1342" t="s">
        <v>39</v>
      </c>
      <c r="C1342" t="s">
        <v>40</v>
      </c>
      <c r="D1342" t="s">
        <v>41</v>
      </c>
      <c r="E1342" t="s">
        <v>10</v>
      </c>
      <c r="F1342" cm="1">
        <f t="array" ref="F1342">_xlfn.XLOOKUP(Food_Orders[[#This Row],[Event_No]],Event_Master[[#All],[Event_No]],Event_Master[[#All],[Guest_Count]],,0)</f>
        <v>300</v>
      </c>
      <c r="G1342" cm="1">
        <f t="array" ref="G1342">Food_Orders[[#This Row],[Quantity_Orderd]]*_xlfn.XLOOKUP(Food_Orders[[#This Row],[Food_ID]],Food_Catalog[[#All],[Food_ID]],Food_Catalog[[#All],[Price_Per_Unit]],0,0)</f>
        <v>18000</v>
      </c>
      <c r="H1342" cm="1">
        <f t="array" ref="H1342">Food_Orders[[#This Row],[Quantity_Orderd]]*_xlfn.XLOOKUP(Food_Orders[[#This Row],[Food_ID]],Food_Catalog[[#All],[Food_ID]],Food_Catalog[[#All],[Client_Price_Per_Unit]],0,0)</f>
        <v>21600</v>
      </c>
      <c r="I1342">
        <f>Food_Orders[[#This Row],[Client_Price]]-Food_Orders[[#This Row],[Cost]]</f>
        <v>3600</v>
      </c>
    </row>
    <row r="1343" spans="1:9" x14ac:dyDescent="0.25">
      <c r="A1343">
        <v>58</v>
      </c>
      <c r="B1343" t="s">
        <v>42</v>
      </c>
      <c r="C1343" t="s">
        <v>40</v>
      </c>
      <c r="D1343" t="s">
        <v>43</v>
      </c>
      <c r="E1343" t="s">
        <v>10</v>
      </c>
      <c r="F1343" cm="1">
        <f t="array" ref="F1343">_xlfn.XLOOKUP(Food_Orders[[#This Row],[Event_No]],Event_Master[[#All],[Event_No]],Event_Master[[#All],[Guest_Count]],,0)</f>
        <v>300</v>
      </c>
      <c r="G1343" cm="1">
        <f t="array" ref="G1343">Food_Orders[[#This Row],[Quantity_Orderd]]*_xlfn.XLOOKUP(Food_Orders[[#This Row],[Food_ID]],Food_Catalog[[#All],[Food_ID]],Food_Catalog[[#All],[Price_Per_Unit]],0,0)</f>
        <v>21000</v>
      </c>
      <c r="H1343" cm="1">
        <f t="array" ref="H1343">Food_Orders[[#This Row],[Quantity_Orderd]]*_xlfn.XLOOKUP(Food_Orders[[#This Row],[Food_ID]],Food_Catalog[[#All],[Food_ID]],Food_Catalog[[#All],[Client_Price_Per_Unit]],0,0)</f>
        <v>25200</v>
      </c>
      <c r="I1343">
        <f>Food_Orders[[#This Row],[Client_Price]]-Food_Orders[[#This Row],[Cost]]</f>
        <v>4200</v>
      </c>
    </row>
    <row r="1344" spans="1:9" x14ac:dyDescent="0.25">
      <c r="A1344">
        <v>58</v>
      </c>
      <c r="B1344" t="s">
        <v>46</v>
      </c>
      <c r="C1344" t="s">
        <v>40</v>
      </c>
      <c r="D1344" t="s">
        <v>47</v>
      </c>
      <c r="E1344" t="s">
        <v>10</v>
      </c>
      <c r="F1344" cm="1">
        <f t="array" ref="F1344">_xlfn.XLOOKUP(Food_Orders[[#This Row],[Event_No]],Event_Master[[#All],[Event_No]],Event_Master[[#All],[Guest_Count]],,0)</f>
        <v>300</v>
      </c>
      <c r="G1344" cm="1">
        <f t="array" ref="G1344">Food_Orders[[#This Row],[Quantity_Orderd]]*_xlfn.XLOOKUP(Food_Orders[[#This Row],[Food_ID]],Food_Catalog[[#All],[Food_ID]],Food_Catalog[[#All],[Price_Per_Unit]],0,0)</f>
        <v>27000</v>
      </c>
      <c r="H1344" cm="1">
        <f t="array" ref="H1344">Food_Orders[[#This Row],[Quantity_Orderd]]*_xlfn.XLOOKUP(Food_Orders[[#This Row],[Food_ID]],Food_Catalog[[#All],[Food_ID]],Food_Catalog[[#All],[Client_Price_Per_Unit]],0,0)</f>
        <v>32400</v>
      </c>
      <c r="I1344">
        <f>Food_Orders[[#This Row],[Client_Price]]-Food_Orders[[#This Row],[Cost]]</f>
        <v>5400</v>
      </c>
    </row>
    <row r="1345" spans="1:9" x14ac:dyDescent="0.25">
      <c r="A1345">
        <v>58</v>
      </c>
      <c r="B1345" t="s">
        <v>50</v>
      </c>
      <c r="C1345" t="s">
        <v>40</v>
      </c>
      <c r="D1345" t="s">
        <v>51</v>
      </c>
      <c r="E1345" t="s">
        <v>10</v>
      </c>
      <c r="F1345" cm="1">
        <f t="array" ref="F1345">_xlfn.XLOOKUP(Food_Orders[[#This Row],[Event_No]],Event_Master[[#All],[Event_No]],Event_Master[[#All],[Guest_Count]],,0)</f>
        <v>300</v>
      </c>
      <c r="G1345" cm="1">
        <f t="array" ref="G1345">Food_Orders[[#This Row],[Quantity_Orderd]]*_xlfn.XLOOKUP(Food_Orders[[#This Row],[Food_ID]],Food_Catalog[[#All],[Food_ID]],Food_Catalog[[#All],[Price_Per_Unit]],0,0)</f>
        <v>24000</v>
      </c>
      <c r="H1345" cm="1">
        <f t="array" ref="H1345">Food_Orders[[#This Row],[Quantity_Orderd]]*_xlfn.XLOOKUP(Food_Orders[[#This Row],[Food_ID]],Food_Catalog[[#All],[Food_ID]],Food_Catalog[[#All],[Client_Price_Per_Unit]],0,0)</f>
        <v>28800</v>
      </c>
      <c r="I1345">
        <f>Food_Orders[[#This Row],[Client_Price]]-Food_Orders[[#This Row],[Cost]]</f>
        <v>4800</v>
      </c>
    </row>
    <row r="1346" spans="1:9" x14ac:dyDescent="0.25">
      <c r="A1346">
        <v>58</v>
      </c>
      <c r="B1346" t="s">
        <v>52</v>
      </c>
      <c r="C1346" t="s">
        <v>40</v>
      </c>
      <c r="D1346" t="s">
        <v>53</v>
      </c>
      <c r="E1346" t="s">
        <v>10</v>
      </c>
      <c r="F1346" cm="1">
        <f t="array" ref="F1346">_xlfn.XLOOKUP(Food_Orders[[#This Row],[Event_No]],Event_Master[[#All],[Event_No]],Event_Master[[#All],[Guest_Count]],,0)</f>
        <v>300</v>
      </c>
      <c r="G1346" cm="1">
        <f t="array" ref="G1346">Food_Orders[[#This Row],[Quantity_Orderd]]*_xlfn.XLOOKUP(Food_Orders[[#This Row],[Food_ID]],Food_Catalog[[#All],[Food_ID]],Food_Catalog[[#All],[Price_Per_Unit]],0,0)</f>
        <v>30000</v>
      </c>
      <c r="H1346" cm="1">
        <f t="array" ref="H1346">Food_Orders[[#This Row],[Quantity_Orderd]]*_xlfn.XLOOKUP(Food_Orders[[#This Row],[Food_ID]],Food_Catalog[[#All],[Food_ID]],Food_Catalog[[#All],[Client_Price_Per_Unit]],0,0)</f>
        <v>36000</v>
      </c>
      <c r="I1346">
        <f>Food_Orders[[#This Row],[Client_Price]]-Food_Orders[[#This Row],[Cost]]</f>
        <v>6000</v>
      </c>
    </row>
    <row r="1347" spans="1:9" x14ac:dyDescent="0.25">
      <c r="A1347">
        <v>58</v>
      </c>
      <c r="B1347" t="s">
        <v>7</v>
      </c>
      <c r="C1347" t="s">
        <v>8</v>
      </c>
      <c r="D1347" t="s">
        <v>9</v>
      </c>
      <c r="E1347" t="s">
        <v>10</v>
      </c>
      <c r="F1347" cm="1">
        <f t="array" ref="F1347">_xlfn.XLOOKUP(Food_Orders[[#This Row],[Event_No]],Event_Master[[#All],[Event_No]],Event_Master[[#All],[Guest_Count]],,0)</f>
        <v>300</v>
      </c>
      <c r="G1347" cm="1">
        <f t="array" ref="G1347">Food_Orders[[#This Row],[Quantity_Orderd]]*_xlfn.XLOOKUP(Food_Orders[[#This Row],[Food_ID]],Food_Catalog[[#All],[Food_ID]],Food_Catalog[[#All],[Price_Per_Unit]],0,0)</f>
        <v>7500</v>
      </c>
      <c r="H1347" cm="1">
        <f t="array" ref="H1347">Food_Orders[[#This Row],[Quantity_Orderd]]*_xlfn.XLOOKUP(Food_Orders[[#This Row],[Food_ID]],Food_Catalog[[#All],[Food_ID]],Food_Catalog[[#All],[Client_Price_Per_Unit]],0,0)</f>
        <v>9000</v>
      </c>
      <c r="I1347">
        <f>Food_Orders[[#This Row],[Client_Price]]-Food_Orders[[#This Row],[Cost]]</f>
        <v>1500</v>
      </c>
    </row>
    <row r="1348" spans="1:9" x14ac:dyDescent="0.25">
      <c r="A1348">
        <v>58</v>
      </c>
      <c r="B1348" t="s">
        <v>13</v>
      </c>
      <c r="C1348" t="s">
        <v>8</v>
      </c>
      <c r="D1348" t="s">
        <v>14</v>
      </c>
      <c r="E1348" t="s">
        <v>10</v>
      </c>
      <c r="F1348" cm="1">
        <f t="array" ref="F1348">_xlfn.XLOOKUP(Food_Orders[[#This Row],[Event_No]],Event_Master[[#All],[Event_No]],Event_Master[[#All],[Guest_Count]],,0)</f>
        <v>300</v>
      </c>
      <c r="G1348" cm="1">
        <f t="array" ref="G1348">Food_Orders[[#This Row],[Quantity_Orderd]]*_xlfn.XLOOKUP(Food_Orders[[#This Row],[Food_ID]],Food_Catalog[[#All],[Food_ID]],Food_Catalog[[#All],[Price_Per_Unit]],0,0)</f>
        <v>10500</v>
      </c>
      <c r="H1348" cm="1">
        <f t="array" ref="H1348">Food_Orders[[#This Row],[Quantity_Orderd]]*_xlfn.XLOOKUP(Food_Orders[[#This Row],[Food_ID]],Food_Catalog[[#All],[Food_ID]],Food_Catalog[[#All],[Client_Price_Per_Unit]],0,0)</f>
        <v>12600</v>
      </c>
      <c r="I1348">
        <f>Food_Orders[[#This Row],[Client_Price]]-Food_Orders[[#This Row],[Cost]]</f>
        <v>2100</v>
      </c>
    </row>
    <row r="1349" spans="1:9" x14ac:dyDescent="0.25">
      <c r="A1349">
        <v>58</v>
      </c>
      <c r="B1349" t="s">
        <v>27</v>
      </c>
      <c r="C1349" t="s">
        <v>8</v>
      </c>
      <c r="D1349" t="s">
        <v>28</v>
      </c>
      <c r="E1349" t="s">
        <v>10</v>
      </c>
      <c r="F1349" cm="1">
        <f t="array" ref="F1349">_xlfn.XLOOKUP(Food_Orders[[#This Row],[Event_No]],Event_Master[[#All],[Event_No]],Event_Master[[#All],[Guest_Count]],,0)</f>
        <v>300</v>
      </c>
      <c r="G1349" cm="1">
        <f t="array" ref="G1349">Food_Orders[[#This Row],[Quantity_Orderd]]*_xlfn.XLOOKUP(Food_Orders[[#This Row],[Food_ID]],Food_Catalog[[#All],[Food_ID]],Food_Catalog[[#All],[Price_Per_Unit]],0,0)</f>
        <v>12000</v>
      </c>
      <c r="H1349" cm="1">
        <f t="array" ref="H1349">Food_Orders[[#This Row],[Quantity_Orderd]]*_xlfn.XLOOKUP(Food_Orders[[#This Row],[Food_ID]],Food_Catalog[[#All],[Food_ID]],Food_Catalog[[#All],[Client_Price_Per_Unit]],0,0)</f>
        <v>14400</v>
      </c>
      <c r="I1349">
        <f>Food_Orders[[#This Row],[Client_Price]]-Food_Orders[[#This Row],[Cost]]</f>
        <v>2400</v>
      </c>
    </row>
    <row r="1350" spans="1:9" x14ac:dyDescent="0.25">
      <c r="A1350">
        <v>58</v>
      </c>
      <c r="B1350" t="s">
        <v>17</v>
      </c>
      <c r="C1350" t="s">
        <v>8</v>
      </c>
      <c r="D1350" t="s">
        <v>18</v>
      </c>
      <c r="E1350" t="s">
        <v>10</v>
      </c>
      <c r="F1350" cm="1">
        <f t="array" ref="F1350">_xlfn.XLOOKUP(Food_Orders[[#This Row],[Event_No]],Event_Master[[#All],[Event_No]],Event_Master[[#All],[Guest_Count]],,0)</f>
        <v>300</v>
      </c>
      <c r="G1350" cm="1">
        <f t="array" ref="G1350">Food_Orders[[#This Row],[Quantity_Orderd]]*_xlfn.XLOOKUP(Food_Orders[[#This Row],[Food_ID]],Food_Catalog[[#All],[Food_ID]],Food_Catalog[[#All],[Price_Per_Unit]],0,0)</f>
        <v>12000</v>
      </c>
      <c r="H1350" cm="1">
        <f t="array" ref="H1350">Food_Orders[[#This Row],[Quantity_Orderd]]*_xlfn.XLOOKUP(Food_Orders[[#This Row],[Food_ID]],Food_Catalog[[#All],[Food_ID]],Food_Catalog[[#All],[Client_Price_Per_Unit]],0,0)</f>
        <v>14400</v>
      </c>
      <c r="I1350">
        <f>Food_Orders[[#This Row],[Client_Price]]-Food_Orders[[#This Row],[Cost]]</f>
        <v>2400</v>
      </c>
    </row>
    <row r="1351" spans="1:9" x14ac:dyDescent="0.25">
      <c r="A1351">
        <v>58</v>
      </c>
      <c r="B1351" t="s">
        <v>29</v>
      </c>
      <c r="C1351" t="s">
        <v>8</v>
      </c>
      <c r="D1351" t="s">
        <v>30</v>
      </c>
      <c r="E1351" t="s">
        <v>10</v>
      </c>
      <c r="F1351" cm="1">
        <f t="array" ref="F1351">_xlfn.XLOOKUP(Food_Orders[[#This Row],[Event_No]],Event_Master[[#All],[Event_No]],Event_Master[[#All],[Guest_Count]],,0)</f>
        <v>300</v>
      </c>
      <c r="G1351" cm="1">
        <f t="array" ref="G1351">Food_Orders[[#This Row],[Quantity_Orderd]]*_xlfn.XLOOKUP(Food_Orders[[#This Row],[Food_ID]],Food_Catalog[[#All],[Food_ID]],Food_Catalog[[#All],[Price_Per_Unit]],0,0)</f>
        <v>9000</v>
      </c>
      <c r="H1351" cm="1">
        <f t="array" ref="H1351">Food_Orders[[#This Row],[Quantity_Orderd]]*_xlfn.XLOOKUP(Food_Orders[[#This Row],[Food_ID]],Food_Catalog[[#All],[Food_ID]],Food_Catalog[[#All],[Client_Price_Per_Unit]],0,0)</f>
        <v>10800</v>
      </c>
      <c r="I1351">
        <f>Food_Orders[[#This Row],[Client_Price]]-Food_Orders[[#This Row],[Cost]]</f>
        <v>1800</v>
      </c>
    </row>
    <row r="1352" spans="1:9" x14ac:dyDescent="0.25">
      <c r="A1352">
        <v>58</v>
      </c>
      <c r="B1352" t="s">
        <v>37</v>
      </c>
      <c r="C1352" t="s">
        <v>8</v>
      </c>
      <c r="D1352" t="s">
        <v>38</v>
      </c>
      <c r="E1352" t="s">
        <v>10</v>
      </c>
      <c r="F1352" cm="1">
        <f t="array" ref="F1352">_xlfn.XLOOKUP(Food_Orders[[#This Row],[Event_No]],Event_Master[[#All],[Event_No]],Event_Master[[#All],[Guest_Count]],,0)</f>
        <v>300</v>
      </c>
      <c r="G1352" cm="1">
        <f t="array" ref="G1352">Food_Orders[[#This Row],[Quantity_Orderd]]*_xlfn.XLOOKUP(Food_Orders[[#This Row],[Food_ID]],Food_Catalog[[#All],[Food_ID]],Food_Catalog[[#All],[Price_Per_Unit]],0,0)</f>
        <v>7500</v>
      </c>
      <c r="H1352" cm="1">
        <f t="array" ref="H1352">Food_Orders[[#This Row],[Quantity_Orderd]]*_xlfn.XLOOKUP(Food_Orders[[#This Row],[Food_ID]],Food_Catalog[[#All],[Food_ID]],Food_Catalog[[#All],[Client_Price_Per_Unit]],0,0)</f>
        <v>9000</v>
      </c>
      <c r="I1352">
        <f>Food_Orders[[#This Row],[Client_Price]]-Food_Orders[[#This Row],[Cost]]</f>
        <v>1500</v>
      </c>
    </row>
    <row r="1353" spans="1:9" x14ac:dyDescent="0.25">
      <c r="A1353">
        <v>58</v>
      </c>
      <c r="B1353" t="s">
        <v>82</v>
      </c>
      <c r="C1353" t="s">
        <v>83</v>
      </c>
      <c r="D1353" t="s">
        <v>84</v>
      </c>
      <c r="E1353" t="s">
        <v>85</v>
      </c>
      <c r="F1353" cm="1">
        <f t="array" ref="F1353">_xlfn.XLOOKUP(Food_Orders[[#This Row],[Event_No]],Event_Master[[#All],[Event_No]],Event_Master[[#All],[Guest_Count]],,0)</f>
        <v>300</v>
      </c>
      <c r="G1353" cm="1">
        <f t="array" ref="G1353">Food_Orders[[#This Row],[Quantity_Orderd]]*_xlfn.XLOOKUP(Food_Orders[[#This Row],[Food_ID]],Food_Catalog[[#All],[Food_ID]],Food_Catalog[[#All],[Price_Per_Unit]],0,0)</f>
        <v>6000</v>
      </c>
      <c r="H1353" cm="1">
        <f t="array" ref="H1353">Food_Orders[[#This Row],[Quantity_Orderd]]*_xlfn.XLOOKUP(Food_Orders[[#This Row],[Food_ID]],Food_Catalog[[#All],[Food_ID]],Food_Catalog[[#All],[Client_Price_Per_Unit]],0,0)</f>
        <v>7200</v>
      </c>
      <c r="I1353">
        <f>Food_Orders[[#This Row],[Client_Price]]-Food_Orders[[#This Row],[Cost]]</f>
        <v>1200</v>
      </c>
    </row>
    <row r="1354" spans="1:9" x14ac:dyDescent="0.25">
      <c r="A1354">
        <v>58</v>
      </c>
      <c r="B1354" t="s">
        <v>86</v>
      </c>
      <c r="C1354" t="s">
        <v>83</v>
      </c>
      <c r="D1354" t="s">
        <v>87</v>
      </c>
      <c r="E1354" t="s">
        <v>85</v>
      </c>
      <c r="F1354" cm="1">
        <f t="array" ref="F1354">_xlfn.XLOOKUP(Food_Orders[[#This Row],[Event_No]],Event_Master[[#All],[Event_No]],Event_Master[[#All],[Guest_Count]],,0)</f>
        <v>300</v>
      </c>
      <c r="G1354" cm="1">
        <f t="array" ref="G1354">Food_Orders[[#This Row],[Quantity_Orderd]]*_xlfn.XLOOKUP(Food_Orders[[#This Row],[Food_ID]],Food_Catalog[[#All],[Food_ID]],Food_Catalog[[#All],[Price_Per_Unit]],0,0)</f>
        <v>6000</v>
      </c>
      <c r="H1354" cm="1">
        <f t="array" ref="H1354">Food_Orders[[#This Row],[Quantity_Orderd]]*_xlfn.XLOOKUP(Food_Orders[[#This Row],[Food_ID]],Food_Catalog[[#All],[Food_ID]],Food_Catalog[[#All],[Client_Price_Per_Unit]],0,0)</f>
        <v>7200</v>
      </c>
      <c r="I1354">
        <f>Food_Orders[[#This Row],[Client_Price]]-Food_Orders[[#This Row],[Cost]]</f>
        <v>1200</v>
      </c>
    </row>
    <row r="1355" spans="1:9" x14ac:dyDescent="0.25">
      <c r="A1355">
        <v>58</v>
      </c>
      <c r="B1355" t="s">
        <v>96</v>
      </c>
      <c r="C1355" t="s">
        <v>83</v>
      </c>
      <c r="D1355" t="s">
        <v>97</v>
      </c>
      <c r="E1355" t="s">
        <v>79</v>
      </c>
      <c r="F1355" cm="1">
        <f t="array" ref="F1355">_xlfn.XLOOKUP(Food_Orders[[#This Row],[Event_No]],Event_Master[[#All],[Event_No]],Event_Master[[#All],[Guest_Count]],,0)</f>
        <v>300</v>
      </c>
      <c r="G1355" cm="1">
        <f t="array" ref="G1355">Food_Orders[[#This Row],[Quantity_Orderd]]*_xlfn.XLOOKUP(Food_Orders[[#This Row],[Food_ID]],Food_Catalog[[#All],[Food_ID]],Food_Catalog[[#All],[Price_Per_Unit]],0,0)</f>
        <v>9000</v>
      </c>
      <c r="H1355" cm="1">
        <f t="array" ref="H1355">Food_Orders[[#This Row],[Quantity_Orderd]]*_xlfn.XLOOKUP(Food_Orders[[#This Row],[Food_ID]],Food_Catalog[[#All],[Food_ID]],Food_Catalog[[#All],[Client_Price_Per_Unit]],0,0)</f>
        <v>10800</v>
      </c>
      <c r="I1355">
        <f>Food_Orders[[#This Row],[Client_Price]]-Food_Orders[[#This Row],[Cost]]</f>
        <v>1800</v>
      </c>
    </row>
    <row r="1356" spans="1:9" x14ac:dyDescent="0.25">
      <c r="A1356">
        <v>58</v>
      </c>
      <c r="B1356" t="s">
        <v>100</v>
      </c>
      <c r="C1356" t="s">
        <v>83</v>
      </c>
      <c r="D1356" t="s">
        <v>101</v>
      </c>
      <c r="E1356" t="s">
        <v>79</v>
      </c>
      <c r="F1356" cm="1">
        <f t="array" ref="F1356">_xlfn.XLOOKUP(Food_Orders[[#This Row],[Event_No]],Event_Master[[#All],[Event_No]],Event_Master[[#All],[Guest_Count]],,0)</f>
        <v>300</v>
      </c>
      <c r="G1356" cm="1">
        <f t="array" ref="G1356">Food_Orders[[#This Row],[Quantity_Orderd]]*_xlfn.XLOOKUP(Food_Orders[[#This Row],[Food_ID]],Food_Catalog[[#All],[Food_ID]],Food_Catalog[[#All],[Price_Per_Unit]],0,0)</f>
        <v>10500</v>
      </c>
      <c r="H1356" cm="1">
        <f t="array" ref="H1356">Food_Orders[[#This Row],[Quantity_Orderd]]*_xlfn.XLOOKUP(Food_Orders[[#This Row],[Food_ID]],Food_Catalog[[#All],[Food_ID]],Food_Catalog[[#All],[Client_Price_Per_Unit]],0,0)</f>
        <v>12600</v>
      </c>
      <c r="I1356">
        <f>Food_Orders[[#This Row],[Client_Price]]-Food_Orders[[#This Row],[Cost]]</f>
        <v>2100</v>
      </c>
    </row>
    <row r="1357" spans="1:9" x14ac:dyDescent="0.25">
      <c r="A1357">
        <v>58</v>
      </c>
      <c r="B1357" t="s">
        <v>88</v>
      </c>
      <c r="C1357" t="s">
        <v>83</v>
      </c>
      <c r="D1357" t="s">
        <v>89</v>
      </c>
      <c r="E1357" t="s">
        <v>85</v>
      </c>
      <c r="F1357" cm="1">
        <f t="array" ref="F1357">_xlfn.XLOOKUP(Food_Orders[[#This Row],[Event_No]],Event_Master[[#All],[Event_No]],Event_Master[[#All],[Guest_Count]],,0)</f>
        <v>300</v>
      </c>
      <c r="G1357" cm="1">
        <f t="array" ref="G1357">Food_Orders[[#This Row],[Quantity_Orderd]]*_xlfn.XLOOKUP(Food_Orders[[#This Row],[Food_ID]],Food_Catalog[[#All],[Food_ID]],Food_Catalog[[#All],[Price_Per_Unit]],0,0)</f>
        <v>4500</v>
      </c>
      <c r="H1357" cm="1">
        <f t="array" ref="H1357">Food_Orders[[#This Row],[Quantity_Orderd]]*_xlfn.XLOOKUP(Food_Orders[[#This Row],[Food_ID]],Food_Catalog[[#All],[Food_ID]],Food_Catalog[[#All],[Client_Price_Per_Unit]],0,0)</f>
        <v>5400</v>
      </c>
      <c r="I1357">
        <f>Food_Orders[[#This Row],[Client_Price]]-Food_Orders[[#This Row],[Cost]]</f>
        <v>900</v>
      </c>
    </row>
    <row r="1358" spans="1:9" x14ac:dyDescent="0.25">
      <c r="A1358">
        <v>58</v>
      </c>
      <c r="B1358" t="s">
        <v>92</v>
      </c>
      <c r="C1358" t="s">
        <v>83</v>
      </c>
      <c r="D1358" t="s">
        <v>93</v>
      </c>
      <c r="E1358" t="s">
        <v>85</v>
      </c>
      <c r="F1358" cm="1">
        <f t="array" ref="F1358">_xlfn.XLOOKUP(Food_Orders[[#This Row],[Event_No]],Event_Master[[#All],[Event_No]],Event_Master[[#All],[Guest_Count]],,0)</f>
        <v>300</v>
      </c>
      <c r="G1358" cm="1">
        <f t="array" ref="G1358">Food_Orders[[#This Row],[Quantity_Orderd]]*_xlfn.XLOOKUP(Food_Orders[[#This Row],[Food_ID]],Food_Catalog[[#All],[Food_ID]],Food_Catalog[[#All],[Price_Per_Unit]],0,0)</f>
        <v>4500</v>
      </c>
      <c r="H1358" cm="1">
        <f t="array" ref="H1358">Food_Orders[[#This Row],[Quantity_Orderd]]*_xlfn.XLOOKUP(Food_Orders[[#This Row],[Food_ID]],Food_Catalog[[#All],[Food_ID]],Food_Catalog[[#All],[Client_Price_Per_Unit]],0,0)</f>
        <v>5400</v>
      </c>
      <c r="I1358">
        <f>Food_Orders[[#This Row],[Client_Price]]-Food_Orders[[#This Row],[Cost]]</f>
        <v>900</v>
      </c>
    </row>
    <row r="1359" spans="1:9" x14ac:dyDescent="0.25">
      <c r="A1359">
        <v>58</v>
      </c>
      <c r="B1359" t="s">
        <v>98</v>
      </c>
      <c r="C1359" t="s">
        <v>83</v>
      </c>
      <c r="D1359" t="s">
        <v>99</v>
      </c>
      <c r="E1359" t="s">
        <v>85</v>
      </c>
      <c r="F1359" cm="1">
        <f t="array" ref="F1359">_xlfn.XLOOKUP(Food_Orders[[#This Row],[Event_No]],Event_Master[[#All],[Event_No]],Event_Master[[#All],[Guest_Count]],,0)</f>
        <v>300</v>
      </c>
      <c r="G1359" cm="1">
        <f t="array" ref="G1359">Food_Orders[[#This Row],[Quantity_Orderd]]*_xlfn.XLOOKUP(Food_Orders[[#This Row],[Food_ID]],Food_Catalog[[#All],[Food_ID]],Food_Catalog[[#All],[Price_Per_Unit]],0,0)</f>
        <v>4500</v>
      </c>
      <c r="H1359" cm="1">
        <f t="array" ref="H1359">Food_Orders[[#This Row],[Quantity_Orderd]]*_xlfn.XLOOKUP(Food_Orders[[#This Row],[Food_ID]],Food_Catalog[[#All],[Food_ID]],Food_Catalog[[#All],[Client_Price_Per_Unit]],0,0)</f>
        <v>5400</v>
      </c>
      <c r="I1359">
        <f>Food_Orders[[#This Row],[Client_Price]]-Food_Orders[[#This Row],[Cost]]</f>
        <v>900</v>
      </c>
    </row>
    <row r="1360" spans="1:9" x14ac:dyDescent="0.25">
      <c r="A1360">
        <v>58</v>
      </c>
      <c r="B1360" t="s">
        <v>104</v>
      </c>
      <c r="C1360" t="s">
        <v>105</v>
      </c>
      <c r="D1360" t="s">
        <v>106</v>
      </c>
      <c r="E1360" t="s">
        <v>107</v>
      </c>
      <c r="F1360" cm="1">
        <f t="array" ref="F1360">_xlfn.XLOOKUP(Food_Orders[[#This Row],[Event_No]],Event_Master[[#All],[Event_No]],Event_Master[[#All],[Guest_Count]],,0)</f>
        <v>300</v>
      </c>
      <c r="G1360" cm="1">
        <f t="array" ref="G1360">Food_Orders[[#This Row],[Quantity_Orderd]]*_xlfn.XLOOKUP(Food_Orders[[#This Row],[Food_ID]],Food_Catalog[[#All],[Food_ID]],Food_Catalog[[#All],[Price_Per_Unit]],0,0)</f>
        <v>3000</v>
      </c>
      <c r="H1360" cm="1">
        <f t="array" ref="H1360">Food_Orders[[#This Row],[Quantity_Orderd]]*_xlfn.XLOOKUP(Food_Orders[[#This Row],[Food_ID]],Food_Catalog[[#All],[Food_ID]],Food_Catalog[[#All],[Client_Price_Per_Unit]],0,0)</f>
        <v>3600</v>
      </c>
      <c r="I1360">
        <f>Food_Orders[[#This Row],[Client_Price]]-Food_Orders[[#This Row],[Cost]]</f>
        <v>600</v>
      </c>
    </row>
    <row r="1361" spans="1:9" x14ac:dyDescent="0.25">
      <c r="A1361">
        <v>58</v>
      </c>
      <c r="B1361" t="s">
        <v>108</v>
      </c>
      <c r="C1361" t="s">
        <v>105</v>
      </c>
      <c r="D1361" t="s">
        <v>109</v>
      </c>
      <c r="E1361" t="s">
        <v>107</v>
      </c>
      <c r="F1361" cm="1">
        <f t="array" ref="F1361">_xlfn.XLOOKUP(Food_Orders[[#This Row],[Event_No]],Event_Master[[#All],[Event_No]],Event_Master[[#All],[Guest_Count]],,0)</f>
        <v>300</v>
      </c>
      <c r="G1361" cm="1">
        <f t="array" ref="G1361">Food_Orders[[#This Row],[Quantity_Orderd]]*_xlfn.XLOOKUP(Food_Orders[[#This Row],[Food_ID]],Food_Catalog[[#All],[Food_ID]],Food_Catalog[[#All],[Price_Per_Unit]],0,0)</f>
        <v>4500</v>
      </c>
      <c r="H1361" cm="1">
        <f t="array" ref="H1361">Food_Orders[[#This Row],[Quantity_Orderd]]*_xlfn.XLOOKUP(Food_Orders[[#This Row],[Food_ID]],Food_Catalog[[#All],[Food_ID]],Food_Catalog[[#All],[Client_Price_Per_Unit]],0,0)</f>
        <v>5400</v>
      </c>
      <c r="I1361">
        <f>Food_Orders[[#This Row],[Client_Price]]-Food_Orders[[#This Row],[Cost]]</f>
        <v>900</v>
      </c>
    </row>
    <row r="1362" spans="1:9" x14ac:dyDescent="0.25">
      <c r="A1362">
        <v>58</v>
      </c>
      <c r="B1362" t="s">
        <v>118</v>
      </c>
      <c r="C1362" t="s">
        <v>119</v>
      </c>
      <c r="D1362" t="s">
        <v>120</v>
      </c>
      <c r="E1362" t="s">
        <v>112</v>
      </c>
      <c r="F1362" cm="1">
        <f t="array" ref="F1362">_xlfn.XLOOKUP(Food_Orders[[#This Row],[Event_No]],Event_Master[[#All],[Event_No]],Event_Master[[#All],[Guest_Count]],,0)</f>
        <v>300</v>
      </c>
      <c r="G1362" cm="1">
        <f t="array" ref="G1362">Food_Orders[[#This Row],[Quantity_Orderd]]*_xlfn.XLOOKUP(Food_Orders[[#This Row],[Food_ID]],Food_Catalog[[#All],[Food_ID]],Food_Catalog[[#All],[Price_Per_Unit]],0,0)</f>
        <v>3000</v>
      </c>
      <c r="H1362" cm="1">
        <f t="array" ref="H1362">Food_Orders[[#This Row],[Quantity_Orderd]]*_xlfn.XLOOKUP(Food_Orders[[#This Row],[Food_ID]],Food_Catalog[[#All],[Food_ID]],Food_Catalog[[#All],[Client_Price_Per_Unit]],0,0)</f>
        <v>3600</v>
      </c>
      <c r="I1362">
        <f>Food_Orders[[#This Row],[Client_Price]]-Food_Orders[[#This Row],[Cost]]</f>
        <v>600</v>
      </c>
    </row>
    <row r="1363" spans="1:9" x14ac:dyDescent="0.25">
      <c r="A1363">
        <v>58</v>
      </c>
      <c r="B1363" t="s">
        <v>129</v>
      </c>
      <c r="C1363" t="s">
        <v>119</v>
      </c>
      <c r="D1363" t="s">
        <v>130</v>
      </c>
      <c r="E1363" t="s">
        <v>112</v>
      </c>
      <c r="F1363" cm="1">
        <f t="array" ref="F1363">_xlfn.XLOOKUP(Food_Orders[[#This Row],[Event_No]],Event_Master[[#All],[Event_No]],Event_Master[[#All],[Guest_Count]],,0)</f>
        <v>300</v>
      </c>
      <c r="G1363" cm="1">
        <f t="array" ref="G1363">Food_Orders[[#This Row],[Quantity_Orderd]]*_xlfn.XLOOKUP(Food_Orders[[#This Row],[Food_ID]],Food_Catalog[[#All],[Food_ID]],Food_Catalog[[#All],[Price_Per_Unit]],0,0)</f>
        <v>3000</v>
      </c>
      <c r="H1363" cm="1">
        <f t="array" ref="H1363">Food_Orders[[#This Row],[Quantity_Orderd]]*_xlfn.XLOOKUP(Food_Orders[[#This Row],[Food_ID]],Food_Catalog[[#All],[Food_ID]],Food_Catalog[[#All],[Client_Price_Per_Unit]],0,0)</f>
        <v>3600</v>
      </c>
      <c r="I1363">
        <f>Food_Orders[[#This Row],[Client_Price]]-Food_Orders[[#This Row],[Cost]]</f>
        <v>600</v>
      </c>
    </row>
    <row r="1364" spans="1:9" x14ac:dyDescent="0.25">
      <c r="A1364">
        <v>58</v>
      </c>
      <c r="B1364" t="s">
        <v>127</v>
      </c>
      <c r="C1364" t="s">
        <v>119</v>
      </c>
      <c r="D1364" t="s">
        <v>128</v>
      </c>
      <c r="E1364" t="s">
        <v>107</v>
      </c>
      <c r="F1364" cm="1">
        <f t="array" ref="F1364">_xlfn.XLOOKUP(Food_Orders[[#This Row],[Event_No]],Event_Master[[#All],[Event_No]],Event_Master[[#All],[Guest_Count]],,0)</f>
        <v>300</v>
      </c>
      <c r="G1364" cm="1">
        <f t="array" ref="G1364">Food_Orders[[#This Row],[Quantity_Orderd]]*_xlfn.XLOOKUP(Food_Orders[[#This Row],[Food_ID]],Food_Catalog[[#All],[Food_ID]],Food_Catalog[[#All],[Price_Per_Unit]],0,0)</f>
        <v>6000</v>
      </c>
      <c r="H1364" cm="1">
        <f t="array" ref="H1364">Food_Orders[[#This Row],[Quantity_Orderd]]*_xlfn.XLOOKUP(Food_Orders[[#This Row],[Food_ID]],Food_Catalog[[#All],[Food_ID]],Food_Catalog[[#All],[Client_Price_Per_Unit]],0,0)</f>
        <v>7200</v>
      </c>
      <c r="I1364">
        <f>Food_Orders[[#This Row],[Client_Price]]-Food_Orders[[#This Row],[Cost]]</f>
        <v>1200</v>
      </c>
    </row>
    <row r="1365" spans="1:9" x14ac:dyDescent="0.25">
      <c r="A1365">
        <v>58</v>
      </c>
      <c r="B1365" t="s">
        <v>124</v>
      </c>
      <c r="C1365" t="s">
        <v>119</v>
      </c>
      <c r="D1365" t="s">
        <v>125</v>
      </c>
      <c r="E1365" t="s">
        <v>126</v>
      </c>
      <c r="F1365" cm="1">
        <f t="array" ref="F1365">_xlfn.XLOOKUP(Food_Orders[[#This Row],[Event_No]],Event_Master[[#All],[Event_No]],Event_Master[[#All],[Guest_Count]],,0)</f>
        <v>300</v>
      </c>
      <c r="G1365" cm="1">
        <f t="array" ref="G1365">Food_Orders[[#This Row],[Quantity_Orderd]]*_xlfn.XLOOKUP(Food_Orders[[#This Row],[Food_ID]],Food_Catalog[[#All],[Food_ID]],Food_Catalog[[#All],[Price_Per_Unit]],0,0)</f>
        <v>6000</v>
      </c>
      <c r="H1365" cm="1">
        <f t="array" ref="H1365">Food_Orders[[#This Row],[Quantity_Orderd]]*_xlfn.XLOOKUP(Food_Orders[[#This Row],[Food_ID]],Food_Catalog[[#All],[Food_ID]],Food_Catalog[[#All],[Client_Price_Per_Unit]],0,0)</f>
        <v>7200</v>
      </c>
      <c r="I1365">
        <f>Food_Orders[[#This Row],[Client_Price]]-Food_Orders[[#This Row],[Cost]]</f>
        <v>1200</v>
      </c>
    </row>
    <row r="1366" spans="1:9" x14ac:dyDescent="0.25">
      <c r="A1366">
        <v>58</v>
      </c>
      <c r="B1366" t="s">
        <v>121</v>
      </c>
      <c r="C1366" t="s">
        <v>119</v>
      </c>
      <c r="D1366" t="s">
        <v>122</v>
      </c>
      <c r="E1366" t="s">
        <v>123</v>
      </c>
      <c r="F1366" cm="1">
        <f t="array" ref="F1366">_xlfn.XLOOKUP(Food_Orders[[#This Row],[Event_No]],Event_Master[[#All],[Event_No]],Event_Master[[#All],[Guest_Count]],,0)</f>
        <v>300</v>
      </c>
      <c r="G1366" cm="1">
        <f t="array" ref="G1366">Food_Orders[[#This Row],[Quantity_Orderd]]*_xlfn.XLOOKUP(Food_Orders[[#This Row],[Food_ID]],Food_Catalog[[#All],[Food_ID]],Food_Catalog[[#All],[Price_Per_Unit]],0,0)</f>
        <v>3000</v>
      </c>
      <c r="H1366" cm="1">
        <f t="array" ref="H1366">Food_Orders[[#This Row],[Quantity_Orderd]]*_xlfn.XLOOKUP(Food_Orders[[#This Row],[Food_ID]],Food_Catalog[[#All],[Food_ID]],Food_Catalog[[#All],[Client_Price_Per_Unit]],0,0)</f>
        <v>3600</v>
      </c>
      <c r="I1366">
        <f>Food_Orders[[#This Row],[Client_Price]]-Food_Orders[[#This Row],[Cost]]</f>
        <v>600</v>
      </c>
    </row>
    <row r="1367" spans="1:9" x14ac:dyDescent="0.25">
      <c r="A1367">
        <v>59</v>
      </c>
      <c r="B1367" t="s">
        <v>63</v>
      </c>
      <c r="C1367" t="s">
        <v>61</v>
      </c>
      <c r="D1367" t="s">
        <v>64</v>
      </c>
      <c r="E1367" t="s">
        <v>10</v>
      </c>
      <c r="F1367" cm="1">
        <f t="array" ref="F1367">_xlfn.XLOOKUP(Food_Orders[[#This Row],[Event_No]],Event_Master[[#All],[Event_No]],Event_Master[[#All],[Guest_Count]],,0)</f>
        <v>180</v>
      </c>
      <c r="G1367" cm="1">
        <f t="array" ref="G1367">Food_Orders[[#This Row],[Quantity_Orderd]]*_xlfn.XLOOKUP(Food_Orders[[#This Row],[Food_ID]],Food_Catalog[[#All],[Food_ID]],Food_Catalog[[#All],[Price_Per_Unit]],0,0)</f>
        <v>5400</v>
      </c>
      <c r="H1367" cm="1">
        <f t="array" ref="H1367">Food_Orders[[#This Row],[Quantity_Orderd]]*_xlfn.XLOOKUP(Food_Orders[[#This Row],[Food_ID]],Food_Catalog[[#All],[Food_ID]],Food_Catalog[[#All],[Client_Price_Per_Unit]],0,0)</f>
        <v>6480</v>
      </c>
      <c r="I1367">
        <f>Food_Orders[[#This Row],[Client_Price]]-Food_Orders[[#This Row],[Cost]]</f>
        <v>1080</v>
      </c>
    </row>
    <row r="1368" spans="1:9" x14ac:dyDescent="0.25">
      <c r="A1368">
        <v>59</v>
      </c>
      <c r="B1368" t="s">
        <v>71</v>
      </c>
      <c r="C1368" t="s">
        <v>61</v>
      </c>
      <c r="D1368" t="s">
        <v>72</v>
      </c>
      <c r="E1368" t="s">
        <v>10</v>
      </c>
      <c r="F1368" cm="1">
        <f t="array" ref="F1368">_xlfn.XLOOKUP(Food_Orders[[#This Row],[Event_No]],Event_Master[[#All],[Event_No]],Event_Master[[#All],[Guest_Count]],,0)</f>
        <v>180</v>
      </c>
      <c r="G1368" cm="1">
        <f t="array" ref="G1368">Food_Orders[[#This Row],[Quantity_Orderd]]*_xlfn.XLOOKUP(Food_Orders[[#This Row],[Food_ID]],Food_Catalog[[#All],[Food_ID]],Food_Catalog[[#All],[Price_Per_Unit]],0,0)</f>
        <v>4500</v>
      </c>
      <c r="H1368" cm="1">
        <f t="array" ref="H1368">Food_Orders[[#This Row],[Quantity_Orderd]]*_xlfn.XLOOKUP(Food_Orders[[#This Row],[Food_ID]],Food_Catalog[[#All],[Food_ID]],Food_Catalog[[#All],[Client_Price_Per_Unit]],0,0)</f>
        <v>5400</v>
      </c>
      <c r="I1368">
        <f>Food_Orders[[#This Row],[Client_Price]]-Food_Orders[[#This Row],[Cost]]</f>
        <v>900</v>
      </c>
    </row>
    <row r="1369" spans="1:9" x14ac:dyDescent="0.25">
      <c r="A1369">
        <v>59</v>
      </c>
      <c r="B1369" t="s">
        <v>60</v>
      </c>
      <c r="C1369" t="s">
        <v>61</v>
      </c>
      <c r="D1369" t="s">
        <v>62</v>
      </c>
      <c r="E1369" t="s">
        <v>10</v>
      </c>
      <c r="F1369" cm="1">
        <f t="array" ref="F1369">_xlfn.XLOOKUP(Food_Orders[[#This Row],[Event_No]],Event_Master[[#All],[Event_No]],Event_Master[[#All],[Guest_Count]],,0)</f>
        <v>180</v>
      </c>
      <c r="G1369" cm="1">
        <f t="array" ref="G1369">Food_Orders[[#This Row],[Quantity_Orderd]]*_xlfn.XLOOKUP(Food_Orders[[#This Row],[Food_ID]],Food_Catalog[[#All],[Food_ID]],Food_Catalog[[#All],[Price_Per_Unit]],0,0)</f>
        <v>3600</v>
      </c>
      <c r="H1369" cm="1">
        <f t="array" ref="H1369">Food_Orders[[#This Row],[Quantity_Orderd]]*_xlfn.XLOOKUP(Food_Orders[[#This Row],[Food_ID]],Food_Catalog[[#All],[Food_ID]],Food_Catalog[[#All],[Client_Price_Per_Unit]],0,0)</f>
        <v>4320</v>
      </c>
      <c r="I1369">
        <f>Food_Orders[[#This Row],[Client_Price]]-Food_Orders[[#This Row],[Cost]]</f>
        <v>720</v>
      </c>
    </row>
    <row r="1370" spans="1:9" x14ac:dyDescent="0.25">
      <c r="A1370">
        <v>59</v>
      </c>
      <c r="B1370" t="s">
        <v>80</v>
      </c>
      <c r="C1370" t="s">
        <v>61</v>
      </c>
      <c r="D1370" t="s">
        <v>81</v>
      </c>
      <c r="E1370" t="s">
        <v>10</v>
      </c>
      <c r="F1370" cm="1">
        <f t="array" ref="F1370">_xlfn.XLOOKUP(Food_Orders[[#This Row],[Event_No]],Event_Master[[#All],[Event_No]],Event_Master[[#All],[Guest_Count]],,0)</f>
        <v>180</v>
      </c>
      <c r="G1370" cm="1">
        <f t="array" ref="G1370">Food_Orders[[#This Row],[Quantity_Orderd]]*_xlfn.XLOOKUP(Food_Orders[[#This Row],[Food_ID]],Food_Catalog[[#All],[Food_ID]],Food_Catalog[[#All],[Price_Per_Unit]],0,0)</f>
        <v>5400</v>
      </c>
      <c r="H1370" cm="1">
        <f t="array" ref="H1370">Food_Orders[[#This Row],[Quantity_Orderd]]*_xlfn.XLOOKUP(Food_Orders[[#This Row],[Food_ID]],Food_Catalog[[#All],[Food_ID]],Food_Catalog[[#All],[Client_Price_Per_Unit]],0,0)</f>
        <v>6480</v>
      </c>
      <c r="I1370">
        <f>Food_Orders[[#This Row],[Client_Price]]-Food_Orders[[#This Row],[Cost]]</f>
        <v>1080</v>
      </c>
    </row>
    <row r="1371" spans="1:9" x14ac:dyDescent="0.25">
      <c r="A1371">
        <v>59</v>
      </c>
      <c r="B1371" t="s">
        <v>73</v>
      </c>
      <c r="C1371" t="s">
        <v>61</v>
      </c>
      <c r="D1371" t="s">
        <v>74</v>
      </c>
      <c r="E1371" t="s">
        <v>10</v>
      </c>
      <c r="F1371" cm="1">
        <f t="array" ref="F1371">_xlfn.XLOOKUP(Food_Orders[[#This Row],[Event_No]],Event_Master[[#All],[Event_No]],Event_Master[[#All],[Guest_Count]],,0)</f>
        <v>180</v>
      </c>
      <c r="G1371" cm="1">
        <f t="array" ref="G1371">Food_Orders[[#This Row],[Quantity_Orderd]]*_xlfn.XLOOKUP(Food_Orders[[#This Row],[Food_ID]],Food_Catalog[[#All],[Food_ID]],Food_Catalog[[#All],[Price_Per_Unit]],0,0)</f>
        <v>7200</v>
      </c>
      <c r="H1371" cm="1">
        <f t="array" ref="H1371">Food_Orders[[#This Row],[Quantity_Orderd]]*_xlfn.XLOOKUP(Food_Orders[[#This Row],[Food_ID]],Food_Catalog[[#All],[Food_ID]],Food_Catalog[[#All],[Client_Price_Per_Unit]],0,0)</f>
        <v>8640</v>
      </c>
      <c r="I1371">
        <f>Food_Orders[[#This Row],[Client_Price]]-Food_Orders[[#This Row],[Cost]]</f>
        <v>1440</v>
      </c>
    </row>
    <row r="1372" spans="1:9" x14ac:dyDescent="0.25">
      <c r="A1372">
        <v>59</v>
      </c>
      <c r="B1372" t="s">
        <v>75</v>
      </c>
      <c r="C1372" t="s">
        <v>61</v>
      </c>
      <c r="D1372" t="s">
        <v>76</v>
      </c>
      <c r="E1372" t="s">
        <v>10</v>
      </c>
      <c r="F1372" cm="1">
        <f t="array" ref="F1372">_xlfn.XLOOKUP(Food_Orders[[#This Row],[Event_No]],Event_Master[[#All],[Event_No]],Event_Master[[#All],[Guest_Count]],,0)</f>
        <v>180</v>
      </c>
      <c r="G1372" cm="1">
        <f t="array" ref="G1372">Food_Orders[[#This Row],[Quantity_Orderd]]*_xlfn.XLOOKUP(Food_Orders[[#This Row],[Food_ID]],Food_Catalog[[#All],[Food_ID]],Food_Catalog[[#All],[Price_Per_Unit]],0,0)</f>
        <v>7200</v>
      </c>
      <c r="H1372" cm="1">
        <f t="array" ref="H1372">Food_Orders[[#This Row],[Quantity_Orderd]]*_xlfn.XLOOKUP(Food_Orders[[#This Row],[Food_ID]],Food_Catalog[[#All],[Food_ID]],Food_Catalog[[#All],[Client_Price_Per_Unit]],0,0)</f>
        <v>8640</v>
      </c>
      <c r="I1372">
        <f>Food_Orders[[#This Row],[Client_Price]]-Food_Orders[[#This Row],[Cost]]</f>
        <v>1440</v>
      </c>
    </row>
    <row r="1373" spans="1:9" x14ac:dyDescent="0.25">
      <c r="A1373">
        <v>59</v>
      </c>
      <c r="B1373" t="s">
        <v>69</v>
      </c>
      <c r="C1373" t="s">
        <v>61</v>
      </c>
      <c r="D1373" t="s">
        <v>70</v>
      </c>
      <c r="E1373" t="s">
        <v>10</v>
      </c>
      <c r="F1373" cm="1">
        <f t="array" ref="F1373">_xlfn.XLOOKUP(Food_Orders[[#This Row],[Event_No]],Event_Master[[#All],[Event_No]],Event_Master[[#All],[Guest_Count]],,0)</f>
        <v>180</v>
      </c>
      <c r="G1373" cm="1">
        <f t="array" ref="G1373">Food_Orders[[#This Row],[Quantity_Orderd]]*_xlfn.XLOOKUP(Food_Orders[[#This Row],[Food_ID]],Food_Catalog[[#All],[Food_ID]],Food_Catalog[[#All],[Price_Per_Unit]],0,0)</f>
        <v>9000</v>
      </c>
      <c r="H1373" cm="1">
        <f t="array" ref="H1373">Food_Orders[[#This Row],[Quantity_Orderd]]*_xlfn.XLOOKUP(Food_Orders[[#This Row],[Food_ID]],Food_Catalog[[#All],[Food_ID]],Food_Catalog[[#All],[Client_Price_Per_Unit]],0,0)</f>
        <v>10800</v>
      </c>
      <c r="I1373">
        <f>Food_Orders[[#This Row],[Client_Price]]-Food_Orders[[#This Row],[Cost]]</f>
        <v>1800</v>
      </c>
    </row>
    <row r="1374" spans="1:9" x14ac:dyDescent="0.25">
      <c r="A1374">
        <v>59</v>
      </c>
      <c r="B1374" t="s">
        <v>77</v>
      </c>
      <c r="C1374" t="s">
        <v>61</v>
      </c>
      <c r="D1374" t="s">
        <v>78</v>
      </c>
      <c r="E1374" t="s">
        <v>79</v>
      </c>
      <c r="F1374" cm="1">
        <f t="array" ref="F1374">_xlfn.XLOOKUP(Food_Orders[[#This Row],[Event_No]],Event_Master[[#All],[Event_No]],Event_Master[[#All],[Guest_Count]],,0)</f>
        <v>180</v>
      </c>
      <c r="G1374" cm="1">
        <f t="array" ref="G1374">Food_Orders[[#This Row],[Quantity_Orderd]]*_xlfn.XLOOKUP(Food_Orders[[#This Row],[Food_ID]],Food_Catalog[[#All],[Food_ID]],Food_Catalog[[#All],[Price_Per_Unit]],0,0)</f>
        <v>6300</v>
      </c>
      <c r="H1374" cm="1">
        <f t="array" ref="H1374">Food_Orders[[#This Row],[Quantity_Orderd]]*_xlfn.XLOOKUP(Food_Orders[[#This Row],[Food_ID]],Food_Catalog[[#All],[Food_ID]],Food_Catalog[[#All],[Client_Price_Per_Unit]],0,0)</f>
        <v>7560</v>
      </c>
      <c r="I1374">
        <f>Food_Orders[[#This Row],[Client_Price]]-Food_Orders[[#This Row],[Cost]]</f>
        <v>1260</v>
      </c>
    </row>
    <row r="1375" spans="1:9" x14ac:dyDescent="0.25">
      <c r="A1375">
        <v>59</v>
      </c>
      <c r="B1375" t="s">
        <v>7</v>
      </c>
      <c r="C1375" t="s">
        <v>8</v>
      </c>
      <c r="D1375" t="s">
        <v>9</v>
      </c>
      <c r="E1375" t="s">
        <v>10</v>
      </c>
      <c r="F1375" cm="1">
        <f t="array" ref="F1375">_xlfn.XLOOKUP(Food_Orders[[#This Row],[Event_No]],Event_Master[[#All],[Event_No]],Event_Master[[#All],[Guest_Count]],,0)</f>
        <v>180</v>
      </c>
      <c r="G1375" cm="1">
        <f t="array" ref="G1375">Food_Orders[[#This Row],[Quantity_Orderd]]*_xlfn.XLOOKUP(Food_Orders[[#This Row],[Food_ID]],Food_Catalog[[#All],[Food_ID]],Food_Catalog[[#All],[Price_Per_Unit]],0,0)</f>
        <v>4500</v>
      </c>
      <c r="H1375" cm="1">
        <f t="array" ref="H1375">Food_Orders[[#This Row],[Quantity_Orderd]]*_xlfn.XLOOKUP(Food_Orders[[#This Row],[Food_ID]],Food_Catalog[[#All],[Food_ID]],Food_Catalog[[#All],[Client_Price_Per_Unit]],0,0)</f>
        <v>5400</v>
      </c>
      <c r="I1375">
        <f>Food_Orders[[#This Row],[Client_Price]]-Food_Orders[[#This Row],[Cost]]</f>
        <v>900</v>
      </c>
    </row>
    <row r="1376" spans="1:9" x14ac:dyDescent="0.25">
      <c r="A1376">
        <v>59</v>
      </c>
      <c r="B1376" t="s">
        <v>13</v>
      </c>
      <c r="C1376" t="s">
        <v>8</v>
      </c>
      <c r="D1376" t="s">
        <v>14</v>
      </c>
      <c r="E1376" t="s">
        <v>10</v>
      </c>
      <c r="F1376" cm="1">
        <f t="array" ref="F1376">_xlfn.XLOOKUP(Food_Orders[[#This Row],[Event_No]],Event_Master[[#All],[Event_No]],Event_Master[[#All],[Guest_Count]],,0)</f>
        <v>180</v>
      </c>
      <c r="G1376" cm="1">
        <f t="array" ref="G1376">Food_Orders[[#This Row],[Quantity_Orderd]]*_xlfn.XLOOKUP(Food_Orders[[#This Row],[Food_ID]],Food_Catalog[[#All],[Food_ID]],Food_Catalog[[#All],[Price_Per_Unit]],0,0)</f>
        <v>6300</v>
      </c>
      <c r="H1376" cm="1">
        <f t="array" ref="H1376">Food_Orders[[#This Row],[Quantity_Orderd]]*_xlfn.XLOOKUP(Food_Orders[[#This Row],[Food_ID]],Food_Catalog[[#All],[Food_ID]],Food_Catalog[[#All],[Client_Price_Per_Unit]],0,0)</f>
        <v>7560</v>
      </c>
      <c r="I1376">
        <f>Food_Orders[[#This Row],[Client_Price]]-Food_Orders[[#This Row],[Cost]]</f>
        <v>1260</v>
      </c>
    </row>
    <row r="1377" spans="1:9" x14ac:dyDescent="0.25">
      <c r="A1377">
        <v>59</v>
      </c>
      <c r="B1377" t="s">
        <v>35</v>
      </c>
      <c r="C1377" t="s">
        <v>8</v>
      </c>
      <c r="D1377" t="s">
        <v>36</v>
      </c>
      <c r="E1377" t="s">
        <v>10</v>
      </c>
      <c r="F1377" cm="1">
        <f t="array" ref="F1377">_xlfn.XLOOKUP(Food_Orders[[#This Row],[Event_No]],Event_Master[[#All],[Event_No]],Event_Master[[#All],[Guest_Count]],,0)</f>
        <v>180</v>
      </c>
      <c r="G1377" cm="1">
        <f t="array" ref="G1377">Food_Orders[[#This Row],[Quantity_Orderd]]*_xlfn.XLOOKUP(Food_Orders[[#This Row],[Food_ID]],Food_Catalog[[#All],[Food_ID]],Food_Catalog[[#All],[Price_Per_Unit]],0,0)</f>
        <v>5400</v>
      </c>
      <c r="H1377" cm="1">
        <f t="array" ref="H1377">Food_Orders[[#This Row],[Quantity_Orderd]]*_xlfn.XLOOKUP(Food_Orders[[#This Row],[Food_ID]],Food_Catalog[[#All],[Food_ID]],Food_Catalog[[#All],[Client_Price_Per_Unit]],0,0)</f>
        <v>6480</v>
      </c>
      <c r="I1377">
        <f>Food_Orders[[#This Row],[Client_Price]]-Food_Orders[[#This Row],[Cost]]</f>
        <v>1080</v>
      </c>
    </row>
    <row r="1378" spans="1:9" x14ac:dyDescent="0.25">
      <c r="A1378">
        <v>59</v>
      </c>
      <c r="B1378" t="s">
        <v>27</v>
      </c>
      <c r="C1378" t="s">
        <v>8</v>
      </c>
      <c r="D1378" t="s">
        <v>28</v>
      </c>
      <c r="E1378" t="s">
        <v>10</v>
      </c>
      <c r="F1378" cm="1">
        <f t="array" ref="F1378">_xlfn.XLOOKUP(Food_Orders[[#This Row],[Event_No]],Event_Master[[#All],[Event_No]],Event_Master[[#All],[Guest_Count]],,0)</f>
        <v>180</v>
      </c>
      <c r="G1378" cm="1">
        <f t="array" ref="G1378">Food_Orders[[#This Row],[Quantity_Orderd]]*_xlfn.XLOOKUP(Food_Orders[[#This Row],[Food_ID]],Food_Catalog[[#All],[Food_ID]],Food_Catalog[[#All],[Price_Per_Unit]],0,0)</f>
        <v>7200</v>
      </c>
      <c r="H1378" cm="1">
        <f t="array" ref="H1378">Food_Orders[[#This Row],[Quantity_Orderd]]*_xlfn.XLOOKUP(Food_Orders[[#This Row],[Food_ID]],Food_Catalog[[#All],[Food_ID]],Food_Catalog[[#All],[Client_Price_Per_Unit]],0,0)</f>
        <v>8640</v>
      </c>
      <c r="I1378">
        <f>Food_Orders[[#This Row],[Client_Price]]-Food_Orders[[#This Row],[Cost]]</f>
        <v>1440</v>
      </c>
    </row>
    <row r="1379" spans="1:9" x14ac:dyDescent="0.25">
      <c r="A1379">
        <v>59</v>
      </c>
      <c r="B1379" t="s">
        <v>31</v>
      </c>
      <c r="C1379" t="s">
        <v>8</v>
      </c>
      <c r="D1379" t="s">
        <v>32</v>
      </c>
      <c r="E1379" t="s">
        <v>10</v>
      </c>
      <c r="F1379" cm="1">
        <f t="array" ref="F1379">_xlfn.XLOOKUP(Food_Orders[[#This Row],[Event_No]],Event_Master[[#All],[Event_No]],Event_Master[[#All],[Guest_Count]],,0)</f>
        <v>180</v>
      </c>
      <c r="G1379" cm="1">
        <f t="array" ref="G1379">Food_Orders[[#This Row],[Quantity_Orderd]]*_xlfn.XLOOKUP(Food_Orders[[#This Row],[Food_ID]],Food_Catalog[[#All],[Food_ID]],Food_Catalog[[#All],[Price_Per_Unit]],0,0)</f>
        <v>5400</v>
      </c>
      <c r="H1379" cm="1">
        <f t="array" ref="H1379">Food_Orders[[#This Row],[Quantity_Orderd]]*_xlfn.XLOOKUP(Food_Orders[[#This Row],[Food_ID]],Food_Catalog[[#All],[Food_ID]],Food_Catalog[[#All],[Client_Price_Per_Unit]],0,0)</f>
        <v>6480</v>
      </c>
      <c r="I1379">
        <f>Food_Orders[[#This Row],[Client_Price]]-Food_Orders[[#This Row],[Cost]]</f>
        <v>1080</v>
      </c>
    </row>
    <row r="1380" spans="1:9" x14ac:dyDescent="0.25">
      <c r="A1380">
        <v>59</v>
      </c>
      <c r="B1380" t="s">
        <v>33</v>
      </c>
      <c r="C1380" t="s">
        <v>8</v>
      </c>
      <c r="D1380" t="s">
        <v>34</v>
      </c>
      <c r="E1380" t="s">
        <v>10</v>
      </c>
      <c r="F1380" cm="1">
        <f t="array" ref="F1380">_xlfn.XLOOKUP(Food_Orders[[#This Row],[Event_No]],Event_Master[[#All],[Event_No]],Event_Master[[#All],[Guest_Count]],,0)</f>
        <v>180</v>
      </c>
      <c r="G1380" cm="1">
        <f t="array" ref="G1380">Food_Orders[[#This Row],[Quantity_Orderd]]*_xlfn.XLOOKUP(Food_Orders[[#This Row],[Food_ID]],Food_Catalog[[#All],[Food_ID]],Food_Catalog[[#All],[Price_Per_Unit]],0,0)</f>
        <v>5400</v>
      </c>
      <c r="H1380" cm="1">
        <f t="array" ref="H1380">Food_Orders[[#This Row],[Quantity_Orderd]]*_xlfn.XLOOKUP(Food_Orders[[#This Row],[Food_ID]],Food_Catalog[[#All],[Food_ID]],Food_Catalog[[#All],[Client_Price_Per_Unit]],0,0)</f>
        <v>6480</v>
      </c>
      <c r="I1380">
        <f>Food_Orders[[#This Row],[Client_Price]]-Food_Orders[[#This Row],[Cost]]</f>
        <v>1080</v>
      </c>
    </row>
    <row r="1381" spans="1:9" x14ac:dyDescent="0.25">
      <c r="A1381">
        <v>59</v>
      </c>
      <c r="B1381" t="s">
        <v>17</v>
      </c>
      <c r="C1381" t="s">
        <v>8</v>
      </c>
      <c r="D1381" t="s">
        <v>18</v>
      </c>
      <c r="E1381" t="s">
        <v>10</v>
      </c>
      <c r="F1381" cm="1">
        <f t="array" ref="F1381">_xlfn.XLOOKUP(Food_Orders[[#This Row],[Event_No]],Event_Master[[#All],[Event_No]],Event_Master[[#All],[Guest_Count]],,0)</f>
        <v>180</v>
      </c>
      <c r="G1381" cm="1">
        <f t="array" ref="G1381">Food_Orders[[#This Row],[Quantity_Orderd]]*_xlfn.XLOOKUP(Food_Orders[[#This Row],[Food_ID]],Food_Catalog[[#All],[Food_ID]],Food_Catalog[[#All],[Price_Per_Unit]],0,0)</f>
        <v>7200</v>
      </c>
      <c r="H1381" cm="1">
        <f t="array" ref="H1381">Food_Orders[[#This Row],[Quantity_Orderd]]*_xlfn.XLOOKUP(Food_Orders[[#This Row],[Food_ID]],Food_Catalog[[#All],[Food_ID]],Food_Catalog[[#All],[Client_Price_Per_Unit]],0,0)</f>
        <v>8640</v>
      </c>
      <c r="I1381">
        <f>Food_Orders[[#This Row],[Client_Price]]-Food_Orders[[#This Row],[Cost]]</f>
        <v>1440</v>
      </c>
    </row>
    <row r="1382" spans="1:9" x14ac:dyDescent="0.25">
      <c r="A1382">
        <v>59</v>
      </c>
      <c r="B1382" t="s">
        <v>29</v>
      </c>
      <c r="C1382" t="s">
        <v>8</v>
      </c>
      <c r="D1382" t="s">
        <v>30</v>
      </c>
      <c r="E1382" t="s">
        <v>10</v>
      </c>
      <c r="F1382" cm="1">
        <f t="array" ref="F1382">_xlfn.XLOOKUP(Food_Orders[[#This Row],[Event_No]],Event_Master[[#All],[Event_No]],Event_Master[[#All],[Guest_Count]],,0)</f>
        <v>180</v>
      </c>
      <c r="G1382" cm="1">
        <f t="array" ref="G1382">Food_Orders[[#This Row],[Quantity_Orderd]]*_xlfn.XLOOKUP(Food_Orders[[#This Row],[Food_ID]],Food_Catalog[[#All],[Food_ID]],Food_Catalog[[#All],[Price_Per_Unit]],0,0)</f>
        <v>5400</v>
      </c>
      <c r="H1382" cm="1">
        <f t="array" ref="H1382">Food_Orders[[#This Row],[Quantity_Orderd]]*_xlfn.XLOOKUP(Food_Orders[[#This Row],[Food_ID]],Food_Catalog[[#All],[Food_ID]],Food_Catalog[[#All],[Client_Price_Per_Unit]],0,0)</f>
        <v>6480</v>
      </c>
      <c r="I1382">
        <f>Food_Orders[[#This Row],[Client_Price]]-Food_Orders[[#This Row],[Cost]]</f>
        <v>1080</v>
      </c>
    </row>
    <row r="1383" spans="1:9" x14ac:dyDescent="0.25">
      <c r="A1383">
        <v>59</v>
      </c>
      <c r="B1383" t="s">
        <v>37</v>
      </c>
      <c r="C1383" t="s">
        <v>8</v>
      </c>
      <c r="D1383" t="s">
        <v>38</v>
      </c>
      <c r="E1383" t="s">
        <v>10</v>
      </c>
      <c r="F1383" cm="1">
        <f t="array" ref="F1383">_xlfn.XLOOKUP(Food_Orders[[#This Row],[Event_No]],Event_Master[[#All],[Event_No]],Event_Master[[#All],[Guest_Count]],,0)</f>
        <v>180</v>
      </c>
      <c r="G1383" cm="1">
        <f t="array" ref="G1383">Food_Orders[[#This Row],[Quantity_Orderd]]*_xlfn.XLOOKUP(Food_Orders[[#This Row],[Food_ID]],Food_Catalog[[#All],[Food_ID]],Food_Catalog[[#All],[Price_Per_Unit]],0,0)</f>
        <v>4500</v>
      </c>
      <c r="H1383" cm="1">
        <f t="array" ref="H1383">Food_Orders[[#This Row],[Quantity_Orderd]]*_xlfn.XLOOKUP(Food_Orders[[#This Row],[Food_ID]],Food_Catalog[[#All],[Food_ID]],Food_Catalog[[#All],[Client_Price_Per_Unit]],0,0)</f>
        <v>5400</v>
      </c>
      <c r="I1383">
        <f>Food_Orders[[#This Row],[Client_Price]]-Food_Orders[[#This Row],[Cost]]</f>
        <v>900</v>
      </c>
    </row>
    <row r="1384" spans="1:9" x14ac:dyDescent="0.25">
      <c r="A1384">
        <v>59</v>
      </c>
      <c r="B1384" t="s">
        <v>82</v>
      </c>
      <c r="C1384" t="s">
        <v>83</v>
      </c>
      <c r="D1384" t="s">
        <v>84</v>
      </c>
      <c r="E1384" t="s">
        <v>85</v>
      </c>
      <c r="F1384" cm="1">
        <f t="array" ref="F1384">_xlfn.XLOOKUP(Food_Orders[[#This Row],[Event_No]],Event_Master[[#All],[Event_No]],Event_Master[[#All],[Guest_Count]],,0)</f>
        <v>180</v>
      </c>
      <c r="G1384" cm="1">
        <f t="array" ref="G1384">Food_Orders[[#This Row],[Quantity_Orderd]]*_xlfn.XLOOKUP(Food_Orders[[#This Row],[Food_ID]],Food_Catalog[[#All],[Food_ID]],Food_Catalog[[#All],[Price_Per_Unit]],0,0)</f>
        <v>3600</v>
      </c>
      <c r="H1384" cm="1">
        <f t="array" ref="H1384">Food_Orders[[#This Row],[Quantity_Orderd]]*_xlfn.XLOOKUP(Food_Orders[[#This Row],[Food_ID]],Food_Catalog[[#All],[Food_ID]],Food_Catalog[[#All],[Client_Price_Per_Unit]],0,0)</f>
        <v>4320</v>
      </c>
      <c r="I1384">
        <f>Food_Orders[[#This Row],[Client_Price]]-Food_Orders[[#This Row],[Cost]]</f>
        <v>720</v>
      </c>
    </row>
    <row r="1385" spans="1:9" x14ac:dyDescent="0.25">
      <c r="A1385">
        <v>59</v>
      </c>
      <c r="B1385" t="s">
        <v>86</v>
      </c>
      <c r="C1385" t="s">
        <v>83</v>
      </c>
      <c r="D1385" t="s">
        <v>87</v>
      </c>
      <c r="E1385" t="s">
        <v>85</v>
      </c>
      <c r="F1385" cm="1">
        <f t="array" ref="F1385">_xlfn.XLOOKUP(Food_Orders[[#This Row],[Event_No]],Event_Master[[#All],[Event_No]],Event_Master[[#All],[Guest_Count]],,0)</f>
        <v>180</v>
      </c>
      <c r="G1385" cm="1">
        <f t="array" ref="G1385">Food_Orders[[#This Row],[Quantity_Orderd]]*_xlfn.XLOOKUP(Food_Orders[[#This Row],[Food_ID]],Food_Catalog[[#All],[Food_ID]],Food_Catalog[[#All],[Price_Per_Unit]],0,0)</f>
        <v>3600</v>
      </c>
      <c r="H1385" cm="1">
        <f t="array" ref="H1385">Food_Orders[[#This Row],[Quantity_Orderd]]*_xlfn.XLOOKUP(Food_Orders[[#This Row],[Food_ID]],Food_Catalog[[#All],[Food_ID]],Food_Catalog[[#All],[Client_Price_Per_Unit]],0,0)</f>
        <v>4320</v>
      </c>
      <c r="I1385">
        <f>Food_Orders[[#This Row],[Client_Price]]-Food_Orders[[#This Row],[Cost]]</f>
        <v>720</v>
      </c>
    </row>
    <row r="1386" spans="1:9" x14ac:dyDescent="0.25">
      <c r="A1386">
        <v>59</v>
      </c>
      <c r="B1386" t="s">
        <v>96</v>
      </c>
      <c r="C1386" t="s">
        <v>83</v>
      </c>
      <c r="D1386" t="s">
        <v>97</v>
      </c>
      <c r="E1386" t="s">
        <v>79</v>
      </c>
      <c r="F1386" cm="1">
        <f t="array" ref="F1386">_xlfn.XLOOKUP(Food_Orders[[#This Row],[Event_No]],Event_Master[[#All],[Event_No]],Event_Master[[#All],[Guest_Count]],,0)</f>
        <v>180</v>
      </c>
      <c r="G1386" cm="1">
        <f t="array" ref="G1386">Food_Orders[[#This Row],[Quantity_Orderd]]*_xlfn.XLOOKUP(Food_Orders[[#This Row],[Food_ID]],Food_Catalog[[#All],[Food_ID]],Food_Catalog[[#All],[Price_Per_Unit]],0,0)</f>
        <v>5400</v>
      </c>
      <c r="H1386" cm="1">
        <f t="array" ref="H1386">Food_Orders[[#This Row],[Quantity_Orderd]]*_xlfn.XLOOKUP(Food_Orders[[#This Row],[Food_ID]],Food_Catalog[[#All],[Food_ID]],Food_Catalog[[#All],[Client_Price_Per_Unit]],0,0)</f>
        <v>6480</v>
      </c>
      <c r="I1386">
        <f>Food_Orders[[#This Row],[Client_Price]]-Food_Orders[[#This Row],[Cost]]</f>
        <v>1080</v>
      </c>
    </row>
    <row r="1387" spans="1:9" x14ac:dyDescent="0.25">
      <c r="A1387">
        <v>59</v>
      </c>
      <c r="B1387" t="s">
        <v>88</v>
      </c>
      <c r="C1387" t="s">
        <v>83</v>
      </c>
      <c r="D1387" t="s">
        <v>89</v>
      </c>
      <c r="E1387" t="s">
        <v>85</v>
      </c>
      <c r="F1387" cm="1">
        <f t="array" ref="F1387">_xlfn.XLOOKUP(Food_Orders[[#This Row],[Event_No]],Event_Master[[#All],[Event_No]],Event_Master[[#All],[Guest_Count]],,0)</f>
        <v>180</v>
      </c>
      <c r="G1387" cm="1">
        <f t="array" ref="G1387">Food_Orders[[#This Row],[Quantity_Orderd]]*_xlfn.XLOOKUP(Food_Orders[[#This Row],[Food_ID]],Food_Catalog[[#All],[Food_ID]],Food_Catalog[[#All],[Price_Per_Unit]],0,0)</f>
        <v>2700</v>
      </c>
      <c r="H1387" cm="1">
        <f t="array" ref="H1387">Food_Orders[[#This Row],[Quantity_Orderd]]*_xlfn.XLOOKUP(Food_Orders[[#This Row],[Food_ID]],Food_Catalog[[#All],[Food_ID]],Food_Catalog[[#All],[Client_Price_Per_Unit]],0,0)</f>
        <v>3240</v>
      </c>
      <c r="I1387">
        <f>Food_Orders[[#This Row],[Client_Price]]-Food_Orders[[#This Row],[Cost]]</f>
        <v>540</v>
      </c>
    </row>
    <row r="1388" spans="1:9" x14ac:dyDescent="0.25">
      <c r="A1388">
        <v>59</v>
      </c>
      <c r="B1388" t="s">
        <v>92</v>
      </c>
      <c r="C1388" t="s">
        <v>83</v>
      </c>
      <c r="D1388" t="s">
        <v>93</v>
      </c>
      <c r="E1388" t="s">
        <v>85</v>
      </c>
      <c r="F1388" cm="1">
        <f t="array" ref="F1388">_xlfn.XLOOKUP(Food_Orders[[#This Row],[Event_No]],Event_Master[[#All],[Event_No]],Event_Master[[#All],[Guest_Count]],,0)</f>
        <v>180</v>
      </c>
      <c r="G1388" cm="1">
        <f t="array" ref="G1388">Food_Orders[[#This Row],[Quantity_Orderd]]*_xlfn.XLOOKUP(Food_Orders[[#This Row],[Food_ID]],Food_Catalog[[#All],[Food_ID]],Food_Catalog[[#All],[Price_Per_Unit]],0,0)</f>
        <v>2700</v>
      </c>
      <c r="H1388" cm="1">
        <f t="array" ref="H1388">Food_Orders[[#This Row],[Quantity_Orderd]]*_xlfn.XLOOKUP(Food_Orders[[#This Row],[Food_ID]],Food_Catalog[[#All],[Food_ID]],Food_Catalog[[#All],[Client_Price_Per_Unit]],0,0)</f>
        <v>3240</v>
      </c>
      <c r="I1388">
        <f>Food_Orders[[#This Row],[Client_Price]]-Food_Orders[[#This Row],[Cost]]</f>
        <v>540</v>
      </c>
    </row>
    <row r="1389" spans="1:9" x14ac:dyDescent="0.25">
      <c r="A1389">
        <v>59</v>
      </c>
      <c r="B1389" t="s">
        <v>98</v>
      </c>
      <c r="C1389" t="s">
        <v>83</v>
      </c>
      <c r="D1389" t="s">
        <v>99</v>
      </c>
      <c r="E1389" t="s">
        <v>85</v>
      </c>
      <c r="F1389" cm="1">
        <f t="array" ref="F1389">_xlfn.XLOOKUP(Food_Orders[[#This Row],[Event_No]],Event_Master[[#All],[Event_No]],Event_Master[[#All],[Guest_Count]],,0)</f>
        <v>180</v>
      </c>
      <c r="G1389" cm="1">
        <f t="array" ref="G1389">Food_Orders[[#This Row],[Quantity_Orderd]]*_xlfn.XLOOKUP(Food_Orders[[#This Row],[Food_ID]],Food_Catalog[[#All],[Food_ID]],Food_Catalog[[#All],[Price_Per_Unit]],0,0)</f>
        <v>2700</v>
      </c>
      <c r="H1389" cm="1">
        <f t="array" ref="H1389">Food_Orders[[#This Row],[Quantity_Orderd]]*_xlfn.XLOOKUP(Food_Orders[[#This Row],[Food_ID]],Food_Catalog[[#All],[Food_ID]],Food_Catalog[[#All],[Client_Price_Per_Unit]],0,0)</f>
        <v>3240</v>
      </c>
      <c r="I1389">
        <f>Food_Orders[[#This Row],[Client_Price]]-Food_Orders[[#This Row],[Cost]]</f>
        <v>540</v>
      </c>
    </row>
    <row r="1390" spans="1:9" x14ac:dyDescent="0.25">
      <c r="A1390">
        <v>59</v>
      </c>
      <c r="B1390" t="s">
        <v>104</v>
      </c>
      <c r="C1390" t="s">
        <v>105</v>
      </c>
      <c r="D1390" t="s">
        <v>106</v>
      </c>
      <c r="E1390" t="s">
        <v>107</v>
      </c>
      <c r="F1390" cm="1">
        <f t="array" ref="F1390">_xlfn.XLOOKUP(Food_Orders[[#This Row],[Event_No]],Event_Master[[#All],[Event_No]],Event_Master[[#All],[Guest_Count]],,0)</f>
        <v>180</v>
      </c>
      <c r="G1390" cm="1">
        <f t="array" ref="G1390">Food_Orders[[#This Row],[Quantity_Orderd]]*_xlfn.XLOOKUP(Food_Orders[[#This Row],[Food_ID]],Food_Catalog[[#All],[Food_ID]],Food_Catalog[[#All],[Price_Per_Unit]],0,0)</f>
        <v>1800</v>
      </c>
      <c r="H1390" cm="1">
        <f t="array" ref="H1390">Food_Orders[[#This Row],[Quantity_Orderd]]*_xlfn.XLOOKUP(Food_Orders[[#This Row],[Food_ID]],Food_Catalog[[#All],[Food_ID]],Food_Catalog[[#All],[Client_Price_Per_Unit]],0,0)</f>
        <v>2160</v>
      </c>
      <c r="I1390">
        <f>Food_Orders[[#This Row],[Client_Price]]-Food_Orders[[#This Row],[Cost]]</f>
        <v>360</v>
      </c>
    </row>
    <row r="1391" spans="1:9" x14ac:dyDescent="0.25">
      <c r="A1391">
        <v>59</v>
      </c>
      <c r="B1391" t="s">
        <v>108</v>
      </c>
      <c r="C1391" t="s">
        <v>105</v>
      </c>
      <c r="D1391" t="s">
        <v>109</v>
      </c>
      <c r="E1391" t="s">
        <v>107</v>
      </c>
      <c r="F1391" cm="1">
        <f t="array" ref="F1391">_xlfn.XLOOKUP(Food_Orders[[#This Row],[Event_No]],Event_Master[[#All],[Event_No]],Event_Master[[#All],[Guest_Count]],,0)</f>
        <v>180</v>
      </c>
      <c r="G1391" cm="1">
        <f t="array" ref="G1391">Food_Orders[[#This Row],[Quantity_Orderd]]*_xlfn.XLOOKUP(Food_Orders[[#This Row],[Food_ID]],Food_Catalog[[#All],[Food_ID]],Food_Catalog[[#All],[Price_Per_Unit]],0,0)</f>
        <v>2700</v>
      </c>
      <c r="H1391" cm="1">
        <f t="array" ref="H1391">Food_Orders[[#This Row],[Quantity_Orderd]]*_xlfn.XLOOKUP(Food_Orders[[#This Row],[Food_ID]],Food_Catalog[[#All],[Food_ID]],Food_Catalog[[#All],[Client_Price_Per_Unit]],0,0)</f>
        <v>3240</v>
      </c>
      <c r="I1391">
        <f>Food_Orders[[#This Row],[Client_Price]]-Food_Orders[[#This Row],[Cost]]</f>
        <v>540</v>
      </c>
    </row>
    <row r="1392" spans="1:9" x14ac:dyDescent="0.25">
      <c r="A1392">
        <v>59</v>
      </c>
      <c r="B1392" t="s">
        <v>118</v>
      </c>
      <c r="C1392" t="s">
        <v>119</v>
      </c>
      <c r="D1392" t="s">
        <v>120</v>
      </c>
      <c r="E1392" t="s">
        <v>112</v>
      </c>
      <c r="F1392" cm="1">
        <f t="array" ref="F1392">_xlfn.XLOOKUP(Food_Orders[[#This Row],[Event_No]],Event_Master[[#All],[Event_No]],Event_Master[[#All],[Guest_Count]],,0)</f>
        <v>180</v>
      </c>
      <c r="G1392" cm="1">
        <f t="array" ref="G1392">Food_Orders[[#This Row],[Quantity_Orderd]]*_xlfn.XLOOKUP(Food_Orders[[#This Row],[Food_ID]],Food_Catalog[[#All],[Food_ID]],Food_Catalog[[#All],[Price_Per_Unit]],0,0)</f>
        <v>1800</v>
      </c>
      <c r="H1392" cm="1">
        <f t="array" ref="H1392">Food_Orders[[#This Row],[Quantity_Orderd]]*_xlfn.XLOOKUP(Food_Orders[[#This Row],[Food_ID]],Food_Catalog[[#All],[Food_ID]],Food_Catalog[[#All],[Client_Price_Per_Unit]],0,0)</f>
        <v>2160</v>
      </c>
      <c r="I1392">
        <f>Food_Orders[[#This Row],[Client_Price]]-Food_Orders[[#This Row],[Cost]]</f>
        <v>360</v>
      </c>
    </row>
    <row r="1393" spans="1:9" x14ac:dyDescent="0.25">
      <c r="A1393">
        <v>59</v>
      </c>
      <c r="B1393" t="s">
        <v>129</v>
      </c>
      <c r="C1393" t="s">
        <v>119</v>
      </c>
      <c r="D1393" t="s">
        <v>130</v>
      </c>
      <c r="E1393" t="s">
        <v>112</v>
      </c>
      <c r="F1393" cm="1">
        <f t="array" ref="F1393">_xlfn.XLOOKUP(Food_Orders[[#This Row],[Event_No]],Event_Master[[#All],[Event_No]],Event_Master[[#All],[Guest_Count]],,0)</f>
        <v>180</v>
      </c>
      <c r="G1393" cm="1">
        <f t="array" ref="G1393">Food_Orders[[#This Row],[Quantity_Orderd]]*_xlfn.XLOOKUP(Food_Orders[[#This Row],[Food_ID]],Food_Catalog[[#All],[Food_ID]],Food_Catalog[[#All],[Price_Per_Unit]],0,0)</f>
        <v>1800</v>
      </c>
      <c r="H1393" cm="1">
        <f t="array" ref="H1393">Food_Orders[[#This Row],[Quantity_Orderd]]*_xlfn.XLOOKUP(Food_Orders[[#This Row],[Food_ID]],Food_Catalog[[#All],[Food_ID]],Food_Catalog[[#All],[Client_Price_Per_Unit]],0,0)</f>
        <v>2160</v>
      </c>
      <c r="I1393">
        <f>Food_Orders[[#This Row],[Client_Price]]-Food_Orders[[#This Row],[Cost]]</f>
        <v>360</v>
      </c>
    </row>
    <row r="1394" spans="1:9" x14ac:dyDescent="0.25">
      <c r="A1394">
        <v>59</v>
      </c>
      <c r="B1394" t="s">
        <v>127</v>
      </c>
      <c r="C1394" t="s">
        <v>119</v>
      </c>
      <c r="D1394" t="s">
        <v>128</v>
      </c>
      <c r="E1394" t="s">
        <v>107</v>
      </c>
      <c r="F1394" cm="1">
        <f t="array" ref="F1394">_xlfn.XLOOKUP(Food_Orders[[#This Row],[Event_No]],Event_Master[[#All],[Event_No]],Event_Master[[#All],[Guest_Count]],,0)</f>
        <v>180</v>
      </c>
      <c r="G1394" cm="1">
        <f t="array" ref="G1394">Food_Orders[[#This Row],[Quantity_Orderd]]*_xlfn.XLOOKUP(Food_Orders[[#This Row],[Food_ID]],Food_Catalog[[#All],[Food_ID]],Food_Catalog[[#All],[Price_Per_Unit]],0,0)</f>
        <v>3600</v>
      </c>
      <c r="H1394" cm="1">
        <f t="array" ref="H1394">Food_Orders[[#This Row],[Quantity_Orderd]]*_xlfn.XLOOKUP(Food_Orders[[#This Row],[Food_ID]],Food_Catalog[[#All],[Food_ID]],Food_Catalog[[#All],[Client_Price_Per_Unit]],0,0)</f>
        <v>4320</v>
      </c>
      <c r="I1394">
        <f>Food_Orders[[#This Row],[Client_Price]]-Food_Orders[[#This Row],[Cost]]</f>
        <v>720</v>
      </c>
    </row>
    <row r="1395" spans="1:9" x14ac:dyDescent="0.25">
      <c r="A1395">
        <v>59</v>
      </c>
      <c r="B1395" t="s">
        <v>124</v>
      </c>
      <c r="C1395" t="s">
        <v>119</v>
      </c>
      <c r="D1395" t="s">
        <v>125</v>
      </c>
      <c r="E1395" t="s">
        <v>126</v>
      </c>
      <c r="F1395" cm="1">
        <f t="array" ref="F1395">_xlfn.XLOOKUP(Food_Orders[[#This Row],[Event_No]],Event_Master[[#All],[Event_No]],Event_Master[[#All],[Guest_Count]],,0)</f>
        <v>180</v>
      </c>
      <c r="G1395" cm="1">
        <f t="array" ref="G1395">Food_Orders[[#This Row],[Quantity_Orderd]]*_xlfn.XLOOKUP(Food_Orders[[#This Row],[Food_ID]],Food_Catalog[[#All],[Food_ID]],Food_Catalog[[#All],[Price_Per_Unit]],0,0)</f>
        <v>3600</v>
      </c>
      <c r="H1395" cm="1">
        <f t="array" ref="H1395">Food_Orders[[#This Row],[Quantity_Orderd]]*_xlfn.XLOOKUP(Food_Orders[[#This Row],[Food_ID]],Food_Catalog[[#All],[Food_ID]],Food_Catalog[[#All],[Client_Price_Per_Unit]],0,0)</f>
        <v>4320</v>
      </c>
      <c r="I1395">
        <f>Food_Orders[[#This Row],[Client_Price]]-Food_Orders[[#This Row],[Cost]]</f>
        <v>720</v>
      </c>
    </row>
    <row r="1396" spans="1:9" x14ac:dyDescent="0.25">
      <c r="A1396">
        <v>60</v>
      </c>
      <c r="B1396" t="s">
        <v>60</v>
      </c>
      <c r="C1396" t="s">
        <v>61</v>
      </c>
      <c r="D1396" t="s">
        <v>62</v>
      </c>
      <c r="E1396" t="s">
        <v>10</v>
      </c>
      <c r="F1396" cm="1">
        <f t="array" ref="F1396">_xlfn.XLOOKUP(Food_Orders[[#This Row],[Event_No]],Event_Master[[#All],[Event_No]],Event_Master[[#All],[Guest_Count]],,0)</f>
        <v>90</v>
      </c>
      <c r="G1396" cm="1">
        <f t="array" ref="G1396">Food_Orders[[#This Row],[Quantity_Orderd]]*_xlfn.XLOOKUP(Food_Orders[[#This Row],[Food_ID]],Food_Catalog[[#All],[Food_ID]],Food_Catalog[[#All],[Price_Per_Unit]],0,0)</f>
        <v>1800</v>
      </c>
      <c r="H1396" cm="1">
        <f t="array" ref="H1396">Food_Orders[[#This Row],[Quantity_Orderd]]*_xlfn.XLOOKUP(Food_Orders[[#This Row],[Food_ID]],Food_Catalog[[#All],[Food_ID]],Food_Catalog[[#All],[Client_Price_Per_Unit]],0,0)</f>
        <v>2160</v>
      </c>
      <c r="I1396">
        <f>Food_Orders[[#This Row],[Client_Price]]-Food_Orders[[#This Row],[Cost]]</f>
        <v>360</v>
      </c>
    </row>
    <row r="1397" spans="1:9" x14ac:dyDescent="0.25">
      <c r="A1397">
        <v>60</v>
      </c>
      <c r="B1397" t="s">
        <v>63</v>
      </c>
      <c r="C1397" t="s">
        <v>61</v>
      </c>
      <c r="D1397" t="s">
        <v>64</v>
      </c>
      <c r="E1397" t="s">
        <v>10</v>
      </c>
      <c r="F1397" cm="1">
        <f t="array" ref="F1397">_xlfn.XLOOKUP(Food_Orders[[#This Row],[Event_No]],Event_Master[[#All],[Event_No]],Event_Master[[#All],[Guest_Count]],,0)</f>
        <v>90</v>
      </c>
      <c r="G1397" cm="1">
        <f t="array" ref="G1397">Food_Orders[[#This Row],[Quantity_Orderd]]*_xlfn.XLOOKUP(Food_Orders[[#This Row],[Food_ID]],Food_Catalog[[#All],[Food_ID]],Food_Catalog[[#All],[Price_Per_Unit]],0,0)</f>
        <v>2700</v>
      </c>
      <c r="H1397" cm="1">
        <f t="array" ref="H1397">Food_Orders[[#This Row],[Quantity_Orderd]]*_xlfn.XLOOKUP(Food_Orders[[#This Row],[Food_ID]],Food_Catalog[[#All],[Food_ID]],Food_Catalog[[#All],[Client_Price_Per_Unit]],0,0)</f>
        <v>3240</v>
      </c>
      <c r="I1397">
        <f>Food_Orders[[#This Row],[Client_Price]]-Food_Orders[[#This Row],[Cost]]</f>
        <v>540</v>
      </c>
    </row>
    <row r="1398" spans="1:9" x14ac:dyDescent="0.25">
      <c r="A1398">
        <v>60</v>
      </c>
      <c r="B1398" t="s">
        <v>71</v>
      </c>
      <c r="C1398" t="s">
        <v>61</v>
      </c>
      <c r="D1398" t="s">
        <v>72</v>
      </c>
      <c r="E1398" t="s">
        <v>10</v>
      </c>
      <c r="F1398" cm="1">
        <f t="array" ref="F1398">_xlfn.XLOOKUP(Food_Orders[[#This Row],[Event_No]],Event_Master[[#All],[Event_No]],Event_Master[[#All],[Guest_Count]],,0)</f>
        <v>90</v>
      </c>
      <c r="G1398" cm="1">
        <f t="array" ref="G1398">Food_Orders[[#This Row],[Quantity_Orderd]]*_xlfn.XLOOKUP(Food_Orders[[#This Row],[Food_ID]],Food_Catalog[[#All],[Food_ID]],Food_Catalog[[#All],[Price_Per_Unit]],0,0)</f>
        <v>2250</v>
      </c>
      <c r="H1398" cm="1">
        <f t="array" ref="H1398">Food_Orders[[#This Row],[Quantity_Orderd]]*_xlfn.XLOOKUP(Food_Orders[[#This Row],[Food_ID]],Food_Catalog[[#All],[Food_ID]],Food_Catalog[[#All],[Client_Price_Per_Unit]],0,0)</f>
        <v>2700</v>
      </c>
      <c r="I1398">
        <f>Food_Orders[[#This Row],[Client_Price]]-Food_Orders[[#This Row],[Cost]]</f>
        <v>450</v>
      </c>
    </row>
    <row r="1399" spans="1:9" x14ac:dyDescent="0.25">
      <c r="A1399">
        <v>60</v>
      </c>
      <c r="B1399" t="s">
        <v>73</v>
      </c>
      <c r="C1399" t="s">
        <v>61</v>
      </c>
      <c r="D1399" t="s">
        <v>74</v>
      </c>
      <c r="E1399" t="s">
        <v>10</v>
      </c>
      <c r="F1399" cm="1">
        <f t="array" ref="F1399">_xlfn.XLOOKUP(Food_Orders[[#This Row],[Event_No]],Event_Master[[#All],[Event_No]],Event_Master[[#All],[Guest_Count]],,0)</f>
        <v>90</v>
      </c>
      <c r="G1399" cm="1">
        <f t="array" ref="G1399">Food_Orders[[#This Row],[Quantity_Orderd]]*_xlfn.XLOOKUP(Food_Orders[[#This Row],[Food_ID]],Food_Catalog[[#All],[Food_ID]],Food_Catalog[[#All],[Price_Per_Unit]],0,0)</f>
        <v>3600</v>
      </c>
      <c r="H1399" cm="1">
        <f t="array" ref="H1399">Food_Orders[[#This Row],[Quantity_Orderd]]*_xlfn.XLOOKUP(Food_Orders[[#This Row],[Food_ID]],Food_Catalog[[#All],[Food_ID]],Food_Catalog[[#All],[Client_Price_Per_Unit]],0,0)</f>
        <v>4320</v>
      </c>
      <c r="I1399">
        <f>Food_Orders[[#This Row],[Client_Price]]-Food_Orders[[#This Row],[Cost]]</f>
        <v>720</v>
      </c>
    </row>
    <row r="1400" spans="1:9" x14ac:dyDescent="0.25">
      <c r="A1400">
        <v>60</v>
      </c>
      <c r="B1400" t="s">
        <v>75</v>
      </c>
      <c r="C1400" t="s">
        <v>61</v>
      </c>
      <c r="D1400" t="s">
        <v>76</v>
      </c>
      <c r="E1400" t="s">
        <v>10</v>
      </c>
      <c r="F1400" cm="1">
        <f t="array" ref="F1400">_xlfn.XLOOKUP(Food_Orders[[#This Row],[Event_No]],Event_Master[[#All],[Event_No]],Event_Master[[#All],[Guest_Count]],,0)</f>
        <v>90</v>
      </c>
      <c r="G1400" cm="1">
        <f t="array" ref="G1400">Food_Orders[[#This Row],[Quantity_Orderd]]*_xlfn.XLOOKUP(Food_Orders[[#This Row],[Food_ID]],Food_Catalog[[#All],[Food_ID]],Food_Catalog[[#All],[Price_Per_Unit]],0,0)</f>
        <v>3600</v>
      </c>
      <c r="H1400" cm="1">
        <f t="array" ref="H1400">Food_Orders[[#This Row],[Quantity_Orderd]]*_xlfn.XLOOKUP(Food_Orders[[#This Row],[Food_ID]],Food_Catalog[[#All],[Food_ID]],Food_Catalog[[#All],[Client_Price_Per_Unit]],0,0)</f>
        <v>4320</v>
      </c>
      <c r="I1400">
        <f>Food_Orders[[#This Row],[Client_Price]]-Food_Orders[[#This Row],[Cost]]</f>
        <v>720</v>
      </c>
    </row>
    <row r="1401" spans="1:9" x14ac:dyDescent="0.25">
      <c r="A1401">
        <v>60</v>
      </c>
      <c r="B1401" t="s">
        <v>69</v>
      </c>
      <c r="C1401" t="s">
        <v>61</v>
      </c>
      <c r="D1401" t="s">
        <v>70</v>
      </c>
      <c r="E1401" t="s">
        <v>10</v>
      </c>
      <c r="F1401" cm="1">
        <f t="array" ref="F1401">_xlfn.XLOOKUP(Food_Orders[[#This Row],[Event_No]],Event_Master[[#All],[Event_No]],Event_Master[[#All],[Guest_Count]],,0)</f>
        <v>90</v>
      </c>
      <c r="G1401" cm="1">
        <f t="array" ref="G1401">Food_Orders[[#This Row],[Quantity_Orderd]]*_xlfn.XLOOKUP(Food_Orders[[#This Row],[Food_ID]],Food_Catalog[[#All],[Food_ID]],Food_Catalog[[#All],[Price_Per_Unit]],0,0)</f>
        <v>4500</v>
      </c>
      <c r="H1401" cm="1">
        <f t="array" ref="H1401">Food_Orders[[#This Row],[Quantity_Orderd]]*_xlfn.XLOOKUP(Food_Orders[[#This Row],[Food_ID]],Food_Catalog[[#All],[Food_ID]],Food_Catalog[[#All],[Client_Price_Per_Unit]],0,0)</f>
        <v>5400</v>
      </c>
      <c r="I1401">
        <f>Food_Orders[[#This Row],[Client_Price]]-Food_Orders[[#This Row],[Cost]]</f>
        <v>900</v>
      </c>
    </row>
    <row r="1402" spans="1:9" x14ac:dyDescent="0.25">
      <c r="A1402">
        <v>60</v>
      </c>
      <c r="B1402" t="s">
        <v>67</v>
      </c>
      <c r="C1402" t="s">
        <v>61</v>
      </c>
      <c r="D1402" t="s">
        <v>68</v>
      </c>
      <c r="E1402" t="s">
        <v>10</v>
      </c>
      <c r="F1402" cm="1">
        <f t="array" ref="F1402">_xlfn.XLOOKUP(Food_Orders[[#This Row],[Event_No]],Event_Master[[#All],[Event_No]],Event_Master[[#All],[Guest_Count]],,0)</f>
        <v>90</v>
      </c>
      <c r="G1402" cm="1">
        <f t="array" ref="G1402">Food_Orders[[#This Row],[Quantity_Orderd]]*_xlfn.XLOOKUP(Food_Orders[[#This Row],[Food_ID]],Food_Catalog[[#All],[Food_ID]],Food_Catalog[[#All],[Price_Per_Unit]],0,0)</f>
        <v>2700</v>
      </c>
      <c r="H1402" cm="1">
        <f t="array" ref="H1402">Food_Orders[[#This Row],[Quantity_Orderd]]*_xlfn.XLOOKUP(Food_Orders[[#This Row],[Food_ID]],Food_Catalog[[#All],[Food_ID]],Food_Catalog[[#All],[Client_Price_Per_Unit]],0,0)</f>
        <v>3240</v>
      </c>
      <c r="I1402">
        <f>Food_Orders[[#This Row],[Client_Price]]-Food_Orders[[#This Row],[Cost]]</f>
        <v>540</v>
      </c>
    </row>
    <row r="1403" spans="1:9" x14ac:dyDescent="0.25">
      <c r="A1403">
        <v>60</v>
      </c>
      <c r="B1403" t="s">
        <v>7</v>
      </c>
      <c r="C1403" t="s">
        <v>8</v>
      </c>
      <c r="D1403" t="s">
        <v>9</v>
      </c>
      <c r="E1403" t="s">
        <v>10</v>
      </c>
      <c r="F1403" cm="1">
        <f t="array" ref="F1403">_xlfn.XLOOKUP(Food_Orders[[#This Row],[Event_No]],Event_Master[[#All],[Event_No]],Event_Master[[#All],[Guest_Count]],,0)</f>
        <v>90</v>
      </c>
      <c r="G1403" cm="1">
        <f t="array" ref="G1403">Food_Orders[[#This Row],[Quantity_Orderd]]*_xlfn.XLOOKUP(Food_Orders[[#This Row],[Food_ID]],Food_Catalog[[#All],[Food_ID]],Food_Catalog[[#All],[Price_Per_Unit]],0,0)</f>
        <v>2250</v>
      </c>
      <c r="H1403" cm="1">
        <f t="array" ref="H1403">Food_Orders[[#This Row],[Quantity_Orderd]]*_xlfn.XLOOKUP(Food_Orders[[#This Row],[Food_ID]],Food_Catalog[[#All],[Food_ID]],Food_Catalog[[#All],[Client_Price_Per_Unit]],0,0)</f>
        <v>2700</v>
      </c>
      <c r="I1403">
        <f>Food_Orders[[#This Row],[Client_Price]]-Food_Orders[[#This Row],[Cost]]</f>
        <v>450</v>
      </c>
    </row>
    <row r="1404" spans="1:9" x14ac:dyDescent="0.25">
      <c r="A1404">
        <v>60</v>
      </c>
      <c r="B1404" t="s">
        <v>13</v>
      </c>
      <c r="C1404" t="s">
        <v>8</v>
      </c>
      <c r="D1404" t="s">
        <v>14</v>
      </c>
      <c r="E1404" t="s">
        <v>10</v>
      </c>
      <c r="F1404" cm="1">
        <f t="array" ref="F1404">_xlfn.XLOOKUP(Food_Orders[[#This Row],[Event_No]],Event_Master[[#All],[Event_No]],Event_Master[[#All],[Guest_Count]],,0)</f>
        <v>90</v>
      </c>
      <c r="G1404" cm="1">
        <f t="array" ref="G1404">Food_Orders[[#This Row],[Quantity_Orderd]]*_xlfn.XLOOKUP(Food_Orders[[#This Row],[Food_ID]],Food_Catalog[[#All],[Food_ID]],Food_Catalog[[#All],[Price_Per_Unit]],0,0)</f>
        <v>3150</v>
      </c>
      <c r="H1404" cm="1">
        <f t="array" ref="H1404">Food_Orders[[#This Row],[Quantity_Orderd]]*_xlfn.XLOOKUP(Food_Orders[[#This Row],[Food_ID]],Food_Catalog[[#All],[Food_ID]],Food_Catalog[[#All],[Client_Price_Per_Unit]],0,0)</f>
        <v>3780</v>
      </c>
      <c r="I1404">
        <f>Food_Orders[[#This Row],[Client_Price]]-Food_Orders[[#This Row],[Cost]]</f>
        <v>630</v>
      </c>
    </row>
    <row r="1405" spans="1:9" x14ac:dyDescent="0.25">
      <c r="A1405">
        <v>60</v>
      </c>
      <c r="B1405" t="s">
        <v>27</v>
      </c>
      <c r="C1405" t="s">
        <v>8</v>
      </c>
      <c r="D1405" t="s">
        <v>28</v>
      </c>
      <c r="E1405" t="s">
        <v>10</v>
      </c>
      <c r="F1405" cm="1">
        <f t="array" ref="F1405">_xlfn.XLOOKUP(Food_Orders[[#This Row],[Event_No]],Event_Master[[#All],[Event_No]],Event_Master[[#All],[Guest_Count]],,0)</f>
        <v>90</v>
      </c>
      <c r="G1405" cm="1">
        <f t="array" ref="G1405">Food_Orders[[#This Row],[Quantity_Orderd]]*_xlfn.XLOOKUP(Food_Orders[[#This Row],[Food_ID]],Food_Catalog[[#All],[Food_ID]],Food_Catalog[[#All],[Price_Per_Unit]],0,0)</f>
        <v>3600</v>
      </c>
      <c r="H1405" cm="1">
        <f t="array" ref="H1405">Food_Orders[[#This Row],[Quantity_Orderd]]*_xlfn.XLOOKUP(Food_Orders[[#This Row],[Food_ID]],Food_Catalog[[#All],[Food_ID]],Food_Catalog[[#All],[Client_Price_Per_Unit]],0,0)</f>
        <v>4320</v>
      </c>
      <c r="I1405">
        <f>Food_Orders[[#This Row],[Client_Price]]-Food_Orders[[#This Row],[Cost]]</f>
        <v>720</v>
      </c>
    </row>
    <row r="1406" spans="1:9" x14ac:dyDescent="0.25">
      <c r="A1406">
        <v>60</v>
      </c>
      <c r="B1406" t="s">
        <v>31</v>
      </c>
      <c r="C1406" t="s">
        <v>8</v>
      </c>
      <c r="D1406" t="s">
        <v>32</v>
      </c>
      <c r="E1406" t="s">
        <v>10</v>
      </c>
      <c r="F1406" cm="1">
        <f t="array" ref="F1406">_xlfn.XLOOKUP(Food_Orders[[#This Row],[Event_No]],Event_Master[[#All],[Event_No]],Event_Master[[#All],[Guest_Count]],,0)</f>
        <v>90</v>
      </c>
      <c r="G1406" cm="1">
        <f t="array" ref="G1406">Food_Orders[[#This Row],[Quantity_Orderd]]*_xlfn.XLOOKUP(Food_Orders[[#This Row],[Food_ID]],Food_Catalog[[#All],[Food_ID]],Food_Catalog[[#All],[Price_Per_Unit]],0,0)</f>
        <v>2700</v>
      </c>
      <c r="H1406" cm="1">
        <f t="array" ref="H1406">Food_Orders[[#This Row],[Quantity_Orderd]]*_xlfn.XLOOKUP(Food_Orders[[#This Row],[Food_ID]],Food_Catalog[[#All],[Food_ID]],Food_Catalog[[#All],[Client_Price_Per_Unit]],0,0)</f>
        <v>3240</v>
      </c>
      <c r="I1406">
        <f>Food_Orders[[#This Row],[Client_Price]]-Food_Orders[[#This Row],[Cost]]</f>
        <v>540</v>
      </c>
    </row>
    <row r="1407" spans="1:9" x14ac:dyDescent="0.25">
      <c r="A1407">
        <v>60</v>
      </c>
      <c r="B1407" t="s">
        <v>29</v>
      </c>
      <c r="C1407" t="s">
        <v>8</v>
      </c>
      <c r="D1407" t="s">
        <v>30</v>
      </c>
      <c r="E1407" t="s">
        <v>10</v>
      </c>
      <c r="F1407" cm="1">
        <f t="array" ref="F1407">_xlfn.XLOOKUP(Food_Orders[[#This Row],[Event_No]],Event_Master[[#All],[Event_No]],Event_Master[[#All],[Guest_Count]],,0)</f>
        <v>90</v>
      </c>
      <c r="G1407" cm="1">
        <f t="array" ref="G1407">Food_Orders[[#This Row],[Quantity_Orderd]]*_xlfn.XLOOKUP(Food_Orders[[#This Row],[Food_ID]],Food_Catalog[[#All],[Food_ID]],Food_Catalog[[#All],[Price_Per_Unit]],0,0)</f>
        <v>2700</v>
      </c>
      <c r="H1407" cm="1">
        <f t="array" ref="H1407">Food_Orders[[#This Row],[Quantity_Orderd]]*_xlfn.XLOOKUP(Food_Orders[[#This Row],[Food_ID]],Food_Catalog[[#All],[Food_ID]],Food_Catalog[[#All],[Client_Price_Per_Unit]],0,0)</f>
        <v>3240</v>
      </c>
      <c r="I1407">
        <f>Food_Orders[[#This Row],[Client_Price]]-Food_Orders[[#This Row],[Cost]]</f>
        <v>540</v>
      </c>
    </row>
    <row r="1408" spans="1:9" x14ac:dyDescent="0.25">
      <c r="A1408">
        <v>60</v>
      </c>
      <c r="B1408" t="s">
        <v>37</v>
      </c>
      <c r="C1408" t="s">
        <v>8</v>
      </c>
      <c r="D1408" t="s">
        <v>38</v>
      </c>
      <c r="E1408" t="s">
        <v>10</v>
      </c>
      <c r="F1408" cm="1">
        <f t="array" ref="F1408">_xlfn.XLOOKUP(Food_Orders[[#This Row],[Event_No]],Event_Master[[#All],[Event_No]],Event_Master[[#All],[Guest_Count]],,0)</f>
        <v>90</v>
      </c>
      <c r="G1408" cm="1">
        <f t="array" ref="G1408">Food_Orders[[#This Row],[Quantity_Orderd]]*_xlfn.XLOOKUP(Food_Orders[[#This Row],[Food_ID]],Food_Catalog[[#All],[Food_ID]],Food_Catalog[[#All],[Price_Per_Unit]],0,0)</f>
        <v>2250</v>
      </c>
      <c r="H1408" cm="1">
        <f t="array" ref="H1408">Food_Orders[[#This Row],[Quantity_Orderd]]*_xlfn.XLOOKUP(Food_Orders[[#This Row],[Food_ID]],Food_Catalog[[#All],[Food_ID]],Food_Catalog[[#All],[Client_Price_Per_Unit]],0,0)</f>
        <v>2700</v>
      </c>
      <c r="I1408">
        <f>Food_Orders[[#This Row],[Client_Price]]-Food_Orders[[#This Row],[Cost]]</f>
        <v>450</v>
      </c>
    </row>
    <row r="1409" spans="1:9" x14ac:dyDescent="0.25">
      <c r="A1409">
        <v>60</v>
      </c>
      <c r="B1409" t="s">
        <v>39</v>
      </c>
      <c r="C1409" t="s">
        <v>40</v>
      </c>
      <c r="D1409" t="s">
        <v>41</v>
      </c>
      <c r="E1409" t="s">
        <v>10</v>
      </c>
      <c r="F1409" cm="1">
        <f t="array" ref="F1409">_xlfn.XLOOKUP(Food_Orders[[#This Row],[Event_No]],Event_Master[[#All],[Event_No]],Event_Master[[#All],[Guest_Count]],,0)</f>
        <v>90</v>
      </c>
      <c r="G1409" cm="1">
        <f t="array" ref="G1409">Food_Orders[[#This Row],[Quantity_Orderd]]*_xlfn.XLOOKUP(Food_Orders[[#This Row],[Food_ID]],Food_Catalog[[#All],[Food_ID]],Food_Catalog[[#All],[Price_Per_Unit]],0,0)</f>
        <v>5400</v>
      </c>
      <c r="H1409" cm="1">
        <f t="array" ref="H1409">Food_Orders[[#This Row],[Quantity_Orderd]]*_xlfn.XLOOKUP(Food_Orders[[#This Row],[Food_ID]],Food_Catalog[[#All],[Food_ID]],Food_Catalog[[#All],[Client_Price_Per_Unit]],0,0)</f>
        <v>6480</v>
      </c>
      <c r="I1409">
        <f>Food_Orders[[#This Row],[Client_Price]]-Food_Orders[[#This Row],[Cost]]</f>
        <v>1080</v>
      </c>
    </row>
    <row r="1410" spans="1:9" x14ac:dyDescent="0.25">
      <c r="A1410">
        <v>60</v>
      </c>
      <c r="B1410" t="s">
        <v>42</v>
      </c>
      <c r="C1410" t="s">
        <v>40</v>
      </c>
      <c r="D1410" t="s">
        <v>43</v>
      </c>
      <c r="E1410" t="s">
        <v>10</v>
      </c>
      <c r="F1410" cm="1">
        <f t="array" ref="F1410">_xlfn.XLOOKUP(Food_Orders[[#This Row],[Event_No]],Event_Master[[#All],[Event_No]],Event_Master[[#All],[Guest_Count]],,0)</f>
        <v>90</v>
      </c>
      <c r="G1410" cm="1">
        <f t="array" ref="G1410">Food_Orders[[#This Row],[Quantity_Orderd]]*_xlfn.XLOOKUP(Food_Orders[[#This Row],[Food_ID]],Food_Catalog[[#All],[Food_ID]],Food_Catalog[[#All],[Price_Per_Unit]],0,0)</f>
        <v>6300</v>
      </c>
      <c r="H1410" cm="1">
        <f t="array" ref="H1410">Food_Orders[[#This Row],[Quantity_Orderd]]*_xlfn.XLOOKUP(Food_Orders[[#This Row],[Food_ID]],Food_Catalog[[#All],[Food_ID]],Food_Catalog[[#All],[Client_Price_Per_Unit]],0,0)</f>
        <v>7560</v>
      </c>
      <c r="I1410">
        <f>Food_Orders[[#This Row],[Client_Price]]-Food_Orders[[#This Row],[Cost]]</f>
        <v>1260</v>
      </c>
    </row>
    <row r="1411" spans="1:9" x14ac:dyDescent="0.25">
      <c r="A1411">
        <v>60</v>
      </c>
      <c r="B1411" t="s">
        <v>58</v>
      </c>
      <c r="C1411" t="s">
        <v>40</v>
      </c>
      <c r="D1411" t="s">
        <v>59</v>
      </c>
      <c r="E1411" t="s">
        <v>10</v>
      </c>
      <c r="F1411" cm="1">
        <f t="array" ref="F1411">_xlfn.XLOOKUP(Food_Orders[[#This Row],[Event_No]],Event_Master[[#All],[Event_No]],Event_Master[[#All],[Guest_Count]],,0)</f>
        <v>90</v>
      </c>
      <c r="G1411" cm="1">
        <f t="array" ref="G1411">Food_Orders[[#This Row],[Quantity_Orderd]]*_xlfn.XLOOKUP(Food_Orders[[#This Row],[Food_ID]],Food_Catalog[[#All],[Food_ID]],Food_Catalog[[#All],[Price_Per_Unit]],0,0)</f>
        <v>8100</v>
      </c>
      <c r="H1411" cm="1">
        <f t="array" ref="H1411">Food_Orders[[#This Row],[Quantity_Orderd]]*_xlfn.XLOOKUP(Food_Orders[[#This Row],[Food_ID]],Food_Catalog[[#All],[Food_ID]],Food_Catalog[[#All],[Client_Price_Per_Unit]],0,0)</f>
        <v>9720</v>
      </c>
      <c r="I1411">
        <f>Food_Orders[[#This Row],[Client_Price]]-Food_Orders[[#This Row],[Cost]]</f>
        <v>1620</v>
      </c>
    </row>
    <row r="1412" spans="1:9" x14ac:dyDescent="0.25">
      <c r="A1412">
        <v>60</v>
      </c>
      <c r="B1412" t="s">
        <v>46</v>
      </c>
      <c r="C1412" t="s">
        <v>40</v>
      </c>
      <c r="D1412" t="s">
        <v>47</v>
      </c>
      <c r="E1412" t="s">
        <v>10</v>
      </c>
      <c r="F1412" cm="1">
        <f t="array" ref="F1412">_xlfn.XLOOKUP(Food_Orders[[#This Row],[Event_No]],Event_Master[[#All],[Event_No]],Event_Master[[#All],[Guest_Count]],,0)</f>
        <v>90</v>
      </c>
      <c r="G1412" cm="1">
        <f t="array" ref="G1412">Food_Orders[[#This Row],[Quantity_Orderd]]*_xlfn.XLOOKUP(Food_Orders[[#This Row],[Food_ID]],Food_Catalog[[#All],[Food_ID]],Food_Catalog[[#All],[Price_Per_Unit]],0,0)</f>
        <v>8100</v>
      </c>
      <c r="H1412" cm="1">
        <f t="array" ref="H1412">Food_Orders[[#This Row],[Quantity_Orderd]]*_xlfn.XLOOKUP(Food_Orders[[#This Row],[Food_ID]],Food_Catalog[[#All],[Food_ID]],Food_Catalog[[#All],[Client_Price_Per_Unit]],0,0)</f>
        <v>9720</v>
      </c>
      <c r="I1412">
        <f>Food_Orders[[#This Row],[Client_Price]]-Food_Orders[[#This Row],[Cost]]</f>
        <v>1620</v>
      </c>
    </row>
    <row r="1413" spans="1:9" x14ac:dyDescent="0.25">
      <c r="A1413">
        <v>60</v>
      </c>
      <c r="B1413" t="s">
        <v>50</v>
      </c>
      <c r="C1413" t="s">
        <v>40</v>
      </c>
      <c r="D1413" t="s">
        <v>51</v>
      </c>
      <c r="E1413" t="s">
        <v>10</v>
      </c>
      <c r="F1413" cm="1">
        <f t="array" ref="F1413">_xlfn.XLOOKUP(Food_Orders[[#This Row],[Event_No]],Event_Master[[#All],[Event_No]],Event_Master[[#All],[Guest_Count]],,0)</f>
        <v>90</v>
      </c>
      <c r="G1413" cm="1">
        <f t="array" ref="G1413">Food_Orders[[#This Row],[Quantity_Orderd]]*_xlfn.XLOOKUP(Food_Orders[[#This Row],[Food_ID]],Food_Catalog[[#All],[Food_ID]],Food_Catalog[[#All],[Price_Per_Unit]],0,0)</f>
        <v>7200</v>
      </c>
      <c r="H1413" cm="1">
        <f t="array" ref="H1413">Food_Orders[[#This Row],[Quantity_Orderd]]*_xlfn.XLOOKUP(Food_Orders[[#This Row],[Food_ID]],Food_Catalog[[#All],[Food_ID]],Food_Catalog[[#All],[Client_Price_Per_Unit]],0,0)</f>
        <v>8640</v>
      </c>
      <c r="I1413">
        <f>Food_Orders[[#This Row],[Client_Price]]-Food_Orders[[#This Row],[Cost]]</f>
        <v>1440</v>
      </c>
    </row>
    <row r="1414" spans="1:9" x14ac:dyDescent="0.25">
      <c r="A1414">
        <v>60</v>
      </c>
      <c r="B1414" t="s">
        <v>82</v>
      </c>
      <c r="C1414" t="s">
        <v>83</v>
      </c>
      <c r="D1414" t="s">
        <v>84</v>
      </c>
      <c r="E1414" t="s">
        <v>85</v>
      </c>
      <c r="F1414" cm="1">
        <f t="array" ref="F1414">_xlfn.XLOOKUP(Food_Orders[[#This Row],[Event_No]],Event_Master[[#All],[Event_No]],Event_Master[[#All],[Guest_Count]],,0)</f>
        <v>90</v>
      </c>
      <c r="G1414" cm="1">
        <f t="array" ref="G1414">Food_Orders[[#This Row],[Quantity_Orderd]]*_xlfn.XLOOKUP(Food_Orders[[#This Row],[Food_ID]],Food_Catalog[[#All],[Food_ID]],Food_Catalog[[#All],[Price_Per_Unit]],0,0)</f>
        <v>1800</v>
      </c>
      <c r="H1414" cm="1">
        <f t="array" ref="H1414">Food_Orders[[#This Row],[Quantity_Orderd]]*_xlfn.XLOOKUP(Food_Orders[[#This Row],[Food_ID]],Food_Catalog[[#All],[Food_ID]],Food_Catalog[[#All],[Client_Price_Per_Unit]],0,0)</f>
        <v>2160</v>
      </c>
      <c r="I1414">
        <f>Food_Orders[[#This Row],[Client_Price]]-Food_Orders[[#This Row],[Cost]]</f>
        <v>360</v>
      </c>
    </row>
    <row r="1415" spans="1:9" x14ac:dyDescent="0.25">
      <c r="A1415">
        <v>60</v>
      </c>
      <c r="B1415" t="s">
        <v>86</v>
      </c>
      <c r="C1415" t="s">
        <v>83</v>
      </c>
      <c r="D1415" t="s">
        <v>87</v>
      </c>
      <c r="E1415" t="s">
        <v>85</v>
      </c>
      <c r="F1415" cm="1">
        <f t="array" ref="F1415">_xlfn.XLOOKUP(Food_Orders[[#This Row],[Event_No]],Event_Master[[#All],[Event_No]],Event_Master[[#All],[Guest_Count]],,0)</f>
        <v>90</v>
      </c>
      <c r="G1415" cm="1">
        <f t="array" ref="G1415">Food_Orders[[#This Row],[Quantity_Orderd]]*_xlfn.XLOOKUP(Food_Orders[[#This Row],[Food_ID]],Food_Catalog[[#All],[Food_ID]],Food_Catalog[[#All],[Price_Per_Unit]],0,0)</f>
        <v>1800</v>
      </c>
      <c r="H1415" cm="1">
        <f t="array" ref="H1415">Food_Orders[[#This Row],[Quantity_Orderd]]*_xlfn.XLOOKUP(Food_Orders[[#This Row],[Food_ID]],Food_Catalog[[#All],[Food_ID]],Food_Catalog[[#All],[Client_Price_Per_Unit]],0,0)</f>
        <v>2160</v>
      </c>
      <c r="I1415">
        <f>Food_Orders[[#This Row],[Client_Price]]-Food_Orders[[#This Row],[Cost]]</f>
        <v>360</v>
      </c>
    </row>
    <row r="1416" spans="1:9" x14ac:dyDescent="0.25">
      <c r="A1416">
        <v>60</v>
      </c>
      <c r="B1416" t="s">
        <v>96</v>
      </c>
      <c r="C1416" t="s">
        <v>83</v>
      </c>
      <c r="D1416" t="s">
        <v>97</v>
      </c>
      <c r="E1416" t="s">
        <v>79</v>
      </c>
      <c r="F1416" cm="1">
        <f t="array" ref="F1416">_xlfn.XLOOKUP(Food_Orders[[#This Row],[Event_No]],Event_Master[[#All],[Event_No]],Event_Master[[#All],[Guest_Count]],,0)</f>
        <v>90</v>
      </c>
      <c r="G1416" cm="1">
        <f t="array" ref="G1416">Food_Orders[[#This Row],[Quantity_Orderd]]*_xlfn.XLOOKUP(Food_Orders[[#This Row],[Food_ID]],Food_Catalog[[#All],[Food_ID]],Food_Catalog[[#All],[Price_Per_Unit]],0,0)</f>
        <v>2700</v>
      </c>
      <c r="H1416" cm="1">
        <f t="array" ref="H1416">Food_Orders[[#This Row],[Quantity_Orderd]]*_xlfn.XLOOKUP(Food_Orders[[#This Row],[Food_ID]],Food_Catalog[[#All],[Food_ID]],Food_Catalog[[#All],[Client_Price_Per_Unit]],0,0)</f>
        <v>3240</v>
      </c>
      <c r="I1416">
        <f>Food_Orders[[#This Row],[Client_Price]]-Food_Orders[[#This Row],[Cost]]</f>
        <v>540</v>
      </c>
    </row>
    <row r="1417" spans="1:9" x14ac:dyDescent="0.25">
      <c r="A1417">
        <v>60</v>
      </c>
      <c r="B1417" t="s">
        <v>92</v>
      </c>
      <c r="C1417" t="s">
        <v>83</v>
      </c>
      <c r="D1417" t="s">
        <v>93</v>
      </c>
      <c r="E1417" t="s">
        <v>85</v>
      </c>
      <c r="F1417" cm="1">
        <f t="array" ref="F1417">_xlfn.XLOOKUP(Food_Orders[[#This Row],[Event_No]],Event_Master[[#All],[Event_No]],Event_Master[[#All],[Guest_Count]],,0)</f>
        <v>90</v>
      </c>
      <c r="G1417" cm="1">
        <f t="array" ref="G1417">Food_Orders[[#This Row],[Quantity_Orderd]]*_xlfn.XLOOKUP(Food_Orders[[#This Row],[Food_ID]],Food_Catalog[[#All],[Food_ID]],Food_Catalog[[#All],[Price_Per_Unit]],0,0)</f>
        <v>1350</v>
      </c>
      <c r="H1417" cm="1">
        <f t="array" ref="H1417">Food_Orders[[#This Row],[Quantity_Orderd]]*_xlfn.XLOOKUP(Food_Orders[[#This Row],[Food_ID]],Food_Catalog[[#All],[Food_ID]],Food_Catalog[[#All],[Client_Price_Per_Unit]],0,0)</f>
        <v>1620</v>
      </c>
      <c r="I1417">
        <f>Food_Orders[[#This Row],[Client_Price]]-Food_Orders[[#This Row],[Cost]]</f>
        <v>270</v>
      </c>
    </row>
    <row r="1418" spans="1:9" x14ac:dyDescent="0.25">
      <c r="A1418">
        <v>60</v>
      </c>
      <c r="B1418" t="s">
        <v>98</v>
      </c>
      <c r="C1418" t="s">
        <v>83</v>
      </c>
      <c r="D1418" t="s">
        <v>99</v>
      </c>
      <c r="E1418" t="s">
        <v>85</v>
      </c>
      <c r="F1418" cm="1">
        <f t="array" ref="F1418">_xlfn.XLOOKUP(Food_Orders[[#This Row],[Event_No]],Event_Master[[#All],[Event_No]],Event_Master[[#All],[Guest_Count]],,0)</f>
        <v>90</v>
      </c>
      <c r="G1418" cm="1">
        <f t="array" ref="G1418">Food_Orders[[#This Row],[Quantity_Orderd]]*_xlfn.XLOOKUP(Food_Orders[[#This Row],[Food_ID]],Food_Catalog[[#All],[Food_ID]],Food_Catalog[[#All],[Price_Per_Unit]],0,0)</f>
        <v>1350</v>
      </c>
      <c r="H1418" cm="1">
        <f t="array" ref="H1418">Food_Orders[[#This Row],[Quantity_Orderd]]*_xlfn.XLOOKUP(Food_Orders[[#This Row],[Food_ID]],Food_Catalog[[#All],[Food_ID]],Food_Catalog[[#All],[Client_Price_Per_Unit]],0,0)</f>
        <v>1620</v>
      </c>
      <c r="I1418">
        <f>Food_Orders[[#This Row],[Client_Price]]-Food_Orders[[#This Row],[Cost]]</f>
        <v>270</v>
      </c>
    </row>
    <row r="1419" spans="1:9" x14ac:dyDescent="0.25">
      <c r="A1419">
        <v>60</v>
      </c>
      <c r="B1419" t="s">
        <v>104</v>
      </c>
      <c r="C1419" t="s">
        <v>105</v>
      </c>
      <c r="D1419" t="s">
        <v>106</v>
      </c>
      <c r="E1419" t="s">
        <v>107</v>
      </c>
      <c r="F1419" cm="1">
        <f t="array" ref="F1419">_xlfn.XLOOKUP(Food_Orders[[#This Row],[Event_No]],Event_Master[[#All],[Event_No]],Event_Master[[#All],[Guest_Count]],,0)</f>
        <v>90</v>
      </c>
      <c r="G1419" cm="1">
        <f t="array" ref="G1419">Food_Orders[[#This Row],[Quantity_Orderd]]*_xlfn.XLOOKUP(Food_Orders[[#This Row],[Food_ID]],Food_Catalog[[#All],[Food_ID]],Food_Catalog[[#All],[Price_Per_Unit]],0,0)</f>
        <v>900</v>
      </c>
      <c r="H1419" cm="1">
        <f t="array" ref="H1419">Food_Orders[[#This Row],[Quantity_Orderd]]*_xlfn.XLOOKUP(Food_Orders[[#This Row],[Food_ID]],Food_Catalog[[#All],[Food_ID]],Food_Catalog[[#All],[Client_Price_Per_Unit]],0,0)</f>
        <v>1080</v>
      </c>
      <c r="I1419">
        <f>Food_Orders[[#This Row],[Client_Price]]-Food_Orders[[#This Row],[Cost]]</f>
        <v>180</v>
      </c>
    </row>
    <row r="1420" spans="1:9" x14ac:dyDescent="0.25">
      <c r="A1420">
        <v>60</v>
      </c>
      <c r="B1420" t="s">
        <v>108</v>
      </c>
      <c r="C1420" t="s">
        <v>105</v>
      </c>
      <c r="D1420" t="s">
        <v>109</v>
      </c>
      <c r="E1420" t="s">
        <v>107</v>
      </c>
      <c r="F1420" cm="1">
        <f t="array" ref="F1420">_xlfn.XLOOKUP(Food_Orders[[#This Row],[Event_No]],Event_Master[[#All],[Event_No]],Event_Master[[#All],[Guest_Count]],,0)</f>
        <v>90</v>
      </c>
      <c r="G1420" cm="1">
        <f t="array" ref="G1420">Food_Orders[[#This Row],[Quantity_Orderd]]*_xlfn.XLOOKUP(Food_Orders[[#This Row],[Food_ID]],Food_Catalog[[#All],[Food_ID]],Food_Catalog[[#All],[Price_Per_Unit]],0,0)</f>
        <v>1350</v>
      </c>
      <c r="H1420" cm="1">
        <f t="array" ref="H1420">Food_Orders[[#This Row],[Quantity_Orderd]]*_xlfn.XLOOKUP(Food_Orders[[#This Row],[Food_ID]],Food_Catalog[[#All],[Food_ID]],Food_Catalog[[#All],[Client_Price_Per_Unit]],0,0)</f>
        <v>1620</v>
      </c>
      <c r="I1420">
        <f>Food_Orders[[#This Row],[Client_Price]]-Food_Orders[[#This Row],[Cost]]</f>
        <v>270</v>
      </c>
    </row>
    <row r="1421" spans="1:9" x14ac:dyDescent="0.25">
      <c r="A1421">
        <v>60</v>
      </c>
      <c r="B1421" t="s">
        <v>118</v>
      </c>
      <c r="C1421" t="s">
        <v>119</v>
      </c>
      <c r="D1421" t="s">
        <v>120</v>
      </c>
      <c r="E1421" t="s">
        <v>112</v>
      </c>
      <c r="F1421" cm="1">
        <f t="array" ref="F1421">_xlfn.XLOOKUP(Food_Orders[[#This Row],[Event_No]],Event_Master[[#All],[Event_No]],Event_Master[[#All],[Guest_Count]],,0)</f>
        <v>90</v>
      </c>
      <c r="G1421" cm="1">
        <f t="array" ref="G1421">Food_Orders[[#This Row],[Quantity_Orderd]]*_xlfn.XLOOKUP(Food_Orders[[#This Row],[Food_ID]],Food_Catalog[[#All],[Food_ID]],Food_Catalog[[#All],[Price_Per_Unit]],0,0)</f>
        <v>900</v>
      </c>
      <c r="H1421" cm="1">
        <f t="array" ref="H1421">Food_Orders[[#This Row],[Quantity_Orderd]]*_xlfn.XLOOKUP(Food_Orders[[#This Row],[Food_ID]],Food_Catalog[[#All],[Food_ID]],Food_Catalog[[#All],[Client_Price_Per_Unit]],0,0)</f>
        <v>1080</v>
      </c>
      <c r="I1421">
        <f>Food_Orders[[#This Row],[Client_Price]]-Food_Orders[[#This Row],[Cost]]</f>
        <v>180</v>
      </c>
    </row>
    <row r="1422" spans="1:9" x14ac:dyDescent="0.25">
      <c r="A1422">
        <v>60</v>
      </c>
      <c r="B1422" t="s">
        <v>129</v>
      </c>
      <c r="C1422" t="s">
        <v>119</v>
      </c>
      <c r="D1422" t="s">
        <v>130</v>
      </c>
      <c r="E1422" t="s">
        <v>112</v>
      </c>
      <c r="F1422" cm="1">
        <f t="array" ref="F1422">_xlfn.XLOOKUP(Food_Orders[[#This Row],[Event_No]],Event_Master[[#All],[Event_No]],Event_Master[[#All],[Guest_Count]],,0)</f>
        <v>90</v>
      </c>
      <c r="G1422" cm="1">
        <f t="array" ref="G1422">Food_Orders[[#This Row],[Quantity_Orderd]]*_xlfn.XLOOKUP(Food_Orders[[#This Row],[Food_ID]],Food_Catalog[[#All],[Food_ID]],Food_Catalog[[#All],[Price_Per_Unit]],0,0)</f>
        <v>900</v>
      </c>
      <c r="H1422" cm="1">
        <f t="array" ref="H1422">Food_Orders[[#This Row],[Quantity_Orderd]]*_xlfn.XLOOKUP(Food_Orders[[#This Row],[Food_ID]],Food_Catalog[[#All],[Food_ID]],Food_Catalog[[#All],[Client_Price_Per_Unit]],0,0)</f>
        <v>1080</v>
      </c>
      <c r="I1422">
        <f>Food_Orders[[#This Row],[Client_Price]]-Food_Orders[[#This Row],[Cost]]</f>
        <v>180</v>
      </c>
    </row>
    <row r="1423" spans="1:9" x14ac:dyDescent="0.25">
      <c r="A1423">
        <v>60</v>
      </c>
      <c r="B1423" t="s">
        <v>124</v>
      </c>
      <c r="C1423" t="s">
        <v>119</v>
      </c>
      <c r="D1423" t="s">
        <v>125</v>
      </c>
      <c r="E1423" t="s">
        <v>126</v>
      </c>
      <c r="F1423" cm="1">
        <f t="array" ref="F1423">_xlfn.XLOOKUP(Food_Orders[[#This Row],[Event_No]],Event_Master[[#All],[Event_No]],Event_Master[[#All],[Guest_Count]],,0)</f>
        <v>90</v>
      </c>
      <c r="G1423" cm="1">
        <f t="array" ref="G1423">Food_Orders[[#This Row],[Quantity_Orderd]]*_xlfn.XLOOKUP(Food_Orders[[#This Row],[Food_ID]],Food_Catalog[[#All],[Food_ID]],Food_Catalog[[#All],[Price_Per_Unit]],0,0)</f>
        <v>1800</v>
      </c>
      <c r="H1423" cm="1">
        <f t="array" ref="H1423">Food_Orders[[#This Row],[Quantity_Orderd]]*_xlfn.XLOOKUP(Food_Orders[[#This Row],[Food_ID]],Food_Catalog[[#All],[Food_ID]],Food_Catalog[[#All],[Client_Price_Per_Unit]],0,0)</f>
        <v>2160</v>
      </c>
      <c r="I1423">
        <f>Food_Orders[[#This Row],[Client_Price]]-Food_Orders[[#This Row],[Cost]]</f>
        <v>360</v>
      </c>
    </row>
    <row r="1424" spans="1:9" x14ac:dyDescent="0.25">
      <c r="A1424">
        <v>60</v>
      </c>
      <c r="B1424" t="s">
        <v>127</v>
      </c>
      <c r="C1424" t="s">
        <v>119</v>
      </c>
      <c r="D1424" t="s">
        <v>128</v>
      </c>
      <c r="E1424" t="s">
        <v>107</v>
      </c>
      <c r="F1424" cm="1">
        <f t="array" ref="F1424">_xlfn.XLOOKUP(Food_Orders[[#This Row],[Event_No]],Event_Master[[#All],[Event_No]],Event_Master[[#All],[Guest_Count]],,0)</f>
        <v>90</v>
      </c>
      <c r="G1424" cm="1">
        <f t="array" ref="G1424">Food_Orders[[#This Row],[Quantity_Orderd]]*_xlfn.XLOOKUP(Food_Orders[[#This Row],[Food_ID]],Food_Catalog[[#All],[Food_ID]],Food_Catalog[[#All],[Price_Per_Unit]],0,0)</f>
        <v>1800</v>
      </c>
      <c r="H1424" cm="1">
        <f t="array" ref="H1424">Food_Orders[[#This Row],[Quantity_Orderd]]*_xlfn.XLOOKUP(Food_Orders[[#This Row],[Food_ID]],Food_Catalog[[#All],[Food_ID]],Food_Catalog[[#All],[Client_Price_Per_Unit]],0,0)</f>
        <v>2160</v>
      </c>
      <c r="I1424">
        <f>Food_Orders[[#This Row],[Client_Price]]-Food_Orders[[#This Row],[Cost]]</f>
        <v>360</v>
      </c>
    </row>
    <row r="1425" spans="1:9" x14ac:dyDescent="0.25">
      <c r="A1425">
        <v>61</v>
      </c>
      <c r="B1425" t="s">
        <v>60</v>
      </c>
      <c r="C1425" t="s">
        <v>61</v>
      </c>
      <c r="D1425" t="s">
        <v>62</v>
      </c>
      <c r="E1425" t="s">
        <v>10</v>
      </c>
      <c r="F1425" cm="1">
        <f t="array" ref="F1425">_xlfn.XLOOKUP(Food_Orders[[#This Row],[Event_No]],Event_Master[[#All],[Event_No]],Event_Master[[#All],[Guest_Count]],,0)</f>
        <v>850</v>
      </c>
      <c r="G1425" cm="1">
        <f t="array" ref="G1425">Food_Orders[[#This Row],[Quantity_Orderd]]*_xlfn.XLOOKUP(Food_Orders[[#This Row],[Food_ID]],Food_Catalog[[#All],[Food_ID]],Food_Catalog[[#All],[Price_Per_Unit]],0,0)</f>
        <v>17000</v>
      </c>
      <c r="H1425" cm="1">
        <f t="array" ref="H1425">Food_Orders[[#This Row],[Quantity_Orderd]]*_xlfn.XLOOKUP(Food_Orders[[#This Row],[Food_ID]],Food_Catalog[[#All],[Food_ID]],Food_Catalog[[#All],[Client_Price_Per_Unit]],0,0)</f>
        <v>20400</v>
      </c>
      <c r="I1425">
        <f>Food_Orders[[#This Row],[Client_Price]]-Food_Orders[[#This Row],[Cost]]</f>
        <v>3400</v>
      </c>
    </row>
    <row r="1426" spans="1:9" x14ac:dyDescent="0.25">
      <c r="A1426">
        <v>61</v>
      </c>
      <c r="B1426" t="s">
        <v>63</v>
      </c>
      <c r="C1426" t="s">
        <v>61</v>
      </c>
      <c r="D1426" t="s">
        <v>64</v>
      </c>
      <c r="E1426" t="s">
        <v>10</v>
      </c>
      <c r="F1426" cm="1">
        <f t="array" ref="F1426">_xlfn.XLOOKUP(Food_Orders[[#This Row],[Event_No]],Event_Master[[#All],[Event_No]],Event_Master[[#All],[Guest_Count]],,0)</f>
        <v>850</v>
      </c>
      <c r="G1426" cm="1">
        <f t="array" ref="G1426">Food_Orders[[#This Row],[Quantity_Orderd]]*_xlfn.XLOOKUP(Food_Orders[[#This Row],[Food_ID]],Food_Catalog[[#All],[Food_ID]],Food_Catalog[[#All],[Price_Per_Unit]],0,0)</f>
        <v>25500</v>
      </c>
      <c r="H1426" cm="1">
        <f t="array" ref="H1426">Food_Orders[[#This Row],[Quantity_Orderd]]*_xlfn.XLOOKUP(Food_Orders[[#This Row],[Food_ID]],Food_Catalog[[#All],[Food_ID]],Food_Catalog[[#All],[Client_Price_Per_Unit]],0,0)</f>
        <v>30600</v>
      </c>
      <c r="I1426">
        <f>Food_Orders[[#This Row],[Client_Price]]-Food_Orders[[#This Row],[Cost]]</f>
        <v>5100</v>
      </c>
    </row>
    <row r="1427" spans="1:9" x14ac:dyDescent="0.25">
      <c r="A1427">
        <v>61</v>
      </c>
      <c r="B1427" t="s">
        <v>71</v>
      </c>
      <c r="C1427" t="s">
        <v>61</v>
      </c>
      <c r="D1427" t="s">
        <v>72</v>
      </c>
      <c r="E1427" t="s">
        <v>10</v>
      </c>
      <c r="F1427" cm="1">
        <f t="array" ref="F1427">_xlfn.XLOOKUP(Food_Orders[[#This Row],[Event_No]],Event_Master[[#All],[Event_No]],Event_Master[[#All],[Guest_Count]],,0)</f>
        <v>850</v>
      </c>
      <c r="G1427" cm="1">
        <f t="array" ref="G1427">Food_Orders[[#This Row],[Quantity_Orderd]]*_xlfn.XLOOKUP(Food_Orders[[#This Row],[Food_ID]],Food_Catalog[[#All],[Food_ID]],Food_Catalog[[#All],[Price_Per_Unit]],0,0)</f>
        <v>21250</v>
      </c>
      <c r="H1427" cm="1">
        <f t="array" ref="H1427">Food_Orders[[#This Row],[Quantity_Orderd]]*_xlfn.XLOOKUP(Food_Orders[[#This Row],[Food_ID]],Food_Catalog[[#All],[Food_ID]],Food_Catalog[[#All],[Client_Price_Per_Unit]],0,0)</f>
        <v>25500</v>
      </c>
      <c r="I1427">
        <f>Food_Orders[[#This Row],[Client_Price]]-Food_Orders[[#This Row],[Cost]]</f>
        <v>4250</v>
      </c>
    </row>
    <row r="1428" spans="1:9" x14ac:dyDescent="0.25">
      <c r="A1428">
        <v>61</v>
      </c>
      <c r="B1428" t="s">
        <v>80</v>
      </c>
      <c r="C1428" t="s">
        <v>61</v>
      </c>
      <c r="D1428" t="s">
        <v>81</v>
      </c>
      <c r="E1428" t="s">
        <v>10</v>
      </c>
      <c r="F1428" cm="1">
        <f t="array" ref="F1428">_xlfn.XLOOKUP(Food_Orders[[#This Row],[Event_No]],Event_Master[[#All],[Event_No]],Event_Master[[#All],[Guest_Count]],,0)</f>
        <v>850</v>
      </c>
      <c r="G1428" cm="1">
        <f t="array" ref="G1428">Food_Orders[[#This Row],[Quantity_Orderd]]*_xlfn.XLOOKUP(Food_Orders[[#This Row],[Food_ID]],Food_Catalog[[#All],[Food_ID]],Food_Catalog[[#All],[Price_Per_Unit]],0,0)</f>
        <v>25500</v>
      </c>
      <c r="H1428" cm="1">
        <f t="array" ref="H1428">Food_Orders[[#This Row],[Quantity_Orderd]]*_xlfn.XLOOKUP(Food_Orders[[#This Row],[Food_ID]],Food_Catalog[[#All],[Food_ID]],Food_Catalog[[#All],[Client_Price_Per_Unit]],0,0)</f>
        <v>30600</v>
      </c>
      <c r="I1428">
        <f>Food_Orders[[#This Row],[Client_Price]]-Food_Orders[[#This Row],[Cost]]</f>
        <v>5100</v>
      </c>
    </row>
    <row r="1429" spans="1:9" x14ac:dyDescent="0.25">
      <c r="A1429">
        <v>61</v>
      </c>
      <c r="B1429" t="s">
        <v>73</v>
      </c>
      <c r="C1429" t="s">
        <v>61</v>
      </c>
      <c r="D1429" t="s">
        <v>74</v>
      </c>
      <c r="E1429" t="s">
        <v>10</v>
      </c>
      <c r="F1429" cm="1">
        <f t="array" ref="F1429">_xlfn.XLOOKUP(Food_Orders[[#This Row],[Event_No]],Event_Master[[#All],[Event_No]],Event_Master[[#All],[Guest_Count]],,0)</f>
        <v>850</v>
      </c>
      <c r="G1429" cm="1">
        <f t="array" ref="G1429">Food_Orders[[#This Row],[Quantity_Orderd]]*_xlfn.XLOOKUP(Food_Orders[[#This Row],[Food_ID]],Food_Catalog[[#All],[Food_ID]],Food_Catalog[[#All],[Price_Per_Unit]],0,0)</f>
        <v>34000</v>
      </c>
      <c r="H1429" cm="1">
        <f t="array" ref="H1429">Food_Orders[[#This Row],[Quantity_Orderd]]*_xlfn.XLOOKUP(Food_Orders[[#This Row],[Food_ID]],Food_Catalog[[#All],[Food_ID]],Food_Catalog[[#All],[Client_Price_Per_Unit]],0,0)</f>
        <v>40800</v>
      </c>
      <c r="I1429">
        <f>Food_Orders[[#This Row],[Client_Price]]-Food_Orders[[#This Row],[Cost]]</f>
        <v>6800</v>
      </c>
    </row>
    <row r="1430" spans="1:9" x14ac:dyDescent="0.25">
      <c r="A1430">
        <v>61</v>
      </c>
      <c r="B1430" t="s">
        <v>75</v>
      </c>
      <c r="C1430" t="s">
        <v>61</v>
      </c>
      <c r="D1430" t="s">
        <v>76</v>
      </c>
      <c r="E1430" t="s">
        <v>10</v>
      </c>
      <c r="F1430" cm="1">
        <f t="array" ref="F1430">_xlfn.XLOOKUP(Food_Orders[[#This Row],[Event_No]],Event_Master[[#All],[Event_No]],Event_Master[[#All],[Guest_Count]],,0)</f>
        <v>850</v>
      </c>
      <c r="G1430" cm="1">
        <f t="array" ref="G1430">Food_Orders[[#This Row],[Quantity_Orderd]]*_xlfn.XLOOKUP(Food_Orders[[#This Row],[Food_ID]],Food_Catalog[[#All],[Food_ID]],Food_Catalog[[#All],[Price_Per_Unit]],0,0)</f>
        <v>34000</v>
      </c>
      <c r="H1430" cm="1">
        <f t="array" ref="H1430">Food_Orders[[#This Row],[Quantity_Orderd]]*_xlfn.XLOOKUP(Food_Orders[[#This Row],[Food_ID]],Food_Catalog[[#All],[Food_ID]],Food_Catalog[[#All],[Client_Price_Per_Unit]],0,0)</f>
        <v>40800</v>
      </c>
      <c r="I1430">
        <f>Food_Orders[[#This Row],[Client_Price]]-Food_Orders[[#This Row],[Cost]]</f>
        <v>6800</v>
      </c>
    </row>
    <row r="1431" spans="1:9" x14ac:dyDescent="0.25">
      <c r="A1431">
        <v>61</v>
      </c>
      <c r="B1431" t="s">
        <v>69</v>
      </c>
      <c r="C1431" t="s">
        <v>61</v>
      </c>
      <c r="D1431" t="s">
        <v>70</v>
      </c>
      <c r="E1431" t="s">
        <v>10</v>
      </c>
      <c r="F1431" cm="1">
        <f t="array" ref="F1431">_xlfn.XLOOKUP(Food_Orders[[#This Row],[Event_No]],Event_Master[[#All],[Event_No]],Event_Master[[#All],[Guest_Count]],,0)</f>
        <v>850</v>
      </c>
      <c r="G1431" cm="1">
        <f t="array" ref="G1431">Food_Orders[[#This Row],[Quantity_Orderd]]*_xlfn.XLOOKUP(Food_Orders[[#This Row],[Food_ID]],Food_Catalog[[#All],[Food_ID]],Food_Catalog[[#All],[Price_Per_Unit]],0,0)</f>
        <v>42500</v>
      </c>
      <c r="H1431" cm="1">
        <f t="array" ref="H1431">Food_Orders[[#This Row],[Quantity_Orderd]]*_xlfn.XLOOKUP(Food_Orders[[#This Row],[Food_ID]],Food_Catalog[[#All],[Food_ID]],Food_Catalog[[#All],[Client_Price_Per_Unit]],0,0)</f>
        <v>51000</v>
      </c>
      <c r="I1431">
        <f>Food_Orders[[#This Row],[Client_Price]]-Food_Orders[[#This Row],[Cost]]</f>
        <v>8500</v>
      </c>
    </row>
    <row r="1432" spans="1:9" x14ac:dyDescent="0.25">
      <c r="A1432">
        <v>61</v>
      </c>
      <c r="B1432" t="s">
        <v>67</v>
      </c>
      <c r="C1432" t="s">
        <v>61</v>
      </c>
      <c r="D1432" t="s">
        <v>68</v>
      </c>
      <c r="E1432" t="s">
        <v>10</v>
      </c>
      <c r="F1432" cm="1">
        <f t="array" ref="F1432">_xlfn.XLOOKUP(Food_Orders[[#This Row],[Event_No]],Event_Master[[#All],[Event_No]],Event_Master[[#All],[Guest_Count]],,0)</f>
        <v>850</v>
      </c>
      <c r="G1432" cm="1">
        <f t="array" ref="G1432">Food_Orders[[#This Row],[Quantity_Orderd]]*_xlfn.XLOOKUP(Food_Orders[[#This Row],[Food_ID]],Food_Catalog[[#All],[Food_ID]],Food_Catalog[[#All],[Price_Per_Unit]],0,0)</f>
        <v>25500</v>
      </c>
      <c r="H1432" cm="1">
        <f t="array" ref="H1432">Food_Orders[[#This Row],[Quantity_Orderd]]*_xlfn.XLOOKUP(Food_Orders[[#This Row],[Food_ID]],Food_Catalog[[#All],[Food_ID]],Food_Catalog[[#All],[Client_Price_Per_Unit]],0,0)</f>
        <v>30600</v>
      </c>
      <c r="I1432">
        <f>Food_Orders[[#This Row],[Client_Price]]-Food_Orders[[#This Row],[Cost]]</f>
        <v>5100</v>
      </c>
    </row>
    <row r="1433" spans="1:9" x14ac:dyDescent="0.25">
      <c r="A1433">
        <v>61</v>
      </c>
      <c r="B1433" t="s">
        <v>77</v>
      </c>
      <c r="C1433" t="s">
        <v>61</v>
      </c>
      <c r="D1433" t="s">
        <v>78</v>
      </c>
      <c r="E1433" t="s">
        <v>79</v>
      </c>
      <c r="F1433" cm="1">
        <f t="array" ref="F1433">_xlfn.XLOOKUP(Food_Orders[[#This Row],[Event_No]],Event_Master[[#All],[Event_No]],Event_Master[[#All],[Guest_Count]],,0)</f>
        <v>850</v>
      </c>
      <c r="G1433" cm="1">
        <f t="array" ref="G1433">Food_Orders[[#This Row],[Quantity_Orderd]]*_xlfn.XLOOKUP(Food_Orders[[#This Row],[Food_ID]],Food_Catalog[[#All],[Food_ID]],Food_Catalog[[#All],[Price_Per_Unit]],0,0)</f>
        <v>29750</v>
      </c>
      <c r="H1433" cm="1">
        <f t="array" ref="H1433">Food_Orders[[#This Row],[Quantity_Orderd]]*_xlfn.XLOOKUP(Food_Orders[[#This Row],[Food_ID]],Food_Catalog[[#All],[Food_ID]],Food_Catalog[[#All],[Client_Price_Per_Unit]],0,0)</f>
        <v>35700</v>
      </c>
      <c r="I1433">
        <f>Food_Orders[[#This Row],[Client_Price]]-Food_Orders[[#This Row],[Cost]]</f>
        <v>5950</v>
      </c>
    </row>
    <row r="1434" spans="1:9" x14ac:dyDescent="0.25">
      <c r="A1434">
        <v>61</v>
      </c>
      <c r="B1434" t="s">
        <v>7</v>
      </c>
      <c r="C1434" t="s">
        <v>8</v>
      </c>
      <c r="D1434" t="s">
        <v>9</v>
      </c>
      <c r="E1434" t="s">
        <v>10</v>
      </c>
      <c r="F1434" cm="1">
        <f t="array" ref="F1434">_xlfn.XLOOKUP(Food_Orders[[#This Row],[Event_No]],Event_Master[[#All],[Event_No]],Event_Master[[#All],[Guest_Count]],,0)</f>
        <v>850</v>
      </c>
      <c r="G1434" cm="1">
        <f t="array" ref="G1434">Food_Orders[[#This Row],[Quantity_Orderd]]*_xlfn.XLOOKUP(Food_Orders[[#This Row],[Food_ID]],Food_Catalog[[#All],[Food_ID]],Food_Catalog[[#All],[Price_Per_Unit]],0,0)</f>
        <v>21250</v>
      </c>
      <c r="H1434" cm="1">
        <f t="array" ref="H1434">Food_Orders[[#This Row],[Quantity_Orderd]]*_xlfn.XLOOKUP(Food_Orders[[#This Row],[Food_ID]],Food_Catalog[[#All],[Food_ID]],Food_Catalog[[#All],[Client_Price_Per_Unit]],0,0)</f>
        <v>25500</v>
      </c>
      <c r="I1434">
        <f>Food_Orders[[#This Row],[Client_Price]]-Food_Orders[[#This Row],[Cost]]</f>
        <v>4250</v>
      </c>
    </row>
    <row r="1435" spans="1:9" x14ac:dyDescent="0.25">
      <c r="A1435">
        <v>61</v>
      </c>
      <c r="B1435" t="s">
        <v>13</v>
      </c>
      <c r="C1435" t="s">
        <v>8</v>
      </c>
      <c r="D1435" t="s">
        <v>14</v>
      </c>
      <c r="E1435" t="s">
        <v>10</v>
      </c>
      <c r="F1435" cm="1">
        <f t="array" ref="F1435">_xlfn.XLOOKUP(Food_Orders[[#This Row],[Event_No]],Event_Master[[#All],[Event_No]],Event_Master[[#All],[Guest_Count]],,0)</f>
        <v>850</v>
      </c>
      <c r="G1435" cm="1">
        <f t="array" ref="G1435">Food_Orders[[#This Row],[Quantity_Orderd]]*_xlfn.XLOOKUP(Food_Orders[[#This Row],[Food_ID]],Food_Catalog[[#All],[Food_ID]],Food_Catalog[[#All],[Price_Per_Unit]],0,0)</f>
        <v>29750</v>
      </c>
      <c r="H1435" cm="1">
        <f t="array" ref="H1435">Food_Orders[[#This Row],[Quantity_Orderd]]*_xlfn.XLOOKUP(Food_Orders[[#This Row],[Food_ID]],Food_Catalog[[#All],[Food_ID]],Food_Catalog[[#All],[Client_Price_Per_Unit]],0,0)</f>
        <v>35700</v>
      </c>
      <c r="I1435">
        <f>Food_Orders[[#This Row],[Client_Price]]-Food_Orders[[#This Row],[Cost]]</f>
        <v>5950</v>
      </c>
    </row>
    <row r="1436" spans="1:9" x14ac:dyDescent="0.25">
      <c r="A1436">
        <v>61</v>
      </c>
      <c r="B1436" t="s">
        <v>25</v>
      </c>
      <c r="C1436" t="s">
        <v>8</v>
      </c>
      <c r="D1436" t="s">
        <v>26</v>
      </c>
      <c r="E1436" t="s">
        <v>10</v>
      </c>
      <c r="F1436" cm="1">
        <f t="array" ref="F1436">_xlfn.XLOOKUP(Food_Orders[[#This Row],[Event_No]],Event_Master[[#All],[Event_No]],Event_Master[[#All],[Guest_Count]],,0)</f>
        <v>850</v>
      </c>
      <c r="G1436" cm="1">
        <f t="array" ref="G1436">Food_Orders[[#This Row],[Quantity_Orderd]]*_xlfn.XLOOKUP(Food_Orders[[#This Row],[Food_ID]],Food_Catalog[[#All],[Food_ID]],Food_Catalog[[#All],[Price_Per_Unit]],0,0)</f>
        <v>25500</v>
      </c>
      <c r="H1436" cm="1">
        <f t="array" ref="H1436">Food_Orders[[#This Row],[Quantity_Orderd]]*_xlfn.XLOOKUP(Food_Orders[[#This Row],[Food_ID]],Food_Catalog[[#All],[Food_ID]],Food_Catalog[[#All],[Client_Price_Per_Unit]],0,0)</f>
        <v>30600</v>
      </c>
      <c r="I1436">
        <f>Food_Orders[[#This Row],[Client_Price]]-Food_Orders[[#This Row],[Cost]]</f>
        <v>5100</v>
      </c>
    </row>
    <row r="1437" spans="1:9" x14ac:dyDescent="0.25">
      <c r="A1437">
        <v>61</v>
      </c>
      <c r="B1437" t="s">
        <v>15</v>
      </c>
      <c r="C1437" t="s">
        <v>8</v>
      </c>
      <c r="D1437" t="s">
        <v>16</v>
      </c>
      <c r="E1437" t="s">
        <v>10</v>
      </c>
      <c r="F1437" cm="1">
        <f t="array" ref="F1437">_xlfn.XLOOKUP(Food_Orders[[#This Row],[Event_No]],Event_Master[[#All],[Event_No]],Event_Master[[#All],[Guest_Count]],,0)</f>
        <v>850</v>
      </c>
      <c r="G1437" cm="1">
        <f t="array" ref="G1437">Food_Orders[[#This Row],[Quantity_Orderd]]*_xlfn.XLOOKUP(Food_Orders[[#This Row],[Food_ID]],Food_Catalog[[#All],[Food_ID]],Food_Catalog[[#All],[Price_Per_Unit]],0,0)</f>
        <v>25500</v>
      </c>
      <c r="H1437" cm="1">
        <f t="array" ref="H1437">Food_Orders[[#This Row],[Quantity_Orderd]]*_xlfn.XLOOKUP(Food_Orders[[#This Row],[Food_ID]],Food_Catalog[[#All],[Food_ID]],Food_Catalog[[#All],[Client_Price_Per_Unit]],0,0)</f>
        <v>30600</v>
      </c>
      <c r="I1437">
        <f>Food_Orders[[#This Row],[Client_Price]]-Food_Orders[[#This Row],[Cost]]</f>
        <v>5100</v>
      </c>
    </row>
    <row r="1438" spans="1:9" x14ac:dyDescent="0.25">
      <c r="A1438">
        <v>61</v>
      </c>
      <c r="B1438" t="s">
        <v>35</v>
      </c>
      <c r="C1438" t="s">
        <v>8</v>
      </c>
      <c r="D1438" t="s">
        <v>36</v>
      </c>
      <c r="E1438" t="s">
        <v>10</v>
      </c>
      <c r="F1438" cm="1">
        <f t="array" ref="F1438">_xlfn.XLOOKUP(Food_Orders[[#This Row],[Event_No]],Event_Master[[#All],[Event_No]],Event_Master[[#All],[Guest_Count]],,0)</f>
        <v>850</v>
      </c>
      <c r="G1438" cm="1">
        <f t="array" ref="G1438">Food_Orders[[#This Row],[Quantity_Orderd]]*_xlfn.XLOOKUP(Food_Orders[[#This Row],[Food_ID]],Food_Catalog[[#All],[Food_ID]],Food_Catalog[[#All],[Price_Per_Unit]],0,0)</f>
        <v>25500</v>
      </c>
      <c r="H1438" cm="1">
        <f t="array" ref="H1438">Food_Orders[[#This Row],[Quantity_Orderd]]*_xlfn.XLOOKUP(Food_Orders[[#This Row],[Food_ID]],Food_Catalog[[#All],[Food_ID]],Food_Catalog[[#All],[Client_Price_Per_Unit]],0,0)</f>
        <v>30600</v>
      </c>
      <c r="I1438">
        <f>Food_Orders[[#This Row],[Client_Price]]-Food_Orders[[#This Row],[Cost]]</f>
        <v>5100</v>
      </c>
    </row>
    <row r="1439" spans="1:9" x14ac:dyDescent="0.25">
      <c r="A1439">
        <v>61</v>
      </c>
      <c r="B1439" t="s">
        <v>27</v>
      </c>
      <c r="C1439" t="s">
        <v>8</v>
      </c>
      <c r="D1439" t="s">
        <v>28</v>
      </c>
      <c r="E1439" t="s">
        <v>10</v>
      </c>
      <c r="F1439" cm="1">
        <f t="array" ref="F1439">_xlfn.XLOOKUP(Food_Orders[[#This Row],[Event_No]],Event_Master[[#All],[Event_No]],Event_Master[[#All],[Guest_Count]],,0)</f>
        <v>850</v>
      </c>
      <c r="G1439" cm="1">
        <f t="array" ref="G1439">Food_Orders[[#This Row],[Quantity_Orderd]]*_xlfn.XLOOKUP(Food_Orders[[#This Row],[Food_ID]],Food_Catalog[[#All],[Food_ID]],Food_Catalog[[#All],[Price_Per_Unit]],0,0)</f>
        <v>34000</v>
      </c>
      <c r="H1439" cm="1">
        <f t="array" ref="H1439">Food_Orders[[#This Row],[Quantity_Orderd]]*_xlfn.XLOOKUP(Food_Orders[[#This Row],[Food_ID]],Food_Catalog[[#All],[Food_ID]],Food_Catalog[[#All],[Client_Price_Per_Unit]],0,0)</f>
        <v>40800</v>
      </c>
      <c r="I1439">
        <f>Food_Orders[[#This Row],[Client_Price]]-Food_Orders[[#This Row],[Cost]]</f>
        <v>6800</v>
      </c>
    </row>
    <row r="1440" spans="1:9" x14ac:dyDescent="0.25">
      <c r="A1440">
        <v>61</v>
      </c>
      <c r="B1440" t="s">
        <v>31</v>
      </c>
      <c r="C1440" t="s">
        <v>8</v>
      </c>
      <c r="D1440" t="s">
        <v>32</v>
      </c>
      <c r="E1440" t="s">
        <v>10</v>
      </c>
      <c r="F1440" cm="1">
        <f t="array" ref="F1440">_xlfn.XLOOKUP(Food_Orders[[#This Row],[Event_No]],Event_Master[[#All],[Event_No]],Event_Master[[#All],[Guest_Count]],,0)</f>
        <v>850</v>
      </c>
      <c r="G1440" cm="1">
        <f t="array" ref="G1440">Food_Orders[[#This Row],[Quantity_Orderd]]*_xlfn.XLOOKUP(Food_Orders[[#This Row],[Food_ID]],Food_Catalog[[#All],[Food_ID]],Food_Catalog[[#All],[Price_Per_Unit]],0,0)</f>
        <v>25500</v>
      </c>
      <c r="H1440" cm="1">
        <f t="array" ref="H1440">Food_Orders[[#This Row],[Quantity_Orderd]]*_xlfn.XLOOKUP(Food_Orders[[#This Row],[Food_ID]],Food_Catalog[[#All],[Food_ID]],Food_Catalog[[#All],[Client_Price_Per_Unit]],0,0)</f>
        <v>30600</v>
      </c>
      <c r="I1440">
        <f>Food_Orders[[#This Row],[Client_Price]]-Food_Orders[[#This Row],[Cost]]</f>
        <v>5100</v>
      </c>
    </row>
    <row r="1441" spans="1:9" x14ac:dyDescent="0.25">
      <c r="A1441">
        <v>61</v>
      </c>
      <c r="B1441" t="s">
        <v>33</v>
      </c>
      <c r="C1441" t="s">
        <v>8</v>
      </c>
      <c r="D1441" t="s">
        <v>34</v>
      </c>
      <c r="E1441" t="s">
        <v>10</v>
      </c>
      <c r="F1441" cm="1">
        <f t="array" ref="F1441">_xlfn.XLOOKUP(Food_Orders[[#This Row],[Event_No]],Event_Master[[#All],[Event_No]],Event_Master[[#All],[Guest_Count]],,0)</f>
        <v>850</v>
      </c>
      <c r="G1441" cm="1">
        <f t="array" ref="G1441">Food_Orders[[#This Row],[Quantity_Orderd]]*_xlfn.XLOOKUP(Food_Orders[[#This Row],[Food_ID]],Food_Catalog[[#All],[Food_ID]],Food_Catalog[[#All],[Price_Per_Unit]],0,0)</f>
        <v>25500</v>
      </c>
      <c r="H1441" cm="1">
        <f t="array" ref="H1441">Food_Orders[[#This Row],[Quantity_Orderd]]*_xlfn.XLOOKUP(Food_Orders[[#This Row],[Food_ID]],Food_Catalog[[#All],[Food_ID]],Food_Catalog[[#All],[Client_Price_Per_Unit]],0,0)</f>
        <v>30600</v>
      </c>
      <c r="I1441">
        <f>Food_Orders[[#This Row],[Client_Price]]-Food_Orders[[#This Row],[Cost]]</f>
        <v>5100</v>
      </c>
    </row>
    <row r="1442" spans="1:9" x14ac:dyDescent="0.25">
      <c r="A1442">
        <v>61</v>
      </c>
      <c r="B1442" t="s">
        <v>17</v>
      </c>
      <c r="C1442" t="s">
        <v>8</v>
      </c>
      <c r="D1442" t="s">
        <v>18</v>
      </c>
      <c r="E1442" t="s">
        <v>10</v>
      </c>
      <c r="F1442" cm="1">
        <f t="array" ref="F1442">_xlfn.XLOOKUP(Food_Orders[[#This Row],[Event_No]],Event_Master[[#All],[Event_No]],Event_Master[[#All],[Guest_Count]],,0)</f>
        <v>850</v>
      </c>
      <c r="G1442" cm="1">
        <f t="array" ref="G1442">Food_Orders[[#This Row],[Quantity_Orderd]]*_xlfn.XLOOKUP(Food_Orders[[#This Row],[Food_ID]],Food_Catalog[[#All],[Food_ID]],Food_Catalog[[#All],[Price_Per_Unit]],0,0)</f>
        <v>34000</v>
      </c>
      <c r="H1442" cm="1">
        <f t="array" ref="H1442">Food_Orders[[#This Row],[Quantity_Orderd]]*_xlfn.XLOOKUP(Food_Orders[[#This Row],[Food_ID]],Food_Catalog[[#All],[Food_ID]],Food_Catalog[[#All],[Client_Price_Per_Unit]],0,0)</f>
        <v>40800</v>
      </c>
      <c r="I1442">
        <f>Food_Orders[[#This Row],[Client_Price]]-Food_Orders[[#This Row],[Cost]]</f>
        <v>6800</v>
      </c>
    </row>
    <row r="1443" spans="1:9" x14ac:dyDescent="0.25">
      <c r="A1443">
        <v>61</v>
      </c>
      <c r="B1443" t="s">
        <v>21</v>
      </c>
      <c r="C1443" t="s">
        <v>8</v>
      </c>
      <c r="D1443" t="s">
        <v>22</v>
      </c>
      <c r="E1443" t="s">
        <v>10</v>
      </c>
      <c r="F1443" cm="1">
        <f t="array" ref="F1443">_xlfn.XLOOKUP(Food_Orders[[#This Row],[Event_No]],Event_Master[[#All],[Event_No]],Event_Master[[#All],[Guest_Count]],,0)</f>
        <v>850</v>
      </c>
      <c r="G1443" cm="1">
        <f t="array" ref="G1443">Food_Orders[[#This Row],[Quantity_Orderd]]*_xlfn.XLOOKUP(Food_Orders[[#This Row],[Food_ID]],Food_Catalog[[#All],[Food_ID]],Food_Catalog[[#All],[Price_Per_Unit]],0,0)</f>
        <v>29750</v>
      </c>
      <c r="H1443" cm="1">
        <f t="array" ref="H1443">Food_Orders[[#This Row],[Quantity_Orderd]]*_xlfn.XLOOKUP(Food_Orders[[#This Row],[Food_ID]],Food_Catalog[[#All],[Food_ID]],Food_Catalog[[#All],[Client_Price_Per_Unit]],0,0)</f>
        <v>35700</v>
      </c>
      <c r="I1443">
        <f>Food_Orders[[#This Row],[Client_Price]]-Food_Orders[[#This Row],[Cost]]</f>
        <v>5950</v>
      </c>
    </row>
    <row r="1444" spans="1:9" x14ac:dyDescent="0.25">
      <c r="A1444">
        <v>61</v>
      </c>
      <c r="B1444" t="s">
        <v>19</v>
      </c>
      <c r="C1444" t="s">
        <v>8</v>
      </c>
      <c r="D1444" t="s">
        <v>20</v>
      </c>
      <c r="E1444" t="s">
        <v>10</v>
      </c>
      <c r="F1444" cm="1">
        <f t="array" ref="F1444">_xlfn.XLOOKUP(Food_Orders[[#This Row],[Event_No]],Event_Master[[#All],[Event_No]],Event_Master[[#All],[Guest_Count]],,0)</f>
        <v>850</v>
      </c>
      <c r="G1444" cm="1">
        <f t="array" ref="G1444">Food_Orders[[#This Row],[Quantity_Orderd]]*_xlfn.XLOOKUP(Food_Orders[[#This Row],[Food_ID]],Food_Catalog[[#All],[Food_ID]],Food_Catalog[[#All],[Price_Per_Unit]],0,0)</f>
        <v>29750</v>
      </c>
      <c r="H1444" cm="1">
        <f t="array" ref="H1444">Food_Orders[[#This Row],[Quantity_Orderd]]*_xlfn.XLOOKUP(Food_Orders[[#This Row],[Food_ID]],Food_Catalog[[#All],[Food_ID]],Food_Catalog[[#All],[Client_Price_Per_Unit]],0,0)</f>
        <v>35700</v>
      </c>
      <c r="I1444">
        <f>Food_Orders[[#This Row],[Client_Price]]-Food_Orders[[#This Row],[Cost]]</f>
        <v>5950</v>
      </c>
    </row>
    <row r="1445" spans="1:9" x14ac:dyDescent="0.25">
      <c r="A1445">
        <v>61</v>
      </c>
      <c r="B1445" t="s">
        <v>29</v>
      </c>
      <c r="C1445" t="s">
        <v>8</v>
      </c>
      <c r="D1445" t="s">
        <v>30</v>
      </c>
      <c r="E1445" t="s">
        <v>10</v>
      </c>
      <c r="F1445" cm="1">
        <f t="array" ref="F1445">_xlfn.XLOOKUP(Food_Orders[[#This Row],[Event_No]],Event_Master[[#All],[Event_No]],Event_Master[[#All],[Guest_Count]],,0)</f>
        <v>850</v>
      </c>
      <c r="G1445" cm="1">
        <f t="array" ref="G1445">Food_Orders[[#This Row],[Quantity_Orderd]]*_xlfn.XLOOKUP(Food_Orders[[#This Row],[Food_ID]],Food_Catalog[[#All],[Food_ID]],Food_Catalog[[#All],[Price_Per_Unit]],0,0)</f>
        <v>25500</v>
      </c>
      <c r="H1445" cm="1">
        <f t="array" ref="H1445">Food_Orders[[#This Row],[Quantity_Orderd]]*_xlfn.XLOOKUP(Food_Orders[[#This Row],[Food_ID]],Food_Catalog[[#All],[Food_ID]],Food_Catalog[[#All],[Client_Price_Per_Unit]],0,0)</f>
        <v>30600</v>
      </c>
      <c r="I1445">
        <f>Food_Orders[[#This Row],[Client_Price]]-Food_Orders[[#This Row],[Cost]]</f>
        <v>5100</v>
      </c>
    </row>
    <row r="1446" spans="1:9" x14ac:dyDescent="0.25">
      <c r="A1446">
        <v>61</v>
      </c>
      <c r="B1446" t="s">
        <v>37</v>
      </c>
      <c r="C1446" t="s">
        <v>8</v>
      </c>
      <c r="D1446" t="s">
        <v>38</v>
      </c>
      <c r="E1446" t="s">
        <v>10</v>
      </c>
      <c r="F1446" cm="1">
        <f t="array" ref="F1446">_xlfn.XLOOKUP(Food_Orders[[#This Row],[Event_No]],Event_Master[[#All],[Event_No]],Event_Master[[#All],[Guest_Count]],,0)</f>
        <v>850</v>
      </c>
      <c r="G1446" cm="1">
        <f t="array" ref="G1446">Food_Orders[[#This Row],[Quantity_Orderd]]*_xlfn.XLOOKUP(Food_Orders[[#This Row],[Food_ID]],Food_Catalog[[#All],[Food_ID]],Food_Catalog[[#All],[Price_Per_Unit]],0,0)</f>
        <v>21250</v>
      </c>
      <c r="H1446" cm="1">
        <f t="array" ref="H1446">Food_Orders[[#This Row],[Quantity_Orderd]]*_xlfn.XLOOKUP(Food_Orders[[#This Row],[Food_ID]],Food_Catalog[[#All],[Food_ID]],Food_Catalog[[#All],[Client_Price_Per_Unit]],0,0)</f>
        <v>25500</v>
      </c>
      <c r="I1446">
        <f>Food_Orders[[#This Row],[Client_Price]]-Food_Orders[[#This Row],[Cost]]</f>
        <v>4250</v>
      </c>
    </row>
    <row r="1447" spans="1:9" x14ac:dyDescent="0.25">
      <c r="A1447">
        <v>61</v>
      </c>
      <c r="B1447" t="s">
        <v>39</v>
      </c>
      <c r="C1447" t="s">
        <v>40</v>
      </c>
      <c r="D1447" t="s">
        <v>41</v>
      </c>
      <c r="E1447" t="s">
        <v>10</v>
      </c>
      <c r="F1447" cm="1">
        <f t="array" ref="F1447">_xlfn.XLOOKUP(Food_Orders[[#This Row],[Event_No]],Event_Master[[#All],[Event_No]],Event_Master[[#All],[Guest_Count]],,0)</f>
        <v>850</v>
      </c>
      <c r="G1447" cm="1">
        <f t="array" ref="G1447">Food_Orders[[#This Row],[Quantity_Orderd]]*_xlfn.XLOOKUP(Food_Orders[[#This Row],[Food_ID]],Food_Catalog[[#All],[Food_ID]],Food_Catalog[[#All],[Price_Per_Unit]],0,0)</f>
        <v>51000</v>
      </c>
      <c r="H1447" cm="1">
        <f t="array" ref="H1447">Food_Orders[[#This Row],[Quantity_Orderd]]*_xlfn.XLOOKUP(Food_Orders[[#This Row],[Food_ID]],Food_Catalog[[#All],[Food_ID]],Food_Catalog[[#All],[Client_Price_Per_Unit]],0,0)</f>
        <v>61200</v>
      </c>
      <c r="I1447">
        <f>Food_Orders[[#This Row],[Client_Price]]-Food_Orders[[#This Row],[Cost]]</f>
        <v>10200</v>
      </c>
    </row>
    <row r="1448" spans="1:9" x14ac:dyDescent="0.25">
      <c r="A1448">
        <v>61</v>
      </c>
      <c r="B1448" t="s">
        <v>42</v>
      </c>
      <c r="C1448" t="s">
        <v>40</v>
      </c>
      <c r="D1448" t="s">
        <v>43</v>
      </c>
      <c r="E1448" t="s">
        <v>10</v>
      </c>
      <c r="F1448" cm="1">
        <f t="array" ref="F1448">_xlfn.XLOOKUP(Food_Orders[[#This Row],[Event_No]],Event_Master[[#All],[Event_No]],Event_Master[[#All],[Guest_Count]],,0)</f>
        <v>850</v>
      </c>
      <c r="G1448" cm="1">
        <f t="array" ref="G1448">Food_Orders[[#This Row],[Quantity_Orderd]]*_xlfn.XLOOKUP(Food_Orders[[#This Row],[Food_ID]],Food_Catalog[[#All],[Food_ID]],Food_Catalog[[#All],[Price_Per_Unit]],0,0)</f>
        <v>59500</v>
      </c>
      <c r="H1448" cm="1">
        <f t="array" ref="H1448">Food_Orders[[#This Row],[Quantity_Orderd]]*_xlfn.XLOOKUP(Food_Orders[[#This Row],[Food_ID]],Food_Catalog[[#All],[Food_ID]],Food_Catalog[[#All],[Client_Price_Per_Unit]],0,0)</f>
        <v>71400</v>
      </c>
      <c r="I1448">
        <f>Food_Orders[[#This Row],[Client_Price]]-Food_Orders[[#This Row],[Cost]]</f>
        <v>11900</v>
      </c>
    </row>
    <row r="1449" spans="1:9" x14ac:dyDescent="0.25">
      <c r="A1449">
        <v>61</v>
      </c>
      <c r="B1449" t="s">
        <v>46</v>
      </c>
      <c r="C1449" t="s">
        <v>40</v>
      </c>
      <c r="D1449" t="s">
        <v>47</v>
      </c>
      <c r="E1449" t="s">
        <v>10</v>
      </c>
      <c r="F1449" cm="1">
        <f t="array" ref="F1449">_xlfn.XLOOKUP(Food_Orders[[#This Row],[Event_No]],Event_Master[[#All],[Event_No]],Event_Master[[#All],[Guest_Count]],,0)</f>
        <v>850</v>
      </c>
      <c r="G1449" cm="1">
        <f t="array" ref="G1449">Food_Orders[[#This Row],[Quantity_Orderd]]*_xlfn.XLOOKUP(Food_Orders[[#This Row],[Food_ID]],Food_Catalog[[#All],[Food_ID]],Food_Catalog[[#All],[Price_Per_Unit]],0,0)</f>
        <v>76500</v>
      </c>
      <c r="H1449" cm="1">
        <f t="array" ref="H1449">Food_Orders[[#This Row],[Quantity_Orderd]]*_xlfn.XLOOKUP(Food_Orders[[#This Row],[Food_ID]],Food_Catalog[[#All],[Food_ID]],Food_Catalog[[#All],[Client_Price_Per_Unit]],0,0)</f>
        <v>91800</v>
      </c>
      <c r="I1449">
        <f>Food_Orders[[#This Row],[Client_Price]]-Food_Orders[[#This Row],[Cost]]</f>
        <v>15300</v>
      </c>
    </row>
    <row r="1450" spans="1:9" x14ac:dyDescent="0.25">
      <c r="A1450">
        <v>61</v>
      </c>
      <c r="B1450" t="s">
        <v>48</v>
      </c>
      <c r="C1450" t="s">
        <v>40</v>
      </c>
      <c r="D1450" t="s">
        <v>49</v>
      </c>
      <c r="E1450" t="s">
        <v>10</v>
      </c>
      <c r="F1450" cm="1">
        <f t="array" ref="F1450">_xlfn.XLOOKUP(Food_Orders[[#This Row],[Event_No]],Event_Master[[#All],[Event_No]],Event_Master[[#All],[Guest_Count]],,0)</f>
        <v>850</v>
      </c>
      <c r="G1450" cm="1">
        <f t="array" ref="G1450">Food_Orders[[#This Row],[Quantity_Orderd]]*_xlfn.XLOOKUP(Food_Orders[[#This Row],[Food_ID]],Food_Catalog[[#All],[Food_ID]],Food_Catalog[[#All],[Price_Per_Unit]],0,0)</f>
        <v>85000</v>
      </c>
      <c r="H1450" cm="1">
        <f t="array" ref="H1450">Food_Orders[[#This Row],[Quantity_Orderd]]*_xlfn.XLOOKUP(Food_Orders[[#This Row],[Food_ID]],Food_Catalog[[#All],[Food_ID]],Food_Catalog[[#All],[Client_Price_Per_Unit]],0,0)</f>
        <v>102000</v>
      </c>
      <c r="I1450">
        <f>Food_Orders[[#This Row],[Client_Price]]-Food_Orders[[#This Row],[Cost]]</f>
        <v>17000</v>
      </c>
    </row>
    <row r="1451" spans="1:9" x14ac:dyDescent="0.25">
      <c r="A1451">
        <v>61</v>
      </c>
      <c r="B1451" t="s">
        <v>50</v>
      </c>
      <c r="C1451" t="s">
        <v>40</v>
      </c>
      <c r="D1451" t="s">
        <v>51</v>
      </c>
      <c r="E1451" t="s">
        <v>10</v>
      </c>
      <c r="F1451" cm="1">
        <f t="array" ref="F1451">_xlfn.XLOOKUP(Food_Orders[[#This Row],[Event_No]],Event_Master[[#All],[Event_No]],Event_Master[[#All],[Guest_Count]],,0)</f>
        <v>850</v>
      </c>
      <c r="G1451" cm="1">
        <f t="array" ref="G1451">Food_Orders[[#This Row],[Quantity_Orderd]]*_xlfn.XLOOKUP(Food_Orders[[#This Row],[Food_ID]],Food_Catalog[[#All],[Food_ID]],Food_Catalog[[#All],[Price_Per_Unit]],0,0)</f>
        <v>68000</v>
      </c>
      <c r="H1451" cm="1">
        <f t="array" ref="H1451">Food_Orders[[#This Row],[Quantity_Orderd]]*_xlfn.XLOOKUP(Food_Orders[[#This Row],[Food_ID]],Food_Catalog[[#All],[Food_ID]],Food_Catalog[[#All],[Client_Price_Per_Unit]],0,0)</f>
        <v>81600</v>
      </c>
      <c r="I1451">
        <f>Food_Orders[[#This Row],[Client_Price]]-Food_Orders[[#This Row],[Cost]]</f>
        <v>13600</v>
      </c>
    </row>
    <row r="1452" spans="1:9" x14ac:dyDescent="0.25">
      <c r="A1452">
        <v>61</v>
      </c>
      <c r="B1452" t="s">
        <v>52</v>
      </c>
      <c r="C1452" t="s">
        <v>40</v>
      </c>
      <c r="D1452" t="s">
        <v>53</v>
      </c>
      <c r="E1452" t="s">
        <v>10</v>
      </c>
      <c r="F1452" cm="1">
        <f t="array" ref="F1452">_xlfn.XLOOKUP(Food_Orders[[#This Row],[Event_No]],Event_Master[[#All],[Event_No]],Event_Master[[#All],[Guest_Count]],,0)</f>
        <v>850</v>
      </c>
      <c r="G1452" cm="1">
        <f t="array" ref="G1452">Food_Orders[[#This Row],[Quantity_Orderd]]*_xlfn.XLOOKUP(Food_Orders[[#This Row],[Food_ID]],Food_Catalog[[#All],[Food_ID]],Food_Catalog[[#All],[Price_Per_Unit]],0,0)</f>
        <v>85000</v>
      </c>
      <c r="H1452" cm="1">
        <f t="array" ref="H1452">Food_Orders[[#This Row],[Quantity_Orderd]]*_xlfn.XLOOKUP(Food_Orders[[#This Row],[Food_ID]],Food_Catalog[[#All],[Food_ID]],Food_Catalog[[#All],[Client_Price_Per_Unit]],0,0)</f>
        <v>102000</v>
      </c>
      <c r="I1452">
        <f>Food_Orders[[#This Row],[Client_Price]]-Food_Orders[[#This Row],[Cost]]</f>
        <v>17000</v>
      </c>
    </row>
    <row r="1453" spans="1:9" x14ac:dyDescent="0.25">
      <c r="A1453">
        <v>61</v>
      </c>
      <c r="B1453" t="s">
        <v>54</v>
      </c>
      <c r="C1453" t="s">
        <v>40</v>
      </c>
      <c r="D1453" t="s">
        <v>55</v>
      </c>
      <c r="E1453" t="s">
        <v>10</v>
      </c>
      <c r="F1453" cm="1">
        <f t="array" ref="F1453">_xlfn.XLOOKUP(Food_Orders[[#This Row],[Event_No]],Event_Master[[#All],[Event_No]],Event_Master[[#All],[Guest_Count]],,0)</f>
        <v>850</v>
      </c>
      <c r="G1453" cm="1">
        <f t="array" ref="G1453">Food_Orders[[#This Row],[Quantity_Orderd]]*_xlfn.XLOOKUP(Food_Orders[[#This Row],[Food_ID]],Food_Catalog[[#All],[Food_ID]],Food_Catalog[[#All],[Price_Per_Unit]],0,0)</f>
        <v>34000</v>
      </c>
      <c r="H1453" cm="1">
        <f t="array" ref="H1453">Food_Orders[[#This Row],[Quantity_Orderd]]*_xlfn.XLOOKUP(Food_Orders[[#This Row],[Food_ID]],Food_Catalog[[#All],[Food_ID]],Food_Catalog[[#All],[Client_Price_Per_Unit]],0,0)</f>
        <v>40800</v>
      </c>
      <c r="I1453">
        <f>Food_Orders[[#This Row],[Client_Price]]-Food_Orders[[#This Row],[Cost]]</f>
        <v>6800</v>
      </c>
    </row>
    <row r="1454" spans="1:9" x14ac:dyDescent="0.25">
      <c r="A1454">
        <v>61</v>
      </c>
      <c r="B1454" t="s">
        <v>58</v>
      </c>
      <c r="C1454" t="s">
        <v>40</v>
      </c>
      <c r="D1454" t="s">
        <v>59</v>
      </c>
      <c r="E1454" t="s">
        <v>10</v>
      </c>
      <c r="F1454" cm="1">
        <f t="array" ref="F1454">_xlfn.XLOOKUP(Food_Orders[[#This Row],[Event_No]],Event_Master[[#All],[Event_No]],Event_Master[[#All],[Guest_Count]],,0)</f>
        <v>850</v>
      </c>
      <c r="G1454" cm="1">
        <f t="array" ref="G1454">Food_Orders[[#This Row],[Quantity_Orderd]]*_xlfn.XLOOKUP(Food_Orders[[#This Row],[Food_ID]],Food_Catalog[[#All],[Food_ID]],Food_Catalog[[#All],[Price_Per_Unit]],0,0)</f>
        <v>76500</v>
      </c>
      <c r="H1454" cm="1">
        <f t="array" ref="H1454">Food_Orders[[#This Row],[Quantity_Orderd]]*_xlfn.XLOOKUP(Food_Orders[[#This Row],[Food_ID]],Food_Catalog[[#All],[Food_ID]],Food_Catalog[[#All],[Client_Price_Per_Unit]],0,0)</f>
        <v>91800</v>
      </c>
      <c r="I1454">
        <f>Food_Orders[[#This Row],[Client_Price]]-Food_Orders[[#This Row],[Cost]]</f>
        <v>15300</v>
      </c>
    </row>
    <row r="1455" spans="1:9" x14ac:dyDescent="0.25">
      <c r="A1455">
        <v>61</v>
      </c>
      <c r="B1455" t="s">
        <v>82</v>
      </c>
      <c r="C1455" t="s">
        <v>83</v>
      </c>
      <c r="D1455" t="s">
        <v>84</v>
      </c>
      <c r="E1455" t="s">
        <v>85</v>
      </c>
      <c r="F1455" cm="1">
        <f t="array" ref="F1455">_xlfn.XLOOKUP(Food_Orders[[#This Row],[Event_No]],Event_Master[[#All],[Event_No]],Event_Master[[#All],[Guest_Count]],,0)</f>
        <v>850</v>
      </c>
      <c r="G1455" cm="1">
        <f t="array" ref="G1455">Food_Orders[[#This Row],[Quantity_Orderd]]*_xlfn.XLOOKUP(Food_Orders[[#This Row],[Food_ID]],Food_Catalog[[#All],[Food_ID]],Food_Catalog[[#All],[Price_Per_Unit]],0,0)</f>
        <v>17000</v>
      </c>
      <c r="H1455" cm="1">
        <f t="array" ref="H1455">Food_Orders[[#This Row],[Quantity_Orderd]]*_xlfn.XLOOKUP(Food_Orders[[#This Row],[Food_ID]],Food_Catalog[[#All],[Food_ID]],Food_Catalog[[#All],[Client_Price_Per_Unit]],0,0)</f>
        <v>20400</v>
      </c>
      <c r="I1455">
        <f>Food_Orders[[#This Row],[Client_Price]]-Food_Orders[[#This Row],[Cost]]</f>
        <v>3400</v>
      </c>
    </row>
    <row r="1456" spans="1:9" x14ac:dyDescent="0.25">
      <c r="A1456">
        <v>61</v>
      </c>
      <c r="B1456" t="s">
        <v>86</v>
      </c>
      <c r="C1456" t="s">
        <v>83</v>
      </c>
      <c r="D1456" t="s">
        <v>87</v>
      </c>
      <c r="E1456" t="s">
        <v>85</v>
      </c>
      <c r="F1456" cm="1">
        <f t="array" ref="F1456">_xlfn.XLOOKUP(Food_Orders[[#This Row],[Event_No]],Event_Master[[#All],[Event_No]],Event_Master[[#All],[Guest_Count]],,0)</f>
        <v>850</v>
      </c>
      <c r="G1456" cm="1">
        <f t="array" ref="G1456">Food_Orders[[#This Row],[Quantity_Orderd]]*_xlfn.XLOOKUP(Food_Orders[[#This Row],[Food_ID]],Food_Catalog[[#All],[Food_ID]],Food_Catalog[[#All],[Price_Per_Unit]],0,0)</f>
        <v>17000</v>
      </c>
      <c r="H1456" cm="1">
        <f t="array" ref="H1456">Food_Orders[[#This Row],[Quantity_Orderd]]*_xlfn.XLOOKUP(Food_Orders[[#This Row],[Food_ID]],Food_Catalog[[#All],[Food_ID]],Food_Catalog[[#All],[Client_Price_Per_Unit]],0,0)</f>
        <v>20400</v>
      </c>
      <c r="I1456">
        <f>Food_Orders[[#This Row],[Client_Price]]-Food_Orders[[#This Row],[Cost]]</f>
        <v>3400</v>
      </c>
    </row>
    <row r="1457" spans="1:9" x14ac:dyDescent="0.25">
      <c r="A1457">
        <v>61</v>
      </c>
      <c r="B1457" t="s">
        <v>88</v>
      </c>
      <c r="C1457" t="s">
        <v>83</v>
      </c>
      <c r="D1457" t="s">
        <v>89</v>
      </c>
      <c r="E1457" t="s">
        <v>85</v>
      </c>
      <c r="F1457" cm="1">
        <f t="array" ref="F1457">_xlfn.XLOOKUP(Food_Orders[[#This Row],[Event_No]],Event_Master[[#All],[Event_No]],Event_Master[[#All],[Guest_Count]],,0)</f>
        <v>850</v>
      </c>
      <c r="G1457" cm="1">
        <f t="array" ref="G1457">Food_Orders[[#This Row],[Quantity_Orderd]]*_xlfn.XLOOKUP(Food_Orders[[#This Row],[Food_ID]],Food_Catalog[[#All],[Food_ID]],Food_Catalog[[#All],[Price_Per_Unit]],0,0)</f>
        <v>12750</v>
      </c>
      <c r="H1457" cm="1">
        <f t="array" ref="H1457">Food_Orders[[#This Row],[Quantity_Orderd]]*_xlfn.XLOOKUP(Food_Orders[[#This Row],[Food_ID]],Food_Catalog[[#All],[Food_ID]],Food_Catalog[[#All],[Client_Price_Per_Unit]],0,0)</f>
        <v>15300</v>
      </c>
      <c r="I1457">
        <f>Food_Orders[[#This Row],[Client_Price]]-Food_Orders[[#This Row],[Cost]]</f>
        <v>2550</v>
      </c>
    </row>
    <row r="1458" spans="1:9" x14ac:dyDescent="0.25">
      <c r="A1458">
        <v>61</v>
      </c>
      <c r="B1458" t="s">
        <v>100</v>
      </c>
      <c r="C1458" t="s">
        <v>83</v>
      </c>
      <c r="D1458" t="s">
        <v>101</v>
      </c>
      <c r="E1458" t="s">
        <v>79</v>
      </c>
      <c r="F1458" cm="1">
        <f t="array" ref="F1458">_xlfn.XLOOKUP(Food_Orders[[#This Row],[Event_No]],Event_Master[[#All],[Event_No]],Event_Master[[#All],[Guest_Count]],,0)</f>
        <v>850</v>
      </c>
      <c r="G1458" cm="1">
        <f t="array" ref="G1458">Food_Orders[[#This Row],[Quantity_Orderd]]*_xlfn.XLOOKUP(Food_Orders[[#This Row],[Food_ID]],Food_Catalog[[#All],[Food_ID]],Food_Catalog[[#All],[Price_Per_Unit]],0,0)</f>
        <v>29750</v>
      </c>
      <c r="H1458" cm="1">
        <f t="array" ref="H1458">Food_Orders[[#This Row],[Quantity_Orderd]]*_xlfn.XLOOKUP(Food_Orders[[#This Row],[Food_ID]],Food_Catalog[[#All],[Food_ID]],Food_Catalog[[#All],[Client_Price_Per_Unit]],0,0)</f>
        <v>35700</v>
      </c>
      <c r="I1458">
        <f>Food_Orders[[#This Row],[Client_Price]]-Food_Orders[[#This Row],[Cost]]</f>
        <v>5950</v>
      </c>
    </row>
    <row r="1459" spans="1:9" x14ac:dyDescent="0.25">
      <c r="A1459">
        <v>61</v>
      </c>
      <c r="B1459" t="s">
        <v>96</v>
      </c>
      <c r="C1459" t="s">
        <v>83</v>
      </c>
      <c r="D1459" t="s">
        <v>97</v>
      </c>
      <c r="E1459" t="s">
        <v>79</v>
      </c>
      <c r="F1459" cm="1">
        <f t="array" ref="F1459">_xlfn.XLOOKUP(Food_Orders[[#This Row],[Event_No]],Event_Master[[#All],[Event_No]],Event_Master[[#All],[Guest_Count]],,0)</f>
        <v>850</v>
      </c>
      <c r="G1459" cm="1">
        <f t="array" ref="G1459">Food_Orders[[#This Row],[Quantity_Orderd]]*_xlfn.XLOOKUP(Food_Orders[[#This Row],[Food_ID]],Food_Catalog[[#All],[Food_ID]],Food_Catalog[[#All],[Price_Per_Unit]],0,0)</f>
        <v>25500</v>
      </c>
      <c r="H1459" cm="1">
        <f t="array" ref="H1459">Food_Orders[[#This Row],[Quantity_Orderd]]*_xlfn.XLOOKUP(Food_Orders[[#This Row],[Food_ID]],Food_Catalog[[#All],[Food_ID]],Food_Catalog[[#All],[Client_Price_Per_Unit]],0,0)</f>
        <v>30600</v>
      </c>
      <c r="I1459">
        <f>Food_Orders[[#This Row],[Client_Price]]-Food_Orders[[#This Row],[Cost]]</f>
        <v>5100</v>
      </c>
    </row>
    <row r="1460" spans="1:9" x14ac:dyDescent="0.25">
      <c r="A1460">
        <v>61</v>
      </c>
      <c r="B1460" t="s">
        <v>92</v>
      </c>
      <c r="C1460" t="s">
        <v>83</v>
      </c>
      <c r="D1460" t="s">
        <v>93</v>
      </c>
      <c r="E1460" t="s">
        <v>85</v>
      </c>
      <c r="F1460" cm="1">
        <f t="array" ref="F1460">_xlfn.XLOOKUP(Food_Orders[[#This Row],[Event_No]],Event_Master[[#All],[Event_No]],Event_Master[[#All],[Guest_Count]],,0)</f>
        <v>850</v>
      </c>
      <c r="G1460" cm="1">
        <f t="array" ref="G1460">Food_Orders[[#This Row],[Quantity_Orderd]]*_xlfn.XLOOKUP(Food_Orders[[#This Row],[Food_ID]],Food_Catalog[[#All],[Food_ID]],Food_Catalog[[#All],[Price_Per_Unit]],0,0)</f>
        <v>12750</v>
      </c>
      <c r="H1460" cm="1">
        <f t="array" ref="H1460">Food_Orders[[#This Row],[Quantity_Orderd]]*_xlfn.XLOOKUP(Food_Orders[[#This Row],[Food_ID]],Food_Catalog[[#All],[Food_ID]],Food_Catalog[[#All],[Client_Price_Per_Unit]],0,0)</f>
        <v>15300</v>
      </c>
      <c r="I1460">
        <f>Food_Orders[[#This Row],[Client_Price]]-Food_Orders[[#This Row],[Cost]]</f>
        <v>2550</v>
      </c>
    </row>
    <row r="1461" spans="1:9" x14ac:dyDescent="0.25">
      <c r="A1461">
        <v>61</v>
      </c>
      <c r="B1461" t="s">
        <v>102</v>
      </c>
      <c r="C1461" t="s">
        <v>83</v>
      </c>
      <c r="D1461" t="s">
        <v>103</v>
      </c>
      <c r="E1461" t="s">
        <v>85</v>
      </c>
      <c r="F1461" cm="1">
        <f t="array" ref="F1461">_xlfn.XLOOKUP(Food_Orders[[#This Row],[Event_No]],Event_Master[[#All],[Event_No]],Event_Master[[#All],[Guest_Count]],,0)</f>
        <v>850</v>
      </c>
      <c r="G1461" cm="1">
        <f t="array" ref="G1461">Food_Orders[[#This Row],[Quantity_Orderd]]*_xlfn.XLOOKUP(Food_Orders[[#This Row],[Food_ID]],Food_Catalog[[#All],[Food_ID]],Food_Catalog[[#All],[Price_Per_Unit]],0,0)</f>
        <v>17000</v>
      </c>
      <c r="H1461" cm="1">
        <f t="array" ref="H1461">Food_Orders[[#This Row],[Quantity_Orderd]]*_xlfn.XLOOKUP(Food_Orders[[#This Row],[Food_ID]],Food_Catalog[[#All],[Food_ID]],Food_Catalog[[#All],[Client_Price_Per_Unit]],0,0)</f>
        <v>20400</v>
      </c>
      <c r="I1461">
        <f>Food_Orders[[#This Row],[Client_Price]]-Food_Orders[[#This Row],[Cost]]</f>
        <v>3400</v>
      </c>
    </row>
    <row r="1462" spans="1:9" x14ac:dyDescent="0.25">
      <c r="A1462">
        <v>61</v>
      </c>
      <c r="B1462" t="s">
        <v>98</v>
      </c>
      <c r="C1462" t="s">
        <v>83</v>
      </c>
      <c r="D1462" t="s">
        <v>99</v>
      </c>
      <c r="E1462" t="s">
        <v>85</v>
      </c>
      <c r="F1462" cm="1">
        <f t="array" ref="F1462">_xlfn.XLOOKUP(Food_Orders[[#This Row],[Event_No]],Event_Master[[#All],[Event_No]],Event_Master[[#All],[Guest_Count]],,0)</f>
        <v>850</v>
      </c>
      <c r="G1462" cm="1">
        <f t="array" ref="G1462">Food_Orders[[#This Row],[Quantity_Orderd]]*_xlfn.XLOOKUP(Food_Orders[[#This Row],[Food_ID]],Food_Catalog[[#All],[Food_ID]],Food_Catalog[[#All],[Price_Per_Unit]],0,0)</f>
        <v>12750</v>
      </c>
      <c r="H1462" cm="1">
        <f t="array" ref="H1462">Food_Orders[[#This Row],[Quantity_Orderd]]*_xlfn.XLOOKUP(Food_Orders[[#This Row],[Food_ID]],Food_Catalog[[#All],[Food_ID]],Food_Catalog[[#All],[Client_Price_Per_Unit]],0,0)</f>
        <v>15300</v>
      </c>
      <c r="I1462">
        <f>Food_Orders[[#This Row],[Client_Price]]-Food_Orders[[#This Row],[Cost]]</f>
        <v>2550</v>
      </c>
    </row>
    <row r="1463" spans="1:9" x14ac:dyDescent="0.25">
      <c r="A1463">
        <v>61</v>
      </c>
      <c r="B1463" t="s">
        <v>104</v>
      </c>
      <c r="C1463" t="s">
        <v>105</v>
      </c>
      <c r="D1463" t="s">
        <v>106</v>
      </c>
      <c r="E1463" t="s">
        <v>107</v>
      </c>
      <c r="F1463" cm="1">
        <f t="array" ref="F1463">_xlfn.XLOOKUP(Food_Orders[[#This Row],[Event_No]],Event_Master[[#All],[Event_No]],Event_Master[[#All],[Guest_Count]],,0)</f>
        <v>850</v>
      </c>
      <c r="G1463" cm="1">
        <f t="array" ref="G1463">Food_Orders[[#This Row],[Quantity_Orderd]]*_xlfn.XLOOKUP(Food_Orders[[#This Row],[Food_ID]],Food_Catalog[[#All],[Food_ID]],Food_Catalog[[#All],[Price_Per_Unit]],0,0)</f>
        <v>8500</v>
      </c>
      <c r="H1463" cm="1">
        <f t="array" ref="H1463">Food_Orders[[#This Row],[Quantity_Orderd]]*_xlfn.XLOOKUP(Food_Orders[[#This Row],[Food_ID]],Food_Catalog[[#All],[Food_ID]],Food_Catalog[[#All],[Client_Price_Per_Unit]],0,0)</f>
        <v>10200</v>
      </c>
      <c r="I1463">
        <f>Food_Orders[[#This Row],[Client_Price]]-Food_Orders[[#This Row],[Cost]]</f>
        <v>1700</v>
      </c>
    </row>
    <row r="1464" spans="1:9" x14ac:dyDescent="0.25">
      <c r="A1464">
        <v>61</v>
      </c>
      <c r="B1464" t="s">
        <v>108</v>
      </c>
      <c r="C1464" t="s">
        <v>105</v>
      </c>
      <c r="D1464" t="s">
        <v>109</v>
      </c>
      <c r="E1464" t="s">
        <v>107</v>
      </c>
      <c r="F1464" cm="1">
        <f t="array" ref="F1464">_xlfn.XLOOKUP(Food_Orders[[#This Row],[Event_No]],Event_Master[[#All],[Event_No]],Event_Master[[#All],[Guest_Count]],,0)</f>
        <v>850</v>
      </c>
      <c r="G1464" cm="1">
        <f t="array" ref="G1464">Food_Orders[[#This Row],[Quantity_Orderd]]*_xlfn.XLOOKUP(Food_Orders[[#This Row],[Food_ID]],Food_Catalog[[#All],[Food_ID]],Food_Catalog[[#All],[Price_Per_Unit]],0,0)</f>
        <v>12750</v>
      </c>
      <c r="H1464" cm="1">
        <f t="array" ref="H1464">Food_Orders[[#This Row],[Quantity_Orderd]]*_xlfn.XLOOKUP(Food_Orders[[#This Row],[Food_ID]],Food_Catalog[[#All],[Food_ID]],Food_Catalog[[#All],[Client_Price_Per_Unit]],0,0)</f>
        <v>15300</v>
      </c>
      <c r="I1464">
        <f>Food_Orders[[#This Row],[Client_Price]]-Food_Orders[[#This Row],[Cost]]</f>
        <v>2550</v>
      </c>
    </row>
    <row r="1465" spans="1:9" x14ac:dyDescent="0.25">
      <c r="A1465">
        <v>61</v>
      </c>
      <c r="B1465" t="s">
        <v>115</v>
      </c>
      <c r="C1465" t="s">
        <v>105</v>
      </c>
      <c r="D1465" t="s">
        <v>116</v>
      </c>
      <c r="E1465" t="s">
        <v>117</v>
      </c>
      <c r="F1465" cm="1">
        <f t="array" ref="F1465">_xlfn.XLOOKUP(Food_Orders[[#This Row],[Event_No]],Event_Master[[#All],[Event_No]],Event_Master[[#All],[Guest_Count]],,0)</f>
        <v>850</v>
      </c>
      <c r="G1465" cm="1">
        <f t="array" ref="G1465">Food_Orders[[#This Row],[Quantity_Orderd]]*_xlfn.XLOOKUP(Food_Orders[[#This Row],[Food_ID]],Food_Catalog[[#All],[Food_ID]],Food_Catalog[[#All],[Price_Per_Unit]],0,0)</f>
        <v>21250</v>
      </c>
      <c r="H1465" cm="1">
        <f t="array" ref="H1465">Food_Orders[[#This Row],[Quantity_Orderd]]*_xlfn.XLOOKUP(Food_Orders[[#This Row],[Food_ID]],Food_Catalog[[#All],[Food_ID]],Food_Catalog[[#All],[Client_Price_Per_Unit]],0,0)</f>
        <v>25500</v>
      </c>
      <c r="I1465">
        <f>Food_Orders[[#This Row],[Client_Price]]-Food_Orders[[#This Row],[Cost]]</f>
        <v>4250</v>
      </c>
    </row>
    <row r="1466" spans="1:9" x14ac:dyDescent="0.25">
      <c r="A1466">
        <v>61</v>
      </c>
      <c r="B1466" t="s">
        <v>110</v>
      </c>
      <c r="C1466" t="s">
        <v>105</v>
      </c>
      <c r="D1466" t="s">
        <v>111</v>
      </c>
      <c r="E1466" t="s">
        <v>112</v>
      </c>
      <c r="F1466" cm="1">
        <f t="array" ref="F1466">_xlfn.XLOOKUP(Food_Orders[[#This Row],[Event_No]],Event_Master[[#All],[Event_No]],Event_Master[[#All],[Guest_Count]],,0)</f>
        <v>850</v>
      </c>
      <c r="G1466" cm="1">
        <f t="array" ref="G1466">Food_Orders[[#This Row],[Quantity_Orderd]]*_xlfn.XLOOKUP(Food_Orders[[#This Row],[Food_ID]],Food_Catalog[[#All],[Food_ID]],Food_Catalog[[#All],[Price_Per_Unit]],0,0)</f>
        <v>17000</v>
      </c>
      <c r="H1466" cm="1">
        <f t="array" ref="H1466">Food_Orders[[#This Row],[Quantity_Orderd]]*_xlfn.XLOOKUP(Food_Orders[[#This Row],[Food_ID]],Food_Catalog[[#All],[Food_ID]],Food_Catalog[[#All],[Client_Price_Per_Unit]],0,0)</f>
        <v>20400</v>
      </c>
      <c r="I1466">
        <f>Food_Orders[[#This Row],[Client_Price]]-Food_Orders[[#This Row],[Cost]]</f>
        <v>3400</v>
      </c>
    </row>
    <row r="1467" spans="1:9" x14ac:dyDescent="0.25">
      <c r="A1467">
        <v>61</v>
      </c>
      <c r="B1467" t="s">
        <v>118</v>
      </c>
      <c r="C1467" t="s">
        <v>119</v>
      </c>
      <c r="D1467" t="s">
        <v>120</v>
      </c>
      <c r="E1467" t="s">
        <v>112</v>
      </c>
      <c r="F1467" cm="1">
        <f t="array" ref="F1467">_xlfn.XLOOKUP(Food_Orders[[#This Row],[Event_No]],Event_Master[[#All],[Event_No]],Event_Master[[#All],[Guest_Count]],,0)</f>
        <v>850</v>
      </c>
      <c r="G1467" cm="1">
        <f t="array" ref="G1467">Food_Orders[[#This Row],[Quantity_Orderd]]*_xlfn.XLOOKUP(Food_Orders[[#This Row],[Food_ID]],Food_Catalog[[#All],[Food_ID]],Food_Catalog[[#All],[Price_Per_Unit]],0,0)</f>
        <v>8500</v>
      </c>
      <c r="H1467" cm="1">
        <f t="array" ref="H1467">Food_Orders[[#This Row],[Quantity_Orderd]]*_xlfn.XLOOKUP(Food_Orders[[#This Row],[Food_ID]],Food_Catalog[[#All],[Food_ID]],Food_Catalog[[#All],[Client_Price_Per_Unit]],0,0)</f>
        <v>10200</v>
      </c>
      <c r="I1467">
        <f>Food_Orders[[#This Row],[Client_Price]]-Food_Orders[[#This Row],[Cost]]</f>
        <v>1700</v>
      </c>
    </row>
    <row r="1468" spans="1:9" x14ac:dyDescent="0.25">
      <c r="A1468">
        <v>61</v>
      </c>
      <c r="B1468" t="s">
        <v>129</v>
      </c>
      <c r="C1468" t="s">
        <v>119</v>
      </c>
      <c r="D1468" t="s">
        <v>130</v>
      </c>
      <c r="E1468" t="s">
        <v>112</v>
      </c>
      <c r="F1468" cm="1">
        <f t="array" ref="F1468">_xlfn.XLOOKUP(Food_Orders[[#This Row],[Event_No]],Event_Master[[#All],[Event_No]],Event_Master[[#All],[Guest_Count]],,0)</f>
        <v>850</v>
      </c>
      <c r="G1468" cm="1">
        <f t="array" ref="G1468">Food_Orders[[#This Row],[Quantity_Orderd]]*_xlfn.XLOOKUP(Food_Orders[[#This Row],[Food_ID]],Food_Catalog[[#All],[Food_ID]],Food_Catalog[[#All],[Price_Per_Unit]],0,0)</f>
        <v>8500</v>
      </c>
      <c r="H1468" cm="1">
        <f t="array" ref="H1468">Food_Orders[[#This Row],[Quantity_Orderd]]*_xlfn.XLOOKUP(Food_Orders[[#This Row],[Food_ID]],Food_Catalog[[#All],[Food_ID]],Food_Catalog[[#All],[Client_Price_Per_Unit]],0,0)</f>
        <v>10200</v>
      </c>
      <c r="I1468">
        <f>Food_Orders[[#This Row],[Client_Price]]-Food_Orders[[#This Row],[Cost]]</f>
        <v>1700</v>
      </c>
    </row>
    <row r="1469" spans="1:9" x14ac:dyDescent="0.25">
      <c r="A1469">
        <v>61</v>
      </c>
      <c r="B1469" t="s">
        <v>124</v>
      </c>
      <c r="C1469" t="s">
        <v>119</v>
      </c>
      <c r="D1469" t="s">
        <v>125</v>
      </c>
      <c r="E1469" t="s">
        <v>126</v>
      </c>
      <c r="F1469" cm="1">
        <f t="array" ref="F1469">_xlfn.XLOOKUP(Food_Orders[[#This Row],[Event_No]],Event_Master[[#All],[Event_No]],Event_Master[[#All],[Guest_Count]],,0)</f>
        <v>850</v>
      </c>
      <c r="G1469" cm="1">
        <f t="array" ref="G1469">Food_Orders[[#This Row],[Quantity_Orderd]]*_xlfn.XLOOKUP(Food_Orders[[#This Row],[Food_ID]],Food_Catalog[[#All],[Food_ID]],Food_Catalog[[#All],[Price_Per_Unit]],0,0)</f>
        <v>17000</v>
      </c>
      <c r="H1469" cm="1">
        <f t="array" ref="H1469">Food_Orders[[#This Row],[Quantity_Orderd]]*_xlfn.XLOOKUP(Food_Orders[[#This Row],[Food_ID]],Food_Catalog[[#All],[Food_ID]],Food_Catalog[[#All],[Client_Price_Per_Unit]],0,0)</f>
        <v>20400</v>
      </c>
      <c r="I1469">
        <f>Food_Orders[[#This Row],[Client_Price]]-Food_Orders[[#This Row],[Cost]]</f>
        <v>3400</v>
      </c>
    </row>
    <row r="1470" spans="1:9" x14ac:dyDescent="0.25">
      <c r="A1470">
        <v>61</v>
      </c>
      <c r="B1470" t="s">
        <v>127</v>
      </c>
      <c r="C1470" t="s">
        <v>119</v>
      </c>
      <c r="D1470" t="s">
        <v>128</v>
      </c>
      <c r="E1470" t="s">
        <v>107</v>
      </c>
      <c r="F1470" cm="1">
        <f t="array" ref="F1470">_xlfn.XLOOKUP(Food_Orders[[#This Row],[Event_No]],Event_Master[[#All],[Event_No]],Event_Master[[#All],[Guest_Count]],,0)</f>
        <v>850</v>
      </c>
      <c r="G1470" cm="1">
        <f t="array" ref="G1470">Food_Orders[[#This Row],[Quantity_Orderd]]*_xlfn.XLOOKUP(Food_Orders[[#This Row],[Food_ID]],Food_Catalog[[#All],[Food_ID]],Food_Catalog[[#All],[Price_Per_Unit]],0,0)</f>
        <v>17000</v>
      </c>
      <c r="H1470" cm="1">
        <f t="array" ref="H1470">Food_Orders[[#This Row],[Quantity_Orderd]]*_xlfn.XLOOKUP(Food_Orders[[#This Row],[Food_ID]],Food_Catalog[[#All],[Food_ID]],Food_Catalog[[#All],[Client_Price_Per_Unit]],0,0)</f>
        <v>20400</v>
      </c>
      <c r="I1470">
        <f>Food_Orders[[#This Row],[Client_Price]]-Food_Orders[[#This Row],[Cost]]</f>
        <v>3400</v>
      </c>
    </row>
    <row r="1471" spans="1:9" x14ac:dyDescent="0.25">
      <c r="A1471">
        <v>62</v>
      </c>
      <c r="B1471" t="s">
        <v>63</v>
      </c>
      <c r="C1471" t="s">
        <v>61</v>
      </c>
      <c r="D1471" t="s">
        <v>64</v>
      </c>
      <c r="E1471" t="s">
        <v>10</v>
      </c>
      <c r="F1471" cm="1">
        <f t="array" ref="F1471">_xlfn.XLOOKUP(Food_Orders[[#This Row],[Event_No]],Event_Master[[#All],[Event_No]],Event_Master[[#All],[Guest_Count]],,0)</f>
        <v>350</v>
      </c>
      <c r="G1471" cm="1">
        <f t="array" ref="G1471">Food_Orders[[#This Row],[Quantity_Orderd]]*_xlfn.XLOOKUP(Food_Orders[[#This Row],[Food_ID]],Food_Catalog[[#All],[Food_ID]],Food_Catalog[[#All],[Price_Per_Unit]],0,0)</f>
        <v>10500</v>
      </c>
      <c r="H1471" cm="1">
        <f t="array" ref="H1471">Food_Orders[[#This Row],[Quantity_Orderd]]*_xlfn.XLOOKUP(Food_Orders[[#This Row],[Food_ID]],Food_Catalog[[#All],[Food_ID]],Food_Catalog[[#All],[Client_Price_Per_Unit]],0,0)</f>
        <v>12600</v>
      </c>
      <c r="I1471">
        <f>Food_Orders[[#This Row],[Client_Price]]-Food_Orders[[#This Row],[Cost]]</f>
        <v>2100</v>
      </c>
    </row>
    <row r="1472" spans="1:9" x14ac:dyDescent="0.25">
      <c r="A1472">
        <v>62</v>
      </c>
      <c r="B1472" t="s">
        <v>71</v>
      </c>
      <c r="C1472" t="s">
        <v>61</v>
      </c>
      <c r="D1472" t="s">
        <v>72</v>
      </c>
      <c r="E1472" t="s">
        <v>10</v>
      </c>
      <c r="F1472" cm="1">
        <f t="array" ref="F1472">_xlfn.XLOOKUP(Food_Orders[[#This Row],[Event_No]],Event_Master[[#All],[Event_No]],Event_Master[[#All],[Guest_Count]],,0)</f>
        <v>350</v>
      </c>
      <c r="G1472" cm="1">
        <f t="array" ref="G1472">Food_Orders[[#This Row],[Quantity_Orderd]]*_xlfn.XLOOKUP(Food_Orders[[#This Row],[Food_ID]],Food_Catalog[[#All],[Food_ID]],Food_Catalog[[#All],[Price_Per_Unit]],0,0)</f>
        <v>8750</v>
      </c>
      <c r="H1472" cm="1">
        <f t="array" ref="H1472">Food_Orders[[#This Row],[Quantity_Orderd]]*_xlfn.XLOOKUP(Food_Orders[[#This Row],[Food_ID]],Food_Catalog[[#All],[Food_ID]],Food_Catalog[[#All],[Client_Price_Per_Unit]],0,0)</f>
        <v>10500</v>
      </c>
      <c r="I1472">
        <f>Food_Orders[[#This Row],[Client_Price]]-Food_Orders[[#This Row],[Cost]]</f>
        <v>1750</v>
      </c>
    </row>
    <row r="1473" spans="1:9" x14ac:dyDescent="0.25">
      <c r="A1473">
        <v>62</v>
      </c>
      <c r="B1473" t="s">
        <v>77</v>
      </c>
      <c r="C1473" t="s">
        <v>61</v>
      </c>
      <c r="D1473" t="s">
        <v>78</v>
      </c>
      <c r="E1473" t="s">
        <v>79</v>
      </c>
      <c r="F1473" cm="1">
        <f t="array" ref="F1473">_xlfn.XLOOKUP(Food_Orders[[#This Row],[Event_No]],Event_Master[[#All],[Event_No]],Event_Master[[#All],[Guest_Count]],,0)</f>
        <v>350</v>
      </c>
      <c r="G1473" cm="1">
        <f t="array" ref="G1473">Food_Orders[[#This Row],[Quantity_Orderd]]*_xlfn.XLOOKUP(Food_Orders[[#This Row],[Food_ID]],Food_Catalog[[#All],[Food_ID]],Food_Catalog[[#All],[Price_Per_Unit]],0,0)</f>
        <v>12250</v>
      </c>
      <c r="H1473" cm="1">
        <f t="array" ref="H1473">Food_Orders[[#This Row],[Quantity_Orderd]]*_xlfn.XLOOKUP(Food_Orders[[#This Row],[Food_ID]],Food_Catalog[[#All],[Food_ID]],Food_Catalog[[#All],[Client_Price_Per_Unit]],0,0)</f>
        <v>14700</v>
      </c>
      <c r="I1473">
        <f>Food_Orders[[#This Row],[Client_Price]]-Food_Orders[[#This Row],[Cost]]</f>
        <v>2450</v>
      </c>
    </row>
    <row r="1474" spans="1:9" x14ac:dyDescent="0.25">
      <c r="A1474">
        <v>62</v>
      </c>
      <c r="B1474" t="s">
        <v>7</v>
      </c>
      <c r="C1474" t="s">
        <v>8</v>
      </c>
      <c r="D1474" t="s">
        <v>9</v>
      </c>
      <c r="E1474" t="s">
        <v>10</v>
      </c>
      <c r="F1474" cm="1">
        <f t="array" ref="F1474">_xlfn.XLOOKUP(Food_Orders[[#This Row],[Event_No]],Event_Master[[#All],[Event_No]],Event_Master[[#All],[Guest_Count]],,0)</f>
        <v>350</v>
      </c>
      <c r="G1474" cm="1">
        <f t="array" ref="G1474">Food_Orders[[#This Row],[Quantity_Orderd]]*_xlfn.XLOOKUP(Food_Orders[[#This Row],[Food_ID]],Food_Catalog[[#All],[Food_ID]],Food_Catalog[[#All],[Price_Per_Unit]],0,0)</f>
        <v>8750</v>
      </c>
      <c r="H1474" cm="1">
        <f t="array" ref="H1474">Food_Orders[[#This Row],[Quantity_Orderd]]*_xlfn.XLOOKUP(Food_Orders[[#This Row],[Food_ID]],Food_Catalog[[#All],[Food_ID]],Food_Catalog[[#All],[Client_Price_Per_Unit]],0,0)</f>
        <v>10500</v>
      </c>
      <c r="I1474">
        <f>Food_Orders[[#This Row],[Client_Price]]-Food_Orders[[#This Row],[Cost]]</f>
        <v>1750</v>
      </c>
    </row>
    <row r="1475" spans="1:9" x14ac:dyDescent="0.25">
      <c r="A1475">
        <v>62</v>
      </c>
      <c r="B1475" t="s">
        <v>13</v>
      </c>
      <c r="C1475" t="s">
        <v>8</v>
      </c>
      <c r="D1475" t="s">
        <v>14</v>
      </c>
      <c r="E1475" t="s">
        <v>10</v>
      </c>
      <c r="F1475" cm="1">
        <f t="array" ref="F1475">_xlfn.XLOOKUP(Food_Orders[[#This Row],[Event_No]],Event_Master[[#All],[Event_No]],Event_Master[[#All],[Guest_Count]],,0)</f>
        <v>350</v>
      </c>
      <c r="G1475" cm="1">
        <f t="array" ref="G1475">Food_Orders[[#This Row],[Quantity_Orderd]]*_xlfn.XLOOKUP(Food_Orders[[#This Row],[Food_ID]],Food_Catalog[[#All],[Food_ID]],Food_Catalog[[#All],[Price_Per_Unit]],0,0)</f>
        <v>12250</v>
      </c>
      <c r="H1475" cm="1">
        <f t="array" ref="H1475">Food_Orders[[#This Row],[Quantity_Orderd]]*_xlfn.XLOOKUP(Food_Orders[[#This Row],[Food_ID]],Food_Catalog[[#All],[Food_ID]],Food_Catalog[[#All],[Client_Price_Per_Unit]],0,0)</f>
        <v>14700</v>
      </c>
      <c r="I1475">
        <f>Food_Orders[[#This Row],[Client_Price]]-Food_Orders[[#This Row],[Cost]]</f>
        <v>2450</v>
      </c>
    </row>
    <row r="1476" spans="1:9" x14ac:dyDescent="0.25">
      <c r="A1476">
        <v>62</v>
      </c>
      <c r="B1476" t="s">
        <v>31</v>
      </c>
      <c r="C1476" t="s">
        <v>8</v>
      </c>
      <c r="D1476" t="s">
        <v>32</v>
      </c>
      <c r="E1476" t="s">
        <v>10</v>
      </c>
      <c r="F1476" cm="1">
        <f t="array" ref="F1476">_xlfn.XLOOKUP(Food_Orders[[#This Row],[Event_No]],Event_Master[[#All],[Event_No]],Event_Master[[#All],[Guest_Count]],,0)</f>
        <v>350</v>
      </c>
      <c r="G1476" cm="1">
        <f t="array" ref="G1476">Food_Orders[[#This Row],[Quantity_Orderd]]*_xlfn.XLOOKUP(Food_Orders[[#This Row],[Food_ID]],Food_Catalog[[#All],[Food_ID]],Food_Catalog[[#All],[Price_Per_Unit]],0,0)</f>
        <v>10500</v>
      </c>
      <c r="H1476" cm="1">
        <f t="array" ref="H1476">Food_Orders[[#This Row],[Quantity_Orderd]]*_xlfn.XLOOKUP(Food_Orders[[#This Row],[Food_ID]],Food_Catalog[[#All],[Food_ID]],Food_Catalog[[#All],[Client_Price_Per_Unit]],0,0)</f>
        <v>12600</v>
      </c>
      <c r="I1476">
        <f>Food_Orders[[#This Row],[Client_Price]]-Food_Orders[[#This Row],[Cost]]</f>
        <v>2100</v>
      </c>
    </row>
    <row r="1477" spans="1:9" x14ac:dyDescent="0.25">
      <c r="A1477">
        <v>62</v>
      </c>
      <c r="B1477" t="s">
        <v>29</v>
      </c>
      <c r="C1477" t="s">
        <v>8</v>
      </c>
      <c r="D1477" t="s">
        <v>30</v>
      </c>
      <c r="E1477" t="s">
        <v>10</v>
      </c>
      <c r="F1477" cm="1">
        <f t="array" ref="F1477">_xlfn.XLOOKUP(Food_Orders[[#This Row],[Event_No]],Event_Master[[#All],[Event_No]],Event_Master[[#All],[Guest_Count]],,0)</f>
        <v>350</v>
      </c>
      <c r="G1477" cm="1">
        <f t="array" ref="G1477">Food_Orders[[#This Row],[Quantity_Orderd]]*_xlfn.XLOOKUP(Food_Orders[[#This Row],[Food_ID]],Food_Catalog[[#All],[Food_ID]],Food_Catalog[[#All],[Price_Per_Unit]],0,0)</f>
        <v>10500</v>
      </c>
      <c r="H1477" cm="1">
        <f t="array" ref="H1477">Food_Orders[[#This Row],[Quantity_Orderd]]*_xlfn.XLOOKUP(Food_Orders[[#This Row],[Food_ID]],Food_Catalog[[#All],[Food_ID]],Food_Catalog[[#All],[Client_Price_Per_Unit]],0,0)</f>
        <v>12600</v>
      </c>
      <c r="I1477">
        <f>Food_Orders[[#This Row],[Client_Price]]-Food_Orders[[#This Row],[Cost]]</f>
        <v>2100</v>
      </c>
    </row>
    <row r="1478" spans="1:9" x14ac:dyDescent="0.25">
      <c r="A1478">
        <v>62</v>
      </c>
      <c r="B1478" t="s">
        <v>37</v>
      </c>
      <c r="C1478" t="s">
        <v>8</v>
      </c>
      <c r="D1478" t="s">
        <v>38</v>
      </c>
      <c r="E1478" t="s">
        <v>10</v>
      </c>
      <c r="F1478" cm="1">
        <f t="array" ref="F1478">_xlfn.XLOOKUP(Food_Orders[[#This Row],[Event_No]],Event_Master[[#All],[Event_No]],Event_Master[[#All],[Guest_Count]],,0)</f>
        <v>350</v>
      </c>
      <c r="G1478" cm="1">
        <f t="array" ref="G1478">Food_Orders[[#This Row],[Quantity_Orderd]]*_xlfn.XLOOKUP(Food_Orders[[#This Row],[Food_ID]],Food_Catalog[[#All],[Food_ID]],Food_Catalog[[#All],[Price_Per_Unit]],0,0)</f>
        <v>8750</v>
      </c>
      <c r="H1478" cm="1">
        <f t="array" ref="H1478">Food_Orders[[#This Row],[Quantity_Orderd]]*_xlfn.XLOOKUP(Food_Orders[[#This Row],[Food_ID]],Food_Catalog[[#All],[Food_ID]],Food_Catalog[[#All],[Client_Price_Per_Unit]],0,0)</f>
        <v>10500</v>
      </c>
      <c r="I1478">
        <f>Food_Orders[[#This Row],[Client_Price]]-Food_Orders[[#This Row],[Cost]]</f>
        <v>1750</v>
      </c>
    </row>
    <row r="1479" spans="1:9" x14ac:dyDescent="0.25">
      <c r="A1479">
        <v>62</v>
      </c>
      <c r="B1479" t="s">
        <v>82</v>
      </c>
      <c r="C1479" t="s">
        <v>83</v>
      </c>
      <c r="D1479" t="s">
        <v>84</v>
      </c>
      <c r="E1479" t="s">
        <v>85</v>
      </c>
      <c r="F1479" cm="1">
        <f t="array" ref="F1479">_xlfn.XLOOKUP(Food_Orders[[#This Row],[Event_No]],Event_Master[[#All],[Event_No]],Event_Master[[#All],[Guest_Count]],,0)</f>
        <v>350</v>
      </c>
      <c r="G1479" cm="1">
        <f t="array" ref="G1479">Food_Orders[[#This Row],[Quantity_Orderd]]*_xlfn.XLOOKUP(Food_Orders[[#This Row],[Food_ID]],Food_Catalog[[#All],[Food_ID]],Food_Catalog[[#All],[Price_Per_Unit]],0,0)</f>
        <v>7000</v>
      </c>
      <c r="H1479" cm="1">
        <f t="array" ref="H1479">Food_Orders[[#This Row],[Quantity_Orderd]]*_xlfn.XLOOKUP(Food_Orders[[#This Row],[Food_ID]],Food_Catalog[[#All],[Food_ID]],Food_Catalog[[#All],[Client_Price_Per_Unit]],0,0)</f>
        <v>8400</v>
      </c>
      <c r="I1479">
        <f>Food_Orders[[#This Row],[Client_Price]]-Food_Orders[[#This Row],[Cost]]</f>
        <v>1400</v>
      </c>
    </row>
    <row r="1480" spans="1:9" x14ac:dyDescent="0.25">
      <c r="A1480">
        <v>62</v>
      </c>
      <c r="B1480" t="s">
        <v>86</v>
      </c>
      <c r="C1480" t="s">
        <v>83</v>
      </c>
      <c r="D1480" t="s">
        <v>87</v>
      </c>
      <c r="E1480" t="s">
        <v>85</v>
      </c>
      <c r="F1480" cm="1">
        <f t="array" ref="F1480">_xlfn.XLOOKUP(Food_Orders[[#This Row],[Event_No]],Event_Master[[#All],[Event_No]],Event_Master[[#All],[Guest_Count]],,0)</f>
        <v>350</v>
      </c>
      <c r="G1480" cm="1">
        <f t="array" ref="G1480">Food_Orders[[#This Row],[Quantity_Orderd]]*_xlfn.XLOOKUP(Food_Orders[[#This Row],[Food_ID]],Food_Catalog[[#All],[Food_ID]],Food_Catalog[[#All],[Price_Per_Unit]],0,0)</f>
        <v>7000</v>
      </c>
      <c r="H1480" cm="1">
        <f t="array" ref="H1480">Food_Orders[[#This Row],[Quantity_Orderd]]*_xlfn.XLOOKUP(Food_Orders[[#This Row],[Food_ID]],Food_Catalog[[#All],[Food_ID]],Food_Catalog[[#All],[Client_Price_Per_Unit]],0,0)</f>
        <v>8400</v>
      </c>
      <c r="I1480">
        <f>Food_Orders[[#This Row],[Client_Price]]-Food_Orders[[#This Row],[Cost]]</f>
        <v>1400</v>
      </c>
    </row>
    <row r="1481" spans="1:9" x14ac:dyDescent="0.25">
      <c r="A1481">
        <v>62</v>
      </c>
      <c r="B1481" t="s">
        <v>96</v>
      </c>
      <c r="C1481" t="s">
        <v>83</v>
      </c>
      <c r="D1481" t="s">
        <v>97</v>
      </c>
      <c r="E1481" t="s">
        <v>79</v>
      </c>
      <c r="F1481" cm="1">
        <f t="array" ref="F1481">_xlfn.XLOOKUP(Food_Orders[[#This Row],[Event_No]],Event_Master[[#All],[Event_No]],Event_Master[[#All],[Guest_Count]],,0)</f>
        <v>350</v>
      </c>
      <c r="G1481" cm="1">
        <f t="array" ref="G1481">Food_Orders[[#This Row],[Quantity_Orderd]]*_xlfn.XLOOKUP(Food_Orders[[#This Row],[Food_ID]],Food_Catalog[[#All],[Food_ID]],Food_Catalog[[#All],[Price_Per_Unit]],0,0)</f>
        <v>10500</v>
      </c>
      <c r="H1481" cm="1">
        <f t="array" ref="H1481">Food_Orders[[#This Row],[Quantity_Orderd]]*_xlfn.XLOOKUP(Food_Orders[[#This Row],[Food_ID]],Food_Catalog[[#All],[Food_ID]],Food_Catalog[[#All],[Client_Price_Per_Unit]],0,0)</f>
        <v>12600</v>
      </c>
      <c r="I1481">
        <f>Food_Orders[[#This Row],[Client_Price]]-Food_Orders[[#This Row],[Cost]]</f>
        <v>2100</v>
      </c>
    </row>
    <row r="1482" spans="1:9" x14ac:dyDescent="0.25">
      <c r="A1482">
        <v>62</v>
      </c>
      <c r="B1482" t="s">
        <v>104</v>
      </c>
      <c r="C1482" t="s">
        <v>105</v>
      </c>
      <c r="D1482" t="s">
        <v>106</v>
      </c>
      <c r="E1482" t="s">
        <v>107</v>
      </c>
      <c r="F1482" cm="1">
        <f t="array" ref="F1482">_xlfn.XLOOKUP(Food_Orders[[#This Row],[Event_No]],Event_Master[[#All],[Event_No]],Event_Master[[#All],[Guest_Count]],,0)</f>
        <v>350</v>
      </c>
      <c r="G1482" cm="1">
        <f t="array" ref="G1482">Food_Orders[[#This Row],[Quantity_Orderd]]*_xlfn.XLOOKUP(Food_Orders[[#This Row],[Food_ID]],Food_Catalog[[#All],[Food_ID]],Food_Catalog[[#All],[Price_Per_Unit]],0,0)</f>
        <v>3500</v>
      </c>
      <c r="H1482" cm="1">
        <f t="array" ref="H1482">Food_Orders[[#This Row],[Quantity_Orderd]]*_xlfn.XLOOKUP(Food_Orders[[#This Row],[Food_ID]],Food_Catalog[[#All],[Food_ID]],Food_Catalog[[#All],[Client_Price_Per_Unit]],0,0)</f>
        <v>4200</v>
      </c>
      <c r="I1482">
        <f>Food_Orders[[#This Row],[Client_Price]]-Food_Orders[[#This Row],[Cost]]</f>
        <v>700</v>
      </c>
    </row>
    <row r="1483" spans="1:9" x14ac:dyDescent="0.25">
      <c r="A1483">
        <v>62</v>
      </c>
      <c r="B1483" t="s">
        <v>118</v>
      </c>
      <c r="C1483" t="s">
        <v>119</v>
      </c>
      <c r="D1483" t="s">
        <v>120</v>
      </c>
      <c r="E1483" t="s">
        <v>112</v>
      </c>
      <c r="F1483" cm="1">
        <f t="array" ref="F1483">_xlfn.XLOOKUP(Food_Orders[[#This Row],[Event_No]],Event_Master[[#All],[Event_No]],Event_Master[[#All],[Guest_Count]],,0)</f>
        <v>350</v>
      </c>
      <c r="G1483" cm="1">
        <f t="array" ref="G1483">Food_Orders[[#This Row],[Quantity_Orderd]]*_xlfn.XLOOKUP(Food_Orders[[#This Row],[Food_ID]],Food_Catalog[[#All],[Food_ID]],Food_Catalog[[#All],[Price_Per_Unit]],0,0)</f>
        <v>3500</v>
      </c>
      <c r="H1483" cm="1">
        <f t="array" ref="H1483">Food_Orders[[#This Row],[Quantity_Orderd]]*_xlfn.XLOOKUP(Food_Orders[[#This Row],[Food_ID]],Food_Catalog[[#All],[Food_ID]],Food_Catalog[[#All],[Client_Price_Per_Unit]],0,0)</f>
        <v>4200</v>
      </c>
      <c r="I1483">
        <f>Food_Orders[[#This Row],[Client_Price]]-Food_Orders[[#This Row],[Cost]]</f>
        <v>700</v>
      </c>
    </row>
    <row r="1484" spans="1:9" x14ac:dyDescent="0.25">
      <c r="A1484">
        <v>62</v>
      </c>
      <c r="B1484" t="s">
        <v>129</v>
      </c>
      <c r="C1484" t="s">
        <v>119</v>
      </c>
      <c r="D1484" t="s">
        <v>130</v>
      </c>
      <c r="E1484" t="s">
        <v>112</v>
      </c>
      <c r="F1484" cm="1">
        <f t="array" ref="F1484">_xlfn.XLOOKUP(Food_Orders[[#This Row],[Event_No]],Event_Master[[#All],[Event_No]],Event_Master[[#All],[Guest_Count]],,0)</f>
        <v>350</v>
      </c>
      <c r="G1484" cm="1">
        <f t="array" ref="G1484">Food_Orders[[#This Row],[Quantity_Orderd]]*_xlfn.XLOOKUP(Food_Orders[[#This Row],[Food_ID]],Food_Catalog[[#All],[Food_ID]],Food_Catalog[[#All],[Price_Per_Unit]],0,0)</f>
        <v>3500</v>
      </c>
      <c r="H1484" cm="1">
        <f t="array" ref="H1484">Food_Orders[[#This Row],[Quantity_Orderd]]*_xlfn.XLOOKUP(Food_Orders[[#This Row],[Food_ID]],Food_Catalog[[#All],[Food_ID]],Food_Catalog[[#All],[Client_Price_Per_Unit]],0,0)</f>
        <v>4200</v>
      </c>
      <c r="I1484">
        <f>Food_Orders[[#This Row],[Client_Price]]-Food_Orders[[#This Row],[Cost]]</f>
        <v>700</v>
      </c>
    </row>
    <row r="1485" spans="1:9" x14ac:dyDescent="0.25">
      <c r="A1485">
        <v>63</v>
      </c>
      <c r="B1485" t="s">
        <v>118</v>
      </c>
      <c r="C1485" t="s">
        <v>119</v>
      </c>
      <c r="D1485" t="s">
        <v>120</v>
      </c>
      <c r="E1485" t="s">
        <v>112</v>
      </c>
      <c r="F1485" cm="1">
        <f t="array" ref="F1485">_xlfn.XLOOKUP(Food_Orders[[#This Row],[Event_No]],Event_Master[[#All],[Event_No]],Event_Master[[#All],[Guest_Count]],,0)</f>
        <v>500</v>
      </c>
      <c r="G1485" cm="1">
        <f t="array" ref="G1485">Food_Orders[[#This Row],[Quantity_Orderd]]*_xlfn.XLOOKUP(Food_Orders[[#This Row],[Food_ID]],Food_Catalog[[#All],[Food_ID]],Food_Catalog[[#All],[Price_Per_Unit]],0,0)</f>
        <v>5000</v>
      </c>
      <c r="H1485" cm="1">
        <f t="array" ref="H1485">Food_Orders[[#This Row],[Quantity_Orderd]]*_xlfn.XLOOKUP(Food_Orders[[#This Row],[Food_ID]],Food_Catalog[[#All],[Food_ID]],Food_Catalog[[#All],[Client_Price_Per_Unit]],0,0)</f>
        <v>6000</v>
      </c>
      <c r="I1485">
        <f>Food_Orders[[#This Row],[Client_Price]]-Food_Orders[[#This Row],[Cost]]</f>
        <v>1000</v>
      </c>
    </row>
    <row r="1486" spans="1:9" x14ac:dyDescent="0.25">
      <c r="A1486">
        <v>63</v>
      </c>
      <c r="B1486" t="s">
        <v>129</v>
      </c>
      <c r="C1486" t="s">
        <v>119</v>
      </c>
      <c r="D1486" t="s">
        <v>130</v>
      </c>
      <c r="E1486" t="s">
        <v>112</v>
      </c>
      <c r="F1486" cm="1">
        <f t="array" ref="F1486">_xlfn.XLOOKUP(Food_Orders[[#This Row],[Event_No]],Event_Master[[#All],[Event_No]],Event_Master[[#All],[Guest_Count]],,0)</f>
        <v>500</v>
      </c>
      <c r="G1486" cm="1">
        <f t="array" ref="G1486">Food_Orders[[#This Row],[Quantity_Orderd]]*_xlfn.XLOOKUP(Food_Orders[[#This Row],[Food_ID]],Food_Catalog[[#All],[Food_ID]],Food_Catalog[[#All],[Price_Per_Unit]],0,0)</f>
        <v>5000</v>
      </c>
      <c r="H1486" cm="1">
        <f t="array" ref="H1486">Food_Orders[[#This Row],[Quantity_Orderd]]*_xlfn.XLOOKUP(Food_Orders[[#This Row],[Food_ID]],Food_Catalog[[#All],[Food_ID]],Food_Catalog[[#All],[Client_Price_Per_Unit]],0,0)</f>
        <v>6000</v>
      </c>
      <c r="I1486">
        <f>Food_Orders[[#This Row],[Client_Price]]-Food_Orders[[#This Row],[Cost]]</f>
        <v>1000</v>
      </c>
    </row>
    <row r="1487" spans="1:9" x14ac:dyDescent="0.25">
      <c r="A1487">
        <v>63</v>
      </c>
      <c r="B1487" t="s">
        <v>104</v>
      </c>
      <c r="C1487" t="s">
        <v>105</v>
      </c>
      <c r="D1487" t="s">
        <v>106</v>
      </c>
      <c r="E1487" t="s">
        <v>107</v>
      </c>
      <c r="F1487" cm="1">
        <f t="array" ref="F1487">_xlfn.XLOOKUP(Food_Orders[[#This Row],[Event_No]],Event_Master[[#All],[Event_No]],Event_Master[[#All],[Guest_Count]],,0)</f>
        <v>500</v>
      </c>
      <c r="G1487" cm="1">
        <f t="array" ref="G1487">Food_Orders[[#This Row],[Quantity_Orderd]]*_xlfn.XLOOKUP(Food_Orders[[#This Row],[Food_ID]],Food_Catalog[[#All],[Food_ID]],Food_Catalog[[#All],[Price_Per_Unit]],0,0)</f>
        <v>5000</v>
      </c>
      <c r="H1487" cm="1">
        <f t="array" ref="H1487">Food_Orders[[#This Row],[Quantity_Orderd]]*_xlfn.XLOOKUP(Food_Orders[[#This Row],[Food_ID]],Food_Catalog[[#All],[Food_ID]],Food_Catalog[[#All],[Client_Price_Per_Unit]],0,0)</f>
        <v>6000</v>
      </c>
      <c r="I1487">
        <f>Food_Orders[[#This Row],[Client_Price]]-Food_Orders[[#This Row],[Cost]]</f>
        <v>1000</v>
      </c>
    </row>
    <row r="1488" spans="1:9" x14ac:dyDescent="0.25">
      <c r="A1488">
        <v>63</v>
      </c>
      <c r="B1488" t="s">
        <v>108</v>
      </c>
      <c r="C1488" t="s">
        <v>105</v>
      </c>
      <c r="D1488" t="s">
        <v>109</v>
      </c>
      <c r="E1488" t="s">
        <v>107</v>
      </c>
      <c r="F1488" cm="1">
        <f t="array" ref="F1488">_xlfn.XLOOKUP(Food_Orders[[#This Row],[Event_No]],Event_Master[[#All],[Event_No]],Event_Master[[#All],[Guest_Count]],,0)</f>
        <v>500</v>
      </c>
      <c r="G1488" cm="1">
        <f t="array" ref="G1488">Food_Orders[[#This Row],[Quantity_Orderd]]*_xlfn.XLOOKUP(Food_Orders[[#This Row],[Food_ID]],Food_Catalog[[#All],[Food_ID]],Food_Catalog[[#All],[Price_Per_Unit]],0,0)</f>
        <v>7500</v>
      </c>
      <c r="H1488" cm="1">
        <f t="array" ref="H1488">Food_Orders[[#This Row],[Quantity_Orderd]]*_xlfn.XLOOKUP(Food_Orders[[#This Row],[Food_ID]],Food_Catalog[[#All],[Food_ID]],Food_Catalog[[#All],[Client_Price_Per_Unit]],0,0)</f>
        <v>9000</v>
      </c>
      <c r="I1488">
        <f>Food_Orders[[#This Row],[Client_Price]]-Food_Orders[[#This Row],[Cost]]</f>
        <v>1500</v>
      </c>
    </row>
    <row r="1489" spans="1:9" x14ac:dyDescent="0.25">
      <c r="A1489">
        <v>63</v>
      </c>
      <c r="B1489" t="s">
        <v>127</v>
      </c>
      <c r="C1489" t="s">
        <v>119</v>
      </c>
      <c r="D1489" t="s">
        <v>128</v>
      </c>
      <c r="E1489" t="s">
        <v>107</v>
      </c>
      <c r="F1489" cm="1">
        <f t="array" ref="F1489">_xlfn.XLOOKUP(Food_Orders[[#This Row],[Event_No]],Event_Master[[#All],[Event_No]],Event_Master[[#All],[Guest_Count]],,0)</f>
        <v>500</v>
      </c>
      <c r="G1489" cm="1">
        <f t="array" ref="G1489">Food_Orders[[#This Row],[Quantity_Orderd]]*_xlfn.XLOOKUP(Food_Orders[[#This Row],[Food_ID]],Food_Catalog[[#All],[Food_ID]],Food_Catalog[[#All],[Price_Per_Unit]],0,0)</f>
        <v>10000</v>
      </c>
      <c r="H1489" cm="1">
        <f t="array" ref="H1489">Food_Orders[[#This Row],[Quantity_Orderd]]*_xlfn.XLOOKUP(Food_Orders[[#This Row],[Food_ID]],Food_Catalog[[#All],[Food_ID]],Food_Catalog[[#All],[Client_Price_Per_Unit]],0,0)</f>
        <v>12000</v>
      </c>
      <c r="I1489">
        <f>Food_Orders[[#This Row],[Client_Price]]-Food_Orders[[#This Row],[Cost]]</f>
        <v>2000</v>
      </c>
    </row>
    <row r="1490" spans="1:9" x14ac:dyDescent="0.25">
      <c r="A1490">
        <v>63</v>
      </c>
      <c r="B1490" t="s">
        <v>124</v>
      </c>
      <c r="C1490" t="s">
        <v>119</v>
      </c>
      <c r="D1490" t="s">
        <v>125</v>
      </c>
      <c r="E1490" t="s">
        <v>126</v>
      </c>
      <c r="F1490" cm="1">
        <f t="array" ref="F1490">_xlfn.XLOOKUP(Food_Orders[[#This Row],[Event_No]],Event_Master[[#All],[Event_No]],Event_Master[[#All],[Guest_Count]],,0)</f>
        <v>500</v>
      </c>
      <c r="G1490" cm="1">
        <f t="array" ref="G1490">Food_Orders[[#This Row],[Quantity_Orderd]]*_xlfn.XLOOKUP(Food_Orders[[#This Row],[Food_ID]],Food_Catalog[[#All],[Food_ID]],Food_Catalog[[#All],[Price_Per_Unit]],0,0)</f>
        <v>10000</v>
      </c>
      <c r="H1490" cm="1">
        <f t="array" ref="H1490">Food_Orders[[#This Row],[Quantity_Orderd]]*_xlfn.XLOOKUP(Food_Orders[[#This Row],[Food_ID]],Food_Catalog[[#All],[Food_ID]],Food_Catalog[[#All],[Client_Price_Per_Unit]],0,0)</f>
        <v>12000</v>
      </c>
      <c r="I1490">
        <f>Food_Orders[[#This Row],[Client_Price]]-Food_Orders[[#This Row],[Cost]]</f>
        <v>2000</v>
      </c>
    </row>
    <row r="1491" spans="1:9" x14ac:dyDescent="0.25">
      <c r="A1491">
        <v>63</v>
      </c>
      <c r="B1491" t="s">
        <v>121</v>
      </c>
      <c r="C1491" t="s">
        <v>119</v>
      </c>
      <c r="D1491" t="s">
        <v>122</v>
      </c>
      <c r="E1491" t="s">
        <v>123</v>
      </c>
      <c r="F1491" cm="1">
        <f t="array" ref="F1491">_xlfn.XLOOKUP(Food_Orders[[#This Row],[Event_No]],Event_Master[[#All],[Event_No]],Event_Master[[#All],[Guest_Count]],,0)</f>
        <v>500</v>
      </c>
      <c r="G1491" cm="1">
        <f t="array" ref="G1491">Food_Orders[[#This Row],[Quantity_Orderd]]*_xlfn.XLOOKUP(Food_Orders[[#This Row],[Food_ID]],Food_Catalog[[#All],[Food_ID]],Food_Catalog[[#All],[Price_Per_Unit]],0,0)</f>
        <v>5000</v>
      </c>
      <c r="H1491" cm="1">
        <f t="array" ref="H1491">Food_Orders[[#This Row],[Quantity_Orderd]]*_xlfn.XLOOKUP(Food_Orders[[#This Row],[Food_ID]],Food_Catalog[[#All],[Food_ID]],Food_Catalog[[#All],[Client_Price_Per_Unit]],0,0)</f>
        <v>6000</v>
      </c>
      <c r="I1491">
        <f>Food_Orders[[#This Row],[Client_Price]]-Food_Orders[[#This Row],[Cost]]</f>
        <v>1000</v>
      </c>
    </row>
    <row r="1492" spans="1:9" x14ac:dyDescent="0.25">
      <c r="A1492">
        <v>63</v>
      </c>
      <c r="B1492" t="s">
        <v>63</v>
      </c>
      <c r="C1492" t="s">
        <v>61</v>
      </c>
      <c r="D1492" t="s">
        <v>64</v>
      </c>
      <c r="E1492" t="s">
        <v>10</v>
      </c>
      <c r="F1492" cm="1">
        <f t="array" ref="F1492">_xlfn.XLOOKUP(Food_Orders[[#This Row],[Event_No]],Event_Master[[#All],[Event_No]],Event_Master[[#All],[Guest_Count]],,0)</f>
        <v>500</v>
      </c>
      <c r="G1492" cm="1">
        <f t="array" ref="G1492">Food_Orders[[#This Row],[Quantity_Orderd]]*_xlfn.XLOOKUP(Food_Orders[[#This Row],[Food_ID]],Food_Catalog[[#All],[Food_ID]],Food_Catalog[[#All],[Price_Per_Unit]],0,0)</f>
        <v>15000</v>
      </c>
      <c r="H1492" cm="1">
        <f t="array" ref="H1492">Food_Orders[[#This Row],[Quantity_Orderd]]*_xlfn.XLOOKUP(Food_Orders[[#This Row],[Food_ID]],Food_Catalog[[#All],[Food_ID]],Food_Catalog[[#All],[Client_Price_Per_Unit]],0,0)</f>
        <v>18000</v>
      </c>
      <c r="I1492">
        <f>Food_Orders[[#This Row],[Client_Price]]-Food_Orders[[#This Row],[Cost]]</f>
        <v>3000</v>
      </c>
    </row>
    <row r="1493" spans="1:9" x14ac:dyDescent="0.25">
      <c r="A1493">
        <v>63</v>
      </c>
      <c r="B1493" t="s">
        <v>71</v>
      </c>
      <c r="C1493" t="s">
        <v>61</v>
      </c>
      <c r="D1493" t="s">
        <v>72</v>
      </c>
      <c r="E1493" t="s">
        <v>10</v>
      </c>
      <c r="F1493" cm="1">
        <f t="array" ref="F1493">_xlfn.XLOOKUP(Food_Orders[[#This Row],[Event_No]],Event_Master[[#All],[Event_No]],Event_Master[[#All],[Guest_Count]],,0)</f>
        <v>500</v>
      </c>
      <c r="G1493" cm="1">
        <f t="array" ref="G1493">Food_Orders[[#This Row],[Quantity_Orderd]]*_xlfn.XLOOKUP(Food_Orders[[#This Row],[Food_ID]],Food_Catalog[[#All],[Food_ID]],Food_Catalog[[#All],[Price_Per_Unit]],0,0)</f>
        <v>12500</v>
      </c>
      <c r="H1493" cm="1">
        <f t="array" ref="H1493">Food_Orders[[#This Row],[Quantity_Orderd]]*_xlfn.XLOOKUP(Food_Orders[[#This Row],[Food_ID]],Food_Catalog[[#All],[Food_ID]],Food_Catalog[[#All],[Client_Price_Per_Unit]],0,0)</f>
        <v>15000</v>
      </c>
      <c r="I1493">
        <f>Food_Orders[[#This Row],[Client_Price]]-Food_Orders[[#This Row],[Cost]]</f>
        <v>2500</v>
      </c>
    </row>
    <row r="1494" spans="1:9" x14ac:dyDescent="0.25">
      <c r="A1494">
        <v>63</v>
      </c>
      <c r="B1494" t="s">
        <v>73</v>
      </c>
      <c r="C1494" t="s">
        <v>61</v>
      </c>
      <c r="D1494" t="s">
        <v>74</v>
      </c>
      <c r="E1494" t="s">
        <v>10</v>
      </c>
      <c r="F1494" cm="1">
        <f t="array" ref="F1494">_xlfn.XLOOKUP(Food_Orders[[#This Row],[Event_No]],Event_Master[[#All],[Event_No]],Event_Master[[#All],[Guest_Count]],,0)</f>
        <v>500</v>
      </c>
      <c r="G1494" cm="1">
        <f t="array" ref="G1494">Food_Orders[[#This Row],[Quantity_Orderd]]*_xlfn.XLOOKUP(Food_Orders[[#This Row],[Food_ID]],Food_Catalog[[#All],[Food_ID]],Food_Catalog[[#All],[Price_Per_Unit]],0,0)</f>
        <v>20000</v>
      </c>
      <c r="H1494" cm="1">
        <f t="array" ref="H1494">Food_Orders[[#This Row],[Quantity_Orderd]]*_xlfn.XLOOKUP(Food_Orders[[#This Row],[Food_ID]],Food_Catalog[[#All],[Food_ID]],Food_Catalog[[#All],[Client_Price_Per_Unit]],0,0)</f>
        <v>24000</v>
      </c>
      <c r="I1494">
        <f>Food_Orders[[#This Row],[Client_Price]]-Food_Orders[[#This Row],[Cost]]</f>
        <v>4000</v>
      </c>
    </row>
    <row r="1495" spans="1:9" x14ac:dyDescent="0.25">
      <c r="A1495">
        <v>63</v>
      </c>
      <c r="B1495" t="s">
        <v>75</v>
      </c>
      <c r="C1495" t="s">
        <v>61</v>
      </c>
      <c r="D1495" t="s">
        <v>76</v>
      </c>
      <c r="E1495" t="s">
        <v>10</v>
      </c>
      <c r="F1495" cm="1">
        <f t="array" ref="F1495">_xlfn.XLOOKUP(Food_Orders[[#This Row],[Event_No]],Event_Master[[#All],[Event_No]],Event_Master[[#All],[Guest_Count]],,0)</f>
        <v>500</v>
      </c>
      <c r="G1495" cm="1">
        <f t="array" ref="G1495">Food_Orders[[#This Row],[Quantity_Orderd]]*_xlfn.XLOOKUP(Food_Orders[[#This Row],[Food_ID]],Food_Catalog[[#All],[Food_ID]],Food_Catalog[[#All],[Price_Per_Unit]],0,0)</f>
        <v>20000</v>
      </c>
      <c r="H1495" cm="1">
        <f t="array" ref="H1495">Food_Orders[[#This Row],[Quantity_Orderd]]*_xlfn.XLOOKUP(Food_Orders[[#This Row],[Food_ID]],Food_Catalog[[#All],[Food_ID]],Food_Catalog[[#All],[Client_Price_Per_Unit]],0,0)</f>
        <v>24000</v>
      </c>
      <c r="I1495">
        <f>Food_Orders[[#This Row],[Client_Price]]-Food_Orders[[#This Row],[Cost]]</f>
        <v>4000</v>
      </c>
    </row>
    <row r="1496" spans="1:9" x14ac:dyDescent="0.25">
      <c r="A1496">
        <v>63</v>
      </c>
      <c r="B1496" t="s">
        <v>69</v>
      </c>
      <c r="C1496" t="s">
        <v>61</v>
      </c>
      <c r="D1496" t="s">
        <v>70</v>
      </c>
      <c r="E1496" t="s">
        <v>10</v>
      </c>
      <c r="F1496" cm="1">
        <f t="array" ref="F1496">_xlfn.XLOOKUP(Food_Orders[[#This Row],[Event_No]],Event_Master[[#All],[Event_No]],Event_Master[[#All],[Guest_Count]],,0)</f>
        <v>500</v>
      </c>
      <c r="G1496" cm="1">
        <f t="array" ref="G1496">Food_Orders[[#This Row],[Quantity_Orderd]]*_xlfn.XLOOKUP(Food_Orders[[#This Row],[Food_ID]],Food_Catalog[[#All],[Food_ID]],Food_Catalog[[#All],[Price_Per_Unit]],0,0)</f>
        <v>25000</v>
      </c>
      <c r="H1496" cm="1">
        <f t="array" ref="H1496">Food_Orders[[#This Row],[Quantity_Orderd]]*_xlfn.XLOOKUP(Food_Orders[[#This Row],[Food_ID]],Food_Catalog[[#All],[Food_ID]],Food_Catalog[[#All],[Client_Price_Per_Unit]],0,0)</f>
        <v>30000</v>
      </c>
      <c r="I1496">
        <f>Food_Orders[[#This Row],[Client_Price]]-Food_Orders[[#This Row],[Cost]]</f>
        <v>5000</v>
      </c>
    </row>
    <row r="1497" spans="1:9" x14ac:dyDescent="0.25">
      <c r="A1497">
        <v>63</v>
      </c>
      <c r="B1497" t="s">
        <v>67</v>
      </c>
      <c r="C1497" t="s">
        <v>61</v>
      </c>
      <c r="D1497" t="s">
        <v>68</v>
      </c>
      <c r="E1497" t="s">
        <v>10</v>
      </c>
      <c r="F1497" cm="1">
        <f t="array" ref="F1497">_xlfn.XLOOKUP(Food_Orders[[#This Row],[Event_No]],Event_Master[[#All],[Event_No]],Event_Master[[#All],[Guest_Count]],,0)</f>
        <v>500</v>
      </c>
      <c r="G1497" cm="1">
        <f t="array" ref="G1497">Food_Orders[[#This Row],[Quantity_Orderd]]*_xlfn.XLOOKUP(Food_Orders[[#This Row],[Food_ID]],Food_Catalog[[#All],[Food_ID]],Food_Catalog[[#All],[Price_Per_Unit]],0,0)</f>
        <v>15000</v>
      </c>
      <c r="H1497" cm="1">
        <f t="array" ref="H1497">Food_Orders[[#This Row],[Quantity_Orderd]]*_xlfn.XLOOKUP(Food_Orders[[#This Row],[Food_ID]],Food_Catalog[[#All],[Food_ID]],Food_Catalog[[#All],[Client_Price_Per_Unit]],0,0)</f>
        <v>18000</v>
      </c>
      <c r="I1497">
        <f>Food_Orders[[#This Row],[Client_Price]]-Food_Orders[[#This Row],[Cost]]</f>
        <v>3000</v>
      </c>
    </row>
    <row r="1498" spans="1:9" x14ac:dyDescent="0.25">
      <c r="A1498">
        <v>63</v>
      </c>
      <c r="B1498" t="s">
        <v>7</v>
      </c>
      <c r="C1498" t="s">
        <v>8</v>
      </c>
      <c r="D1498" t="s">
        <v>9</v>
      </c>
      <c r="E1498" t="s">
        <v>10</v>
      </c>
      <c r="F1498" cm="1">
        <f t="array" ref="F1498">_xlfn.XLOOKUP(Food_Orders[[#This Row],[Event_No]],Event_Master[[#All],[Event_No]],Event_Master[[#All],[Guest_Count]],,0)</f>
        <v>500</v>
      </c>
      <c r="G1498" cm="1">
        <f t="array" ref="G1498">Food_Orders[[#This Row],[Quantity_Orderd]]*_xlfn.XLOOKUP(Food_Orders[[#This Row],[Food_ID]],Food_Catalog[[#All],[Food_ID]],Food_Catalog[[#All],[Price_Per_Unit]],0,0)</f>
        <v>12500</v>
      </c>
      <c r="H1498" cm="1">
        <f t="array" ref="H1498">Food_Orders[[#This Row],[Quantity_Orderd]]*_xlfn.XLOOKUP(Food_Orders[[#This Row],[Food_ID]],Food_Catalog[[#All],[Food_ID]],Food_Catalog[[#All],[Client_Price_Per_Unit]],0,0)</f>
        <v>15000</v>
      </c>
      <c r="I1498">
        <f>Food_Orders[[#This Row],[Client_Price]]-Food_Orders[[#This Row],[Cost]]</f>
        <v>2500</v>
      </c>
    </row>
    <row r="1499" spans="1:9" x14ac:dyDescent="0.25">
      <c r="A1499">
        <v>63</v>
      </c>
      <c r="B1499" t="s">
        <v>27</v>
      </c>
      <c r="C1499" t="s">
        <v>8</v>
      </c>
      <c r="D1499" t="s">
        <v>28</v>
      </c>
      <c r="E1499" t="s">
        <v>10</v>
      </c>
      <c r="F1499" cm="1">
        <f t="array" ref="F1499">_xlfn.XLOOKUP(Food_Orders[[#This Row],[Event_No]],Event_Master[[#All],[Event_No]],Event_Master[[#All],[Guest_Count]],,0)</f>
        <v>500</v>
      </c>
      <c r="G1499" cm="1">
        <f t="array" ref="G1499">Food_Orders[[#This Row],[Quantity_Orderd]]*_xlfn.XLOOKUP(Food_Orders[[#This Row],[Food_ID]],Food_Catalog[[#All],[Food_ID]],Food_Catalog[[#All],[Price_Per_Unit]],0,0)</f>
        <v>20000</v>
      </c>
      <c r="H1499" cm="1">
        <f t="array" ref="H1499">Food_Orders[[#This Row],[Quantity_Orderd]]*_xlfn.XLOOKUP(Food_Orders[[#This Row],[Food_ID]],Food_Catalog[[#All],[Food_ID]],Food_Catalog[[#All],[Client_Price_Per_Unit]],0,0)</f>
        <v>24000</v>
      </c>
      <c r="I1499">
        <f>Food_Orders[[#This Row],[Client_Price]]-Food_Orders[[#This Row],[Cost]]</f>
        <v>4000</v>
      </c>
    </row>
    <row r="1500" spans="1:9" x14ac:dyDescent="0.25">
      <c r="A1500">
        <v>63</v>
      </c>
      <c r="B1500" t="s">
        <v>29</v>
      </c>
      <c r="C1500" t="s">
        <v>8</v>
      </c>
      <c r="D1500" t="s">
        <v>30</v>
      </c>
      <c r="E1500" t="s">
        <v>10</v>
      </c>
      <c r="F1500" cm="1">
        <f t="array" ref="F1500">_xlfn.XLOOKUP(Food_Orders[[#This Row],[Event_No]],Event_Master[[#All],[Event_No]],Event_Master[[#All],[Guest_Count]],,0)</f>
        <v>500</v>
      </c>
      <c r="G1500" cm="1">
        <f t="array" ref="G1500">Food_Orders[[#This Row],[Quantity_Orderd]]*_xlfn.XLOOKUP(Food_Orders[[#This Row],[Food_ID]],Food_Catalog[[#All],[Food_ID]],Food_Catalog[[#All],[Price_Per_Unit]],0,0)</f>
        <v>15000</v>
      </c>
      <c r="H1500" cm="1">
        <f t="array" ref="H1500">Food_Orders[[#This Row],[Quantity_Orderd]]*_xlfn.XLOOKUP(Food_Orders[[#This Row],[Food_ID]],Food_Catalog[[#All],[Food_ID]],Food_Catalog[[#All],[Client_Price_Per_Unit]],0,0)</f>
        <v>18000</v>
      </c>
      <c r="I1500">
        <f>Food_Orders[[#This Row],[Client_Price]]-Food_Orders[[#This Row],[Cost]]</f>
        <v>3000</v>
      </c>
    </row>
    <row r="1501" spans="1:9" x14ac:dyDescent="0.25">
      <c r="A1501">
        <v>63</v>
      </c>
      <c r="B1501" t="s">
        <v>37</v>
      </c>
      <c r="C1501" t="s">
        <v>8</v>
      </c>
      <c r="D1501" t="s">
        <v>38</v>
      </c>
      <c r="E1501" t="s">
        <v>10</v>
      </c>
      <c r="F1501" cm="1">
        <f t="array" ref="F1501">_xlfn.XLOOKUP(Food_Orders[[#This Row],[Event_No]],Event_Master[[#All],[Event_No]],Event_Master[[#All],[Guest_Count]],,0)</f>
        <v>500</v>
      </c>
      <c r="G1501" cm="1">
        <f t="array" ref="G1501">Food_Orders[[#This Row],[Quantity_Orderd]]*_xlfn.XLOOKUP(Food_Orders[[#This Row],[Food_ID]],Food_Catalog[[#All],[Food_ID]],Food_Catalog[[#All],[Price_Per_Unit]],0,0)</f>
        <v>12500</v>
      </c>
      <c r="H1501" cm="1">
        <f t="array" ref="H1501">Food_Orders[[#This Row],[Quantity_Orderd]]*_xlfn.XLOOKUP(Food_Orders[[#This Row],[Food_ID]],Food_Catalog[[#All],[Food_ID]],Food_Catalog[[#All],[Client_Price_Per_Unit]],0,0)</f>
        <v>15000</v>
      </c>
      <c r="I1501">
        <f>Food_Orders[[#This Row],[Client_Price]]-Food_Orders[[#This Row],[Cost]]</f>
        <v>2500</v>
      </c>
    </row>
    <row r="1502" spans="1:9" x14ac:dyDescent="0.25">
      <c r="A1502">
        <v>63</v>
      </c>
      <c r="B1502" t="s">
        <v>39</v>
      </c>
      <c r="C1502" t="s">
        <v>40</v>
      </c>
      <c r="D1502" t="s">
        <v>41</v>
      </c>
      <c r="E1502" t="s">
        <v>10</v>
      </c>
      <c r="F1502" cm="1">
        <f t="array" ref="F1502">_xlfn.XLOOKUP(Food_Orders[[#This Row],[Event_No]],Event_Master[[#All],[Event_No]],Event_Master[[#All],[Guest_Count]],,0)</f>
        <v>500</v>
      </c>
      <c r="G1502" cm="1">
        <f t="array" ref="G1502">Food_Orders[[#This Row],[Quantity_Orderd]]*_xlfn.XLOOKUP(Food_Orders[[#This Row],[Food_ID]],Food_Catalog[[#All],[Food_ID]],Food_Catalog[[#All],[Price_Per_Unit]],0,0)</f>
        <v>30000</v>
      </c>
      <c r="H1502" cm="1">
        <f t="array" ref="H1502">Food_Orders[[#This Row],[Quantity_Orderd]]*_xlfn.XLOOKUP(Food_Orders[[#This Row],[Food_ID]],Food_Catalog[[#All],[Food_ID]],Food_Catalog[[#All],[Client_Price_Per_Unit]],0,0)</f>
        <v>36000</v>
      </c>
      <c r="I1502">
        <f>Food_Orders[[#This Row],[Client_Price]]-Food_Orders[[#This Row],[Cost]]</f>
        <v>6000</v>
      </c>
    </row>
    <row r="1503" spans="1:9" x14ac:dyDescent="0.25">
      <c r="A1503">
        <v>63</v>
      </c>
      <c r="B1503" t="s">
        <v>42</v>
      </c>
      <c r="C1503" t="s">
        <v>40</v>
      </c>
      <c r="D1503" t="s">
        <v>43</v>
      </c>
      <c r="E1503" t="s">
        <v>10</v>
      </c>
      <c r="F1503" cm="1">
        <f t="array" ref="F1503">_xlfn.XLOOKUP(Food_Orders[[#This Row],[Event_No]],Event_Master[[#All],[Event_No]],Event_Master[[#All],[Guest_Count]],,0)</f>
        <v>500</v>
      </c>
      <c r="G1503" cm="1">
        <f t="array" ref="G1503">Food_Orders[[#This Row],[Quantity_Orderd]]*_xlfn.XLOOKUP(Food_Orders[[#This Row],[Food_ID]],Food_Catalog[[#All],[Food_ID]],Food_Catalog[[#All],[Price_Per_Unit]],0,0)</f>
        <v>35000</v>
      </c>
      <c r="H1503" cm="1">
        <f t="array" ref="H1503">Food_Orders[[#This Row],[Quantity_Orderd]]*_xlfn.XLOOKUP(Food_Orders[[#This Row],[Food_ID]],Food_Catalog[[#All],[Food_ID]],Food_Catalog[[#All],[Client_Price_Per_Unit]],0,0)</f>
        <v>42000</v>
      </c>
      <c r="I1503">
        <f>Food_Orders[[#This Row],[Client_Price]]-Food_Orders[[#This Row],[Cost]]</f>
        <v>7000</v>
      </c>
    </row>
    <row r="1504" spans="1:9" x14ac:dyDescent="0.25">
      <c r="A1504">
        <v>63</v>
      </c>
      <c r="B1504" t="s">
        <v>58</v>
      </c>
      <c r="C1504" t="s">
        <v>40</v>
      </c>
      <c r="D1504" t="s">
        <v>59</v>
      </c>
      <c r="E1504" t="s">
        <v>10</v>
      </c>
      <c r="F1504" cm="1">
        <f t="array" ref="F1504">_xlfn.XLOOKUP(Food_Orders[[#This Row],[Event_No]],Event_Master[[#All],[Event_No]],Event_Master[[#All],[Guest_Count]],,0)</f>
        <v>500</v>
      </c>
      <c r="G1504" cm="1">
        <f t="array" ref="G1504">Food_Orders[[#This Row],[Quantity_Orderd]]*_xlfn.XLOOKUP(Food_Orders[[#This Row],[Food_ID]],Food_Catalog[[#All],[Food_ID]],Food_Catalog[[#All],[Price_Per_Unit]],0,0)</f>
        <v>45000</v>
      </c>
      <c r="H1504" cm="1">
        <f t="array" ref="H1504">Food_Orders[[#This Row],[Quantity_Orderd]]*_xlfn.XLOOKUP(Food_Orders[[#This Row],[Food_ID]],Food_Catalog[[#All],[Food_ID]],Food_Catalog[[#All],[Client_Price_Per_Unit]],0,0)</f>
        <v>54000</v>
      </c>
      <c r="I1504">
        <f>Food_Orders[[#This Row],[Client_Price]]-Food_Orders[[#This Row],[Cost]]</f>
        <v>9000</v>
      </c>
    </row>
    <row r="1505" spans="1:9" x14ac:dyDescent="0.25">
      <c r="A1505">
        <v>63</v>
      </c>
      <c r="B1505" t="s">
        <v>46</v>
      </c>
      <c r="C1505" t="s">
        <v>40</v>
      </c>
      <c r="D1505" t="s">
        <v>47</v>
      </c>
      <c r="E1505" t="s">
        <v>10</v>
      </c>
      <c r="F1505" cm="1">
        <f t="array" ref="F1505">_xlfn.XLOOKUP(Food_Orders[[#This Row],[Event_No]],Event_Master[[#All],[Event_No]],Event_Master[[#All],[Guest_Count]],,0)</f>
        <v>500</v>
      </c>
      <c r="G1505" cm="1">
        <f t="array" ref="G1505">Food_Orders[[#This Row],[Quantity_Orderd]]*_xlfn.XLOOKUP(Food_Orders[[#This Row],[Food_ID]],Food_Catalog[[#All],[Food_ID]],Food_Catalog[[#All],[Price_Per_Unit]],0,0)</f>
        <v>45000</v>
      </c>
      <c r="H1505" cm="1">
        <f t="array" ref="H1505">Food_Orders[[#This Row],[Quantity_Orderd]]*_xlfn.XLOOKUP(Food_Orders[[#This Row],[Food_ID]],Food_Catalog[[#All],[Food_ID]],Food_Catalog[[#All],[Client_Price_Per_Unit]],0,0)</f>
        <v>54000</v>
      </c>
      <c r="I1505">
        <f>Food_Orders[[#This Row],[Client_Price]]-Food_Orders[[#This Row],[Cost]]</f>
        <v>9000</v>
      </c>
    </row>
    <row r="1506" spans="1:9" x14ac:dyDescent="0.25">
      <c r="A1506">
        <v>63</v>
      </c>
      <c r="B1506" t="s">
        <v>50</v>
      </c>
      <c r="C1506" t="s">
        <v>40</v>
      </c>
      <c r="D1506" t="s">
        <v>51</v>
      </c>
      <c r="E1506" t="s">
        <v>10</v>
      </c>
      <c r="F1506" cm="1">
        <f t="array" ref="F1506">_xlfn.XLOOKUP(Food_Orders[[#This Row],[Event_No]],Event_Master[[#All],[Event_No]],Event_Master[[#All],[Guest_Count]],,0)</f>
        <v>500</v>
      </c>
      <c r="G1506" cm="1">
        <f t="array" ref="G1506">Food_Orders[[#This Row],[Quantity_Orderd]]*_xlfn.XLOOKUP(Food_Orders[[#This Row],[Food_ID]],Food_Catalog[[#All],[Food_ID]],Food_Catalog[[#All],[Price_Per_Unit]],0,0)</f>
        <v>40000</v>
      </c>
      <c r="H1506" cm="1">
        <f t="array" ref="H1506">Food_Orders[[#This Row],[Quantity_Orderd]]*_xlfn.XLOOKUP(Food_Orders[[#This Row],[Food_ID]],Food_Catalog[[#All],[Food_ID]],Food_Catalog[[#All],[Client_Price_Per_Unit]],0,0)</f>
        <v>48000</v>
      </c>
      <c r="I1506">
        <f>Food_Orders[[#This Row],[Client_Price]]-Food_Orders[[#This Row],[Cost]]</f>
        <v>8000</v>
      </c>
    </row>
    <row r="1507" spans="1:9" x14ac:dyDescent="0.25">
      <c r="A1507">
        <v>63</v>
      </c>
      <c r="B1507" t="s">
        <v>82</v>
      </c>
      <c r="C1507" t="s">
        <v>83</v>
      </c>
      <c r="D1507" t="s">
        <v>84</v>
      </c>
      <c r="E1507" t="s">
        <v>85</v>
      </c>
      <c r="F1507" cm="1">
        <f t="array" ref="F1507">_xlfn.XLOOKUP(Food_Orders[[#This Row],[Event_No]],Event_Master[[#All],[Event_No]],Event_Master[[#All],[Guest_Count]],,0)</f>
        <v>500</v>
      </c>
      <c r="G1507" cm="1">
        <f t="array" ref="G1507">Food_Orders[[#This Row],[Quantity_Orderd]]*_xlfn.XLOOKUP(Food_Orders[[#This Row],[Food_ID]],Food_Catalog[[#All],[Food_ID]],Food_Catalog[[#All],[Price_Per_Unit]],0,0)</f>
        <v>10000</v>
      </c>
      <c r="H1507" cm="1">
        <f t="array" ref="H1507">Food_Orders[[#This Row],[Quantity_Orderd]]*_xlfn.XLOOKUP(Food_Orders[[#This Row],[Food_ID]],Food_Catalog[[#All],[Food_ID]],Food_Catalog[[#All],[Client_Price_Per_Unit]],0,0)</f>
        <v>12000</v>
      </c>
      <c r="I1507">
        <f>Food_Orders[[#This Row],[Client_Price]]-Food_Orders[[#This Row],[Cost]]</f>
        <v>2000</v>
      </c>
    </row>
    <row r="1508" spans="1:9" x14ac:dyDescent="0.25">
      <c r="A1508">
        <v>63</v>
      </c>
      <c r="B1508" t="s">
        <v>86</v>
      </c>
      <c r="C1508" t="s">
        <v>83</v>
      </c>
      <c r="D1508" t="s">
        <v>87</v>
      </c>
      <c r="E1508" t="s">
        <v>85</v>
      </c>
      <c r="F1508" cm="1">
        <f t="array" ref="F1508">_xlfn.XLOOKUP(Food_Orders[[#This Row],[Event_No]],Event_Master[[#All],[Event_No]],Event_Master[[#All],[Guest_Count]],,0)</f>
        <v>500</v>
      </c>
      <c r="G1508" cm="1">
        <f t="array" ref="G1508">Food_Orders[[#This Row],[Quantity_Orderd]]*_xlfn.XLOOKUP(Food_Orders[[#This Row],[Food_ID]],Food_Catalog[[#All],[Food_ID]],Food_Catalog[[#All],[Price_Per_Unit]],0,0)</f>
        <v>10000</v>
      </c>
      <c r="H1508" cm="1">
        <f t="array" ref="H1508">Food_Orders[[#This Row],[Quantity_Orderd]]*_xlfn.XLOOKUP(Food_Orders[[#This Row],[Food_ID]],Food_Catalog[[#All],[Food_ID]],Food_Catalog[[#All],[Client_Price_Per_Unit]],0,0)</f>
        <v>12000</v>
      </c>
      <c r="I1508">
        <f>Food_Orders[[#This Row],[Client_Price]]-Food_Orders[[#This Row],[Cost]]</f>
        <v>2000</v>
      </c>
    </row>
    <row r="1509" spans="1:9" x14ac:dyDescent="0.25">
      <c r="A1509">
        <v>63</v>
      </c>
      <c r="B1509" t="s">
        <v>96</v>
      </c>
      <c r="C1509" t="s">
        <v>83</v>
      </c>
      <c r="D1509" t="s">
        <v>97</v>
      </c>
      <c r="E1509" t="s">
        <v>79</v>
      </c>
      <c r="F1509" cm="1">
        <f t="array" ref="F1509">_xlfn.XLOOKUP(Food_Orders[[#This Row],[Event_No]],Event_Master[[#All],[Event_No]],Event_Master[[#All],[Guest_Count]],,0)</f>
        <v>500</v>
      </c>
      <c r="G1509" cm="1">
        <f t="array" ref="G1509">Food_Orders[[#This Row],[Quantity_Orderd]]*_xlfn.XLOOKUP(Food_Orders[[#This Row],[Food_ID]],Food_Catalog[[#All],[Food_ID]],Food_Catalog[[#All],[Price_Per_Unit]],0,0)</f>
        <v>15000</v>
      </c>
      <c r="H1509" cm="1">
        <f t="array" ref="H1509">Food_Orders[[#This Row],[Quantity_Orderd]]*_xlfn.XLOOKUP(Food_Orders[[#This Row],[Food_ID]],Food_Catalog[[#All],[Food_ID]],Food_Catalog[[#All],[Client_Price_Per_Unit]],0,0)</f>
        <v>18000</v>
      </c>
      <c r="I1509">
        <f>Food_Orders[[#This Row],[Client_Price]]-Food_Orders[[#This Row],[Cost]]</f>
        <v>3000</v>
      </c>
    </row>
    <row r="1510" spans="1:9" x14ac:dyDescent="0.25">
      <c r="A1510">
        <v>63</v>
      </c>
      <c r="B1510" t="s">
        <v>88</v>
      </c>
      <c r="C1510" t="s">
        <v>83</v>
      </c>
      <c r="D1510" t="s">
        <v>89</v>
      </c>
      <c r="E1510" t="s">
        <v>85</v>
      </c>
      <c r="F1510" cm="1">
        <f t="array" ref="F1510">_xlfn.XLOOKUP(Food_Orders[[#This Row],[Event_No]],Event_Master[[#All],[Event_No]],Event_Master[[#All],[Guest_Count]],,0)</f>
        <v>500</v>
      </c>
      <c r="G1510" cm="1">
        <f t="array" ref="G1510">Food_Orders[[#This Row],[Quantity_Orderd]]*_xlfn.XLOOKUP(Food_Orders[[#This Row],[Food_ID]],Food_Catalog[[#All],[Food_ID]],Food_Catalog[[#All],[Price_Per_Unit]],0,0)</f>
        <v>7500</v>
      </c>
      <c r="H1510" cm="1">
        <f t="array" ref="H1510">Food_Orders[[#This Row],[Quantity_Orderd]]*_xlfn.XLOOKUP(Food_Orders[[#This Row],[Food_ID]],Food_Catalog[[#All],[Food_ID]],Food_Catalog[[#All],[Client_Price_Per_Unit]],0,0)</f>
        <v>9000</v>
      </c>
      <c r="I1510">
        <f>Food_Orders[[#This Row],[Client_Price]]-Food_Orders[[#This Row],[Cost]]</f>
        <v>1500</v>
      </c>
    </row>
    <row r="1511" spans="1:9" x14ac:dyDescent="0.25">
      <c r="A1511">
        <v>63</v>
      </c>
      <c r="B1511" t="s">
        <v>92</v>
      </c>
      <c r="C1511" t="s">
        <v>83</v>
      </c>
      <c r="D1511" t="s">
        <v>93</v>
      </c>
      <c r="E1511" t="s">
        <v>85</v>
      </c>
      <c r="F1511" cm="1">
        <f t="array" ref="F1511">_xlfn.XLOOKUP(Food_Orders[[#This Row],[Event_No]],Event_Master[[#All],[Event_No]],Event_Master[[#All],[Guest_Count]],,0)</f>
        <v>500</v>
      </c>
      <c r="G1511" cm="1">
        <f t="array" ref="G1511">Food_Orders[[#This Row],[Quantity_Orderd]]*_xlfn.XLOOKUP(Food_Orders[[#This Row],[Food_ID]],Food_Catalog[[#All],[Food_ID]],Food_Catalog[[#All],[Price_Per_Unit]],0,0)</f>
        <v>7500</v>
      </c>
      <c r="H1511" cm="1">
        <f t="array" ref="H1511">Food_Orders[[#This Row],[Quantity_Orderd]]*_xlfn.XLOOKUP(Food_Orders[[#This Row],[Food_ID]],Food_Catalog[[#All],[Food_ID]],Food_Catalog[[#All],[Client_Price_Per_Unit]],0,0)</f>
        <v>9000</v>
      </c>
      <c r="I1511">
        <f>Food_Orders[[#This Row],[Client_Price]]-Food_Orders[[#This Row],[Cost]]</f>
        <v>1500</v>
      </c>
    </row>
    <row r="1512" spans="1:9" x14ac:dyDescent="0.25">
      <c r="A1512">
        <v>63</v>
      </c>
      <c r="B1512" t="s">
        <v>98</v>
      </c>
      <c r="C1512" t="s">
        <v>83</v>
      </c>
      <c r="D1512" t="s">
        <v>99</v>
      </c>
      <c r="E1512" t="s">
        <v>85</v>
      </c>
      <c r="F1512" cm="1">
        <f t="array" ref="F1512">_xlfn.XLOOKUP(Food_Orders[[#This Row],[Event_No]],Event_Master[[#All],[Event_No]],Event_Master[[#All],[Guest_Count]],,0)</f>
        <v>500</v>
      </c>
      <c r="G1512" cm="1">
        <f t="array" ref="G1512">Food_Orders[[#This Row],[Quantity_Orderd]]*_xlfn.XLOOKUP(Food_Orders[[#This Row],[Food_ID]],Food_Catalog[[#All],[Food_ID]],Food_Catalog[[#All],[Price_Per_Unit]],0,0)</f>
        <v>7500</v>
      </c>
      <c r="H1512" cm="1">
        <f t="array" ref="H1512">Food_Orders[[#This Row],[Quantity_Orderd]]*_xlfn.XLOOKUP(Food_Orders[[#This Row],[Food_ID]],Food_Catalog[[#All],[Food_ID]],Food_Catalog[[#All],[Client_Price_Per_Unit]],0,0)</f>
        <v>9000</v>
      </c>
      <c r="I1512">
        <f>Food_Orders[[#This Row],[Client_Price]]-Food_Orders[[#This Row],[Cost]]</f>
        <v>1500</v>
      </c>
    </row>
    <row r="1513" spans="1:9" x14ac:dyDescent="0.25">
      <c r="A1513">
        <v>63</v>
      </c>
      <c r="B1513" t="s">
        <v>100</v>
      </c>
      <c r="C1513" t="s">
        <v>83</v>
      </c>
      <c r="D1513" t="s">
        <v>101</v>
      </c>
      <c r="E1513" t="s">
        <v>79</v>
      </c>
      <c r="F1513" cm="1">
        <f t="array" ref="F1513">_xlfn.XLOOKUP(Food_Orders[[#This Row],[Event_No]],Event_Master[[#All],[Event_No]],Event_Master[[#All],[Guest_Count]],,0)</f>
        <v>500</v>
      </c>
      <c r="G1513" cm="1">
        <f t="array" ref="G1513">Food_Orders[[#This Row],[Quantity_Orderd]]*_xlfn.XLOOKUP(Food_Orders[[#This Row],[Food_ID]],Food_Catalog[[#All],[Food_ID]],Food_Catalog[[#All],[Price_Per_Unit]],0,0)</f>
        <v>17500</v>
      </c>
      <c r="H1513" cm="1">
        <f t="array" ref="H1513">Food_Orders[[#This Row],[Quantity_Orderd]]*_xlfn.XLOOKUP(Food_Orders[[#This Row],[Food_ID]],Food_Catalog[[#All],[Food_ID]],Food_Catalog[[#All],[Client_Price_Per_Unit]],0,0)</f>
        <v>21000</v>
      </c>
      <c r="I1513">
        <f>Food_Orders[[#This Row],[Client_Price]]-Food_Orders[[#This Row],[Cost]]</f>
        <v>3500</v>
      </c>
    </row>
    <row r="1514" spans="1:9" x14ac:dyDescent="0.25">
      <c r="A1514">
        <v>64</v>
      </c>
      <c r="B1514" t="s">
        <v>118</v>
      </c>
      <c r="C1514" t="s">
        <v>119</v>
      </c>
      <c r="D1514" t="s">
        <v>120</v>
      </c>
      <c r="E1514" t="s">
        <v>112</v>
      </c>
      <c r="F1514" cm="1">
        <f t="array" ref="F1514">_xlfn.XLOOKUP(Food_Orders[[#This Row],[Event_No]],Event_Master[[#All],[Event_No]],Event_Master[[#All],[Guest_Count]],,0)</f>
        <v>450</v>
      </c>
      <c r="G1514" cm="1">
        <f t="array" ref="G1514">Food_Orders[[#This Row],[Quantity_Orderd]]*_xlfn.XLOOKUP(Food_Orders[[#This Row],[Food_ID]],Food_Catalog[[#All],[Food_ID]],Food_Catalog[[#All],[Price_Per_Unit]],0,0)</f>
        <v>4500</v>
      </c>
      <c r="H1514" cm="1">
        <f t="array" ref="H1514">Food_Orders[[#This Row],[Quantity_Orderd]]*_xlfn.XLOOKUP(Food_Orders[[#This Row],[Food_ID]],Food_Catalog[[#All],[Food_ID]],Food_Catalog[[#All],[Client_Price_Per_Unit]],0,0)</f>
        <v>5400</v>
      </c>
      <c r="I1514">
        <f>Food_Orders[[#This Row],[Client_Price]]-Food_Orders[[#This Row],[Cost]]</f>
        <v>900</v>
      </c>
    </row>
    <row r="1515" spans="1:9" x14ac:dyDescent="0.25">
      <c r="A1515">
        <v>64</v>
      </c>
      <c r="B1515" t="s">
        <v>129</v>
      </c>
      <c r="C1515" t="s">
        <v>119</v>
      </c>
      <c r="D1515" t="s">
        <v>130</v>
      </c>
      <c r="E1515" t="s">
        <v>112</v>
      </c>
      <c r="F1515" cm="1">
        <f t="array" ref="F1515">_xlfn.XLOOKUP(Food_Orders[[#This Row],[Event_No]],Event_Master[[#All],[Event_No]],Event_Master[[#All],[Guest_Count]],,0)</f>
        <v>450</v>
      </c>
      <c r="G1515" cm="1">
        <f t="array" ref="G1515">Food_Orders[[#This Row],[Quantity_Orderd]]*_xlfn.XLOOKUP(Food_Orders[[#This Row],[Food_ID]],Food_Catalog[[#All],[Food_ID]],Food_Catalog[[#All],[Price_Per_Unit]],0,0)</f>
        <v>4500</v>
      </c>
      <c r="H1515" cm="1">
        <f t="array" ref="H1515">Food_Orders[[#This Row],[Quantity_Orderd]]*_xlfn.XLOOKUP(Food_Orders[[#This Row],[Food_ID]],Food_Catalog[[#All],[Food_ID]],Food_Catalog[[#All],[Client_Price_Per_Unit]],0,0)</f>
        <v>5400</v>
      </c>
      <c r="I1515">
        <f>Food_Orders[[#This Row],[Client_Price]]-Food_Orders[[#This Row],[Cost]]</f>
        <v>900</v>
      </c>
    </row>
    <row r="1516" spans="1:9" x14ac:dyDescent="0.25">
      <c r="A1516">
        <v>64</v>
      </c>
      <c r="B1516" t="s">
        <v>104</v>
      </c>
      <c r="C1516" t="s">
        <v>105</v>
      </c>
      <c r="D1516" t="s">
        <v>106</v>
      </c>
      <c r="E1516" t="s">
        <v>107</v>
      </c>
      <c r="F1516" cm="1">
        <f t="array" ref="F1516">_xlfn.XLOOKUP(Food_Orders[[#This Row],[Event_No]],Event_Master[[#All],[Event_No]],Event_Master[[#All],[Guest_Count]],,0)</f>
        <v>450</v>
      </c>
      <c r="G1516" cm="1">
        <f t="array" ref="G1516">Food_Orders[[#This Row],[Quantity_Orderd]]*_xlfn.XLOOKUP(Food_Orders[[#This Row],[Food_ID]],Food_Catalog[[#All],[Food_ID]],Food_Catalog[[#All],[Price_Per_Unit]],0,0)</f>
        <v>4500</v>
      </c>
      <c r="H1516" cm="1">
        <f t="array" ref="H1516">Food_Orders[[#This Row],[Quantity_Orderd]]*_xlfn.XLOOKUP(Food_Orders[[#This Row],[Food_ID]],Food_Catalog[[#All],[Food_ID]],Food_Catalog[[#All],[Client_Price_Per_Unit]],0,0)</f>
        <v>5400</v>
      </c>
      <c r="I1516">
        <f>Food_Orders[[#This Row],[Client_Price]]-Food_Orders[[#This Row],[Cost]]</f>
        <v>900</v>
      </c>
    </row>
    <row r="1517" spans="1:9" x14ac:dyDescent="0.25">
      <c r="A1517">
        <v>64</v>
      </c>
      <c r="B1517" t="s">
        <v>108</v>
      </c>
      <c r="C1517" t="s">
        <v>105</v>
      </c>
      <c r="D1517" t="s">
        <v>109</v>
      </c>
      <c r="E1517" t="s">
        <v>107</v>
      </c>
      <c r="F1517" cm="1">
        <f t="array" ref="F1517">_xlfn.XLOOKUP(Food_Orders[[#This Row],[Event_No]],Event_Master[[#All],[Event_No]],Event_Master[[#All],[Guest_Count]],,0)</f>
        <v>450</v>
      </c>
      <c r="G1517" cm="1">
        <f t="array" ref="G1517">Food_Orders[[#This Row],[Quantity_Orderd]]*_xlfn.XLOOKUP(Food_Orders[[#This Row],[Food_ID]],Food_Catalog[[#All],[Food_ID]],Food_Catalog[[#All],[Price_Per_Unit]],0,0)</f>
        <v>6750</v>
      </c>
      <c r="H1517" cm="1">
        <f t="array" ref="H1517">Food_Orders[[#This Row],[Quantity_Orderd]]*_xlfn.XLOOKUP(Food_Orders[[#This Row],[Food_ID]],Food_Catalog[[#All],[Food_ID]],Food_Catalog[[#All],[Client_Price_Per_Unit]],0,0)</f>
        <v>8100</v>
      </c>
      <c r="I1517">
        <f>Food_Orders[[#This Row],[Client_Price]]-Food_Orders[[#This Row],[Cost]]</f>
        <v>1350</v>
      </c>
    </row>
    <row r="1518" spans="1:9" x14ac:dyDescent="0.25">
      <c r="A1518">
        <v>64</v>
      </c>
      <c r="B1518" t="s">
        <v>127</v>
      </c>
      <c r="C1518" t="s">
        <v>119</v>
      </c>
      <c r="D1518" t="s">
        <v>128</v>
      </c>
      <c r="E1518" t="s">
        <v>107</v>
      </c>
      <c r="F1518" cm="1">
        <f t="array" ref="F1518">_xlfn.XLOOKUP(Food_Orders[[#This Row],[Event_No]],Event_Master[[#All],[Event_No]],Event_Master[[#All],[Guest_Count]],,0)</f>
        <v>450</v>
      </c>
      <c r="G1518" cm="1">
        <f t="array" ref="G1518">Food_Orders[[#This Row],[Quantity_Orderd]]*_xlfn.XLOOKUP(Food_Orders[[#This Row],[Food_ID]],Food_Catalog[[#All],[Food_ID]],Food_Catalog[[#All],[Price_Per_Unit]],0,0)</f>
        <v>9000</v>
      </c>
      <c r="H1518" cm="1">
        <f t="array" ref="H1518">Food_Orders[[#This Row],[Quantity_Orderd]]*_xlfn.XLOOKUP(Food_Orders[[#This Row],[Food_ID]],Food_Catalog[[#All],[Food_ID]],Food_Catalog[[#All],[Client_Price_Per_Unit]],0,0)</f>
        <v>10800</v>
      </c>
      <c r="I1518">
        <f>Food_Orders[[#This Row],[Client_Price]]-Food_Orders[[#This Row],[Cost]]</f>
        <v>1800</v>
      </c>
    </row>
    <row r="1519" spans="1:9" x14ac:dyDescent="0.25">
      <c r="A1519">
        <v>64</v>
      </c>
      <c r="B1519" t="s">
        <v>124</v>
      </c>
      <c r="C1519" t="s">
        <v>119</v>
      </c>
      <c r="D1519" t="s">
        <v>125</v>
      </c>
      <c r="E1519" t="s">
        <v>126</v>
      </c>
      <c r="F1519" cm="1">
        <f t="array" ref="F1519">_xlfn.XLOOKUP(Food_Orders[[#This Row],[Event_No]],Event_Master[[#All],[Event_No]],Event_Master[[#All],[Guest_Count]],,0)</f>
        <v>450</v>
      </c>
      <c r="G1519" cm="1">
        <f t="array" ref="G1519">Food_Orders[[#This Row],[Quantity_Orderd]]*_xlfn.XLOOKUP(Food_Orders[[#This Row],[Food_ID]],Food_Catalog[[#All],[Food_ID]],Food_Catalog[[#All],[Price_Per_Unit]],0,0)</f>
        <v>9000</v>
      </c>
      <c r="H1519" cm="1">
        <f t="array" ref="H1519">Food_Orders[[#This Row],[Quantity_Orderd]]*_xlfn.XLOOKUP(Food_Orders[[#This Row],[Food_ID]],Food_Catalog[[#All],[Food_ID]],Food_Catalog[[#All],[Client_Price_Per_Unit]],0,0)</f>
        <v>10800</v>
      </c>
      <c r="I1519">
        <f>Food_Orders[[#This Row],[Client_Price]]-Food_Orders[[#This Row],[Cost]]</f>
        <v>1800</v>
      </c>
    </row>
    <row r="1520" spans="1:9" x14ac:dyDescent="0.25">
      <c r="A1520">
        <v>64</v>
      </c>
      <c r="B1520" t="s">
        <v>121</v>
      </c>
      <c r="C1520" t="s">
        <v>119</v>
      </c>
      <c r="D1520" t="s">
        <v>122</v>
      </c>
      <c r="E1520" t="s">
        <v>123</v>
      </c>
      <c r="F1520" cm="1">
        <f t="array" ref="F1520">_xlfn.XLOOKUP(Food_Orders[[#This Row],[Event_No]],Event_Master[[#All],[Event_No]],Event_Master[[#All],[Guest_Count]],,0)</f>
        <v>450</v>
      </c>
      <c r="G1520" cm="1">
        <f t="array" ref="G1520">Food_Orders[[#This Row],[Quantity_Orderd]]*_xlfn.XLOOKUP(Food_Orders[[#This Row],[Food_ID]],Food_Catalog[[#All],[Food_ID]],Food_Catalog[[#All],[Price_Per_Unit]],0,0)</f>
        <v>4500</v>
      </c>
      <c r="H1520" cm="1">
        <f t="array" ref="H1520">Food_Orders[[#This Row],[Quantity_Orderd]]*_xlfn.XLOOKUP(Food_Orders[[#This Row],[Food_ID]],Food_Catalog[[#All],[Food_ID]],Food_Catalog[[#All],[Client_Price_Per_Unit]],0,0)</f>
        <v>5400</v>
      </c>
      <c r="I1520">
        <f>Food_Orders[[#This Row],[Client_Price]]-Food_Orders[[#This Row],[Cost]]</f>
        <v>900</v>
      </c>
    </row>
    <row r="1521" spans="1:9" x14ac:dyDescent="0.25">
      <c r="A1521">
        <v>64</v>
      </c>
      <c r="B1521" t="s">
        <v>63</v>
      </c>
      <c r="C1521" t="s">
        <v>61</v>
      </c>
      <c r="D1521" t="s">
        <v>64</v>
      </c>
      <c r="E1521" t="s">
        <v>10</v>
      </c>
      <c r="F1521" cm="1">
        <f t="array" ref="F1521">_xlfn.XLOOKUP(Food_Orders[[#This Row],[Event_No]],Event_Master[[#All],[Event_No]],Event_Master[[#All],[Guest_Count]],,0)</f>
        <v>450</v>
      </c>
      <c r="G1521" cm="1">
        <f t="array" ref="G1521">Food_Orders[[#This Row],[Quantity_Orderd]]*_xlfn.XLOOKUP(Food_Orders[[#This Row],[Food_ID]],Food_Catalog[[#All],[Food_ID]],Food_Catalog[[#All],[Price_Per_Unit]],0,0)</f>
        <v>13500</v>
      </c>
      <c r="H1521" cm="1">
        <f t="array" ref="H1521">Food_Orders[[#This Row],[Quantity_Orderd]]*_xlfn.XLOOKUP(Food_Orders[[#This Row],[Food_ID]],Food_Catalog[[#All],[Food_ID]],Food_Catalog[[#All],[Client_Price_Per_Unit]],0,0)</f>
        <v>16200</v>
      </c>
      <c r="I1521">
        <f>Food_Orders[[#This Row],[Client_Price]]-Food_Orders[[#This Row],[Cost]]</f>
        <v>2700</v>
      </c>
    </row>
    <row r="1522" spans="1:9" x14ac:dyDescent="0.25">
      <c r="A1522">
        <v>64</v>
      </c>
      <c r="B1522" t="s">
        <v>71</v>
      </c>
      <c r="C1522" t="s">
        <v>61</v>
      </c>
      <c r="D1522" t="s">
        <v>72</v>
      </c>
      <c r="E1522" t="s">
        <v>10</v>
      </c>
      <c r="F1522" cm="1">
        <f t="array" ref="F1522">_xlfn.XLOOKUP(Food_Orders[[#This Row],[Event_No]],Event_Master[[#All],[Event_No]],Event_Master[[#All],[Guest_Count]],,0)</f>
        <v>450</v>
      </c>
      <c r="G1522" cm="1">
        <f t="array" ref="G1522">Food_Orders[[#This Row],[Quantity_Orderd]]*_xlfn.XLOOKUP(Food_Orders[[#This Row],[Food_ID]],Food_Catalog[[#All],[Food_ID]],Food_Catalog[[#All],[Price_Per_Unit]],0,0)</f>
        <v>11250</v>
      </c>
      <c r="H1522" cm="1">
        <f t="array" ref="H1522">Food_Orders[[#This Row],[Quantity_Orderd]]*_xlfn.XLOOKUP(Food_Orders[[#This Row],[Food_ID]],Food_Catalog[[#All],[Food_ID]],Food_Catalog[[#All],[Client_Price_Per_Unit]],0,0)</f>
        <v>13500</v>
      </c>
      <c r="I1522">
        <f>Food_Orders[[#This Row],[Client_Price]]-Food_Orders[[#This Row],[Cost]]</f>
        <v>2250</v>
      </c>
    </row>
    <row r="1523" spans="1:9" x14ac:dyDescent="0.25">
      <c r="A1523">
        <v>64</v>
      </c>
      <c r="B1523" t="s">
        <v>29</v>
      </c>
      <c r="C1523" t="s">
        <v>8</v>
      </c>
      <c r="D1523" t="s">
        <v>30</v>
      </c>
      <c r="E1523" t="s">
        <v>10</v>
      </c>
      <c r="F1523" cm="1">
        <f t="array" ref="F1523">_xlfn.XLOOKUP(Food_Orders[[#This Row],[Event_No]],Event_Master[[#All],[Event_No]],Event_Master[[#All],[Guest_Count]],,0)</f>
        <v>450</v>
      </c>
      <c r="G1523" cm="1">
        <f t="array" ref="G1523">Food_Orders[[#This Row],[Quantity_Orderd]]*_xlfn.XLOOKUP(Food_Orders[[#This Row],[Food_ID]],Food_Catalog[[#All],[Food_ID]],Food_Catalog[[#All],[Price_Per_Unit]],0,0)</f>
        <v>13500</v>
      </c>
      <c r="H1523" cm="1">
        <f t="array" ref="H1523">Food_Orders[[#This Row],[Quantity_Orderd]]*_xlfn.XLOOKUP(Food_Orders[[#This Row],[Food_ID]],Food_Catalog[[#All],[Food_ID]],Food_Catalog[[#All],[Client_Price_Per_Unit]],0,0)</f>
        <v>16200</v>
      </c>
      <c r="I1523">
        <f>Food_Orders[[#This Row],[Client_Price]]-Food_Orders[[#This Row],[Cost]]</f>
        <v>2700</v>
      </c>
    </row>
    <row r="1524" spans="1:9" x14ac:dyDescent="0.25">
      <c r="A1524">
        <v>64</v>
      </c>
      <c r="B1524" t="s">
        <v>37</v>
      </c>
      <c r="C1524" t="s">
        <v>8</v>
      </c>
      <c r="D1524" t="s">
        <v>38</v>
      </c>
      <c r="E1524" t="s">
        <v>10</v>
      </c>
      <c r="F1524" cm="1">
        <f t="array" ref="F1524">_xlfn.XLOOKUP(Food_Orders[[#This Row],[Event_No]],Event_Master[[#All],[Event_No]],Event_Master[[#All],[Guest_Count]],,0)</f>
        <v>450</v>
      </c>
      <c r="G1524" cm="1">
        <f t="array" ref="G1524">Food_Orders[[#This Row],[Quantity_Orderd]]*_xlfn.XLOOKUP(Food_Orders[[#This Row],[Food_ID]],Food_Catalog[[#All],[Food_ID]],Food_Catalog[[#All],[Price_Per_Unit]],0,0)</f>
        <v>11250</v>
      </c>
      <c r="H1524" cm="1">
        <f t="array" ref="H1524">Food_Orders[[#This Row],[Quantity_Orderd]]*_xlfn.XLOOKUP(Food_Orders[[#This Row],[Food_ID]],Food_Catalog[[#All],[Food_ID]],Food_Catalog[[#All],[Client_Price_Per_Unit]],0,0)</f>
        <v>13500</v>
      </c>
      <c r="I1524">
        <f>Food_Orders[[#This Row],[Client_Price]]-Food_Orders[[#This Row],[Cost]]</f>
        <v>2250</v>
      </c>
    </row>
    <row r="1525" spans="1:9" x14ac:dyDescent="0.25">
      <c r="A1525">
        <v>64</v>
      </c>
      <c r="B1525" t="s">
        <v>69</v>
      </c>
      <c r="C1525" t="s">
        <v>61</v>
      </c>
      <c r="D1525" t="s">
        <v>70</v>
      </c>
      <c r="E1525" t="s">
        <v>10</v>
      </c>
      <c r="F1525" cm="1">
        <f t="array" ref="F1525">_xlfn.XLOOKUP(Food_Orders[[#This Row],[Event_No]],Event_Master[[#All],[Event_No]],Event_Master[[#All],[Guest_Count]],,0)</f>
        <v>450</v>
      </c>
      <c r="G1525" cm="1">
        <f t="array" ref="G1525">Food_Orders[[#This Row],[Quantity_Orderd]]*_xlfn.XLOOKUP(Food_Orders[[#This Row],[Food_ID]],Food_Catalog[[#All],[Food_ID]],Food_Catalog[[#All],[Price_Per_Unit]],0,0)</f>
        <v>22500</v>
      </c>
      <c r="H1525" cm="1">
        <f t="array" ref="H1525">Food_Orders[[#This Row],[Quantity_Orderd]]*_xlfn.XLOOKUP(Food_Orders[[#This Row],[Food_ID]],Food_Catalog[[#All],[Food_ID]],Food_Catalog[[#All],[Client_Price_Per_Unit]],0,0)</f>
        <v>27000</v>
      </c>
      <c r="I1525">
        <f>Food_Orders[[#This Row],[Client_Price]]-Food_Orders[[#This Row],[Cost]]</f>
        <v>4500</v>
      </c>
    </row>
    <row r="1526" spans="1:9" x14ac:dyDescent="0.25">
      <c r="A1526">
        <v>64</v>
      </c>
      <c r="B1526" t="s">
        <v>27</v>
      </c>
      <c r="C1526" t="s">
        <v>8</v>
      </c>
      <c r="D1526" t="s">
        <v>28</v>
      </c>
      <c r="E1526" t="s">
        <v>10</v>
      </c>
      <c r="F1526" cm="1">
        <f t="array" ref="F1526">_xlfn.XLOOKUP(Food_Orders[[#This Row],[Event_No]],Event_Master[[#All],[Event_No]],Event_Master[[#All],[Guest_Count]],,0)</f>
        <v>450</v>
      </c>
      <c r="G1526" cm="1">
        <f t="array" ref="G1526">Food_Orders[[#This Row],[Quantity_Orderd]]*_xlfn.XLOOKUP(Food_Orders[[#This Row],[Food_ID]],Food_Catalog[[#All],[Food_ID]],Food_Catalog[[#All],[Price_Per_Unit]],0,0)</f>
        <v>18000</v>
      </c>
      <c r="H1526" cm="1">
        <f t="array" ref="H1526">Food_Orders[[#This Row],[Quantity_Orderd]]*_xlfn.XLOOKUP(Food_Orders[[#This Row],[Food_ID]],Food_Catalog[[#All],[Food_ID]],Food_Catalog[[#All],[Client_Price_Per_Unit]],0,0)</f>
        <v>21600</v>
      </c>
      <c r="I1526">
        <f>Food_Orders[[#This Row],[Client_Price]]-Food_Orders[[#This Row],[Cost]]</f>
        <v>3600</v>
      </c>
    </row>
    <row r="1527" spans="1:9" x14ac:dyDescent="0.25">
      <c r="A1527">
        <v>64</v>
      </c>
      <c r="B1527" t="s">
        <v>82</v>
      </c>
      <c r="C1527" t="s">
        <v>83</v>
      </c>
      <c r="D1527" t="s">
        <v>84</v>
      </c>
      <c r="E1527" t="s">
        <v>85</v>
      </c>
      <c r="F1527" cm="1">
        <f t="array" ref="F1527">_xlfn.XLOOKUP(Food_Orders[[#This Row],[Event_No]],Event_Master[[#All],[Event_No]],Event_Master[[#All],[Guest_Count]],,0)</f>
        <v>450</v>
      </c>
      <c r="G1527" cm="1">
        <f t="array" ref="G1527">Food_Orders[[#This Row],[Quantity_Orderd]]*_xlfn.XLOOKUP(Food_Orders[[#This Row],[Food_ID]],Food_Catalog[[#All],[Food_ID]],Food_Catalog[[#All],[Price_Per_Unit]],0,0)</f>
        <v>9000</v>
      </c>
      <c r="H1527" cm="1">
        <f t="array" ref="H1527">Food_Orders[[#This Row],[Quantity_Orderd]]*_xlfn.XLOOKUP(Food_Orders[[#This Row],[Food_ID]],Food_Catalog[[#All],[Food_ID]],Food_Catalog[[#All],[Client_Price_Per_Unit]],0,0)</f>
        <v>10800</v>
      </c>
      <c r="I1527">
        <f>Food_Orders[[#This Row],[Client_Price]]-Food_Orders[[#This Row],[Cost]]</f>
        <v>1800</v>
      </c>
    </row>
    <row r="1528" spans="1:9" x14ac:dyDescent="0.25">
      <c r="A1528">
        <v>64</v>
      </c>
      <c r="B1528" t="s">
        <v>96</v>
      </c>
      <c r="C1528" t="s">
        <v>83</v>
      </c>
      <c r="D1528" t="s">
        <v>97</v>
      </c>
      <c r="E1528" t="s">
        <v>79</v>
      </c>
      <c r="F1528" cm="1">
        <f t="array" ref="F1528">_xlfn.XLOOKUP(Food_Orders[[#This Row],[Event_No]],Event_Master[[#All],[Event_No]],Event_Master[[#All],[Guest_Count]],,0)</f>
        <v>450</v>
      </c>
      <c r="G1528" cm="1">
        <f t="array" ref="G1528">Food_Orders[[#This Row],[Quantity_Orderd]]*_xlfn.XLOOKUP(Food_Orders[[#This Row],[Food_ID]],Food_Catalog[[#All],[Food_ID]],Food_Catalog[[#All],[Price_Per_Unit]],0,0)</f>
        <v>13500</v>
      </c>
      <c r="H1528" cm="1">
        <f t="array" ref="H1528">Food_Orders[[#This Row],[Quantity_Orderd]]*_xlfn.XLOOKUP(Food_Orders[[#This Row],[Food_ID]],Food_Catalog[[#All],[Food_ID]],Food_Catalog[[#All],[Client_Price_Per_Unit]],0,0)</f>
        <v>16200</v>
      </c>
      <c r="I1528">
        <f>Food_Orders[[#This Row],[Client_Price]]-Food_Orders[[#This Row],[Cost]]</f>
        <v>2700</v>
      </c>
    </row>
    <row r="1529" spans="1:9" x14ac:dyDescent="0.25">
      <c r="A1529">
        <v>64</v>
      </c>
      <c r="B1529" t="s">
        <v>92</v>
      </c>
      <c r="C1529" t="s">
        <v>83</v>
      </c>
      <c r="D1529" t="s">
        <v>93</v>
      </c>
      <c r="E1529" t="s">
        <v>85</v>
      </c>
      <c r="F1529" cm="1">
        <f t="array" ref="F1529">_xlfn.XLOOKUP(Food_Orders[[#This Row],[Event_No]],Event_Master[[#All],[Event_No]],Event_Master[[#All],[Guest_Count]],,0)</f>
        <v>450</v>
      </c>
      <c r="G1529" cm="1">
        <f t="array" ref="G1529">Food_Orders[[#This Row],[Quantity_Orderd]]*_xlfn.XLOOKUP(Food_Orders[[#This Row],[Food_ID]],Food_Catalog[[#All],[Food_ID]],Food_Catalog[[#All],[Price_Per_Unit]],0,0)</f>
        <v>6750</v>
      </c>
      <c r="H1529" cm="1">
        <f t="array" ref="H1529">Food_Orders[[#This Row],[Quantity_Orderd]]*_xlfn.XLOOKUP(Food_Orders[[#This Row],[Food_ID]],Food_Catalog[[#All],[Food_ID]],Food_Catalog[[#All],[Client_Price_Per_Unit]],0,0)</f>
        <v>8100</v>
      </c>
      <c r="I1529">
        <f>Food_Orders[[#This Row],[Client_Price]]-Food_Orders[[#This Row],[Cost]]</f>
        <v>1350</v>
      </c>
    </row>
    <row r="1530" spans="1:9" x14ac:dyDescent="0.25">
      <c r="A1530">
        <v>64</v>
      </c>
      <c r="B1530" t="s">
        <v>98</v>
      </c>
      <c r="C1530" t="s">
        <v>83</v>
      </c>
      <c r="D1530" t="s">
        <v>99</v>
      </c>
      <c r="E1530" t="s">
        <v>85</v>
      </c>
      <c r="F1530" cm="1">
        <f t="array" ref="F1530">_xlfn.XLOOKUP(Food_Orders[[#This Row],[Event_No]],Event_Master[[#All],[Event_No]],Event_Master[[#All],[Guest_Count]],,0)</f>
        <v>450</v>
      </c>
      <c r="G1530" cm="1">
        <f t="array" ref="G1530">Food_Orders[[#This Row],[Quantity_Orderd]]*_xlfn.XLOOKUP(Food_Orders[[#This Row],[Food_ID]],Food_Catalog[[#All],[Food_ID]],Food_Catalog[[#All],[Price_Per_Unit]],0,0)</f>
        <v>6750</v>
      </c>
      <c r="H1530" cm="1">
        <f t="array" ref="H1530">Food_Orders[[#This Row],[Quantity_Orderd]]*_xlfn.XLOOKUP(Food_Orders[[#This Row],[Food_ID]],Food_Catalog[[#All],[Food_ID]],Food_Catalog[[#All],[Client_Price_Per_Unit]],0,0)</f>
        <v>8100</v>
      </c>
      <c r="I1530">
        <f>Food_Orders[[#This Row],[Client_Price]]-Food_Orders[[#This Row],[Cost]]</f>
        <v>1350</v>
      </c>
    </row>
    <row r="1531" spans="1:9" x14ac:dyDescent="0.25">
      <c r="A1531">
        <v>65</v>
      </c>
      <c r="B1531" t="s">
        <v>118</v>
      </c>
      <c r="C1531" t="s">
        <v>119</v>
      </c>
      <c r="D1531" t="s">
        <v>120</v>
      </c>
      <c r="E1531" t="s">
        <v>112</v>
      </c>
      <c r="F1531" cm="1">
        <f t="array" ref="F1531">_xlfn.XLOOKUP(Food_Orders[[#This Row],[Event_No]],Event_Master[[#All],[Event_No]],Event_Master[[#All],[Guest_Count]],,0)</f>
        <v>600</v>
      </c>
      <c r="G1531" cm="1">
        <f t="array" ref="G1531">Food_Orders[[#This Row],[Quantity_Orderd]]*_xlfn.XLOOKUP(Food_Orders[[#This Row],[Food_ID]],Food_Catalog[[#All],[Food_ID]],Food_Catalog[[#All],[Price_Per_Unit]],0,0)</f>
        <v>6000</v>
      </c>
      <c r="H1531" cm="1">
        <f t="array" ref="H1531">Food_Orders[[#This Row],[Quantity_Orderd]]*_xlfn.XLOOKUP(Food_Orders[[#This Row],[Food_ID]],Food_Catalog[[#All],[Food_ID]],Food_Catalog[[#All],[Client_Price_Per_Unit]],0,0)</f>
        <v>7200</v>
      </c>
      <c r="I1531">
        <f>Food_Orders[[#This Row],[Client_Price]]-Food_Orders[[#This Row],[Cost]]</f>
        <v>1200</v>
      </c>
    </row>
    <row r="1532" spans="1:9" x14ac:dyDescent="0.25">
      <c r="A1532">
        <v>65</v>
      </c>
      <c r="B1532" t="s">
        <v>129</v>
      </c>
      <c r="C1532" t="s">
        <v>119</v>
      </c>
      <c r="D1532" t="s">
        <v>130</v>
      </c>
      <c r="E1532" t="s">
        <v>112</v>
      </c>
      <c r="F1532" cm="1">
        <f t="array" ref="F1532">_xlfn.XLOOKUP(Food_Orders[[#This Row],[Event_No]],Event_Master[[#All],[Event_No]],Event_Master[[#All],[Guest_Count]],,0)</f>
        <v>600</v>
      </c>
      <c r="G1532" cm="1">
        <f t="array" ref="G1532">Food_Orders[[#This Row],[Quantity_Orderd]]*_xlfn.XLOOKUP(Food_Orders[[#This Row],[Food_ID]],Food_Catalog[[#All],[Food_ID]],Food_Catalog[[#All],[Price_Per_Unit]],0,0)</f>
        <v>6000</v>
      </c>
      <c r="H1532" cm="1">
        <f t="array" ref="H1532">Food_Orders[[#This Row],[Quantity_Orderd]]*_xlfn.XLOOKUP(Food_Orders[[#This Row],[Food_ID]],Food_Catalog[[#All],[Food_ID]],Food_Catalog[[#All],[Client_Price_Per_Unit]],0,0)</f>
        <v>7200</v>
      </c>
      <c r="I1532">
        <f>Food_Orders[[#This Row],[Client_Price]]-Food_Orders[[#This Row],[Cost]]</f>
        <v>1200</v>
      </c>
    </row>
    <row r="1533" spans="1:9" x14ac:dyDescent="0.25">
      <c r="A1533">
        <v>65</v>
      </c>
      <c r="B1533" t="s">
        <v>104</v>
      </c>
      <c r="C1533" t="s">
        <v>105</v>
      </c>
      <c r="D1533" t="s">
        <v>106</v>
      </c>
      <c r="E1533" t="s">
        <v>107</v>
      </c>
      <c r="F1533" cm="1">
        <f t="array" ref="F1533">_xlfn.XLOOKUP(Food_Orders[[#This Row],[Event_No]],Event_Master[[#All],[Event_No]],Event_Master[[#All],[Guest_Count]],,0)</f>
        <v>600</v>
      </c>
      <c r="G1533" cm="1">
        <f t="array" ref="G1533">Food_Orders[[#This Row],[Quantity_Orderd]]*_xlfn.XLOOKUP(Food_Orders[[#This Row],[Food_ID]],Food_Catalog[[#All],[Food_ID]],Food_Catalog[[#All],[Price_Per_Unit]],0,0)</f>
        <v>6000</v>
      </c>
      <c r="H1533" cm="1">
        <f t="array" ref="H1533">Food_Orders[[#This Row],[Quantity_Orderd]]*_xlfn.XLOOKUP(Food_Orders[[#This Row],[Food_ID]],Food_Catalog[[#All],[Food_ID]],Food_Catalog[[#All],[Client_Price_Per_Unit]],0,0)</f>
        <v>7200</v>
      </c>
      <c r="I1533">
        <f>Food_Orders[[#This Row],[Client_Price]]-Food_Orders[[#This Row],[Cost]]</f>
        <v>1200</v>
      </c>
    </row>
    <row r="1534" spans="1:9" x14ac:dyDescent="0.25">
      <c r="A1534">
        <v>65</v>
      </c>
      <c r="B1534" t="s">
        <v>108</v>
      </c>
      <c r="C1534" t="s">
        <v>105</v>
      </c>
      <c r="D1534" t="s">
        <v>109</v>
      </c>
      <c r="E1534" t="s">
        <v>107</v>
      </c>
      <c r="F1534" cm="1">
        <f t="array" ref="F1534">_xlfn.XLOOKUP(Food_Orders[[#This Row],[Event_No]],Event_Master[[#All],[Event_No]],Event_Master[[#All],[Guest_Count]],,0)</f>
        <v>600</v>
      </c>
      <c r="G1534" cm="1">
        <f t="array" ref="G1534">Food_Orders[[#This Row],[Quantity_Orderd]]*_xlfn.XLOOKUP(Food_Orders[[#This Row],[Food_ID]],Food_Catalog[[#All],[Food_ID]],Food_Catalog[[#All],[Price_Per_Unit]],0,0)</f>
        <v>9000</v>
      </c>
      <c r="H1534" cm="1">
        <f t="array" ref="H1534">Food_Orders[[#This Row],[Quantity_Orderd]]*_xlfn.XLOOKUP(Food_Orders[[#This Row],[Food_ID]],Food_Catalog[[#All],[Food_ID]],Food_Catalog[[#All],[Client_Price_Per_Unit]],0,0)</f>
        <v>10800</v>
      </c>
      <c r="I1534">
        <f>Food_Orders[[#This Row],[Client_Price]]-Food_Orders[[#This Row],[Cost]]</f>
        <v>1800</v>
      </c>
    </row>
    <row r="1535" spans="1:9" x14ac:dyDescent="0.25">
      <c r="A1535">
        <v>65</v>
      </c>
      <c r="B1535" t="s">
        <v>127</v>
      </c>
      <c r="C1535" t="s">
        <v>119</v>
      </c>
      <c r="D1535" t="s">
        <v>128</v>
      </c>
      <c r="E1535" t="s">
        <v>107</v>
      </c>
      <c r="F1535" cm="1">
        <f t="array" ref="F1535">_xlfn.XLOOKUP(Food_Orders[[#This Row],[Event_No]],Event_Master[[#All],[Event_No]],Event_Master[[#All],[Guest_Count]],,0)</f>
        <v>600</v>
      </c>
      <c r="G1535" cm="1">
        <f t="array" ref="G1535">Food_Orders[[#This Row],[Quantity_Orderd]]*_xlfn.XLOOKUP(Food_Orders[[#This Row],[Food_ID]],Food_Catalog[[#All],[Food_ID]],Food_Catalog[[#All],[Price_Per_Unit]],0,0)</f>
        <v>12000</v>
      </c>
      <c r="H1535" cm="1">
        <f t="array" ref="H1535">Food_Orders[[#This Row],[Quantity_Orderd]]*_xlfn.XLOOKUP(Food_Orders[[#This Row],[Food_ID]],Food_Catalog[[#All],[Food_ID]],Food_Catalog[[#All],[Client_Price_Per_Unit]],0,0)</f>
        <v>14400</v>
      </c>
      <c r="I1535">
        <f>Food_Orders[[#This Row],[Client_Price]]-Food_Orders[[#This Row],[Cost]]</f>
        <v>2400</v>
      </c>
    </row>
    <row r="1536" spans="1:9" x14ac:dyDescent="0.25">
      <c r="A1536">
        <v>65</v>
      </c>
      <c r="B1536" t="s">
        <v>124</v>
      </c>
      <c r="C1536" t="s">
        <v>119</v>
      </c>
      <c r="D1536" t="s">
        <v>125</v>
      </c>
      <c r="E1536" t="s">
        <v>126</v>
      </c>
      <c r="F1536" cm="1">
        <f t="array" ref="F1536">_xlfn.XLOOKUP(Food_Orders[[#This Row],[Event_No]],Event_Master[[#All],[Event_No]],Event_Master[[#All],[Guest_Count]],,0)</f>
        <v>600</v>
      </c>
      <c r="G1536" cm="1">
        <f t="array" ref="G1536">Food_Orders[[#This Row],[Quantity_Orderd]]*_xlfn.XLOOKUP(Food_Orders[[#This Row],[Food_ID]],Food_Catalog[[#All],[Food_ID]],Food_Catalog[[#All],[Price_Per_Unit]],0,0)</f>
        <v>12000</v>
      </c>
      <c r="H1536" cm="1">
        <f t="array" ref="H1536">Food_Orders[[#This Row],[Quantity_Orderd]]*_xlfn.XLOOKUP(Food_Orders[[#This Row],[Food_ID]],Food_Catalog[[#All],[Food_ID]],Food_Catalog[[#All],[Client_Price_Per_Unit]],0,0)</f>
        <v>14400</v>
      </c>
      <c r="I1536">
        <f>Food_Orders[[#This Row],[Client_Price]]-Food_Orders[[#This Row],[Cost]]</f>
        <v>2400</v>
      </c>
    </row>
    <row r="1537" spans="1:9" x14ac:dyDescent="0.25">
      <c r="A1537">
        <v>65</v>
      </c>
      <c r="B1537" t="s">
        <v>121</v>
      </c>
      <c r="C1537" t="s">
        <v>119</v>
      </c>
      <c r="D1537" t="s">
        <v>122</v>
      </c>
      <c r="E1537" t="s">
        <v>123</v>
      </c>
      <c r="F1537" cm="1">
        <f t="array" ref="F1537">_xlfn.XLOOKUP(Food_Orders[[#This Row],[Event_No]],Event_Master[[#All],[Event_No]],Event_Master[[#All],[Guest_Count]],,0)</f>
        <v>600</v>
      </c>
      <c r="G1537" cm="1">
        <f t="array" ref="G1537">Food_Orders[[#This Row],[Quantity_Orderd]]*_xlfn.XLOOKUP(Food_Orders[[#This Row],[Food_ID]],Food_Catalog[[#All],[Food_ID]],Food_Catalog[[#All],[Price_Per_Unit]],0,0)</f>
        <v>6000</v>
      </c>
      <c r="H1537" cm="1">
        <f t="array" ref="H1537">Food_Orders[[#This Row],[Quantity_Orderd]]*_xlfn.XLOOKUP(Food_Orders[[#This Row],[Food_ID]],Food_Catalog[[#All],[Food_ID]],Food_Catalog[[#All],[Client_Price_Per_Unit]],0,0)</f>
        <v>7200</v>
      </c>
      <c r="I1537">
        <f>Food_Orders[[#This Row],[Client_Price]]-Food_Orders[[#This Row],[Cost]]</f>
        <v>1200</v>
      </c>
    </row>
    <row r="1538" spans="1:9" x14ac:dyDescent="0.25">
      <c r="A1538">
        <v>65</v>
      </c>
      <c r="B1538" t="s">
        <v>63</v>
      </c>
      <c r="C1538" t="s">
        <v>61</v>
      </c>
      <c r="D1538" t="s">
        <v>64</v>
      </c>
      <c r="E1538" t="s">
        <v>10</v>
      </c>
      <c r="F1538" cm="1">
        <f t="array" ref="F1538">_xlfn.XLOOKUP(Food_Orders[[#This Row],[Event_No]],Event_Master[[#All],[Event_No]],Event_Master[[#All],[Guest_Count]],,0)</f>
        <v>600</v>
      </c>
      <c r="G1538" cm="1">
        <f t="array" ref="G1538">Food_Orders[[#This Row],[Quantity_Orderd]]*_xlfn.XLOOKUP(Food_Orders[[#This Row],[Food_ID]],Food_Catalog[[#All],[Food_ID]],Food_Catalog[[#All],[Price_Per_Unit]],0,0)</f>
        <v>18000</v>
      </c>
      <c r="H1538" cm="1">
        <f t="array" ref="H1538">Food_Orders[[#This Row],[Quantity_Orderd]]*_xlfn.XLOOKUP(Food_Orders[[#This Row],[Food_ID]],Food_Catalog[[#All],[Food_ID]],Food_Catalog[[#All],[Client_Price_Per_Unit]],0,0)</f>
        <v>21600</v>
      </c>
      <c r="I1538">
        <f>Food_Orders[[#This Row],[Client_Price]]-Food_Orders[[#This Row],[Cost]]</f>
        <v>3600</v>
      </c>
    </row>
    <row r="1539" spans="1:9" x14ac:dyDescent="0.25">
      <c r="A1539">
        <v>65</v>
      </c>
      <c r="B1539" t="s">
        <v>71</v>
      </c>
      <c r="C1539" t="s">
        <v>61</v>
      </c>
      <c r="D1539" t="s">
        <v>72</v>
      </c>
      <c r="E1539" t="s">
        <v>10</v>
      </c>
      <c r="F1539" cm="1">
        <f t="array" ref="F1539">_xlfn.XLOOKUP(Food_Orders[[#This Row],[Event_No]],Event_Master[[#All],[Event_No]],Event_Master[[#All],[Guest_Count]],,0)</f>
        <v>600</v>
      </c>
      <c r="G1539" cm="1">
        <f t="array" ref="G1539">Food_Orders[[#This Row],[Quantity_Orderd]]*_xlfn.XLOOKUP(Food_Orders[[#This Row],[Food_ID]],Food_Catalog[[#All],[Food_ID]],Food_Catalog[[#All],[Price_Per_Unit]],0,0)</f>
        <v>15000</v>
      </c>
      <c r="H1539" cm="1">
        <f t="array" ref="H1539">Food_Orders[[#This Row],[Quantity_Orderd]]*_xlfn.XLOOKUP(Food_Orders[[#This Row],[Food_ID]],Food_Catalog[[#All],[Food_ID]],Food_Catalog[[#All],[Client_Price_Per_Unit]],0,0)</f>
        <v>18000</v>
      </c>
      <c r="I1539">
        <f>Food_Orders[[#This Row],[Client_Price]]-Food_Orders[[#This Row],[Cost]]</f>
        <v>3000</v>
      </c>
    </row>
    <row r="1540" spans="1:9" x14ac:dyDescent="0.25">
      <c r="A1540">
        <v>65</v>
      </c>
      <c r="B1540" t="s">
        <v>73</v>
      </c>
      <c r="C1540" t="s">
        <v>61</v>
      </c>
      <c r="D1540" t="s">
        <v>74</v>
      </c>
      <c r="E1540" t="s">
        <v>10</v>
      </c>
      <c r="F1540" cm="1">
        <f t="array" ref="F1540">_xlfn.XLOOKUP(Food_Orders[[#This Row],[Event_No]],Event_Master[[#All],[Event_No]],Event_Master[[#All],[Guest_Count]],,0)</f>
        <v>600</v>
      </c>
      <c r="G1540" cm="1">
        <f t="array" ref="G1540">Food_Orders[[#This Row],[Quantity_Orderd]]*_xlfn.XLOOKUP(Food_Orders[[#This Row],[Food_ID]],Food_Catalog[[#All],[Food_ID]],Food_Catalog[[#All],[Price_Per_Unit]],0,0)</f>
        <v>24000</v>
      </c>
      <c r="H1540" cm="1">
        <f t="array" ref="H1540">Food_Orders[[#This Row],[Quantity_Orderd]]*_xlfn.XLOOKUP(Food_Orders[[#This Row],[Food_ID]],Food_Catalog[[#All],[Food_ID]],Food_Catalog[[#All],[Client_Price_Per_Unit]],0,0)</f>
        <v>28800</v>
      </c>
      <c r="I1540">
        <f>Food_Orders[[#This Row],[Client_Price]]-Food_Orders[[#This Row],[Cost]]</f>
        <v>4800</v>
      </c>
    </row>
    <row r="1541" spans="1:9" x14ac:dyDescent="0.25">
      <c r="A1541">
        <v>65</v>
      </c>
      <c r="B1541" t="s">
        <v>75</v>
      </c>
      <c r="C1541" t="s">
        <v>61</v>
      </c>
      <c r="D1541" t="s">
        <v>76</v>
      </c>
      <c r="E1541" t="s">
        <v>10</v>
      </c>
      <c r="F1541" cm="1">
        <f t="array" ref="F1541">_xlfn.XLOOKUP(Food_Orders[[#This Row],[Event_No]],Event_Master[[#All],[Event_No]],Event_Master[[#All],[Guest_Count]],,0)</f>
        <v>600</v>
      </c>
      <c r="G1541" cm="1">
        <f t="array" ref="G1541">Food_Orders[[#This Row],[Quantity_Orderd]]*_xlfn.XLOOKUP(Food_Orders[[#This Row],[Food_ID]],Food_Catalog[[#All],[Food_ID]],Food_Catalog[[#All],[Price_Per_Unit]],0,0)</f>
        <v>24000</v>
      </c>
      <c r="H1541" cm="1">
        <f t="array" ref="H1541">Food_Orders[[#This Row],[Quantity_Orderd]]*_xlfn.XLOOKUP(Food_Orders[[#This Row],[Food_ID]],Food_Catalog[[#All],[Food_ID]],Food_Catalog[[#All],[Client_Price_Per_Unit]],0,0)</f>
        <v>28800</v>
      </c>
      <c r="I1541">
        <f>Food_Orders[[#This Row],[Client_Price]]-Food_Orders[[#This Row],[Cost]]</f>
        <v>4800</v>
      </c>
    </row>
    <row r="1542" spans="1:9" x14ac:dyDescent="0.25">
      <c r="A1542">
        <v>65</v>
      </c>
      <c r="B1542" t="s">
        <v>69</v>
      </c>
      <c r="C1542" t="s">
        <v>61</v>
      </c>
      <c r="D1542" t="s">
        <v>70</v>
      </c>
      <c r="E1542" t="s">
        <v>10</v>
      </c>
      <c r="F1542" cm="1">
        <f t="array" ref="F1542">_xlfn.XLOOKUP(Food_Orders[[#This Row],[Event_No]],Event_Master[[#All],[Event_No]],Event_Master[[#All],[Guest_Count]],,0)</f>
        <v>600</v>
      </c>
      <c r="G1542" cm="1">
        <f t="array" ref="G1542">Food_Orders[[#This Row],[Quantity_Orderd]]*_xlfn.XLOOKUP(Food_Orders[[#This Row],[Food_ID]],Food_Catalog[[#All],[Food_ID]],Food_Catalog[[#All],[Price_Per_Unit]],0,0)</f>
        <v>30000</v>
      </c>
      <c r="H1542" cm="1">
        <f t="array" ref="H1542">Food_Orders[[#This Row],[Quantity_Orderd]]*_xlfn.XLOOKUP(Food_Orders[[#This Row],[Food_ID]],Food_Catalog[[#All],[Food_ID]],Food_Catalog[[#All],[Client_Price_Per_Unit]],0,0)</f>
        <v>36000</v>
      </c>
      <c r="I1542">
        <f>Food_Orders[[#This Row],[Client_Price]]-Food_Orders[[#This Row],[Cost]]</f>
        <v>6000</v>
      </c>
    </row>
    <row r="1543" spans="1:9" x14ac:dyDescent="0.25">
      <c r="A1543">
        <v>65</v>
      </c>
      <c r="B1543" t="s">
        <v>67</v>
      </c>
      <c r="C1543" t="s">
        <v>61</v>
      </c>
      <c r="D1543" t="s">
        <v>68</v>
      </c>
      <c r="E1543" t="s">
        <v>10</v>
      </c>
      <c r="F1543" cm="1">
        <f t="array" ref="F1543">_xlfn.XLOOKUP(Food_Orders[[#This Row],[Event_No]],Event_Master[[#All],[Event_No]],Event_Master[[#All],[Guest_Count]],,0)</f>
        <v>600</v>
      </c>
      <c r="G1543" cm="1">
        <f t="array" ref="G1543">Food_Orders[[#This Row],[Quantity_Orderd]]*_xlfn.XLOOKUP(Food_Orders[[#This Row],[Food_ID]],Food_Catalog[[#All],[Food_ID]],Food_Catalog[[#All],[Price_Per_Unit]],0,0)</f>
        <v>18000</v>
      </c>
      <c r="H1543" cm="1">
        <f t="array" ref="H1543">Food_Orders[[#This Row],[Quantity_Orderd]]*_xlfn.XLOOKUP(Food_Orders[[#This Row],[Food_ID]],Food_Catalog[[#All],[Food_ID]],Food_Catalog[[#All],[Client_Price_Per_Unit]],0,0)</f>
        <v>21600</v>
      </c>
      <c r="I1543">
        <f>Food_Orders[[#This Row],[Client_Price]]-Food_Orders[[#This Row],[Cost]]</f>
        <v>3600</v>
      </c>
    </row>
    <row r="1544" spans="1:9" x14ac:dyDescent="0.25">
      <c r="A1544">
        <v>65</v>
      </c>
      <c r="B1544" t="s">
        <v>7</v>
      </c>
      <c r="C1544" t="s">
        <v>8</v>
      </c>
      <c r="D1544" t="s">
        <v>9</v>
      </c>
      <c r="E1544" t="s">
        <v>10</v>
      </c>
      <c r="F1544" cm="1">
        <f t="array" ref="F1544">_xlfn.XLOOKUP(Food_Orders[[#This Row],[Event_No]],Event_Master[[#All],[Event_No]],Event_Master[[#All],[Guest_Count]],,0)</f>
        <v>600</v>
      </c>
      <c r="G1544" cm="1">
        <f t="array" ref="G1544">Food_Orders[[#This Row],[Quantity_Orderd]]*_xlfn.XLOOKUP(Food_Orders[[#This Row],[Food_ID]],Food_Catalog[[#All],[Food_ID]],Food_Catalog[[#All],[Price_Per_Unit]],0,0)</f>
        <v>15000</v>
      </c>
      <c r="H1544" cm="1">
        <f t="array" ref="H1544">Food_Orders[[#This Row],[Quantity_Orderd]]*_xlfn.XLOOKUP(Food_Orders[[#This Row],[Food_ID]],Food_Catalog[[#All],[Food_ID]],Food_Catalog[[#All],[Client_Price_Per_Unit]],0,0)</f>
        <v>18000</v>
      </c>
      <c r="I1544">
        <f>Food_Orders[[#This Row],[Client_Price]]-Food_Orders[[#This Row],[Cost]]</f>
        <v>3000</v>
      </c>
    </row>
    <row r="1545" spans="1:9" x14ac:dyDescent="0.25">
      <c r="A1545">
        <v>65</v>
      </c>
      <c r="B1545" t="s">
        <v>27</v>
      </c>
      <c r="C1545" t="s">
        <v>8</v>
      </c>
      <c r="D1545" t="s">
        <v>28</v>
      </c>
      <c r="E1545" t="s">
        <v>10</v>
      </c>
      <c r="F1545" cm="1">
        <f t="array" ref="F1545">_xlfn.XLOOKUP(Food_Orders[[#This Row],[Event_No]],Event_Master[[#All],[Event_No]],Event_Master[[#All],[Guest_Count]],,0)</f>
        <v>600</v>
      </c>
      <c r="G1545" cm="1">
        <f t="array" ref="G1545">Food_Orders[[#This Row],[Quantity_Orderd]]*_xlfn.XLOOKUP(Food_Orders[[#This Row],[Food_ID]],Food_Catalog[[#All],[Food_ID]],Food_Catalog[[#All],[Price_Per_Unit]],0,0)</f>
        <v>24000</v>
      </c>
      <c r="H1545" cm="1">
        <f t="array" ref="H1545">Food_Orders[[#This Row],[Quantity_Orderd]]*_xlfn.XLOOKUP(Food_Orders[[#This Row],[Food_ID]],Food_Catalog[[#All],[Food_ID]],Food_Catalog[[#All],[Client_Price_Per_Unit]],0,0)</f>
        <v>28800</v>
      </c>
      <c r="I1545">
        <f>Food_Orders[[#This Row],[Client_Price]]-Food_Orders[[#This Row],[Cost]]</f>
        <v>4800</v>
      </c>
    </row>
    <row r="1546" spans="1:9" x14ac:dyDescent="0.25">
      <c r="A1546">
        <v>65</v>
      </c>
      <c r="B1546" t="s">
        <v>29</v>
      </c>
      <c r="C1546" t="s">
        <v>8</v>
      </c>
      <c r="D1546" t="s">
        <v>30</v>
      </c>
      <c r="E1546" t="s">
        <v>10</v>
      </c>
      <c r="F1546" cm="1">
        <f t="array" ref="F1546">_xlfn.XLOOKUP(Food_Orders[[#This Row],[Event_No]],Event_Master[[#All],[Event_No]],Event_Master[[#All],[Guest_Count]],,0)</f>
        <v>600</v>
      </c>
      <c r="G1546" cm="1">
        <f t="array" ref="G1546">Food_Orders[[#This Row],[Quantity_Orderd]]*_xlfn.XLOOKUP(Food_Orders[[#This Row],[Food_ID]],Food_Catalog[[#All],[Food_ID]],Food_Catalog[[#All],[Price_Per_Unit]],0,0)</f>
        <v>18000</v>
      </c>
      <c r="H1546" cm="1">
        <f t="array" ref="H1546">Food_Orders[[#This Row],[Quantity_Orderd]]*_xlfn.XLOOKUP(Food_Orders[[#This Row],[Food_ID]],Food_Catalog[[#All],[Food_ID]],Food_Catalog[[#All],[Client_Price_Per_Unit]],0,0)</f>
        <v>21600</v>
      </c>
      <c r="I1546">
        <f>Food_Orders[[#This Row],[Client_Price]]-Food_Orders[[#This Row],[Cost]]</f>
        <v>3600</v>
      </c>
    </row>
    <row r="1547" spans="1:9" x14ac:dyDescent="0.25">
      <c r="A1547">
        <v>65</v>
      </c>
      <c r="B1547" t="s">
        <v>37</v>
      </c>
      <c r="C1547" t="s">
        <v>8</v>
      </c>
      <c r="D1547" t="s">
        <v>38</v>
      </c>
      <c r="E1547" t="s">
        <v>10</v>
      </c>
      <c r="F1547" cm="1">
        <f t="array" ref="F1547">_xlfn.XLOOKUP(Food_Orders[[#This Row],[Event_No]],Event_Master[[#All],[Event_No]],Event_Master[[#All],[Guest_Count]],,0)</f>
        <v>600</v>
      </c>
      <c r="G1547" cm="1">
        <f t="array" ref="G1547">Food_Orders[[#This Row],[Quantity_Orderd]]*_xlfn.XLOOKUP(Food_Orders[[#This Row],[Food_ID]],Food_Catalog[[#All],[Food_ID]],Food_Catalog[[#All],[Price_Per_Unit]],0,0)</f>
        <v>15000</v>
      </c>
      <c r="H1547" cm="1">
        <f t="array" ref="H1547">Food_Orders[[#This Row],[Quantity_Orderd]]*_xlfn.XLOOKUP(Food_Orders[[#This Row],[Food_ID]],Food_Catalog[[#All],[Food_ID]],Food_Catalog[[#All],[Client_Price_Per_Unit]],0,0)</f>
        <v>18000</v>
      </c>
      <c r="I1547">
        <f>Food_Orders[[#This Row],[Client_Price]]-Food_Orders[[#This Row],[Cost]]</f>
        <v>3000</v>
      </c>
    </row>
    <row r="1548" spans="1:9" x14ac:dyDescent="0.25">
      <c r="A1548">
        <v>65</v>
      </c>
      <c r="B1548" t="s">
        <v>39</v>
      </c>
      <c r="C1548" t="s">
        <v>40</v>
      </c>
      <c r="D1548" t="s">
        <v>41</v>
      </c>
      <c r="E1548" t="s">
        <v>10</v>
      </c>
      <c r="F1548" cm="1">
        <f t="array" ref="F1548">_xlfn.XLOOKUP(Food_Orders[[#This Row],[Event_No]],Event_Master[[#All],[Event_No]],Event_Master[[#All],[Guest_Count]],,0)</f>
        <v>600</v>
      </c>
      <c r="G1548" cm="1">
        <f t="array" ref="G1548">Food_Orders[[#This Row],[Quantity_Orderd]]*_xlfn.XLOOKUP(Food_Orders[[#This Row],[Food_ID]],Food_Catalog[[#All],[Food_ID]],Food_Catalog[[#All],[Price_Per_Unit]],0,0)</f>
        <v>36000</v>
      </c>
      <c r="H1548" cm="1">
        <f t="array" ref="H1548">Food_Orders[[#This Row],[Quantity_Orderd]]*_xlfn.XLOOKUP(Food_Orders[[#This Row],[Food_ID]],Food_Catalog[[#All],[Food_ID]],Food_Catalog[[#All],[Client_Price_Per_Unit]],0,0)</f>
        <v>43200</v>
      </c>
      <c r="I1548">
        <f>Food_Orders[[#This Row],[Client_Price]]-Food_Orders[[#This Row],[Cost]]</f>
        <v>7200</v>
      </c>
    </row>
    <row r="1549" spans="1:9" x14ac:dyDescent="0.25">
      <c r="A1549">
        <v>65</v>
      </c>
      <c r="B1549" t="s">
        <v>42</v>
      </c>
      <c r="C1549" t="s">
        <v>40</v>
      </c>
      <c r="D1549" t="s">
        <v>43</v>
      </c>
      <c r="E1549" t="s">
        <v>10</v>
      </c>
      <c r="F1549" cm="1">
        <f t="array" ref="F1549">_xlfn.XLOOKUP(Food_Orders[[#This Row],[Event_No]],Event_Master[[#All],[Event_No]],Event_Master[[#All],[Guest_Count]],,0)</f>
        <v>600</v>
      </c>
      <c r="G1549" cm="1">
        <f t="array" ref="G1549">Food_Orders[[#This Row],[Quantity_Orderd]]*_xlfn.XLOOKUP(Food_Orders[[#This Row],[Food_ID]],Food_Catalog[[#All],[Food_ID]],Food_Catalog[[#All],[Price_Per_Unit]],0,0)</f>
        <v>42000</v>
      </c>
      <c r="H1549" cm="1">
        <f t="array" ref="H1549">Food_Orders[[#This Row],[Quantity_Orderd]]*_xlfn.XLOOKUP(Food_Orders[[#This Row],[Food_ID]],Food_Catalog[[#All],[Food_ID]],Food_Catalog[[#All],[Client_Price_Per_Unit]],0,0)</f>
        <v>50400</v>
      </c>
      <c r="I1549">
        <f>Food_Orders[[#This Row],[Client_Price]]-Food_Orders[[#This Row],[Cost]]</f>
        <v>8400</v>
      </c>
    </row>
    <row r="1550" spans="1:9" x14ac:dyDescent="0.25">
      <c r="A1550">
        <v>65</v>
      </c>
      <c r="B1550" t="s">
        <v>58</v>
      </c>
      <c r="C1550" t="s">
        <v>40</v>
      </c>
      <c r="D1550" t="s">
        <v>59</v>
      </c>
      <c r="E1550" t="s">
        <v>10</v>
      </c>
      <c r="F1550" cm="1">
        <f t="array" ref="F1550">_xlfn.XLOOKUP(Food_Orders[[#This Row],[Event_No]],Event_Master[[#All],[Event_No]],Event_Master[[#All],[Guest_Count]],,0)</f>
        <v>600</v>
      </c>
      <c r="G1550" cm="1">
        <f t="array" ref="G1550">Food_Orders[[#This Row],[Quantity_Orderd]]*_xlfn.XLOOKUP(Food_Orders[[#This Row],[Food_ID]],Food_Catalog[[#All],[Food_ID]],Food_Catalog[[#All],[Price_Per_Unit]],0,0)</f>
        <v>54000</v>
      </c>
      <c r="H1550" cm="1">
        <f t="array" ref="H1550">Food_Orders[[#This Row],[Quantity_Orderd]]*_xlfn.XLOOKUP(Food_Orders[[#This Row],[Food_ID]],Food_Catalog[[#All],[Food_ID]],Food_Catalog[[#All],[Client_Price_Per_Unit]],0,0)</f>
        <v>64800</v>
      </c>
      <c r="I1550">
        <f>Food_Orders[[#This Row],[Client_Price]]-Food_Orders[[#This Row],[Cost]]</f>
        <v>10800</v>
      </c>
    </row>
    <row r="1551" spans="1:9" x14ac:dyDescent="0.25">
      <c r="A1551">
        <v>65</v>
      </c>
      <c r="B1551" t="s">
        <v>46</v>
      </c>
      <c r="C1551" t="s">
        <v>40</v>
      </c>
      <c r="D1551" t="s">
        <v>47</v>
      </c>
      <c r="E1551" t="s">
        <v>10</v>
      </c>
      <c r="F1551" cm="1">
        <f t="array" ref="F1551">_xlfn.XLOOKUP(Food_Orders[[#This Row],[Event_No]],Event_Master[[#All],[Event_No]],Event_Master[[#All],[Guest_Count]],,0)</f>
        <v>600</v>
      </c>
      <c r="G1551" cm="1">
        <f t="array" ref="G1551">Food_Orders[[#This Row],[Quantity_Orderd]]*_xlfn.XLOOKUP(Food_Orders[[#This Row],[Food_ID]],Food_Catalog[[#All],[Food_ID]],Food_Catalog[[#All],[Price_Per_Unit]],0,0)</f>
        <v>54000</v>
      </c>
      <c r="H1551" cm="1">
        <f t="array" ref="H1551">Food_Orders[[#This Row],[Quantity_Orderd]]*_xlfn.XLOOKUP(Food_Orders[[#This Row],[Food_ID]],Food_Catalog[[#All],[Food_ID]],Food_Catalog[[#All],[Client_Price_Per_Unit]],0,0)</f>
        <v>64800</v>
      </c>
      <c r="I1551">
        <f>Food_Orders[[#This Row],[Client_Price]]-Food_Orders[[#This Row],[Cost]]</f>
        <v>10800</v>
      </c>
    </row>
    <row r="1552" spans="1:9" x14ac:dyDescent="0.25">
      <c r="A1552">
        <v>65</v>
      </c>
      <c r="B1552" t="s">
        <v>50</v>
      </c>
      <c r="C1552" t="s">
        <v>40</v>
      </c>
      <c r="D1552" t="s">
        <v>51</v>
      </c>
      <c r="E1552" t="s">
        <v>10</v>
      </c>
      <c r="F1552" cm="1">
        <f t="array" ref="F1552">_xlfn.XLOOKUP(Food_Orders[[#This Row],[Event_No]],Event_Master[[#All],[Event_No]],Event_Master[[#All],[Guest_Count]],,0)</f>
        <v>600</v>
      </c>
      <c r="G1552" cm="1">
        <f t="array" ref="G1552">Food_Orders[[#This Row],[Quantity_Orderd]]*_xlfn.XLOOKUP(Food_Orders[[#This Row],[Food_ID]],Food_Catalog[[#All],[Food_ID]],Food_Catalog[[#All],[Price_Per_Unit]],0,0)</f>
        <v>48000</v>
      </c>
      <c r="H1552" cm="1">
        <f t="array" ref="H1552">Food_Orders[[#This Row],[Quantity_Orderd]]*_xlfn.XLOOKUP(Food_Orders[[#This Row],[Food_ID]],Food_Catalog[[#All],[Food_ID]],Food_Catalog[[#All],[Client_Price_Per_Unit]],0,0)</f>
        <v>57600</v>
      </c>
      <c r="I1552">
        <f>Food_Orders[[#This Row],[Client_Price]]-Food_Orders[[#This Row],[Cost]]</f>
        <v>9600</v>
      </c>
    </row>
    <row r="1553" spans="1:9" x14ac:dyDescent="0.25">
      <c r="A1553">
        <v>65</v>
      </c>
      <c r="B1553" t="s">
        <v>82</v>
      </c>
      <c r="C1553" t="s">
        <v>83</v>
      </c>
      <c r="D1553" t="s">
        <v>84</v>
      </c>
      <c r="E1553" t="s">
        <v>85</v>
      </c>
      <c r="F1553" cm="1">
        <f t="array" ref="F1553">_xlfn.XLOOKUP(Food_Orders[[#This Row],[Event_No]],Event_Master[[#All],[Event_No]],Event_Master[[#All],[Guest_Count]],,0)</f>
        <v>600</v>
      </c>
      <c r="G1553" cm="1">
        <f t="array" ref="G1553">Food_Orders[[#This Row],[Quantity_Orderd]]*_xlfn.XLOOKUP(Food_Orders[[#This Row],[Food_ID]],Food_Catalog[[#All],[Food_ID]],Food_Catalog[[#All],[Price_Per_Unit]],0,0)</f>
        <v>12000</v>
      </c>
      <c r="H1553" cm="1">
        <f t="array" ref="H1553">Food_Orders[[#This Row],[Quantity_Orderd]]*_xlfn.XLOOKUP(Food_Orders[[#This Row],[Food_ID]],Food_Catalog[[#All],[Food_ID]],Food_Catalog[[#All],[Client_Price_Per_Unit]],0,0)</f>
        <v>14400</v>
      </c>
      <c r="I1553">
        <f>Food_Orders[[#This Row],[Client_Price]]-Food_Orders[[#This Row],[Cost]]</f>
        <v>2400</v>
      </c>
    </row>
    <row r="1554" spans="1:9" x14ac:dyDescent="0.25">
      <c r="A1554">
        <v>65</v>
      </c>
      <c r="B1554" t="s">
        <v>86</v>
      </c>
      <c r="C1554" t="s">
        <v>83</v>
      </c>
      <c r="D1554" t="s">
        <v>87</v>
      </c>
      <c r="E1554" t="s">
        <v>85</v>
      </c>
      <c r="F1554" cm="1">
        <f t="array" ref="F1554">_xlfn.XLOOKUP(Food_Orders[[#This Row],[Event_No]],Event_Master[[#All],[Event_No]],Event_Master[[#All],[Guest_Count]],,0)</f>
        <v>600</v>
      </c>
      <c r="G1554" cm="1">
        <f t="array" ref="G1554">Food_Orders[[#This Row],[Quantity_Orderd]]*_xlfn.XLOOKUP(Food_Orders[[#This Row],[Food_ID]],Food_Catalog[[#All],[Food_ID]],Food_Catalog[[#All],[Price_Per_Unit]],0,0)</f>
        <v>12000</v>
      </c>
      <c r="H1554" cm="1">
        <f t="array" ref="H1554">Food_Orders[[#This Row],[Quantity_Orderd]]*_xlfn.XLOOKUP(Food_Orders[[#This Row],[Food_ID]],Food_Catalog[[#All],[Food_ID]],Food_Catalog[[#All],[Client_Price_Per_Unit]],0,0)</f>
        <v>14400</v>
      </c>
      <c r="I1554">
        <f>Food_Orders[[#This Row],[Client_Price]]-Food_Orders[[#This Row],[Cost]]</f>
        <v>2400</v>
      </c>
    </row>
    <row r="1555" spans="1:9" x14ac:dyDescent="0.25">
      <c r="A1555">
        <v>65</v>
      </c>
      <c r="B1555" t="s">
        <v>96</v>
      </c>
      <c r="C1555" t="s">
        <v>83</v>
      </c>
      <c r="D1555" t="s">
        <v>97</v>
      </c>
      <c r="E1555" t="s">
        <v>79</v>
      </c>
      <c r="F1555" cm="1">
        <f t="array" ref="F1555">_xlfn.XLOOKUP(Food_Orders[[#This Row],[Event_No]],Event_Master[[#All],[Event_No]],Event_Master[[#All],[Guest_Count]],,0)</f>
        <v>600</v>
      </c>
      <c r="G1555" cm="1">
        <f t="array" ref="G1555">Food_Orders[[#This Row],[Quantity_Orderd]]*_xlfn.XLOOKUP(Food_Orders[[#This Row],[Food_ID]],Food_Catalog[[#All],[Food_ID]],Food_Catalog[[#All],[Price_Per_Unit]],0,0)</f>
        <v>18000</v>
      </c>
      <c r="H1555" cm="1">
        <f t="array" ref="H1555">Food_Orders[[#This Row],[Quantity_Orderd]]*_xlfn.XLOOKUP(Food_Orders[[#This Row],[Food_ID]],Food_Catalog[[#All],[Food_ID]],Food_Catalog[[#All],[Client_Price_Per_Unit]],0,0)</f>
        <v>21600</v>
      </c>
      <c r="I1555">
        <f>Food_Orders[[#This Row],[Client_Price]]-Food_Orders[[#This Row],[Cost]]</f>
        <v>3600</v>
      </c>
    </row>
    <row r="1556" spans="1:9" x14ac:dyDescent="0.25">
      <c r="A1556">
        <v>65</v>
      </c>
      <c r="B1556" t="s">
        <v>88</v>
      </c>
      <c r="C1556" t="s">
        <v>83</v>
      </c>
      <c r="D1556" t="s">
        <v>89</v>
      </c>
      <c r="E1556" t="s">
        <v>85</v>
      </c>
      <c r="F1556" cm="1">
        <f t="array" ref="F1556">_xlfn.XLOOKUP(Food_Orders[[#This Row],[Event_No]],Event_Master[[#All],[Event_No]],Event_Master[[#All],[Guest_Count]],,0)</f>
        <v>600</v>
      </c>
      <c r="G1556" cm="1">
        <f t="array" ref="G1556">Food_Orders[[#This Row],[Quantity_Orderd]]*_xlfn.XLOOKUP(Food_Orders[[#This Row],[Food_ID]],Food_Catalog[[#All],[Food_ID]],Food_Catalog[[#All],[Price_Per_Unit]],0,0)</f>
        <v>9000</v>
      </c>
      <c r="H1556" cm="1">
        <f t="array" ref="H1556">Food_Orders[[#This Row],[Quantity_Orderd]]*_xlfn.XLOOKUP(Food_Orders[[#This Row],[Food_ID]],Food_Catalog[[#All],[Food_ID]],Food_Catalog[[#All],[Client_Price_Per_Unit]],0,0)</f>
        <v>10800</v>
      </c>
      <c r="I1556">
        <f>Food_Orders[[#This Row],[Client_Price]]-Food_Orders[[#This Row],[Cost]]</f>
        <v>1800</v>
      </c>
    </row>
    <row r="1557" spans="1:9" x14ac:dyDescent="0.25">
      <c r="A1557">
        <v>65</v>
      </c>
      <c r="B1557" t="s">
        <v>92</v>
      </c>
      <c r="C1557" t="s">
        <v>83</v>
      </c>
      <c r="D1557" t="s">
        <v>93</v>
      </c>
      <c r="E1557" t="s">
        <v>85</v>
      </c>
      <c r="F1557" cm="1">
        <f t="array" ref="F1557">_xlfn.XLOOKUP(Food_Orders[[#This Row],[Event_No]],Event_Master[[#All],[Event_No]],Event_Master[[#All],[Guest_Count]],,0)</f>
        <v>600</v>
      </c>
      <c r="G1557" cm="1">
        <f t="array" ref="G1557">Food_Orders[[#This Row],[Quantity_Orderd]]*_xlfn.XLOOKUP(Food_Orders[[#This Row],[Food_ID]],Food_Catalog[[#All],[Food_ID]],Food_Catalog[[#All],[Price_Per_Unit]],0,0)</f>
        <v>9000</v>
      </c>
      <c r="H1557" cm="1">
        <f t="array" ref="H1557">Food_Orders[[#This Row],[Quantity_Orderd]]*_xlfn.XLOOKUP(Food_Orders[[#This Row],[Food_ID]],Food_Catalog[[#All],[Food_ID]],Food_Catalog[[#All],[Client_Price_Per_Unit]],0,0)</f>
        <v>10800</v>
      </c>
      <c r="I1557">
        <f>Food_Orders[[#This Row],[Client_Price]]-Food_Orders[[#This Row],[Cost]]</f>
        <v>1800</v>
      </c>
    </row>
    <row r="1558" spans="1:9" x14ac:dyDescent="0.25">
      <c r="A1558">
        <v>65</v>
      </c>
      <c r="B1558" t="s">
        <v>98</v>
      </c>
      <c r="C1558" t="s">
        <v>83</v>
      </c>
      <c r="D1558" t="s">
        <v>99</v>
      </c>
      <c r="E1558" t="s">
        <v>85</v>
      </c>
      <c r="F1558" cm="1">
        <f t="array" ref="F1558">_xlfn.XLOOKUP(Food_Orders[[#This Row],[Event_No]],Event_Master[[#All],[Event_No]],Event_Master[[#All],[Guest_Count]],,0)</f>
        <v>600</v>
      </c>
      <c r="G1558" cm="1">
        <f t="array" ref="G1558">Food_Orders[[#This Row],[Quantity_Orderd]]*_xlfn.XLOOKUP(Food_Orders[[#This Row],[Food_ID]],Food_Catalog[[#All],[Food_ID]],Food_Catalog[[#All],[Price_Per_Unit]],0,0)</f>
        <v>9000</v>
      </c>
      <c r="H1558" cm="1">
        <f t="array" ref="H1558">Food_Orders[[#This Row],[Quantity_Orderd]]*_xlfn.XLOOKUP(Food_Orders[[#This Row],[Food_ID]],Food_Catalog[[#All],[Food_ID]],Food_Catalog[[#All],[Client_Price_Per_Unit]],0,0)</f>
        <v>10800</v>
      </c>
      <c r="I1558">
        <f>Food_Orders[[#This Row],[Client_Price]]-Food_Orders[[#This Row],[Cost]]</f>
        <v>1800</v>
      </c>
    </row>
    <row r="1559" spans="1:9" x14ac:dyDescent="0.25">
      <c r="A1559">
        <v>65</v>
      </c>
      <c r="B1559" t="s">
        <v>100</v>
      </c>
      <c r="C1559" t="s">
        <v>83</v>
      </c>
      <c r="D1559" t="s">
        <v>101</v>
      </c>
      <c r="E1559" t="s">
        <v>79</v>
      </c>
      <c r="F1559" cm="1">
        <f t="array" ref="F1559">_xlfn.XLOOKUP(Food_Orders[[#This Row],[Event_No]],Event_Master[[#All],[Event_No]],Event_Master[[#All],[Guest_Count]],,0)</f>
        <v>600</v>
      </c>
      <c r="G1559" cm="1">
        <f t="array" ref="G1559">Food_Orders[[#This Row],[Quantity_Orderd]]*_xlfn.XLOOKUP(Food_Orders[[#This Row],[Food_ID]],Food_Catalog[[#All],[Food_ID]],Food_Catalog[[#All],[Price_Per_Unit]],0,0)</f>
        <v>21000</v>
      </c>
      <c r="H1559" cm="1">
        <f t="array" ref="H1559">Food_Orders[[#This Row],[Quantity_Orderd]]*_xlfn.XLOOKUP(Food_Orders[[#This Row],[Food_ID]],Food_Catalog[[#All],[Food_ID]],Food_Catalog[[#All],[Client_Price_Per_Unit]],0,0)</f>
        <v>25200</v>
      </c>
      <c r="I1559">
        <f>Food_Orders[[#This Row],[Client_Price]]-Food_Orders[[#This Row],[Cost]]</f>
        <v>4200</v>
      </c>
    </row>
    <row r="1560" spans="1:9" x14ac:dyDescent="0.25">
      <c r="A1560">
        <v>66</v>
      </c>
      <c r="B1560" t="s">
        <v>118</v>
      </c>
      <c r="C1560" t="s">
        <v>119</v>
      </c>
      <c r="D1560" t="s">
        <v>120</v>
      </c>
      <c r="E1560" t="s">
        <v>112</v>
      </c>
      <c r="F1560" cm="1">
        <f t="array" ref="F1560">_xlfn.XLOOKUP(Food_Orders[[#This Row],[Event_No]],Event_Master[[#All],[Event_No]],Event_Master[[#All],[Guest_Count]],,0)</f>
        <v>800</v>
      </c>
      <c r="G1560" cm="1">
        <f t="array" ref="G1560">Food_Orders[[#This Row],[Quantity_Orderd]]*_xlfn.XLOOKUP(Food_Orders[[#This Row],[Food_ID]],Food_Catalog[[#All],[Food_ID]],Food_Catalog[[#All],[Price_Per_Unit]],0,0)</f>
        <v>8000</v>
      </c>
      <c r="H1560" cm="1">
        <f t="array" ref="H1560">Food_Orders[[#This Row],[Quantity_Orderd]]*_xlfn.XLOOKUP(Food_Orders[[#This Row],[Food_ID]],Food_Catalog[[#All],[Food_ID]],Food_Catalog[[#All],[Client_Price_Per_Unit]],0,0)</f>
        <v>9600</v>
      </c>
      <c r="I1560">
        <f>Food_Orders[[#This Row],[Client_Price]]-Food_Orders[[#This Row],[Cost]]</f>
        <v>1600</v>
      </c>
    </row>
    <row r="1561" spans="1:9" x14ac:dyDescent="0.25">
      <c r="A1561">
        <v>66</v>
      </c>
      <c r="B1561" t="s">
        <v>129</v>
      </c>
      <c r="C1561" t="s">
        <v>119</v>
      </c>
      <c r="D1561" t="s">
        <v>130</v>
      </c>
      <c r="E1561" t="s">
        <v>112</v>
      </c>
      <c r="F1561" cm="1">
        <f t="array" ref="F1561">_xlfn.XLOOKUP(Food_Orders[[#This Row],[Event_No]],Event_Master[[#All],[Event_No]],Event_Master[[#All],[Guest_Count]],,0)</f>
        <v>800</v>
      </c>
      <c r="G1561" cm="1">
        <f t="array" ref="G1561">Food_Orders[[#This Row],[Quantity_Orderd]]*_xlfn.XLOOKUP(Food_Orders[[#This Row],[Food_ID]],Food_Catalog[[#All],[Food_ID]],Food_Catalog[[#All],[Price_Per_Unit]],0,0)</f>
        <v>8000</v>
      </c>
      <c r="H1561" cm="1">
        <f t="array" ref="H1561">Food_Orders[[#This Row],[Quantity_Orderd]]*_xlfn.XLOOKUP(Food_Orders[[#This Row],[Food_ID]],Food_Catalog[[#All],[Food_ID]],Food_Catalog[[#All],[Client_Price_Per_Unit]],0,0)</f>
        <v>9600</v>
      </c>
      <c r="I1561">
        <f>Food_Orders[[#This Row],[Client_Price]]-Food_Orders[[#This Row],[Cost]]</f>
        <v>1600</v>
      </c>
    </row>
    <row r="1562" spans="1:9" x14ac:dyDescent="0.25">
      <c r="A1562">
        <v>66</v>
      </c>
      <c r="B1562" t="s">
        <v>104</v>
      </c>
      <c r="C1562" t="s">
        <v>105</v>
      </c>
      <c r="D1562" t="s">
        <v>106</v>
      </c>
      <c r="E1562" t="s">
        <v>107</v>
      </c>
      <c r="F1562" cm="1">
        <f t="array" ref="F1562">_xlfn.XLOOKUP(Food_Orders[[#This Row],[Event_No]],Event_Master[[#All],[Event_No]],Event_Master[[#All],[Guest_Count]],,0)</f>
        <v>800</v>
      </c>
      <c r="G1562" cm="1">
        <f t="array" ref="G1562">Food_Orders[[#This Row],[Quantity_Orderd]]*_xlfn.XLOOKUP(Food_Orders[[#This Row],[Food_ID]],Food_Catalog[[#All],[Food_ID]],Food_Catalog[[#All],[Price_Per_Unit]],0,0)</f>
        <v>8000</v>
      </c>
      <c r="H1562" cm="1">
        <f t="array" ref="H1562">Food_Orders[[#This Row],[Quantity_Orderd]]*_xlfn.XLOOKUP(Food_Orders[[#This Row],[Food_ID]],Food_Catalog[[#All],[Food_ID]],Food_Catalog[[#All],[Client_Price_Per_Unit]],0,0)</f>
        <v>9600</v>
      </c>
      <c r="I1562">
        <f>Food_Orders[[#This Row],[Client_Price]]-Food_Orders[[#This Row],[Cost]]</f>
        <v>1600</v>
      </c>
    </row>
    <row r="1563" spans="1:9" x14ac:dyDescent="0.25">
      <c r="A1563">
        <v>66</v>
      </c>
      <c r="B1563" t="s">
        <v>108</v>
      </c>
      <c r="C1563" t="s">
        <v>105</v>
      </c>
      <c r="D1563" t="s">
        <v>109</v>
      </c>
      <c r="E1563" t="s">
        <v>107</v>
      </c>
      <c r="F1563" cm="1">
        <f t="array" ref="F1563">_xlfn.XLOOKUP(Food_Orders[[#This Row],[Event_No]],Event_Master[[#All],[Event_No]],Event_Master[[#All],[Guest_Count]],,0)</f>
        <v>800</v>
      </c>
      <c r="G1563" cm="1">
        <f t="array" ref="G1563">Food_Orders[[#This Row],[Quantity_Orderd]]*_xlfn.XLOOKUP(Food_Orders[[#This Row],[Food_ID]],Food_Catalog[[#All],[Food_ID]],Food_Catalog[[#All],[Price_Per_Unit]],0,0)</f>
        <v>12000</v>
      </c>
      <c r="H1563" cm="1">
        <f t="array" ref="H1563">Food_Orders[[#This Row],[Quantity_Orderd]]*_xlfn.XLOOKUP(Food_Orders[[#This Row],[Food_ID]],Food_Catalog[[#All],[Food_ID]],Food_Catalog[[#All],[Client_Price_Per_Unit]],0,0)</f>
        <v>14400</v>
      </c>
      <c r="I1563">
        <f>Food_Orders[[#This Row],[Client_Price]]-Food_Orders[[#This Row],[Cost]]</f>
        <v>2400</v>
      </c>
    </row>
    <row r="1564" spans="1:9" x14ac:dyDescent="0.25">
      <c r="A1564">
        <v>66</v>
      </c>
      <c r="B1564" t="s">
        <v>121</v>
      </c>
      <c r="C1564" t="s">
        <v>119</v>
      </c>
      <c r="D1564" t="s">
        <v>122</v>
      </c>
      <c r="E1564" t="s">
        <v>123</v>
      </c>
      <c r="F1564" cm="1">
        <f t="array" ref="F1564">_xlfn.XLOOKUP(Food_Orders[[#This Row],[Event_No]],Event_Master[[#All],[Event_No]],Event_Master[[#All],[Guest_Count]],,0)</f>
        <v>800</v>
      </c>
      <c r="G1564" cm="1">
        <f t="array" ref="G1564">Food_Orders[[#This Row],[Quantity_Orderd]]*_xlfn.XLOOKUP(Food_Orders[[#This Row],[Food_ID]],Food_Catalog[[#All],[Food_ID]],Food_Catalog[[#All],[Price_Per_Unit]],0,0)</f>
        <v>8000</v>
      </c>
      <c r="H1564" cm="1">
        <f t="array" ref="H1564">Food_Orders[[#This Row],[Quantity_Orderd]]*_xlfn.XLOOKUP(Food_Orders[[#This Row],[Food_ID]],Food_Catalog[[#All],[Food_ID]],Food_Catalog[[#All],[Client_Price_Per_Unit]],0,0)</f>
        <v>9600</v>
      </c>
      <c r="I1564">
        <f>Food_Orders[[#This Row],[Client_Price]]-Food_Orders[[#This Row],[Cost]]</f>
        <v>1600</v>
      </c>
    </row>
    <row r="1565" spans="1:9" x14ac:dyDescent="0.25">
      <c r="A1565">
        <v>66</v>
      </c>
      <c r="B1565" t="s">
        <v>124</v>
      </c>
      <c r="C1565" t="s">
        <v>119</v>
      </c>
      <c r="D1565" t="s">
        <v>125</v>
      </c>
      <c r="E1565" t="s">
        <v>126</v>
      </c>
      <c r="F1565" cm="1">
        <f t="array" ref="F1565">_xlfn.XLOOKUP(Food_Orders[[#This Row],[Event_No]],Event_Master[[#All],[Event_No]],Event_Master[[#All],[Guest_Count]],,0)</f>
        <v>800</v>
      </c>
      <c r="G1565" cm="1">
        <f t="array" ref="G1565">Food_Orders[[#This Row],[Quantity_Orderd]]*_xlfn.XLOOKUP(Food_Orders[[#This Row],[Food_ID]],Food_Catalog[[#All],[Food_ID]],Food_Catalog[[#All],[Price_Per_Unit]],0,0)</f>
        <v>16000</v>
      </c>
      <c r="H1565" cm="1">
        <f t="array" ref="H1565">Food_Orders[[#This Row],[Quantity_Orderd]]*_xlfn.XLOOKUP(Food_Orders[[#This Row],[Food_ID]],Food_Catalog[[#All],[Food_ID]],Food_Catalog[[#All],[Client_Price_Per_Unit]],0,0)</f>
        <v>19200</v>
      </c>
      <c r="I1565">
        <f>Food_Orders[[#This Row],[Client_Price]]-Food_Orders[[#This Row],[Cost]]</f>
        <v>3200</v>
      </c>
    </row>
    <row r="1566" spans="1:9" x14ac:dyDescent="0.25">
      <c r="A1566">
        <v>66</v>
      </c>
      <c r="B1566" t="s">
        <v>127</v>
      </c>
      <c r="C1566" t="s">
        <v>119</v>
      </c>
      <c r="D1566" t="s">
        <v>128</v>
      </c>
      <c r="E1566" t="s">
        <v>107</v>
      </c>
      <c r="F1566" cm="1">
        <f t="array" ref="F1566">_xlfn.XLOOKUP(Food_Orders[[#This Row],[Event_No]],Event_Master[[#All],[Event_No]],Event_Master[[#All],[Guest_Count]],,0)</f>
        <v>800</v>
      </c>
      <c r="G1566" cm="1">
        <f t="array" ref="G1566">Food_Orders[[#This Row],[Quantity_Orderd]]*_xlfn.XLOOKUP(Food_Orders[[#This Row],[Food_ID]],Food_Catalog[[#All],[Food_ID]],Food_Catalog[[#All],[Price_Per_Unit]],0,0)</f>
        <v>16000</v>
      </c>
      <c r="H1566" cm="1">
        <f t="array" ref="H1566">Food_Orders[[#This Row],[Quantity_Orderd]]*_xlfn.XLOOKUP(Food_Orders[[#This Row],[Food_ID]],Food_Catalog[[#All],[Food_ID]],Food_Catalog[[#All],[Client_Price_Per_Unit]],0,0)</f>
        <v>19200</v>
      </c>
      <c r="I1566">
        <f>Food_Orders[[#This Row],[Client_Price]]-Food_Orders[[#This Row],[Cost]]</f>
        <v>3200</v>
      </c>
    </row>
    <row r="1567" spans="1:9" x14ac:dyDescent="0.25">
      <c r="A1567">
        <v>66</v>
      </c>
      <c r="B1567" t="s">
        <v>63</v>
      </c>
      <c r="C1567" t="s">
        <v>61</v>
      </c>
      <c r="D1567" t="s">
        <v>64</v>
      </c>
      <c r="E1567" t="s">
        <v>10</v>
      </c>
      <c r="F1567" cm="1">
        <f t="array" ref="F1567">_xlfn.XLOOKUP(Food_Orders[[#This Row],[Event_No]],Event_Master[[#All],[Event_No]],Event_Master[[#All],[Guest_Count]],,0)</f>
        <v>800</v>
      </c>
      <c r="G1567" cm="1">
        <f t="array" ref="G1567">Food_Orders[[#This Row],[Quantity_Orderd]]*_xlfn.XLOOKUP(Food_Orders[[#This Row],[Food_ID]],Food_Catalog[[#All],[Food_ID]],Food_Catalog[[#All],[Price_Per_Unit]],0,0)</f>
        <v>24000</v>
      </c>
      <c r="H1567" cm="1">
        <f t="array" ref="H1567">Food_Orders[[#This Row],[Quantity_Orderd]]*_xlfn.XLOOKUP(Food_Orders[[#This Row],[Food_ID]],Food_Catalog[[#All],[Food_ID]],Food_Catalog[[#All],[Client_Price_Per_Unit]],0,0)</f>
        <v>28800</v>
      </c>
      <c r="I1567">
        <f>Food_Orders[[#This Row],[Client_Price]]-Food_Orders[[#This Row],[Cost]]</f>
        <v>4800</v>
      </c>
    </row>
    <row r="1568" spans="1:9" x14ac:dyDescent="0.25">
      <c r="A1568">
        <v>66</v>
      </c>
      <c r="B1568" t="s">
        <v>71</v>
      </c>
      <c r="C1568" t="s">
        <v>61</v>
      </c>
      <c r="D1568" t="s">
        <v>72</v>
      </c>
      <c r="E1568" t="s">
        <v>10</v>
      </c>
      <c r="F1568" cm="1">
        <f t="array" ref="F1568">_xlfn.XLOOKUP(Food_Orders[[#This Row],[Event_No]],Event_Master[[#All],[Event_No]],Event_Master[[#All],[Guest_Count]],,0)</f>
        <v>800</v>
      </c>
      <c r="G1568" cm="1">
        <f t="array" ref="G1568">Food_Orders[[#This Row],[Quantity_Orderd]]*_xlfn.XLOOKUP(Food_Orders[[#This Row],[Food_ID]],Food_Catalog[[#All],[Food_ID]],Food_Catalog[[#All],[Price_Per_Unit]],0,0)</f>
        <v>20000</v>
      </c>
      <c r="H1568" cm="1">
        <f t="array" ref="H1568">Food_Orders[[#This Row],[Quantity_Orderd]]*_xlfn.XLOOKUP(Food_Orders[[#This Row],[Food_ID]],Food_Catalog[[#All],[Food_ID]],Food_Catalog[[#All],[Client_Price_Per_Unit]],0,0)</f>
        <v>24000</v>
      </c>
      <c r="I1568">
        <f>Food_Orders[[#This Row],[Client_Price]]-Food_Orders[[#This Row],[Cost]]</f>
        <v>4000</v>
      </c>
    </row>
    <row r="1569" spans="1:9" x14ac:dyDescent="0.25">
      <c r="A1569">
        <v>66</v>
      </c>
      <c r="B1569" t="s">
        <v>29</v>
      </c>
      <c r="C1569" t="s">
        <v>8</v>
      </c>
      <c r="D1569" t="s">
        <v>30</v>
      </c>
      <c r="E1569" t="s">
        <v>10</v>
      </c>
      <c r="F1569" cm="1">
        <f t="array" ref="F1569">_xlfn.XLOOKUP(Food_Orders[[#This Row],[Event_No]],Event_Master[[#All],[Event_No]],Event_Master[[#All],[Guest_Count]],,0)</f>
        <v>800</v>
      </c>
      <c r="G1569" cm="1">
        <f t="array" ref="G1569">Food_Orders[[#This Row],[Quantity_Orderd]]*_xlfn.XLOOKUP(Food_Orders[[#This Row],[Food_ID]],Food_Catalog[[#All],[Food_ID]],Food_Catalog[[#All],[Price_Per_Unit]],0,0)</f>
        <v>24000</v>
      </c>
      <c r="H1569" cm="1">
        <f t="array" ref="H1569">Food_Orders[[#This Row],[Quantity_Orderd]]*_xlfn.XLOOKUP(Food_Orders[[#This Row],[Food_ID]],Food_Catalog[[#All],[Food_ID]],Food_Catalog[[#All],[Client_Price_Per_Unit]],0,0)</f>
        <v>28800</v>
      </c>
      <c r="I1569">
        <f>Food_Orders[[#This Row],[Client_Price]]-Food_Orders[[#This Row],[Cost]]</f>
        <v>4800</v>
      </c>
    </row>
    <row r="1570" spans="1:9" x14ac:dyDescent="0.25">
      <c r="A1570">
        <v>66</v>
      </c>
      <c r="B1570" t="s">
        <v>37</v>
      </c>
      <c r="C1570" t="s">
        <v>8</v>
      </c>
      <c r="D1570" t="s">
        <v>38</v>
      </c>
      <c r="E1570" t="s">
        <v>10</v>
      </c>
      <c r="F1570" cm="1">
        <f t="array" ref="F1570">_xlfn.XLOOKUP(Food_Orders[[#This Row],[Event_No]],Event_Master[[#All],[Event_No]],Event_Master[[#All],[Guest_Count]],,0)</f>
        <v>800</v>
      </c>
      <c r="G1570" cm="1">
        <f t="array" ref="G1570">Food_Orders[[#This Row],[Quantity_Orderd]]*_xlfn.XLOOKUP(Food_Orders[[#This Row],[Food_ID]],Food_Catalog[[#All],[Food_ID]],Food_Catalog[[#All],[Price_Per_Unit]],0,0)</f>
        <v>20000</v>
      </c>
      <c r="H1570" cm="1">
        <f t="array" ref="H1570">Food_Orders[[#This Row],[Quantity_Orderd]]*_xlfn.XLOOKUP(Food_Orders[[#This Row],[Food_ID]],Food_Catalog[[#All],[Food_ID]],Food_Catalog[[#All],[Client_Price_Per_Unit]],0,0)</f>
        <v>24000</v>
      </c>
      <c r="I1570">
        <f>Food_Orders[[#This Row],[Client_Price]]-Food_Orders[[#This Row],[Cost]]</f>
        <v>4000</v>
      </c>
    </row>
    <row r="1571" spans="1:9" x14ac:dyDescent="0.25">
      <c r="A1571">
        <v>66</v>
      </c>
      <c r="B1571" t="s">
        <v>92</v>
      </c>
      <c r="C1571" t="s">
        <v>83</v>
      </c>
      <c r="D1571" t="s">
        <v>93</v>
      </c>
      <c r="E1571" t="s">
        <v>85</v>
      </c>
      <c r="F1571" cm="1">
        <f t="array" ref="F1571">_xlfn.XLOOKUP(Food_Orders[[#This Row],[Event_No]],Event_Master[[#All],[Event_No]],Event_Master[[#All],[Guest_Count]],,0)</f>
        <v>800</v>
      </c>
      <c r="G1571" cm="1">
        <f t="array" ref="G1571">Food_Orders[[#This Row],[Quantity_Orderd]]*_xlfn.XLOOKUP(Food_Orders[[#This Row],[Food_ID]],Food_Catalog[[#All],[Food_ID]],Food_Catalog[[#All],[Price_Per_Unit]],0,0)</f>
        <v>12000</v>
      </c>
      <c r="H1571" cm="1">
        <f t="array" ref="H1571">Food_Orders[[#This Row],[Quantity_Orderd]]*_xlfn.XLOOKUP(Food_Orders[[#This Row],[Food_ID]],Food_Catalog[[#All],[Food_ID]],Food_Catalog[[#All],[Client_Price_Per_Unit]],0,0)</f>
        <v>14400</v>
      </c>
      <c r="I1571">
        <f>Food_Orders[[#This Row],[Client_Price]]-Food_Orders[[#This Row],[Cost]]</f>
        <v>2400</v>
      </c>
    </row>
    <row r="1572" spans="1:9" x14ac:dyDescent="0.25">
      <c r="A1572">
        <v>66</v>
      </c>
      <c r="B1572" t="s">
        <v>96</v>
      </c>
      <c r="C1572" t="s">
        <v>83</v>
      </c>
      <c r="D1572" t="s">
        <v>97</v>
      </c>
      <c r="E1572" t="s">
        <v>79</v>
      </c>
      <c r="F1572" cm="1">
        <f t="array" ref="F1572">_xlfn.XLOOKUP(Food_Orders[[#This Row],[Event_No]],Event_Master[[#All],[Event_No]],Event_Master[[#All],[Guest_Count]],,0)</f>
        <v>800</v>
      </c>
      <c r="G1572" cm="1">
        <f t="array" ref="G1572">Food_Orders[[#This Row],[Quantity_Orderd]]*_xlfn.XLOOKUP(Food_Orders[[#This Row],[Food_ID]],Food_Catalog[[#All],[Food_ID]],Food_Catalog[[#All],[Price_Per_Unit]],0,0)</f>
        <v>24000</v>
      </c>
      <c r="H1572" cm="1">
        <f t="array" ref="H1572">Food_Orders[[#This Row],[Quantity_Orderd]]*_xlfn.XLOOKUP(Food_Orders[[#This Row],[Food_ID]],Food_Catalog[[#All],[Food_ID]],Food_Catalog[[#All],[Client_Price_Per_Unit]],0,0)</f>
        <v>28800</v>
      </c>
      <c r="I1572">
        <f>Food_Orders[[#This Row],[Client_Price]]-Food_Orders[[#This Row],[Cost]]</f>
        <v>4800</v>
      </c>
    </row>
    <row r="1573" spans="1:9" x14ac:dyDescent="0.25">
      <c r="A1573">
        <v>67</v>
      </c>
      <c r="B1573" t="s">
        <v>118</v>
      </c>
      <c r="C1573" t="s">
        <v>119</v>
      </c>
      <c r="D1573" t="s">
        <v>120</v>
      </c>
      <c r="E1573" t="s">
        <v>112</v>
      </c>
      <c r="F1573" cm="1">
        <f t="array" ref="F1573">_xlfn.XLOOKUP(Food_Orders[[#This Row],[Event_No]],Event_Master[[#All],[Event_No]],Event_Master[[#All],[Guest_Count]],,0)</f>
        <v>700</v>
      </c>
      <c r="G1573" cm="1">
        <f t="array" ref="G1573">Food_Orders[[#This Row],[Quantity_Orderd]]*_xlfn.XLOOKUP(Food_Orders[[#This Row],[Food_ID]],Food_Catalog[[#All],[Food_ID]],Food_Catalog[[#All],[Price_Per_Unit]],0,0)</f>
        <v>7000</v>
      </c>
      <c r="H1573" cm="1">
        <f t="array" ref="H1573">Food_Orders[[#This Row],[Quantity_Orderd]]*_xlfn.XLOOKUP(Food_Orders[[#This Row],[Food_ID]],Food_Catalog[[#All],[Food_ID]],Food_Catalog[[#All],[Client_Price_Per_Unit]],0,0)</f>
        <v>8400</v>
      </c>
      <c r="I1573">
        <f>Food_Orders[[#This Row],[Client_Price]]-Food_Orders[[#This Row],[Cost]]</f>
        <v>1400</v>
      </c>
    </row>
    <row r="1574" spans="1:9" x14ac:dyDescent="0.25">
      <c r="A1574">
        <v>67</v>
      </c>
      <c r="B1574" t="s">
        <v>129</v>
      </c>
      <c r="C1574" t="s">
        <v>119</v>
      </c>
      <c r="D1574" t="s">
        <v>130</v>
      </c>
      <c r="E1574" t="s">
        <v>112</v>
      </c>
      <c r="F1574" cm="1">
        <f t="array" ref="F1574">_xlfn.XLOOKUP(Food_Orders[[#This Row],[Event_No]],Event_Master[[#All],[Event_No]],Event_Master[[#All],[Guest_Count]],,0)</f>
        <v>700</v>
      </c>
      <c r="G1574" cm="1">
        <f t="array" ref="G1574">Food_Orders[[#This Row],[Quantity_Orderd]]*_xlfn.XLOOKUP(Food_Orders[[#This Row],[Food_ID]],Food_Catalog[[#All],[Food_ID]],Food_Catalog[[#All],[Price_Per_Unit]],0,0)</f>
        <v>7000</v>
      </c>
      <c r="H1574" cm="1">
        <f t="array" ref="H1574">Food_Orders[[#This Row],[Quantity_Orderd]]*_xlfn.XLOOKUP(Food_Orders[[#This Row],[Food_ID]],Food_Catalog[[#All],[Food_ID]],Food_Catalog[[#All],[Client_Price_Per_Unit]],0,0)</f>
        <v>8400</v>
      </c>
      <c r="I1574">
        <f>Food_Orders[[#This Row],[Client_Price]]-Food_Orders[[#This Row],[Cost]]</f>
        <v>1400</v>
      </c>
    </row>
    <row r="1575" spans="1:9" x14ac:dyDescent="0.25">
      <c r="A1575">
        <v>67</v>
      </c>
      <c r="B1575" t="s">
        <v>104</v>
      </c>
      <c r="C1575" t="s">
        <v>105</v>
      </c>
      <c r="D1575" t="s">
        <v>106</v>
      </c>
      <c r="E1575" t="s">
        <v>107</v>
      </c>
      <c r="F1575" cm="1">
        <f t="array" ref="F1575">_xlfn.XLOOKUP(Food_Orders[[#This Row],[Event_No]],Event_Master[[#All],[Event_No]],Event_Master[[#All],[Guest_Count]],,0)</f>
        <v>700</v>
      </c>
      <c r="G1575" cm="1">
        <f t="array" ref="G1575">Food_Orders[[#This Row],[Quantity_Orderd]]*_xlfn.XLOOKUP(Food_Orders[[#This Row],[Food_ID]],Food_Catalog[[#All],[Food_ID]],Food_Catalog[[#All],[Price_Per_Unit]],0,0)</f>
        <v>7000</v>
      </c>
      <c r="H1575" cm="1">
        <f t="array" ref="H1575">Food_Orders[[#This Row],[Quantity_Orderd]]*_xlfn.XLOOKUP(Food_Orders[[#This Row],[Food_ID]],Food_Catalog[[#All],[Food_ID]],Food_Catalog[[#All],[Client_Price_Per_Unit]],0,0)</f>
        <v>8400</v>
      </c>
      <c r="I1575">
        <f>Food_Orders[[#This Row],[Client_Price]]-Food_Orders[[#This Row],[Cost]]</f>
        <v>1400</v>
      </c>
    </row>
    <row r="1576" spans="1:9" x14ac:dyDescent="0.25">
      <c r="A1576">
        <v>67</v>
      </c>
      <c r="B1576" t="s">
        <v>108</v>
      </c>
      <c r="C1576" t="s">
        <v>105</v>
      </c>
      <c r="D1576" t="s">
        <v>109</v>
      </c>
      <c r="E1576" t="s">
        <v>107</v>
      </c>
      <c r="F1576" cm="1">
        <f t="array" ref="F1576">_xlfn.XLOOKUP(Food_Orders[[#This Row],[Event_No]],Event_Master[[#All],[Event_No]],Event_Master[[#All],[Guest_Count]],,0)</f>
        <v>700</v>
      </c>
      <c r="G1576" cm="1">
        <f t="array" ref="G1576">Food_Orders[[#This Row],[Quantity_Orderd]]*_xlfn.XLOOKUP(Food_Orders[[#This Row],[Food_ID]],Food_Catalog[[#All],[Food_ID]],Food_Catalog[[#All],[Price_Per_Unit]],0,0)</f>
        <v>10500</v>
      </c>
      <c r="H1576" cm="1">
        <f t="array" ref="H1576">Food_Orders[[#This Row],[Quantity_Orderd]]*_xlfn.XLOOKUP(Food_Orders[[#This Row],[Food_ID]],Food_Catalog[[#All],[Food_ID]],Food_Catalog[[#All],[Client_Price_Per_Unit]],0,0)</f>
        <v>12600</v>
      </c>
      <c r="I1576">
        <f>Food_Orders[[#This Row],[Client_Price]]-Food_Orders[[#This Row],[Cost]]</f>
        <v>2100</v>
      </c>
    </row>
    <row r="1577" spans="1:9" x14ac:dyDescent="0.25">
      <c r="A1577">
        <v>67</v>
      </c>
      <c r="B1577" t="s">
        <v>121</v>
      </c>
      <c r="C1577" t="s">
        <v>119</v>
      </c>
      <c r="D1577" t="s">
        <v>122</v>
      </c>
      <c r="E1577" t="s">
        <v>123</v>
      </c>
      <c r="F1577" cm="1">
        <f t="array" ref="F1577">_xlfn.XLOOKUP(Food_Orders[[#This Row],[Event_No]],Event_Master[[#All],[Event_No]],Event_Master[[#All],[Guest_Count]],,0)</f>
        <v>700</v>
      </c>
      <c r="G1577" cm="1">
        <f t="array" ref="G1577">Food_Orders[[#This Row],[Quantity_Orderd]]*_xlfn.XLOOKUP(Food_Orders[[#This Row],[Food_ID]],Food_Catalog[[#All],[Food_ID]],Food_Catalog[[#All],[Price_Per_Unit]],0,0)</f>
        <v>7000</v>
      </c>
      <c r="H1577" cm="1">
        <f t="array" ref="H1577">Food_Orders[[#This Row],[Quantity_Orderd]]*_xlfn.XLOOKUP(Food_Orders[[#This Row],[Food_ID]],Food_Catalog[[#All],[Food_ID]],Food_Catalog[[#All],[Client_Price_Per_Unit]],0,0)</f>
        <v>8400</v>
      </c>
      <c r="I1577">
        <f>Food_Orders[[#This Row],[Client_Price]]-Food_Orders[[#This Row],[Cost]]</f>
        <v>1400</v>
      </c>
    </row>
    <row r="1578" spans="1:9" x14ac:dyDescent="0.25">
      <c r="A1578">
        <v>67</v>
      </c>
      <c r="B1578" t="s">
        <v>124</v>
      </c>
      <c r="C1578" t="s">
        <v>119</v>
      </c>
      <c r="D1578" t="s">
        <v>125</v>
      </c>
      <c r="E1578" t="s">
        <v>126</v>
      </c>
      <c r="F1578" cm="1">
        <f t="array" ref="F1578">_xlfn.XLOOKUP(Food_Orders[[#This Row],[Event_No]],Event_Master[[#All],[Event_No]],Event_Master[[#All],[Guest_Count]],,0)</f>
        <v>700</v>
      </c>
      <c r="G1578" cm="1">
        <f t="array" ref="G1578">Food_Orders[[#This Row],[Quantity_Orderd]]*_xlfn.XLOOKUP(Food_Orders[[#This Row],[Food_ID]],Food_Catalog[[#All],[Food_ID]],Food_Catalog[[#All],[Price_Per_Unit]],0,0)</f>
        <v>14000</v>
      </c>
      <c r="H1578" cm="1">
        <f t="array" ref="H1578">Food_Orders[[#This Row],[Quantity_Orderd]]*_xlfn.XLOOKUP(Food_Orders[[#This Row],[Food_ID]],Food_Catalog[[#All],[Food_ID]],Food_Catalog[[#All],[Client_Price_Per_Unit]],0,0)</f>
        <v>16800</v>
      </c>
      <c r="I1578">
        <f>Food_Orders[[#This Row],[Client_Price]]-Food_Orders[[#This Row],[Cost]]</f>
        <v>2800</v>
      </c>
    </row>
    <row r="1579" spans="1:9" x14ac:dyDescent="0.25">
      <c r="A1579">
        <v>67</v>
      </c>
      <c r="B1579" t="s">
        <v>127</v>
      </c>
      <c r="C1579" t="s">
        <v>119</v>
      </c>
      <c r="D1579" t="s">
        <v>128</v>
      </c>
      <c r="E1579" t="s">
        <v>107</v>
      </c>
      <c r="F1579" cm="1">
        <f t="array" ref="F1579">_xlfn.XLOOKUP(Food_Orders[[#This Row],[Event_No]],Event_Master[[#All],[Event_No]],Event_Master[[#All],[Guest_Count]],,0)</f>
        <v>700</v>
      </c>
      <c r="G1579" cm="1">
        <f t="array" ref="G1579">Food_Orders[[#This Row],[Quantity_Orderd]]*_xlfn.XLOOKUP(Food_Orders[[#This Row],[Food_ID]],Food_Catalog[[#All],[Food_ID]],Food_Catalog[[#All],[Price_Per_Unit]],0,0)</f>
        <v>14000</v>
      </c>
      <c r="H1579" cm="1">
        <f t="array" ref="H1579">Food_Orders[[#This Row],[Quantity_Orderd]]*_xlfn.XLOOKUP(Food_Orders[[#This Row],[Food_ID]],Food_Catalog[[#All],[Food_ID]],Food_Catalog[[#All],[Client_Price_Per_Unit]],0,0)</f>
        <v>16800</v>
      </c>
      <c r="I1579">
        <f>Food_Orders[[#This Row],[Client_Price]]-Food_Orders[[#This Row],[Cost]]</f>
        <v>2800</v>
      </c>
    </row>
    <row r="1580" spans="1:9" x14ac:dyDescent="0.25">
      <c r="A1580">
        <v>67</v>
      </c>
      <c r="B1580" t="s">
        <v>63</v>
      </c>
      <c r="C1580" t="s">
        <v>61</v>
      </c>
      <c r="D1580" t="s">
        <v>64</v>
      </c>
      <c r="E1580" t="s">
        <v>10</v>
      </c>
      <c r="F1580" cm="1">
        <f t="array" ref="F1580">_xlfn.XLOOKUP(Food_Orders[[#This Row],[Event_No]],Event_Master[[#All],[Event_No]],Event_Master[[#All],[Guest_Count]],,0)</f>
        <v>700</v>
      </c>
      <c r="G1580" cm="1">
        <f t="array" ref="G1580">Food_Orders[[#This Row],[Quantity_Orderd]]*_xlfn.XLOOKUP(Food_Orders[[#This Row],[Food_ID]],Food_Catalog[[#All],[Food_ID]],Food_Catalog[[#All],[Price_Per_Unit]],0,0)</f>
        <v>21000</v>
      </c>
      <c r="H1580" cm="1">
        <f t="array" ref="H1580">Food_Orders[[#This Row],[Quantity_Orderd]]*_xlfn.XLOOKUP(Food_Orders[[#This Row],[Food_ID]],Food_Catalog[[#All],[Food_ID]],Food_Catalog[[#All],[Client_Price_Per_Unit]],0,0)</f>
        <v>25200</v>
      </c>
      <c r="I1580">
        <f>Food_Orders[[#This Row],[Client_Price]]-Food_Orders[[#This Row],[Cost]]</f>
        <v>4200</v>
      </c>
    </row>
    <row r="1581" spans="1:9" x14ac:dyDescent="0.25">
      <c r="A1581">
        <v>67</v>
      </c>
      <c r="B1581" t="s">
        <v>71</v>
      </c>
      <c r="C1581" t="s">
        <v>61</v>
      </c>
      <c r="D1581" t="s">
        <v>72</v>
      </c>
      <c r="E1581" t="s">
        <v>10</v>
      </c>
      <c r="F1581" cm="1">
        <f t="array" ref="F1581">_xlfn.XLOOKUP(Food_Orders[[#This Row],[Event_No]],Event_Master[[#All],[Event_No]],Event_Master[[#All],[Guest_Count]],,0)</f>
        <v>700</v>
      </c>
      <c r="G1581" cm="1">
        <f t="array" ref="G1581">Food_Orders[[#This Row],[Quantity_Orderd]]*_xlfn.XLOOKUP(Food_Orders[[#This Row],[Food_ID]],Food_Catalog[[#All],[Food_ID]],Food_Catalog[[#All],[Price_Per_Unit]],0,0)</f>
        <v>17500</v>
      </c>
      <c r="H1581" cm="1">
        <f t="array" ref="H1581">Food_Orders[[#This Row],[Quantity_Orderd]]*_xlfn.XLOOKUP(Food_Orders[[#This Row],[Food_ID]],Food_Catalog[[#All],[Food_ID]],Food_Catalog[[#All],[Client_Price_Per_Unit]],0,0)</f>
        <v>21000</v>
      </c>
      <c r="I1581">
        <f>Food_Orders[[#This Row],[Client_Price]]-Food_Orders[[#This Row],[Cost]]</f>
        <v>3500</v>
      </c>
    </row>
    <row r="1582" spans="1:9" x14ac:dyDescent="0.25">
      <c r="A1582">
        <v>67</v>
      </c>
      <c r="B1582" t="s">
        <v>29</v>
      </c>
      <c r="C1582" t="s">
        <v>8</v>
      </c>
      <c r="D1582" t="s">
        <v>30</v>
      </c>
      <c r="E1582" t="s">
        <v>10</v>
      </c>
      <c r="F1582" cm="1">
        <f t="array" ref="F1582">_xlfn.XLOOKUP(Food_Orders[[#This Row],[Event_No]],Event_Master[[#All],[Event_No]],Event_Master[[#All],[Guest_Count]],,0)</f>
        <v>700</v>
      </c>
      <c r="G1582" cm="1">
        <f t="array" ref="G1582">Food_Orders[[#This Row],[Quantity_Orderd]]*_xlfn.XLOOKUP(Food_Orders[[#This Row],[Food_ID]],Food_Catalog[[#All],[Food_ID]],Food_Catalog[[#All],[Price_Per_Unit]],0,0)</f>
        <v>21000</v>
      </c>
      <c r="H1582" cm="1">
        <f t="array" ref="H1582">Food_Orders[[#This Row],[Quantity_Orderd]]*_xlfn.XLOOKUP(Food_Orders[[#This Row],[Food_ID]],Food_Catalog[[#All],[Food_ID]],Food_Catalog[[#All],[Client_Price_Per_Unit]],0,0)</f>
        <v>25200</v>
      </c>
      <c r="I1582">
        <f>Food_Orders[[#This Row],[Client_Price]]-Food_Orders[[#This Row],[Cost]]</f>
        <v>4200</v>
      </c>
    </row>
    <row r="1583" spans="1:9" x14ac:dyDescent="0.25">
      <c r="A1583">
        <v>67</v>
      </c>
      <c r="B1583" t="s">
        <v>37</v>
      </c>
      <c r="C1583" t="s">
        <v>8</v>
      </c>
      <c r="D1583" t="s">
        <v>38</v>
      </c>
      <c r="E1583" t="s">
        <v>10</v>
      </c>
      <c r="F1583" cm="1">
        <f t="array" ref="F1583">_xlfn.XLOOKUP(Food_Orders[[#This Row],[Event_No]],Event_Master[[#All],[Event_No]],Event_Master[[#All],[Guest_Count]],,0)</f>
        <v>700</v>
      </c>
      <c r="G1583" cm="1">
        <f t="array" ref="G1583">Food_Orders[[#This Row],[Quantity_Orderd]]*_xlfn.XLOOKUP(Food_Orders[[#This Row],[Food_ID]],Food_Catalog[[#All],[Food_ID]],Food_Catalog[[#All],[Price_Per_Unit]],0,0)</f>
        <v>17500</v>
      </c>
      <c r="H1583" cm="1">
        <f t="array" ref="H1583">Food_Orders[[#This Row],[Quantity_Orderd]]*_xlfn.XLOOKUP(Food_Orders[[#This Row],[Food_ID]],Food_Catalog[[#All],[Food_ID]],Food_Catalog[[#All],[Client_Price_Per_Unit]],0,0)</f>
        <v>21000</v>
      </c>
      <c r="I1583">
        <f>Food_Orders[[#This Row],[Client_Price]]-Food_Orders[[#This Row],[Cost]]</f>
        <v>3500</v>
      </c>
    </row>
    <row r="1584" spans="1:9" x14ac:dyDescent="0.25">
      <c r="A1584">
        <v>67</v>
      </c>
      <c r="B1584" t="s">
        <v>92</v>
      </c>
      <c r="C1584" t="s">
        <v>83</v>
      </c>
      <c r="D1584" t="s">
        <v>93</v>
      </c>
      <c r="E1584" t="s">
        <v>85</v>
      </c>
      <c r="F1584" cm="1">
        <f t="array" ref="F1584">_xlfn.XLOOKUP(Food_Orders[[#This Row],[Event_No]],Event_Master[[#All],[Event_No]],Event_Master[[#All],[Guest_Count]],,0)</f>
        <v>700</v>
      </c>
      <c r="G1584" cm="1">
        <f t="array" ref="G1584">Food_Orders[[#This Row],[Quantity_Orderd]]*_xlfn.XLOOKUP(Food_Orders[[#This Row],[Food_ID]],Food_Catalog[[#All],[Food_ID]],Food_Catalog[[#All],[Price_Per_Unit]],0,0)</f>
        <v>10500</v>
      </c>
      <c r="H1584" cm="1">
        <f t="array" ref="H1584">Food_Orders[[#This Row],[Quantity_Orderd]]*_xlfn.XLOOKUP(Food_Orders[[#This Row],[Food_ID]],Food_Catalog[[#All],[Food_ID]],Food_Catalog[[#All],[Client_Price_Per_Unit]],0,0)</f>
        <v>12600</v>
      </c>
      <c r="I1584">
        <f>Food_Orders[[#This Row],[Client_Price]]-Food_Orders[[#This Row],[Cost]]</f>
        <v>2100</v>
      </c>
    </row>
    <row r="1585" spans="1:9" x14ac:dyDescent="0.25">
      <c r="A1585">
        <v>67</v>
      </c>
      <c r="B1585" t="s">
        <v>96</v>
      </c>
      <c r="C1585" t="s">
        <v>83</v>
      </c>
      <c r="D1585" t="s">
        <v>97</v>
      </c>
      <c r="E1585" t="s">
        <v>79</v>
      </c>
      <c r="F1585" cm="1">
        <f t="array" ref="F1585">_xlfn.XLOOKUP(Food_Orders[[#This Row],[Event_No]],Event_Master[[#All],[Event_No]],Event_Master[[#All],[Guest_Count]],,0)</f>
        <v>700</v>
      </c>
      <c r="G1585" cm="1">
        <f t="array" ref="G1585">Food_Orders[[#This Row],[Quantity_Orderd]]*_xlfn.XLOOKUP(Food_Orders[[#This Row],[Food_ID]],Food_Catalog[[#All],[Food_ID]],Food_Catalog[[#All],[Price_Per_Unit]],0,0)</f>
        <v>21000</v>
      </c>
      <c r="H1585" cm="1">
        <f t="array" ref="H1585">Food_Orders[[#This Row],[Quantity_Orderd]]*_xlfn.XLOOKUP(Food_Orders[[#This Row],[Food_ID]],Food_Catalog[[#All],[Food_ID]],Food_Catalog[[#All],[Client_Price_Per_Unit]],0,0)</f>
        <v>25200</v>
      </c>
      <c r="I1585">
        <f>Food_Orders[[#This Row],[Client_Price]]-Food_Orders[[#This Row],[Cost]]</f>
        <v>4200</v>
      </c>
    </row>
    <row r="1586" spans="1:9" x14ac:dyDescent="0.25">
      <c r="A1586">
        <v>68</v>
      </c>
      <c r="B1586" t="s">
        <v>118</v>
      </c>
      <c r="C1586" t="s">
        <v>119</v>
      </c>
      <c r="D1586" t="s">
        <v>120</v>
      </c>
      <c r="E1586" t="s">
        <v>112</v>
      </c>
      <c r="F1586" cm="1">
        <f t="array" ref="F1586">_xlfn.XLOOKUP(Food_Orders[[#This Row],[Event_No]],Event_Master[[#All],[Event_No]],Event_Master[[#All],[Guest_Count]],,0)</f>
        <v>650</v>
      </c>
      <c r="G1586" cm="1">
        <f t="array" ref="G1586">Food_Orders[[#This Row],[Quantity_Orderd]]*_xlfn.XLOOKUP(Food_Orders[[#This Row],[Food_ID]],Food_Catalog[[#All],[Food_ID]],Food_Catalog[[#All],[Price_Per_Unit]],0,0)</f>
        <v>6500</v>
      </c>
      <c r="H1586" cm="1">
        <f t="array" ref="H1586">Food_Orders[[#This Row],[Quantity_Orderd]]*_xlfn.XLOOKUP(Food_Orders[[#This Row],[Food_ID]],Food_Catalog[[#All],[Food_ID]],Food_Catalog[[#All],[Client_Price_Per_Unit]],0,0)</f>
        <v>7800</v>
      </c>
      <c r="I1586">
        <f>Food_Orders[[#This Row],[Client_Price]]-Food_Orders[[#This Row],[Cost]]</f>
        <v>1300</v>
      </c>
    </row>
    <row r="1587" spans="1:9" x14ac:dyDescent="0.25">
      <c r="A1587">
        <v>68</v>
      </c>
      <c r="B1587" t="s">
        <v>129</v>
      </c>
      <c r="C1587" t="s">
        <v>119</v>
      </c>
      <c r="D1587" t="s">
        <v>130</v>
      </c>
      <c r="E1587" t="s">
        <v>112</v>
      </c>
      <c r="F1587" cm="1">
        <f t="array" ref="F1587">_xlfn.XLOOKUP(Food_Orders[[#This Row],[Event_No]],Event_Master[[#All],[Event_No]],Event_Master[[#All],[Guest_Count]],,0)</f>
        <v>650</v>
      </c>
      <c r="G1587" cm="1">
        <f t="array" ref="G1587">Food_Orders[[#This Row],[Quantity_Orderd]]*_xlfn.XLOOKUP(Food_Orders[[#This Row],[Food_ID]],Food_Catalog[[#All],[Food_ID]],Food_Catalog[[#All],[Price_Per_Unit]],0,0)</f>
        <v>6500</v>
      </c>
      <c r="H1587" cm="1">
        <f t="array" ref="H1587">Food_Orders[[#This Row],[Quantity_Orderd]]*_xlfn.XLOOKUP(Food_Orders[[#This Row],[Food_ID]],Food_Catalog[[#All],[Food_ID]],Food_Catalog[[#All],[Client_Price_Per_Unit]],0,0)</f>
        <v>7800</v>
      </c>
      <c r="I1587">
        <f>Food_Orders[[#This Row],[Client_Price]]-Food_Orders[[#This Row],[Cost]]</f>
        <v>1300</v>
      </c>
    </row>
    <row r="1588" spans="1:9" x14ac:dyDescent="0.25">
      <c r="A1588">
        <v>68</v>
      </c>
      <c r="B1588" t="s">
        <v>104</v>
      </c>
      <c r="C1588" t="s">
        <v>105</v>
      </c>
      <c r="D1588" t="s">
        <v>106</v>
      </c>
      <c r="E1588" t="s">
        <v>107</v>
      </c>
      <c r="F1588" cm="1">
        <f t="array" ref="F1588">_xlfn.XLOOKUP(Food_Orders[[#This Row],[Event_No]],Event_Master[[#All],[Event_No]],Event_Master[[#All],[Guest_Count]],,0)</f>
        <v>650</v>
      </c>
      <c r="G1588" cm="1">
        <f t="array" ref="G1588">Food_Orders[[#This Row],[Quantity_Orderd]]*_xlfn.XLOOKUP(Food_Orders[[#This Row],[Food_ID]],Food_Catalog[[#All],[Food_ID]],Food_Catalog[[#All],[Price_Per_Unit]],0,0)</f>
        <v>6500</v>
      </c>
      <c r="H1588" cm="1">
        <f t="array" ref="H1588">Food_Orders[[#This Row],[Quantity_Orderd]]*_xlfn.XLOOKUP(Food_Orders[[#This Row],[Food_ID]],Food_Catalog[[#All],[Food_ID]],Food_Catalog[[#All],[Client_Price_Per_Unit]],0,0)</f>
        <v>7800</v>
      </c>
      <c r="I1588">
        <f>Food_Orders[[#This Row],[Client_Price]]-Food_Orders[[#This Row],[Cost]]</f>
        <v>1300</v>
      </c>
    </row>
    <row r="1589" spans="1:9" x14ac:dyDescent="0.25">
      <c r="A1589">
        <v>68</v>
      </c>
      <c r="B1589" t="s">
        <v>108</v>
      </c>
      <c r="C1589" t="s">
        <v>105</v>
      </c>
      <c r="D1589" t="s">
        <v>109</v>
      </c>
      <c r="E1589" t="s">
        <v>107</v>
      </c>
      <c r="F1589" cm="1">
        <f t="array" ref="F1589">_xlfn.XLOOKUP(Food_Orders[[#This Row],[Event_No]],Event_Master[[#All],[Event_No]],Event_Master[[#All],[Guest_Count]],,0)</f>
        <v>650</v>
      </c>
      <c r="G1589" cm="1">
        <f t="array" ref="G1589">Food_Orders[[#This Row],[Quantity_Orderd]]*_xlfn.XLOOKUP(Food_Orders[[#This Row],[Food_ID]],Food_Catalog[[#All],[Food_ID]],Food_Catalog[[#All],[Price_Per_Unit]],0,0)</f>
        <v>9750</v>
      </c>
      <c r="H1589" cm="1">
        <f t="array" ref="H1589">Food_Orders[[#This Row],[Quantity_Orderd]]*_xlfn.XLOOKUP(Food_Orders[[#This Row],[Food_ID]],Food_Catalog[[#All],[Food_ID]],Food_Catalog[[#All],[Client_Price_Per_Unit]],0,0)</f>
        <v>11700</v>
      </c>
      <c r="I1589">
        <f>Food_Orders[[#This Row],[Client_Price]]-Food_Orders[[#This Row],[Cost]]</f>
        <v>1950</v>
      </c>
    </row>
    <row r="1590" spans="1:9" x14ac:dyDescent="0.25">
      <c r="A1590">
        <v>68</v>
      </c>
      <c r="B1590" t="s">
        <v>121</v>
      </c>
      <c r="C1590" t="s">
        <v>119</v>
      </c>
      <c r="D1590" t="s">
        <v>122</v>
      </c>
      <c r="E1590" t="s">
        <v>123</v>
      </c>
      <c r="F1590" cm="1">
        <f t="array" ref="F1590">_xlfn.XLOOKUP(Food_Orders[[#This Row],[Event_No]],Event_Master[[#All],[Event_No]],Event_Master[[#All],[Guest_Count]],,0)</f>
        <v>650</v>
      </c>
      <c r="G1590" cm="1">
        <f t="array" ref="G1590">Food_Orders[[#This Row],[Quantity_Orderd]]*_xlfn.XLOOKUP(Food_Orders[[#This Row],[Food_ID]],Food_Catalog[[#All],[Food_ID]],Food_Catalog[[#All],[Price_Per_Unit]],0,0)</f>
        <v>6500</v>
      </c>
      <c r="H1590" cm="1">
        <f t="array" ref="H1590">Food_Orders[[#This Row],[Quantity_Orderd]]*_xlfn.XLOOKUP(Food_Orders[[#This Row],[Food_ID]],Food_Catalog[[#All],[Food_ID]],Food_Catalog[[#All],[Client_Price_Per_Unit]],0,0)</f>
        <v>7800</v>
      </c>
      <c r="I1590">
        <f>Food_Orders[[#This Row],[Client_Price]]-Food_Orders[[#This Row],[Cost]]</f>
        <v>1300</v>
      </c>
    </row>
    <row r="1591" spans="1:9" x14ac:dyDescent="0.25">
      <c r="A1591">
        <v>68</v>
      </c>
      <c r="B1591" t="s">
        <v>124</v>
      </c>
      <c r="C1591" t="s">
        <v>119</v>
      </c>
      <c r="D1591" t="s">
        <v>125</v>
      </c>
      <c r="E1591" t="s">
        <v>126</v>
      </c>
      <c r="F1591" cm="1">
        <f t="array" ref="F1591">_xlfn.XLOOKUP(Food_Orders[[#This Row],[Event_No]],Event_Master[[#All],[Event_No]],Event_Master[[#All],[Guest_Count]],,0)</f>
        <v>650</v>
      </c>
      <c r="G1591" cm="1">
        <f t="array" ref="G1591">Food_Orders[[#This Row],[Quantity_Orderd]]*_xlfn.XLOOKUP(Food_Orders[[#This Row],[Food_ID]],Food_Catalog[[#All],[Food_ID]],Food_Catalog[[#All],[Price_Per_Unit]],0,0)</f>
        <v>13000</v>
      </c>
      <c r="H1591" cm="1">
        <f t="array" ref="H1591">Food_Orders[[#This Row],[Quantity_Orderd]]*_xlfn.XLOOKUP(Food_Orders[[#This Row],[Food_ID]],Food_Catalog[[#All],[Food_ID]],Food_Catalog[[#All],[Client_Price_Per_Unit]],0,0)</f>
        <v>15600</v>
      </c>
      <c r="I1591">
        <f>Food_Orders[[#This Row],[Client_Price]]-Food_Orders[[#This Row],[Cost]]</f>
        <v>2600</v>
      </c>
    </row>
    <row r="1592" spans="1:9" x14ac:dyDescent="0.25">
      <c r="A1592">
        <v>68</v>
      </c>
      <c r="B1592" t="s">
        <v>127</v>
      </c>
      <c r="C1592" t="s">
        <v>119</v>
      </c>
      <c r="D1592" t="s">
        <v>128</v>
      </c>
      <c r="E1592" t="s">
        <v>107</v>
      </c>
      <c r="F1592" cm="1">
        <f t="array" ref="F1592">_xlfn.XLOOKUP(Food_Orders[[#This Row],[Event_No]],Event_Master[[#All],[Event_No]],Event_Master[[#All],[Guest_Count]],,0)</f>
        <v>650</v>
      </c>
      <c r="G1592" cm="1">
        <f t="array" ref="G1592">Food_Orders[[#This Row],[Quantity_Orderd]]*_xlfn.XLOOKUP(Food_Orders[[#This Row],[Food_ID]],Food_Catalog[[#All],[Food_ID]],Food_Catalog[[#All],[Price_Per_Unit]],0,0)</f>
        <v>13000</v>
      </c>
      <c r="H1592" cm="1">
        <f t="array" ref="H1592">Food_Orders[[#This Row],[Quantity_Orderd]]*_xlfn.XLOOKUP(Food_Orders[[#This Row],[Food_ID]],Food_Catalog[[#All],[Food_ID]],Food_Catalog[[#All],[Client_Price_Per_Unit]],0,0)</f>
        <v>15600</v>
      </c>
      <c r="I1592">
        <f>Food_Orders[[#This Row],[Client_Price]]-Food_Orders[[#This Row],[Cost]]</f>
        <v>2600</v>
      </c>
    </row>
    <row r="1593" spans="1:9" x14ac:dyDescent="0.25">
      <c r="A1593">
        <v>68</v>
      </c>
      <c r="B1593" t="s">
        <v>63</v>
      </c>
      <c r="C1593" t="s">
        <v>61</v>
      </c>
      <c r="D1593" t="s">
        <v>64</v>
      </c>
      <c r="E1593" t="s">
        <v>10</v>
      </c>
      <c r="F1593" cm="1">
        <f t="array" ref="F1593">_xlfn.XLOOKUP(Food_Orders[[#This Row],[Event_No]],Event_Master[[#All],[Event_No]],Event_Master[[#All],[Guest_Count]],,0)</f>
        <v>650</v>
      </c>
      <c r="G1593" cm="1">
        <f t="array" ref="G1593">Food_Orders[[#This Row],[Quantity_Orderd]]*_xlfn.XLOOKUP(Food_Orders[[#This Row],[Food_ID]],Food_Catalog[[#All],[Food_ID]],Food_Catalog[[#All],[Price_Per_Unit]],0,0)</f>
        <v>19500</v>
      </c>
      <c r="H1593" cm="1">
        <f t="array" ref="H1593">Food_Orders[[#This Row],[Quantity_Orderd]]*_xlfn.XLOOKUP(Food_Orders[[#This Row],[Food_ID]],Food_Catalog[[#All],[Food_ID]],Food_Catalog[[#All],[Client_Price_Per_Unit]],0,0)</f>
        <v>23400</v>
      </c>
      <c r="I1593">
        <f>Food_Orders[[#This Row],[Client_Price]]-Food_Orders[[#This Row],[Cost]]</f>
        <v>3900</v>
      </c>
    </row>
    <row r="1594" spans="1:9" x14ac:dyDescent="0.25">
      <c r="A1594">
        <v>68</v>
      </c>
      <c r="B1594" t="s">
        <v>71</v>
      </c>
      <c r="C1594" t="s">
        <v>61</v>
      </c>
      <c r="D1594" t="s">
        <v>72</v>
      </c>
      <c r="E1594" t="s">
        <v>10</v>
      </c>
      <c r="F1594" cm="1">
        <f t="array" ref="F1594">_xlfn.XLOOKUP(Food_Orders[[#This Row],[Event_No]],Event_Master[[#All],[Event_No]],Event_Master[[#All],[Guest_Count]],,0)</f>
        <v>650</v>
      </c>
      <c r="G1594" cm="1">
        <f t="array" ref="G1594">Food_Orders[[#This Row],[Quantity_Orderd]]*_xlfn.XLOOKUP(Food_Orders[[#This Row],[Food_ID]],Food_Catalog[[#All],[Food_ID]],Food_Catalog[[#All],[Price_Per_Unit]],0,0)</f>
        <v>16250</v>
      </c>
      <c r="H1594" cm="1">
        <f t="array" ref="H1594">Food_Orders[[#This Row],[Quantity_Orderd]]*_xlfn.XLOOKUP(Food_Orders[[#This Row],[Food_ID]],Food_Catalog[[#All],[Food_ID]],Food_Catalog[[#All],[Client_Price_Per_Unit]],0,0)</f>
        <v>19500</v>
      </c>
      <c r="I1594">
        <f>Food_Orders[[#This Row],[Client_Price]]-Food_Orders[[#This Row],[Cost]]</f>
        <v>3250</v>
      </c>
    </row>
    <row r="1595" spans="1:9" x14ac:dyDescent="0.25">
      <c r="A1595">
        <v>68</v>
      </c>
      <c r="B1595" t="s">
        <v>29</v>
      </c>
      <c r="C1595" t="s">
        <v>8</v>
      </c>
      <c r="D1595" t="s">
        <v>30</v>
      </c>
      <c r="E1595" t="s">
        <v>10</v>
      </c>
      <c r="F1595" cm="1">
        <f t="array" ref="F1595">_xlfn.XLOOKUP(Food_Orders[[#This Row],[Event_No]],Event_Master[[#All],[Event_No]],Event_Master[[#All],[Guest_Count]],,0)</f>
        <v>650</v>
      </c>
      <c r="G1595" cm="1">
        <f t="array" ref="G1595">Food_Orders[[#This Row],[Quantity_Orderd]]*_xlfn.XLOOKUP(Food_Orders[[#This Row],[Food_ID]],Food_Catalog[[#All],[Food_ID]],Food_Catalog[[#All],[Price_Per_Unit]],0,0)</f>
        <v>19500</v>
      </c>
      <c r="H1595" cm="1">
        <f t="array" ref="H1595">Food_Orders[[#This Row],[Quantity_Orderd]]*_xlfn.XLOOKUP(Food_Orders[[#This Row],[Food_ID]],Food_Catalog[[#All],[Food_ID]],Food_Catalog[[#All],[Client_Price_Per_Unit]],0,0)</f>
        <v>23400</v>
      </c>
      <c r="I1595">
        <f>Food_Orders[[#This Row],[Client_Price]]-Food_Orders[[#This Row],[Cost]]</f>
        <v>3900</v>
      </c>
    </row>
    <row r="1596" spans="1:9" x14ac:dyDescent="0.25">
      <c r="A1596">
        <v>68</v>
      </c>
      <c r="B1596" t="s">
        <v>37</v>
      </c>
      <c r="C1596" t="s">
        <v>8</v>
      </c>
      <c r="D1596" t="s">
        <v>38</v>
      </c>
      <c r="E1596" t="s">
        <v>10</v>
      </c>
      <c r="F1596" cm="1">
        <f t="array" ref="F1596">_xlfn.XLOOKUP(Food_Orders[[#This Row],[Event_No]],Event_Master[[#All],[Event_No]],Event_Master[[#All],[Guest_Count]],,0)</f>
        <v>650</v>
      </c>
      <c r="G1596" cm="1">
        <f t="array" ref="G1596">Food_Orders[[#This Row],[Quantity_Orderd]]*_xlfn.XLOOKUP(Food_Orders[[#This Row],[Food_ID]],Food_Catalog[[#All],[Food_ID]],Food_Catalog[[#All],[Price_Per_Unit]],0,0)</f>
        <v>16250</v>
      </c>
      <c r="H1596" cm="1">
        <f t="array" ref="H1596">Food_Orders[[#This Row],[Quantity_Orderd]]*_xlfn.XLOOKUP(Food_Orders[[#This Row],[Food_ID]],Food_Catalog[[#All],[Food_ID]],Food_Catalog[[#All],[Client_Price_Per_Unit]],0,0)</f>
        <v>19500</v>
      </c>
      <c r="I1596">
        <f>Food_Orders[[#This Row],[Client_Price]]-Food_Orders[[#This Row],[Cost]]</f>
        <v>3250</v>
      </c>
    </row>
    <row r="1597" spans="1:9" x14ac:dyDescent="0.25">
      <c r="A1597">
        <v>68</v>
      </c>
      <c r="B1597" t="s">
        <v>92</v>
      </c>
      <c r="C1597" t="s">
        <v>83</v>
      </c>
      <c r="D1597" t="s">
        <v>93</v>
      </c>
      <c r="E1597" t="s">
        <v>85</v>
      </c>
      <c r="F1597" cm="1">
        <f t="array" ref="F1597">_xlfn.XLOOKUP(Food_Orders[[#This Row],[Event_No]],Event_Master[[#All],[Event_No]],Event_Master[[#All],[Guest_Count]],,0)</f>
        <v>650</v>
      </c>
      <c r="G1597" cm="1">
        <f t="array" ref="G1597">Food_Orders[[#This Row],[Quantity_Orderd]]*_xlfn.XLOOKUP(Food_Orders[[#This Row],[Food_ID]],Food_Catalog[[#All],[Food_ID]],Food_Catalog[[#All],[Price_Per_Unit]],0,0)</f>
        <v>9750</v>
      </c>
      <c r="H1597" cm="1">
        <f t="array" ref="H1597">Food_Orders[[#This Row],[Quantity_Orderd]]*_xlfn.XLOOKUP(Food_Orders[[#This Row],[Food_ID]],Food_Catalog[[#All],[Food_ID]],Food_Catalog[[#All],[Client_Price_Per_Unit]],0,0)</f>
        <v>11700</v>
      </c>
      <c r="I1597">
        <f>Food_Orders[[#This Row],[Client_Price]]-Food_Orders[[#This Row],[Cost]]</f>
        <v>1950</v>
      </c>
    </row>
    <row r="1598" spans="1:9" x14ac:dyDescent="0.25">
      <c r="A1598">
        <v>68</v>
      </c>
      <c r="B1598" t="s">
        <v>96</v>
      </c>
      <c r="C1598" t="s">
        <v>83</v>
      </c>
      <c r="D1598" t="s">
        <v>97</v>
      </c>
      <c r="E1598" t="s">
        <v>79</v>
      </c>
      <c r="F1598" cm="1">
        <f t="array" ref="F1598">_xlfn.XLOOKUP(Food_Orders[[#This Row],[Event_No]],Event_Master[[#All],[Event_No]],Event_Master[[#All],[Guest_Count]],,0)</f>
        <v>650</v>
      </c>
      <c r="G1598" cm="1">
        <f t="array" ref="G1598">Food_Orders[[#This Row],[Quantity_Orderd]]*_xlfn.XLOOKUP(Food_Orders[[#This Row],[Food_ID]],Food_Catalog[[#All],[Food_ID]],Food_Catalog[[#All],[Price_Per_Unit]],0,0)</f>
        <v>19500</v>
      </c>
      <c r="H1598" cm="1">
        <f t="array" ref="H1598">Food_Orders[[#This Row],[Quantity_Orderd]]*_xlfn.XLOOKUP(Food_Orders[[#This Row],[Food_ID]],Food_Catalog[[#All],[Food_ID]],Food_Catalog[[#All],[Client_Price_Per_Unit]],0,0)</f>
        <v>23400</v>
      </c>
      <c r="I1598">
        <f>Food_Orders[[#This Row],[Client_Price]]-Food_Orders[[#This Row],[Cost]]</f>
        <v>3900</v>
      </c>
    </row>
    <row r="1599" spans="1:9" x14ac:dyDescent="0.25">
      <c r="A1599">
        <v>69</v>
      </c>
      <c r="B1599" t="s">
        <v>60</v>
      </c>
      <c r="C1599" t="s">
        <v>61</v>
      </c>
      <c r="D1599" t="s">
        <v>62</v>
      </c>
      <c r="E1599" t="s">
        <v>10</v>
      </c>
      <c r="F1599" cm="1">
        <f t="array" ref="F1599">_xlfn.XLOOKUP(Food_Orders[[#This Row],[Event_No]],Event_Master[[#All],[Event_No]],Event_Master[[#All],[Guest_Count]],,0)</f>
        <v>380</v>
      </c>
      <c r="G1599" cm="1">
        <f t="array" ref="G1599">Food_Orders[[#This Row],[Quantity_Orderd]]*_xlfn.XLOOKUP(Food_Orders[[#This Row],[Food_ID]],Food_Catalog[[#All],[Food_ID]],Food_Catalog[[#All],[Price_Per_Unit]],0,0)</f>
        <v>7600</v>
      </c>
      <c r="H1599" cm="1">
        <f t="array" ref="H1599">Food_Orders[[#This Row],[Quantity_Orderd]]*_xlfn.XLOOKUP(Food_Orders[[#This Row],[Food_ID]],Food_Catalog[[#All],[Food_ID]],Food_Catalog[[#All],[Client_Price_Per_Unit]],0,0)</f>
        <v>9120</v>
      </c>
      <c r="I1599">
        <f>Food_Orders[[#This Row],[Client_Price]]-Food_Orders[[#This Row],[Cost]]</f>
        <v>1520</v>
      </c>
    </row>
    <row r="1600" spans="1:9" x14ac:dyDescent="0.25">
      <c r="A1600">
        <v>69</v>
      </c>
      <c r="B1600" t="s">
        <v>71</v>
      </c>
      <c r="C1600" t="s">
        <v>61</v>
      </c>
      <c r="D1600" t="s">
        <v>72</v>
      </c>
      <c r="E1600" t="s">
        <v>10</v>
      </c>
      <c r="F1600" cm="1">
        <f t="array" ref="F1600">_xlfn.XLOOKUP(Food_Orders[[#This Row],[Event_No]],Event_Master[[#All],[Event_No]],Event_Master[[#All],[Guest_Count]],,0)</f>
        <v>380</v>
      </c>
      <c r="G1600" cm="1">
        <f t="array" ref="G1600">Food_Orders[[#This Row],[Quantity_Orderd]]*_xlfn.XLOOKUP(Food_Orders[[#This Row],[Food_ID]],Food_Catalog[[#All],[Food_ID]],Food_Catalog[[#All],[Price_Per_Unit]],0,0)</f>
        <v>9500</v>
      </c>
      <c r="H1600" cm="1">
        <f t="array" ref="H1600">Food_Orders[[#This Row],[Quantity_Orderd]]*_xlfn.XLOOKUP(Food_Orders[[#This Row],[Food_ID]],Food_Catalog[[#All],[Food_ID]],Food_Catalog[[#All],[Client_Price_Per_Unit]],0,0)</f>
        <v>11400</v>
      </c>
      <c r="I1600">
        <f>Food_Orders[[#This Row],[Client_Price]]-Food_Orders[[#This Row],[Cost]]</f>
        <v>1900</v>
      </c>
    </row>
    <row r="1601" spans="1:9" x14ac:dyDescent="0.25">
      <c r="A1601">
        <v>69</v>
      </c>
      <c r="B1601" t="s">
        <v>80</v>
      </c>
      <c r="C1601" t="s">
        <v>61</v>
      </c>
      <c r="D1601" t="s">
        <v>81</v>
      </c>
      <c r="E1601" t="s">
        <v>10</v>
      </c>
      <c r="F1601" cm="1">
        <f t="array" ref="F1601">_xlfn.XLOOKUP(Food_Orders[[#This Row],[Event_No]],Event_Master[[#All],[Event_No]],Event_Master[[#All],[Guest_Count]],,0)</f>
        <v>380</v>
      </c>
      <c r="G1601" cm="1">
        <f t="array" ref="G1601">Food_Orders[[#This Row],[Quantity_Orderd]]*_xlfn.XLOOKUP(Food_Orders[[#This Row],[Food_ID]],Food_Catalog[[#All],[Food_ID]],Food_Catalog[[#All],[Price_Per_Unit]],0,0)</f>
        <v>11400</v>
      </c>
      <c r="H1601" cm="1">
        <f t="array" ref="H1601">Food_Orders[[#This Row],[Quantity_Orderd]]*_xlfn.XLOOKUP(Food_Orders[[#This Row],[Food_ID]],Food_Catalog[[#All],[Food_ID]],Food_Catalog[[#All],[Client_Price_Per_Unit]],0,0)</f>
        <v>13680</v>
      </c>
      <c r="I1601">
        <f>Food_Orders[[#This Row],[Client_Price]]-Food_Orders[[#This Row],[Cost]]</f>
        <v>2280</v>
      </c>
    </row>
    <row r="1602" spans="1:9" x14ac:dyDescent="0.25">
      <c r="A1602">
        <v>69</v>
      </c>
      <c r="B1602" t="s">
        <v>73</v>
      </c>
      <c r="C1602" t="s">
        <v>61</v>
      </c>
      <c r="D1602" t="s">
        <v>74</v>
      </c>
      <c r="E1602" t="s">
        <v>10</v>
      </c>
      <c r="F1602" cm="1">
        <f t="array" ref="F1602">_xlfn.XLOOKUP(Food_Orders[[#This Row],[Event_No]],Event_Master[[#All],[Event_No]],Event_Master[[#All],[Guest_Count]],,0)</f>
        <v>380</v>
      </c>
      <c r="G1602" cm="1">
        <f t="array" ref="G1602">Food_Orders[[#This Row],[Quantity_Orderd]]*_xlfn.XLOOKUP(Food_Orders[[#This Row],[Food_ID]],Food_Catalog[[#All],[Food_ID]],Food_Catalog[[#All],[Price_Per_Unit]],0,0)</f>
        <v>15200</v>
      </c>
      <c r="H1602" cm="1">
        <f t="array" ref="H1602">Food_Orders[[#This Row],[Quantity_Orderd]]*_xlfn.XLOOKUP(Food_Orders[[#This Row],[Food_ID]],Food_Catalog[[#All],[Food_ID]],Food_Catalog[[#All],[Client_Price_Per_Unit]],0,0)</f>
        <v>18240</v>
      </c>
      <c r="I1602">
        <f>Food_Orders[[#This Row],[Client_Price]]-Food_Orders[[#This Row],[Cost]]</f>
        <v>3040</v>
      </c>
    </row>
    <row r="1603" spans="1:9" x14ac:dyDescent="0.25">
      <c r="A1603">
        <v>69</v>
      </c>
      <c r="B1603" t="s">
        <v>69</v>
      </c>
      <c r="C1603" t="s">
        <v>61</v>
      </c>
      <c r="D1603" t="s">
        <v>70</v>
      </c>
      <c r="E1603" t="s">
        <v>10</v>
      </c>
      <c r="F1603" cm="1">
        <f t="array" ref="F1603">_xlfn.XLOOKUP(Food_Orders[[#This Row],[Event_No]],Event_Master[[#All],[Event_No]],Event_Master[[#All],[Guest_Count]],,0)</f>
        <v>380</v>
      </c>
      <c r="G1603" cm="1">
        <f t="array" ref="G1603">Food_Orders[[#This Row],[Quantity_Orderd]]*_xlfn.XLOOKUP(Food_Orders[[#This Row],[Food_ID]],Food_Catalog[[#All],[Food_ID]],Food_Catalog[[#All],[Price_Per_Unit]],0,0)</f>
        <v>19000</v>
      </c>
      <c r="H1603" cm="1">
        <f t="array" ref="H1603">Food_Orders[[#This Row],[Quantity_Orderd]]*_xlfn.XLOOKUP(Food_Orders[[#This Row],[Food_ID]],Food_Catalog[[#All],[Food_ID]],Food_Catalog[[#All],[Client_Price_Per_Unit]],0,0)</f>
        <v>22800</v>
      </c>
      <c r="I1603">
        <f>Food_Orders[[#This Row],[Client_Price]]-Food_Orders[[#This Row],[Cost]]</f>
        <v>3800</v>
      </c>
    </row>
    <row r="1604" spans="1:9" x14ac:dyDescent="0.25">
      <c r="A1604">
        <v>69</v>
      </c>
      <c r="B1604" t="s">
        <v>67</v>
      </c>
      <c r="C1604" t="s">
        <v>61</v>
      </c>
      <c r="D1604" t="s">
        <v>68</v>
      </c>
      <c r="E1604" t="s">
        <v>10</v>
      </c>
      <c r="F1604" cm="1">
        <f t="array" ref="F1604">_xlfn.XLOOKUP(Food_Orders[[#This Row],[Event_No]],Event_Master[[#All],[Event_No]],Event_Master[[#All],[Guest_Count]],,0)</f>
        <v>380</v>
      </c>
      <c r="G1604" cm="1">
        <f t="array" ref="G1604">Food_Orders[[#This Row],[Quantity_Orderd]]*_xlfn.XLOOKUP(Food_Orders[[#This Row],[Food_ID]],Food_Catalog[[#All],[Food_ID]],Food_Catalog[[#All],[Price_Per_Unit]],0,0)</f>
        <v>11400</v>
      </c>
      <c r="H1604" cm="1">
        <f t="array" ref="H1604">Food_Orders[[#This Row],[Quantity_Orderd]]*_xlfn.XLOOKUP(Food_Orders[[#This Row],[Food_ID]],Food_Catalog[[#All],[Food_ID]],Food_Catalog[[#All],[Client_Price_Per_Unit]],0,0)</f>
        <v>13680</v>
      </c>
      <c r="I1604">
        <f>Food_Orders[[#This Row],[Client_Price]]-Food_Orders[[#This Row],[Cost]]</f>
        <v>2280</v>
      </c>
    </row>
    <row r="1605" spans="1:9" x14ac:dyDescent="0.25">
      <c r="A1605">
        <v>69</v>
      </c>
      <c r="B1605" t="s">
        <v>77</v>
      </c>
      <c r="C1605" t="s">
        <v>61</v>
      </c>
      <c r="D1605" t="s">
        <v>78</v>
      </c>
      <c r="E1605" t="s">
        <v>79</v>
      </c>
      <c r="F1605" cm="1">
        <f t="array" ref="F1605">_xlfn.XLOOKUP(Food_Orders[[#This Row],[Event_No]],Event_Master[[#All],[Event_No]],Event_Master[[#All],[Guest_Count]],,0)</f>
        <v>380</v>
      </c>
      <c r="G1605" cm="1">
        <f t="array" ref="G1605">Food_Orders[[#This Row],[Quantity_Orderd]]*_xlfn.XLOOKUP(Food_Orders[[#This Row],[Food_ID]],Food_Catalog[[#All],[Food_ID]],Food_Catalog[[#All],[Price_Per_Unit]],0,0)</f>
        <v>13300</v>
      </c>
      <c r="H1605" cm="1">
        <f t="array" ref="H1605">Food_Orders[[#This Row],[Quantity_Orderd]]*_xlfn.XLOOKUP(Food_Orders[[#This Row],[Food_ID]],Food_Catalog[[#All],[Food_ID]],Food_Catalog[[#All],[Client_Price_Per_Unit]],0,0)</f>
        <v>15960</v>
      </c>
      <c r="I1605">
        <f>Food_Orders[[#This Row],[Client_Price]]-Food_Orders[[#This Row],[Cost]]</f>
        <v>2660</v>
      </c>
    </row>
    <row r="1606" spans="1:9" x14ac:dyDescent="0.25">
      <c r="A1606">
        <v>69</v>
      </c>
      <c r="B1606" t="s">
        <v>7</v>
      </c>
      <c r="C1606" t="s">
        <v>8</v>
      </c>
      <c r="D1606" t="s">
        <v>9</v>
      </c>
      <c r="E1606" t="s">
        <v>10</v>
      </c>
      <c r="F1606" cm="1">
        <f t="array" ref="F1606">_xlfn.XLOOKUP(Food_Orders[[#This Row],[Event_No]],Event_Master[[#All],[Event_No]],Event_Master[[#All],[Guest_Count]],,0)</f>
        <v>380</v>
      </c>
      <c r="G1606" cm="1">
        <f t="array" ref="G1606">Food_Orders[[#This Row],[Quantity_Orderd]]*_xlfn.XLOOKUP(Food_Orders[[#This Row],[Food_ID]],Food_Catalog[[#All],[Food_ID]],Food_Catalog[[#All],[Price_Per_Unit]],0,0)</f>
        <v>9500</v>
      </c>
      <c r="H1606" cm="1">
        <f t="array" ref="H1606">Food_Orders[[#This Row],[Quantity_Orderd]]*_xlfn.XLOOKUP(Food_Orders[[#This Row],[Food_ID]],Food_Catalog[[#All],[Food_ID]],Food_Catalog[[#All],[Client_Price_Per_Unit]],0,0)</f>
        <v>11400</v>
      </c>
      <c r="I1606">
        <f>Food_Orders[[#This Row],[Client_Price]]-Food_Orders[[#This Row],[Cost]]</f>
        <v>1900</v>
      </c>
    </row>
    <row r="1607" spans="1:9" x14ac:dyDescent="0.25">
      <c r="A1607">
        <v>69</v>
      </c>
      <c r="B1607" t="s">
        <v>13</v>
      </c>
      <c r="C1607" t="s">
        <v>8</v>
      </c>
      <c r="D1607" t="s">
        <v>14</v>
      </c>
      <c r="E1607" t="s">
        <v>10</v>
      </c>
      <c r="F1607" cm="1">
        <f t="array" ref="F1607">_xlfn.XLOOKUP(Food_Orders[[#This Row],[Event_No]],Event_Master[[#All],[Event_No]],Event_Master[[#All],[Guest_Count]],,0)</f>
        <v>380</v>
      </c>
      <c r="G1607" cm="1">
        <f t="array" ref="G1607">Food_Orders[[#This Row],[Quantity_Orderd]]*_xlfn.XLOOKUP(Food_Orders[[#This Row],[Food_ID]],Food_Catalog[[#All],[Food_ID]],Food_Catalog[[#All],[Price_Per_Unit]],0,0)</f>
        <v>13300</v>
      </c>
      <c r="H1607" cm="1">
        <f t="array" ref="H1607">Food_Orders[[#This Row],[Quantity_Orderd]]*_xlfn.XLOOKUP(Food_Orders[[#This Row],[Food_ID]],Food_Catalog[[#All],[Food_ID]],Food_Catalog[[#All],[Client_Price_Per_Unit]],0,0)</f>
        <v>15960</v>
      </c>
      <c r="I1607">
        <f>Food_Orders[[#This Row],[Client_Price]]-Food_Orders[[#This Row],[Cost]]</f>
        <v>2660</v>
      </c>
    </row>
    <row r="1608" spans="1:9" x14ac:dyDescent="0.25">
      <c r="A1608">
        <v>69</v>
      </c>
      <c r="B1608" t="s">
        <v>25</v>
      </c>
      <c r="C1608" t="s">
        <v>8</v>
      </c>
      <c r="D1608" t="s">
        <v>26</v>
      </c>
      <c r="E1608" t="s">
        <v>10</v>
      </c>
      <c r="F1608" cm="1">
        <f t="array" ref="F1608">_xlfn.XLOOKUP(Food_Orders[[#This Row],[Event_No]],Event_Master[[#All],[Event_No]],Event_Master[[#All],[Guest_Count]],,0)</f>
        <v>380</v>
      </c>
      <c r="G1608" cm="1">
        <f t="array" ref="G1608">Food_Orders[[#This Row],[Quantity_Orderd]]*_xlfn.XLOOKUP(Food_Orders[[#This Row],[Food_ID]],Food_Catalog[[#All],[Food_ID]],Food_Catalog[[#All],[Price_Per_Unit]],0,0)</f>
        <v>11400</v>
      </c>
      <c r="H1608" cm="1">
        <f t="array" ref="H1608">Food_Orders[[#This Row],[Quantity_Orderd]]*_xlfn.XLOOKUP(Food_Orders[[#This Row],[Food_ID]],Food_Catalog[[#All],[Food_ID]],Food_Catalog[[#All],[Client_Price_Per_Unit]],0,0)</f>
        <v>13680</v>
      </c>
      <c r="I1608">
        <f>Food_Orders[[#This Row],[Client_Price]]-Food_Orders[[#This Row],[Cost]]</f>
        <v>2280</v>
      </c>
    </row>
    <row r="1609" spans="1:9" x14ac:dyDescent="0.25">
      <c r="A1609">
        <v>69</v>
      </c>
      <c r="B1609" t="s">
        <v>15</v>
      </c>
      <c r="C1609" t="s">
        <v>8</v>
      </c>
      <c r="D1609" t="s">
        <v>16</v>
      </c>
      <c r="E1609" t="s">
        <v>10</v>
      </c>
      <c r="F1609" cm="1">
        <f t="array" ref="F1609">_xlfn.XLOOKUP(Food_Orders[[#This Row],[Event_No]],Event_Master[[#All],[Event_No]],Event_Master[[#All],[Guest_Count]],,0)</f>
        <v>380</v>
      </c>
      <c r="G1609" cm="1">
        <f t="array" ref="G1609">Food_Orders[[#This Row],[Quantity_Orderd]]*_xlfn.XLOOKUP(Food_Orders[[#This Row],[Food_ID]],Food_Catalog[[#All],[Food_ID]],Food_Catalog[[#All],[Price_Per_Unit]],0,0)</f>
        <v>11400</v>
      </c>
      <c r="H1609" cm="1">
        <f t="array" ref="H1609">Food_Orders[[#This Row],[Quantity_Orderd]]*_xlfn.XLOOKUP(Food_Orders[[#This Row],[Food_ID]],Food_Catalog[[#All],[Food_ID]],Food_Catalog[[#All],[Client_Price_Per_Unit]],0,0)</f>
        <v>13680</v>
      </c>
      <c r="I1609">
        <f>Food_Orders[[#This Row],[Client_Price]]-Food_Orders[[#This Row],[Cost]]</f>
        <v>2280</v>
      </c>
    </row>
    <row r="1610" spans="1:9" x14ac:dyDescent="0.25">
      <c r="A1610">
        <v>69</v>
      </c>
      <c r="B1610" t="s">
        <v>35</v>
      </c>
      <c r="C1610" t="s">
        <v>8</v>
      </c>
      <c r="D1610" t="s">
        <v>36</v>
      </c>
      <c r="E1610" t="s">
        <v>10</v>
      </c>
      <c r="F1610" cm="1">
        <f t="array" ref="F1610">_xlfn.XLOOKUP(Food_Orders[[#This Row],[Event_No]],Event_Master[[#All],[Event_No]],Event_Master[[#All],[Guest_Count]],,0)</f>
        <v>380</v>
      </c>
      <c r="G1610" cm="1">
        <f t="array" ref="G1610">Food_Orders[[#This Row],[Quantity_Orderd]]*_xlfn.XLOOKUP(Food_Orders[[#This Row],[Food_ID]],Food_Catalog[[#All],[Food_ID]],Food_Catalog[[#All],[Price_Per_Unit]],0,0)</f>
        <v>11400</v>
      </c>
      <c r="H1610" cm="1">
        <f t="array" ref="H1610">Food_Orders[[#This Row],[Quantity_Orderd]]*_xlfn.XLOOKUP(Food_Orders[[#This Row],[Food_ID]],Food_Catalog[[#All],[Food_ID]],Food_Catalog[[#All],[Client_Price_Per_Unit]],0,0)</f>
        <v>13680</v>
      </c>
      <c r="I1610">
        <f>Food_Orders[[#This Row],[Client_Price]]-Food_Orders[[#This Row],[Cost]]</f>
        <v>2280</v>
      </c>
    </row>
    <row r="1611" spans="1:9" x14ac:dyDescent="0.25">
      <c r="A1611">
        <v>69</v>
      </c>
      <c r="B1611" t="s">
        <v>27</v>
      </c>
      <c r="C1611" t="s">
        <v>8</v>
      </c>
      <c r="D1611" t="s">
        <v>28</v>
      </c>
      <c r="E1611" t="s">
        <v>10</v>
      </c>
      <c r="F1611" cm="1">
        <f t="array" ref="F1611">_xlfn.XLOOKUP(Food_Orders[[#This Row],[Event_No]],Event_Master[[#All],[Event_No]],Event_Master[[#All],[Guest_Count]],,0)</f>
        <v>380</v>
      </c>
      <c r="G1611" cm="1">
        <f t="array" ref="G1611">Food_Orders[[#This Row],[Quantity_Orderd]]*_xlfn.XLOOKUP(Food_Orders[[#This Row],[Food_ID]],Food_Catalog[[#All],[Food_ID]],Food_Catalog[[#All],[Price_Per_Unit]],0,0)</f>
        <v>15200</v>
      </c>
      <c r="H1611" cm="1">
        <f t="array" ref="H1611">Food_Orders[[#This Row],[Quantity_Orderd]]*_xlfn.XLOOKUP(Food_Orders[[#This Row],[Food_ID]],Food_Catalog[[#All],[Food_ID]],Food_Catalog[[#All],[Client_Price_Per_Unit]],0,0)</f>
        <v>18240</v>
      </c>
      <c r="I1611">
        <f>Food_Orders[[#This Row],[Client_Price]]-Food_Orders[[#This Row],[Cost]]</f>
        <v>3040</v>
      </c>
    </row>
    <row r="1612" spans="1:9" x14ac:dyDescent="0.25">
      <c r="A1612">
        <v>69</v>
      </c>
      <c r="B1612" t="s">
        <v>17</v>
      </c>
      <c r="C1612" t="s">
        <v>8</v>
      </c>
      <c r="D1612" t="s">
        <v>18</v>
      </c>
      <c r="E1612" t="s">
        <v>10</v>
      </c>
      <c r="F1612" cm="1">
        <f t="array" ref="F1612">_xlfn.XLOOKUP(Food_Orders[[#This Row],[Event_No]],Event_Master[[#All],[Event_No]],Event_Master[[#All],[Guest_Count]],,0)</f>
        <v>380</v>
      </c>
      <c r="G1612" cm="1">
        <f t="array" ref="G1612">Food_Orders[[#This Row],[Quantity_Orderd]]*_xlfn.XLOOKUP(Food_Orders[[#This Row],[Food_ID]],Food_Catalog[[#All],[Food_ID]],Food_Catalog[[#All],[Price_Per_Unit]],0,0)</f>
        <v>15200</v>
      </c>
      <c r="H1612" cm="1">
        <f t="array" ref="H1612">Food_Orders[[#This Row],[Quantity_Orderd]]*_xlfn.XLOOKUP(Food_Orders[[#This Row],[Food_ID]],Food_Catalog[[#All],[Food_ID]],Food_Catalog[[#All],[Client_Price_Per_Unit]],0,0)</f>
        <v>18240</v>
      </c>
      <c r="I1612">
        <f>Food_Orders[[#This Row],[Client_Price]]-Food_Orders[[#This Row],[Cost]]</f>
        <v>3040</v>
      </c>
    </row>
    <row r="1613" spans="1:9" x14ac:dyDescent="0.25">
      <c r="A1613">
        <v>69</v>
      </c>
      <c r="B1613" t="s">
        <v>21</v>
      </c>
      <c r="C1613" t="s">
        <v>8</v>
      </c>
      <c r="D1613" t="s">
        <v>22</v>
      </c>
      <c r="E1613" t="s">
        <v>10</v>
      </c>
      <c r="F1613" cm="1">
        <f t="array" ref="F1613">_xlfn.XLOOKUP(Food_Orders[[#This Row],[Event_No]],Event_Master[[#All],[Event_No]],Event_Master[[#All],[Guest_Count]],,0)</f>
        <v>380</v>
      </c>
      <c r="G1613" cm="1">
        <f t="array" ref="G1613">Food_Orders[[#This Row],[Quantity_Orderd]]*_xlfn.XLOOKUP(Food_Orders[[#This Row],[Food_ID]],Food_Catalog[[#All],[Food_ID]],Food_Catalog[[#All],[Price_Per_Unit]],0,0)</f>
        <v>13300</v>
      </c>
      <c r="H1613" cm="1">
        <f t="array" ref="H1613">Food_Orders[[#This Row],[Quantity_Orderd]]*_xlfn.XLOOKUP(Food_Orders[[#This Row],[Food_ID]],Food_Catalog[[#All],[Food_ID]],Food_Catalog[[#All],[Client_Price_Per_Unit]],0,0)</f>
        <v>15960</v>
      </c>
      <c r="I1613">
        <f>Food_Orders[[#This Row],[Client_Price]]-Food_Orders[[#This Row],[Cost]]</f>
        <v>2660</v>
      </c>
    </row>
    <row r="1614" spans="1:9" x14ac:dyDescent="0.25">
      <c r="A1614">
        <v>69</v>
      </c>
      <c r="B1614" t="s">
        <v>19</v>
      </c>
      <c r="C1614" t="s">
        <v>8</v>
      </c>
      <c r="D1614" t="s">
        <v>20</v>
      </c>
      <c r="E1614" t="s">
        <v>10</v>
      </c>
      <c r="F1614" cm="1">
        <f t="array" ref="F1614">_xlfn.XLOOKUP(Food_Orders[[#This Row],[Event_No]],Event_Master[[#All],[Event_No]],Event_Master[[#All],[Guest_Count]],,0)</f>
        <v>380</v>
      </c>
      <c r="G1614" cm="1">
        <f t="array" ref="G1614">Food_Orders[[#This Row],[Quantity_Orderd]]*_xlfn.XLOOKUP(Food_Orders[[#This Row],[Food_ID]],Food_Catalog[[#All],[Food_ID]],Food_Catalog[[#All],[Price_Per_Unit]],0,0)</f>
        <v>13300</v>
      </c>
      <c r="H1614" cm="1">
        <f t="array" ref="H1614">Food_Orders[[#This Row],[Quantity_Orderd]]*_xlfn.XLOOKUP(Food_Orders[[#This Row],[Food_ID]],Food_Catalog[[#All],[Food_ID]],Food_Catalog[[#All],[Client_Price_Per_Unit]],0,0)</f>
        <v>15960</v>
      </c>
      <c r="I1614">
        <f>Food_Orders[[#This Row],[Client_Price]]-Food_Orders[[#This Row],[Cost]]</f>
        <v>2660</v>
      </c>
    </row>
    <row r="1615" spans="1:9" x14ac:dyDescent="0.25">
      <c r="A1615">
        <v>69</v>
      </c>
      <c r="B1615" t="s">
        <v>29</v>
      </c>
      <c r="C1615" t="s">
        <v>8</v>
      </c>
      <c r="D1615" t="s">
        <v>30</v>
      </c>
      <c r="E1615" t="s">
        <v>10</v>
      </c>
      <c r="F1615" cm="1">
        <f t="array" ref="F1615">_xlfn.XLOOKUP(Food_Orders[[#This Row],[Event_No]],Event_Master[[#All],[Event_No]],Event_Master[[#All],[Guest_Count]],,0)</f>
        <v>380</v>
      </c>
      <c r="G1615" cm="1">
        <f t="array" ref="G1615">Food_Orders[[#This Row],[Quantity_Orderd]]*_xlfn.XLOOKUP(Food_Orders[[#This Row],[Food_ID]],Food_Catalog[[#All],[Food_ID]],Food_Catalog[[#All],[Price_Per_Unit]],0,0)</f>
        <v>11400</v>
      </c>
      <c r="H1615" cm="1">
        <f t="array" ref="H1615">Food_Orders[[#This Row],[Quantity_Orderd]]*_xlfn.XLOOKUP(Food_Orders[[#This Row],[Food_ID]],Food_Catalog[[#All],[Food_ID]],Food_Catalog[[#All],[Client_Price_Per_Unit]],0,0)</f>
        <v>13680</v>
      </c>
      <c r="I1615">
        <f>Food_Orders[[#This Row],[Client_Price]]-Food_Orders[[#This Row],[Cost]]</f>
        <v>2280</v>
      </c>
    </row>
    <row r="1616" spans="1:9" x14ac:dyDescent="0.25">
      <c r="A1616">
        <v>69</v>
      </c>
      <c r="B1616" t="s">
        <v>42</v>
      </c>
      <c r="C1616" t="s">
        <v>40</v>
      </c>
      <c r="D1616" t="s">
        <v>43</v>
      </c>
      <c r="E1616" t="s">
        <v>10</v>
      </c>
      <c r="F1616" cm="1">
        <f t="array" ref="F1616">_xlfn.XLOOKUP(Food_Orders[[#This Row],[Event_No]],Event_Master[[#All],[Event_No]],Event_Master[[#All],[Guest_Count]],,0)</f>
        <v>380</v>
      </c>
      <c r="G1616" cm="1">
        <f t="array" ref="G1616">Food_Orders[[#This Row],[Quantity_Orderd]]*_xlfn.XLOOKUP(Food_Orders[[#This Row],[Food_ID]],Food_Catalog[[#All],[Food_ID]],Food_Catalog[[#All],[Price_Per_Unit]],0,0)</f>
        <v>26600</v>
      </c>
      <c r="H1616" cm="1">
        <f t="array" ref="H1616">Food_Orders[[#This Row],[Quantity_Orderd]]*_xlfn.XLOOKUP(Food_Orders[[#This Row],[Food_ID]],Food_Catalog[[#All],[Food_ID]],Food_Catalog[[#All],[Client_Price_Per_Unit]],0,0)</f>
        <v>31920</v>
      </c>
      <c r="I1616">
        <f>Food_Orders[[#This Row],[Client_Price]]-Food_Orders[[#This Row],[Cost]]</f>
        <v>5320</v>
      </c>
    </row>
    <row r="1617" spans="1:9" x14ac:dyDescent="0.25">
      <c r="A1617">
        <v>69</v>
      </c>
      <c r="B1617" t="s">
        <v>46</v>
      </c>
      <c r="C1617" t="s">
        <v>40</v>
      </c>
      <c r="D1617" t="s">
        <v>47</v>
      </c>
      <c r="E1617" t="s">
        <v>10</v>
      </c>
      <c r="F1617" cm="1">
        <f t="array" ref="F1617">_xlfn.XLOOKUP(Food_Orders[[#This Row],[Event_No]],Event_Master[[#All],[Event_No]],Event_Master[[#All],[Guest_Count]],,0)</f>
        <v>380</v>
      </c>
      <c r="G1617" cm="1">
        <f t="array" ref="G1617">Food_Orders[[#This Row],[Quantity_Orderd]]*_xlfn.XLOOKUP(Food_Orders[[#This Row],[Food_ID]],Food_Catalog[[#All],[Food_ID]],Food_Catalog[[#All],[Price_Per_Unit]],0,0)</f>
        <v>34200</v>
      </c>
      <c r="H1617" cm="1">
        <f t="array" ref="H1617">Food_Orders[[#This Row],[Quantity_Orderd]]*_xlfn.XLOOKUP(Food_Orders[[#This Row],[Food_ID]],Food_Catalog[[#All],[Food_ID]],Food_Catalog[[#All],[Client_Price_Per_Unit]],0,0)</f>
        <v>41040</v>
      </c>
      <c r="I1617">
        <f>Food_Orders[[#This Row],[Client_Price]]-Food_Orders[[#This Row],[Cost]]</f>
        <v>6840</v>
      </c>
    </row>
    <row r="1618" spans="1:9" x14ac:dyDescent="0.25">
      <c r="A1618">
        <v>69</v>
      </c>
      <c r="B1618" t="s">
        <v>48</v>
      </c>
      <c r="C1618" t="s">
        <v>40</v>
      </c>
      <c r="D1618" t="s">
        <v>49</v>
      </c>
      <c r="E1618" t="s">
        <v>10</v>
      </c>
      <c r="F1618" cm="1">
        <f t="array" ref="F1618">_xlfn.XLOOKUP(Food_Orders[[#This Row],[Event_No]],Event_Master[[#All],[Event_No]],Event_Master[[#All],[Guest_Count]],,0)</f>
        <v>380</v>
      </c>
      <c r="G1618" cm="1">
        <f t="array" ref="G1618">Food_Orders[[#This Row],[Quantity_Orderd]]*_xlfn.XLOOKUP(Food_Orders[[#This Row],[Food_ID]],Food_Catalog[[#All],[Food_ID]],Food_Catalog[[#All],[Price_Per_Unit]],0,0)</f>
        <v>38000</v>
      </c>
      <c r="H1618" cm="1">
        <f t="array" ref="H1618">Food_Orders[[#This Row],[Quantity_Orderd]]*_xlfn.XLOOKUP(Food_Orders[[#This Row],[Food_ID]],Food_Catalog[[#All],[Food_ID]],Food_Catalog[[#All],[Client_Price_Per_Unit]],0,0)</f>
        <v>45600</v>
      </c>
      <c r="I1618">
        <f>Food_Orders[[#This Row],[Client_Price]]-Food_Orders[[#This Row],[Cost]]</f>
        <v>7600</v>
      </c>
    </row>
    <row r="1619" spans="1:9" x14ac:dyDescent="0.25">
      <c r="A1619">
        <v>69</v>
      </c>
      <c r="B1619" t="s">
        <v>58</v>
      </c>
      <c r="C1619" t="s">
        <v>40</v>
      </c>
      <c r="D1619" t="s">
        <v>59</v>
      </c>
      <c r="E1619" t="s">
        <v>10</v>
      </c>
      <c r="F1619" cm="1">
        <f t="array" ref="F1619">_xlfn.XLOOKUP(Food_Orders[[#This Row],[Event_No]],Event_Master[[#All],[Event_No]],Event_Master[[#All],[Guest_Count]],,0)</f>
        <v>380</v>
      </c>
      <c r="G1619" cm="1">
        <f t="array" ref="G1619">Food_Orders[[#This Row],[Quantity_Orderd]]*_xlfn.XLOOKUP(Food_Orders[[#This Row],[Food_ID]],Food_Catalog[[#All],[Food_ID]],Food_Catalog[[#All],[Price_Per_Unit]],0,0)</f>
        <v>34200</v>
      </c>
      <c r="H1619" cm="1">
        <f t="array" ref="H1619">Food_Orders[[#This Row],[Quantity_Orderd]]*_xlfn.XLOOKUP(Food_Orders[[#This Row],[Food_ID]],Food_Catalog[[#All],[Food_ID]],Food_Catalog[[#All],[Client_Price_Per_Unit]],0,0)</f>
        <v>41040</v>
      </c>
      <c r="I1619">
        <f>Food_Orders[[#This Row],[Client_Price]]-Food_Orders[[#This Row],[Cost]]</f>
        <v>6840</v>
      </c>
    </row>
    <row r="1620" spans="1:9" x14ac:dyDescent="0.25">
      <c r="A1620">
        <v>69</v>
      </c>
      <c r="B1620" t="s">
        <v>86</v>
      </c>
      <c r="C1620" t="s">
        <v>83</v>
      </c>
      <c r="D1620" t="s">
        <v>87</v>
      </c>
      <c r="E1620" t="s">
        <v>85</v>
      </c>
      <c r="F1620" cm="1">
        <f t="array" ref="F1620">_xlfn.XLOOKUP(Food_Orders[[#This Row],[Event_No]],Event_Master[[#All],[Event_No]],Event_Master[[#All],[Guest_Count]],,0)</f>
        <v>380</v>
      </c>
      <c r="G1620" cm="1">
        <f t="array" ref="G1620">Food_Orders[[#This Row],[Quantity_Orderd]]*_xlfn.XLOOKUP(Food_Orders[[#This Row],[Food_ID]],Food_Catalog[[#All],[Food_ID]],Food_Catalog[[#All],[Price_Per_Unit]],0,0)</f>
        <v>7600</v>
      </c>
      <c r="H1620" cm="1">
        <f t="array" ref="H1620">Food_Orders[[#This Row],[Quantity_Orderd]]*_xlfn.XLOOKUP(Food_Orders[[#This Row],[Food_ID]],Food_Catalog[[#All],[Food_ID]],Food_Catalog[[#All],[Client_Price_Per_Unit]],0,0)</f>
        <v>9120</v>
      </c>
      <c r="I1620">
        <f>Food_Orders[[#This Row],[Client_Price]]-Food_Orders[[#This Row],[Cost]]</f>
        <v>1520</v>
      </c>
    </row>
    <row r="1621" spans="1:9" x14ac:dyDescent="0.25">
      <c r="A1621">
        <v>69</v>
      </c>
      <c r="B1621" t="s">
        <v>88</v>
      </c>
      <c r="C1621" t="s">
        <v>83</v>
      </c>
      <c r="D1621" t="s">
        <v>89</v>
      </c>
      <c r="E1621" t="s">
        <v>85</v>
      </c>
      <c r="F1621" cm="1">
        <f t="array" ref="F1621">_xlfn.XLOOKUP(Food_Orders[[#This Row],[Event_No]],Event_Master[[#All],[Event_No]],Event_Master[[#All],[Guest_Count]],,0)</f>
        <v>380</v>
      </c>
      <c r="G1621" cm="1">
        <f t="array" ref="G1621">Food_Orders[[#This Row],[Quantity_Orderd]]*_xlfn.XLOOKUP(Food_Orders[[#This Row],[Food_ID]],Food_Catalog[[#All],[Food_ID]],Food_Catalog[[#All],[Price_Per_Unit]],0,0)</f>
        <v>5700</v>
      </c>
      <c r="H1621" cm="1">
        <f t="array" ref="H1621">Food_Orders[[#This Row],[Quantity_Orderd]]*_xlfn.XLOOKUP(Food_Orders[[#This Row],[Food_ID]],Food_Catalog[[#All],[Food_ID]],Food_Catalog[[#All],[Client_Price_Per_Unit]],0,0)</f>
        <v>6840</v>
      </c>
      <c r="I1621">
        <f>Food_Orders[[#This Row],[Client_Price]]-Food_Orders[[#This Row],[Cost]]</f>
        <v>1140</v>
      </c>
    </row>
    <row r="1622" spans="1:9" x14ac:dyDescent="0.25">
      <c r="A1622">
        <v>69</v>
      </c>
      <c r="B1622" t="s">
        <v>100</v>
      </c>
      <c r="C1622" t="s">
        <v>83</v>
      </c>
      <c r="D1622" t="s">
        <v>101</v>
      </c>
      <c r="E1622" t="s">
        <v>79</v>
      </c>
      <c r="F1622" cm="1">
        <f t="array" ref="F1622">_xlfn.XLOOKUP(Food_Orders[[#This Row],[Event_No]],Event_Master[[#All],[Event_No]],Event_Master[[#All],[Guest_Count]],,0)</f>
        <v>380</v>
      </c>
      <c r="G1622" cm="1">
        <f t="array" ref="G1622">Food_Orders[[#This Row],[Quantity_Orderd]]*_xlfn.XLOOKUP(Food_Orders[[#This Row],[Food_ID]],Food_Catalog[[#All],[Food_ID]],Food_Catalog[[#All],[Price_Per_Unit]],0,0)</f>
        <v>13300</v>
      </c>
      <c r="H1622" cm="1">
        <f t="array" ref="H1622">Food_Orders[[#This Row],[Quantity_Orderd]]*_xlfn.XLOOKUP(Food_Orders[[#This Row],[Food_ID]],Food_Catalog[[#All],[Food_ID]],Food_Catalog[[#All],[Client_Price_Per_Unit]],0,0)</f>
        <v>15960</v>
      </c>
      <c r="I1622">
        <f>Food_Orders[[#This Row],[Client_Price]]-Food_Orders[[#This Row],[Cost]]</f>
        <v>2660</v>
      </c>
    </row>
    <row r="1623" spans="1:9" x14ac:dyDescent="0.25">
      <c r="A1623">
        <v>69</v>
      </c>
      <c r="B1623" t="s">
        <v>92</v>
      </c>
      <c r="C1623" t="s">
        <v>83</v>
      </c>
      <c r="D1623" t="s">
        <v>93</v>
      </c>
      <c r="E1623" t="s">
        <v>85</v>
      </c>
      <c r="F1623" cm="1">
        <f t="array" ref="F1623">_xlfn.XLOOKUP(Food_Orders[[#This Row],[Event_No]],Event_Master[[#All],[Event_No]],Event_Master[[#All],[Guest_Count]],,0)</f>
        <v>380</v>
      </c>
      <c r="G1623" cm="1">
        <f t="array" ref="G1623">Food_Orders[[#This Row],[Quantity_Orderd]]*_xlfn.XLOOKUP(Food_Orders[[#This Row],[Food_ID]],Food_Catalog[[#All],[Food_ID]],Food_Catalog[[#All],[Price_Per_Unit]],0,0)</f>
        <v>5700</v>
      </c>
      <c r="H1623" cm="1">
        <f t="array" ref="H1623">Food_Orders[[#This Row],[Quantity_Orderd]]*_xlfn.XLOOKUP(Food_Orders[[#This Row],[Food_ID]],Food_Catalog[[#All],[Food_ID]],Food_Catalog[[#All],[Client_Price_Per_Unit]],0,0)</f>
        <v>6840</v>
      </c>
      <c r="I1623">
        <f>Food_Orders[[#This Row],[Client_Price]]-Food_Orders[[#This Row],[Cost]]</f>
        <v>1140</v>
      </c>
    </row>
    <row r="1624" spans="1:9" x14ac:dyDescent="0.25">
      <c r="A1624">
        <v>69</v>
      </c>
      <c r="B1624" t="s">
        <v>102</v>
      </c>
      <c r="C1624" t="s">
        <v>83</v>
      </c>
      <c r="D1624" t="s">
        <v>103</v>
      </c>
      <c r="E1624" t="s">
        <v>85</v>
      </c>
      <c r="F1624" cm="1">
        <f t="array" ref="F1624">_xlfn.XLOOKUP(Food_Orders[[#This Row],[Event_No]],Event_Master[[#All],[Event_No]],Event_Master[[#All],[Guest_Count]],,0)</f>
        <v>380</v>
      </c>
      <c r="G1624" cm="1">
        <f t="array" ref="G1624">Food_Orders[[#This Row],[Quantity_Orderd]]*_xlfn.XLOOKUP(Food_Orders[[#This Row],[Food_ID]],Food_Catalog[[#All],[Food_ID]],Food_Catalog[[#All],[Price_Per_Unit]],0,0)</f>
        <v>7600</v>
      </c>
      <c r="H1624" cm="1">
        <f t="array" ref="H1624">Food_Orders[[#This Row],[Quantity_Orderd]]*_xlfn.XLOOKUP(Food_Orders[[#This Row],[Food_ID]],Food_Catalog[[#All],[Food_ID]],Food_Catalog[[#All],[Client_Price_Per_Unit]],0,0)</f>
        <v>9120</v>
      </c>
      <c r="I1624">
        <f>Food_Orders[[#This Row],[Client_Price]]-Food_Orders[[#This Row],[Cost]]</f>
        <v>1520</v>
      </c>
    </row>
    <row r="1625" spans="1:9" x14ac:dyDescent="0.25">
      <c r="A1625">
        <v>69</v>
      </c>
      <c r="B1625" t="s">
        <v>98</v>
      </c>
      <c r="C1625" t="s">
        <v>83</v>
      </c>
      <c r="D1625" t="s">
        <v>99</v>
      </c>
      <c r="E1625" t="s">
        <v>85</v>
      </c>
      <c r="F1625" cm="1">
        <f t="array" ref="F1625">_xlfn.XLOOKUP(Food_Orders[[#This Row],[Event_No]],Event_Master[[#All],[Event_No]],Event_Master[[#All],[Guest_Count]],,0)</f>
        <v>380</v>
      </c>
      <c r="G1625" cm="1">
        <f t="array" ref="G1625">Food_Orders[[#This Row],[Quantity_Orderd]]*_xlfn.XLOOKUP(Food_Orders[[#This Row],[Food_ID]],Food_Catalog[[#All],[Food_ID]],Food_Catalog[[#All],[Price_Per_Unit]],0,0)</f>
        <v>5700</v>
      </c>
      <c r="H1625" cm="1">
        <f t="array" ref="H1625">Food_Orders[[#This Row],[Quantity_Orderd]]*_xlfn.XLOOKUP(Food_Orders[[#This Row],[Food_ID]],Food_Catalog[[#All],[Food_ID]],Food_Catalog[[#All],[Client_Price_Per_Unit]],0,0)</f>
        <v>6840</v>
      </c>
      <c r="I1625">
        <f>Food_Orders[[#This Row],[Client_Price]]-Food_Orders[[#This Row],[Cost]]</f>
        <v>1140</v>
      </c>
    </row>
    <row r="1626" spans="1:9" x14ac:dyDescent="0.25">
      <c r="A1626">
        <v>69</v>
      </c>
      <c r="B1626" t="s">
        <v>104</v>
      </c>
      <c r="C1626" t="s">
        <v>105</v>
      </c>
      <c r="D1626" t="s">
        <v>106</v>
      </c>
      <c r="E1626" t="s">
        <v>107</v>
      </c>
      <c r="F1626" cm="1">
        <f t="array" ref="F1626">_xlfn.XLOOKUP(Food_Orders[[#This Row],[Event_No]],Event_Master[[#All],[Event_No]],Event_Master[[#All],[Guest_Count]],,0)</f>
        <v>380</v>
      </c>
      <c r="G1626" cm="1">
        <f t="array" ref="G1626">Food_Orders[[#This Row],[Quantity_Orderd]]*_xlfn.XLOOKUP(Food_Orders[[#This Row],[Food_ID]],Food_Catalog[[#All],[Food_ID]],Food_Catalog[[#All],[Price_Per_Unit]],0,0)</f>
        <v>3800</v>
      </c>
      <c r="H1626" cm="1">
        <f t="array" ref="H1626">Food_Orders[[#This Row],[Quantity_Orderd]]*_xlfn.XLOOKUP(Food_Orders[[#This Row],[Food_ID]],Food_Catalog[[#All],[Food_ID]],Food_Catalog[[#All],[Client_Price_Per_Unit]],0,0)</f>
        <v>4560</v>
      </c>
      <c r="I1626">
        <f>Food_Orders[[#This Row],[Client_Price]]-Food_Orders[[#This Row],[Cost]]</f>
        <v>760</v>
      </c>
    </row>
    <row r="1627" spans="1:9" x14ac:dyDescent="0.25">
      <c r="A1627">
        <v>69</v>
      </c>
      <c r="B1627" t="s">
        <v>115</v>
      </c>
      <c r="C1627" t="s">
        <v>105</v>
      </c>
      <c r="D1627" t="s">
        <v>116</v>
      </c>
      <c r="E1627" t="s">
        <v>117</v>
      </c>
      <c r="F1627" cm="1">
        <f t="array" ref="F1627">_xlfn.XLOOKUP(Food_Orders[[#This Row],[Event_No]],Event_Master[[#All],[Event_No]],Event_Master[[#All],[Guest_Count]],,0)</f>
        <v>380</v>
      </c>
      <c r="G1627" cm="1">
        <f t="array" ref="G1627">Food_Orders[[#This Row],[Quantity_Orderd]]*_xlfn.XLOOKUP(Food_Orders[[#This Row],[Food_ID]],Food_Catalog[[#All],[Food_ID]],Food_Catalog[[#All],[Price_Per_Unit]],0,0)</f>
        <v>9500</v>
      </c>
      <c r="H1627" cm="1">
        <f t="array" ref="H1627">Food_Orders[[#This Row],[Quantity_Orderd]]*_xlfn.XLOOKUP(Food_Orders[[#This Row],[Food_ID]],Food_Catalog[[#All],[Food_ID]],Food_Catalog[[#All],[Client_Price_Per_Unit]],0,0)</f>
        <v>11400</v>
      </c>
      <c r="I1627">
        <f>Food_Orders[[#This Row],[Client_Price]]-Food_Orders[[#This Row],[Cost]]</f>
        <v>1900</v>
      </c>
    </row>
    <row r="1628" spans="1:9" x14ac:dyDescent="0.25">
      <c r="A1628">
        <v>69</v>
      </c>
      <c r="B1628" t="s">
        <v>110</v>
      </c>
      <c r="C1628" t="s">
        <v>105</v>
      </c>
      <c r="D1628" t="s">
        <v>111</v>
      </c>
      <c r="E1628" t="s">
        <v>112</v>
      </c>
      <c r="F1628" cm="1">
        <f t="array" ref="F1628">_xlfn.XLOOKUP(Food_Orders[[#This Row],[Event_No]],Event_Master[[#All],[Event_No]],Event_Master[[#All],[Guest_Count]],,0)</f>
        <v>380</v>
      </c>
      <c r="G1628" cm="1">
        <f t="array" ref="G1628">Food_Orders[[#This Row],[Quantity_Orderd]]*_xlfn.XLOOKUP(Food_Orders[[#This Row],[Food_ID]],Food_Catalog[[#All],[Food_ID]],Food_Catalog[[#All],[Price_Per_Unit]],0,0)</f>
        <v>7600</v>
      </c>
      <c r="H1628" cm="1">
        <f t="array" ref="H1628">Food_Orders[[#This Row],[Quantity_Orderd]]*_xlfn.XLOOKUP(Food_Orders[[#This Row],[Food_ID]],Food_Catalog[[#All],[Food_ID]],Food_Catalog[[#All],[Client_Price_Per_Unit]],0,0)</f>
        <v>9120</v>
      </c>
      <c r="I1628">
        <f>Food_Orders[[#This Row],[Client_Price]]-Food_Orders[[#This Row],[Cost]]</f>
        <v>1520</v>
      </c>
    </row>
    <row r="1629" spans="1:9" x14ac:dyDescent="0.25">
      <c r="A1629">
        <v>69</v>
      </c>
      <c r="B1629" t="s">
        <v>118</v>
      </c>
      <c r="C1629" t="s">
        <v>119</v>
      </c>
      <c r="D1629" t="s">
        <v>120</v>
      </c>
      <c r="E1629" t="s">
        <v>112</v>
      </c>
      <c r="F1629" cm="1">
        <f t="array" ref="F1629">_xlfn.XLOOKUP(Food_Orders[[#This Row],[Event_No]],Event_Master[[#All],[Event_No]],Event_Master[[#All],[Guest_Count]],,0)</f>
        <v>380</v>
      </c>
      <c r="G1629" cm="1">
        <f t="array" ref="G1629">Food_Orders[[#This Row],[Quantity_Orderd]]*_xlfn.XLOOKUP(Food_Orders[[#This Row],[Food_ID]],Food_Catalog[[#All],[Food_ID]],Food_Catalog[[#All],[Price_Per_Unit]],0,0)</f>
        <v>3800</v>
      </c>
      <c r="H1629" cm="1">
        <f t="array" ref="H1629">Food_Orders[[#This Row],[Quantity_Orderd]]*_xlfn.XLOOKUP(Food_Orders[[#This Row],[Food_ID]],Food_Catalog[[#All],[Food_ID]],Food_Catalog[[#All],[Client_Price_Per_Unit]],0,0)</f>
        <v>4560</v>
      </c>
      <c r="I1629">
        <f>Food_Orders[[#This Row],[Client_Price]]-Food_Orders[[#This Row],[Cost]]</f>
        <v>760</v>
      </c>
    </row>
    <row r="1630" spans="1:9" x14ac:dyDescent="0.25">
      <c r="A1630">
        <v>69</v>
      </c>
      <c r="B1630" t="s">
        <v>127</v>
      </c>
      <c r="C1630" t="s">
        <v>119</v>
      </c>
      <c r="D1630" t="s">
        <v>128</v>
      </c>
      <c r="E1630" t="s">
        <v>107</v>
      </c>
      <c r="F1630" cm="1">
        <f t="array" ref="F1630">_xlfn.XLOOKUP(Food_Orders[[#This Row],[Event_No]],Event_Master[[#All],[Event_No]],Event_Master[[#All],[Guest_Count]],,0)</f>
        <v>380</v>
      </c>
      <c r="G1630" cm="1">
        <f t="array" ref="G1630">Food_Orders[[#This Row],[Quantity_Orderd]]*_xlfn.XLOOKUP(Food_Orders[[#This Row],[Food_ID]],Food_Catalog[[#All],[Food_ID]],Food_Catalog[[#All],[Price_Per_Unit]],0,0)</f>
        <v>7600</v>
      </c>
      <c r="H1630" cm="1">
        <f t="array" ref="H1630">Food_Orders[[#This Row],[Quantity_Orderd]]*_xlfn.XLOOKUP(Food_Orders[[#This Row],[Food_ID]],Food_Catalog[[#All],[Food_ID]],Food_Catalog[[#All],[Client_Price_Per_Unit]],0,0)</f>
        <v>9120</v>
      </c>
      <c r="I1630">
        <f>Food_Orders[[#This Row],[Client_Price]]-Food_Orders[[#This Row],[Cost]]</f>
        <v>1520</v>
      </c>
    </row>
    <row r="1631" spans="1:9" x14ac:dyDescent="0.25">
      <c r="A1631">
        <v>70</v>
      </c>
      <c r="B1631" t="s">
        <v>118</v>
      </c>
      <c r="C1631" t="s">
        <v>119</v>
      </c>
      <c r="D1631" t="s">
        <v>120</v>
      </c>
      <c r="E1631" t="s">
        <v>112</v>
      </c>
      <c r="F1631" cm="1">
        <f t="array" ref="F1631">_xlfn.XLOOKUP(Food_Orders[[#This Row],[Event_No]],Event_Master[[#All],[Event_No]],Event_Master[[#All],[Guest_Count]],,0)</f>
        <v>300</v>
      </c>
      <c r="G1631" cm="1">
        <f t="array" ref="G1631">Food_Orders[[#This Row],[Quantity_Orderd]]*_xlfn.XLOOKUP(Food_Orders[[#This Row],[Food_ID]],Food_Catalog[[#All],[Food_ID]],Food_Catalog[[#All],[Price_Per_Unit]],0,0)</f>
        <v>3000</v>
      </c>
      <c r="H1631" cm="1">
        <f t="array" ref="H1631">Food_Orders[[#This Row],[Quantity_Orderd]]*_xlfn.XLOOKUP(Food_Orders[[#This Row],[Food_ID]],Food_Catalog[[#All],[Food_ID]],Food_Catalog[[#All],[Client_Price_Per_Unit]],0,0)</f>
        <v>3600</v>
      </c>
      <c r="I1631">
        <f>Food_Orders[[#This Row],[Client_Price]]-Food_Orders[[#This Row],[Cost]]</f>
        <v>600</v>
      </c>
    </row>
    <row r="1632" spans="1:9" x14ac:dyDescent="0.25">
      <c r="A1632">
        <v>70</v>
      </c>
      <c r="B1632" t="s">
        <v>129</v>
      </c>
      <c r="C1632" t="s">
        <v>119</v>
      </c>
      <c r="D1632" t="s">
        <v>130</v>
      </c>
      <c r="E1632" t="s">
        <v>112</v>
      </c>
      <c r="F1632" cm="1">
        <f t="array" ref="F1632">_xlfn.XLOOKUP(Food_Orders[[#This Row],[Event_No]],Event_Master[[#All],[Event_No]],Event_Master[[#All],[Guest_Count]],,0)</f>
        <v>300</v>
      </c>
      <c r="G1632" cm="1">
        <f t="array" ref="G1632">Food_Orders[[#This Row],[Quantity_Orderd]]*_xlfn.XLOOKUP(Food_Orders[[#This Row],[Food_ID]],Food_Catalog[[#All],[Food_ID]],Food_Catalog[[#All],[Price_Per_Unit]],0,0)</f>
        <v>3000</v>
      </c>
      <c r="H1632" cm="1">
        <f t="array" ref="H1632">Food_Orders[[#This Row],[Quantity_Orderd]]*_xlfn.XLOOKUP(Food_Orders[[#This Row],[Food_ID]],Food_Catalog[[#All],[Food_ID]],Food_Catalog[[#All],[Client_Price_Per_Unit]],0,0)</f>
        <v>3600</v>
      </c>
      <c r="I1632">
        <f>Food_Orders[[#This Row],[Client_Price]]-Food_Orders[[#This Row],[Cost]]</f>
        <v>600</v>
      </c>
    </row>
    <row r="1633" spans="1:9" x14ac:dyDescent="0.25">
      <c r="A1633">
        <v>70</v>
      </c>
      <c r="B1633" t="s">
        <v>104</v>
      </c>
      <c r="C1633" t="s">
        <v>105</v>
      </c>
      <c r="D1633" t="s">
        <v>106</v>
      </c>
      <c r="E1633" t="s">
        <v>107</v>
      </c>
      <c r="F1633" cm="1">
        <f t="array" ref="F1633">_xlfn.XLOOKUP(Food_Orders[[#This Row],[Event_No]],Event_Master[[#All],[Event_No]],Event_Master[[#All],[Guest_Count]],,0)</f>
        <v>300</v>
      </c>
      <c r="G1633" cm="1">
        <f t="array" ref="G1633">Food_Orders[[#This Row],[Quantity_Orderd]]*_xlfn.XLOOKUP(Food_Orders[[#This Row],[Food_ID]],Food_Catalog[[#All],[Food_ID]],Food_Catalog[[#All],[Price_Per_Unit]],0,0)</f>
        <v>3000</v>
      </c>
      <c r="H1633" cm="1">
        <f t="array" ref="H1633">Food_Orders[[#This Row],[Quantity_Orderd]]*_xlfn.XLOOKUP(Food_Orders[[#This Row],[Food_ID]],Food_Catalog[[#All],[Food_ID]],Food_Catalog[[#All],[Client_Price_Per_Unit]],0,0)</f>
        <v>3600</v>
      </c>
      <c r="I1633">
        <f>Food_Orders[[#This Row],[Client_Price]]-Food_Orders[[#This Row],[Cost]]</f>
        <v>600</v>
      </c>
    </row>
    <row r="1634" spans="1:9" x14ac:dyDescent="0.25">
      <c r="A1634">
        <v>70</v>
      </c>
      <c r="B1634" t="s">
        <v>108</v>
      </c>
      <c r="C1634" t="s">
        <v>105</v>
      </c>
      <c r="D1634" t="s">
        <v>109</v>
      </c>
      <c r="E1634" t="s">
        <v>107</v>
      </c>
      <c r="F1634" cm="1">
        <f t="array" ref="F1634">_xlfn.XLOOKUP(Food_Orders[[#This Row],[Event_No]],Event_Master[[#All],[Event_No]],Event_Master[[#All],[Guest_Count]],,0)</f>
        <v>300</v>
      </c>
      <c r="G1634" cm="1">
        <f t="array" ref="G1634">Food_Orders[[#This Row],[Quantity_Orderd]]*_xlfn.XLOOKUP(Food_Orders[[#This Row],[Food_ID]],Food_Catalog[[#All],[Food_ID]],Food_Catalog[[#All],[Price_Per_Unit]],0,0)</f>
        <v>4500</v>
      </c>
      <c r="H1634" cm="1">
        <f t="array" ref="H1634">Food_Orders[[#This Row],[Quantity_Orderd]]*_xlfn.XLOOKUP(Food_Orders[[#This Row],[Food_ID]],Food_Catalog[[#All],[Food_ID]],Food_Catalog[[#All],[Client_Price_Per_Unit]],0,0)</f>
        <v>5400</v>
      </c>
      <c r="I1634">
        <f>Food_Orders[[#This Row],[Client_Price]]-Food_Orders[[#This Row],[Cost]]</f>
        <v>900</v>
      </c>
    </row>
    <row r="1635" spans="1:9" x14ac:dyDescent="0.25">
      <c r="A1635">
        <v>70</v>
      </c>
      <c r="B1635" t="s">
        <v>121</v>
      </c>
      <c r="C1635" t="s">
        <v>119</v>
      </c>
      <c r="D1635" t="s">
        <v>122</v>
      </c>
      <c r="E1635" t="s">
        <v>123</v>
      </c>
      <c r="F1635" cm="1">
        <f t="array" ref="F1635">_xlfn.XLOOKUP(Food_Orders[[#This Row],[Event_No]],Event_Master[[#All],[Event_No]],Event_Master[[#All],[Guest_Count]],,0)</f>
        <v>300</v>
      </c>
      <c r="G1635" cm="1">
        <f t="array" ref="G1635">Food_Orders[[#This Row],[Quantity_Orderd]]*_xlfn.XLOOKUP(Food_Orders[[#This Row],[Food_ID]],Food_Catalog[[#All],[Food_ID]],Food_Catalog[[#All],[Price_Per_Unit]],0,0)</f>
        <v>3000</v>
      </c>
      <c r="H1635" cm="1">
        <f t="array" ref="H1635">Food_Orders[[#This Row],[Quantity_Orderd]]*_xlfn.XLOOKUP(Food_Orders[[#This Row],[Food_ID]],Food_Catalog[[#All],[Food_ID]],Food_Catalog[[#All],[Client_Price_Per_Unit]],0,0)</f>
        <v>3600</v>
      </c>
      <c r="I1635">
        <f>Food_Orders[[#This Row],[Client_Price]]-Food_Orders[[#This Row],[Cost]]</f>
        <v>600</v>
      </c>
    </row>
    <row r="1636" spans="1:9" x14ac:dyDescent="0.25">
      <c r="A1636">
        <v>70</v>
      </c>
      <c r="B1636" t="s">
        <v>124</v>
      </c>
      <c r="C1636" t="s">
        <v>119</v>
      </c>
      <c r="D1636" t="s">
        <v>125</v>
      </c>
      <c r="E1636" t="s">
        <v>126</v>
      </c>
      <c r="F1636" cm="1">
        <f t="array" ref="F1636">_xlfn.XLOOKUP(Food_Orders[[#This Row],[Event_No]],Event_Master[[#All],[Event_No]],Event_Master[[#All],[Guest_Count]],,0)</f>
        <v>300</v>
      </c>
      <c r="G1636" cm="1">
        <f t="array" ref="G1636">Food_Orders[[#This Row],[Quantity_Orderd]]*_xlfn.XLOOKUP(Food_Orders[[#This Row],[Food_ID]],Food_Catalog[[#All],[Food_ID]],Food_Catalog[[#All],[Price_Per_Unit]],0,0)</f>
        <v>6000</v>
      </c>
      <c r="H1636" cm="1">
        <f t="array" ref="H1636">Food_Orders[[#This Row],[Quantity_Orderd]]*_xlfn.XLOOKUP(Food_Orders[[#This Row],[Food_ID]],Food_Catalog[[#All],[Food_ID]],Food_Catalog[[#All],[Client_Price_Per_Unit]],0,0)</f>
        <v>7200</v>
      </c>
      <c r="I1636">
        <f>Food_Orders[[#This Row],[Client_Price]]-Food_Orders[[#This Row],[Cost]]</f>
        <v>1200</v>
      </c>
    </row>
    <row r="1637" spans="1:9" x14ac:dyDescent="0.25">
      <c r="A1637">
        <v>70</v>
      </c>
      <c r="B1637" t="s">
        <v>127</v>
      </c>
      <c r="C1637" t="s">
        <v>119</v>
      </c>
      <c r="D1637" t="s">
        <v>128</v>
      </c>
      <c r="E1637" t="s">
        <v>107</v>
      </c>
      <c r="F1637" cm="1">
        <f t="array" ref="F1637">_xlfn.XLOOKUP(Food_Orders[[#This Row],[Event_No]],Event_Master[[#All],[Event_No]],Event_Master[[#All],[Guest_Count]],,0)</f>
        <v>300</v>
      </c>
      <c r="G1637" cm="1">
        <f t="array" ref="G1637">Food_Orders[[#This Row],[Quantity_Orderd]]*_xlfn.XLOOKUP(Food_Orders[[#This Row],[Food_ID]],Food_Catalog[[#All],[Food_ID]],Food_Catalog[[#All],[Price_Per_Unit]],0,0)</f>
        <v>6000</v>
      </c>
      <c r="H1637" cm="1">
        <f t="array" ref="H1637">Food_Orders[[#This Row],[Quantity_Orderd]]*_xlfn.XLOOKUP(Food_Orders[[#This Row],[Food_ID]],Food_Catalog[[#All],[Food_ID]],Food_Catalog[[#All],[Client_Price_Per_Unit]],0,0)</f>
        <v>7200</v>
      </c>
      <c r="I1637">
        <f>Food_Orders[[#This Row],[Client_Price]]-Food_Orders[[#This Row],[Cost]]</f>
        <v>1200</v>
      </c>
    </row>
    <row r="1638" spans="1:9" x14ac:dyDescent="0.25">
      <c r="A1638">
        <v>70</v>
      </c>
      <c r="B1638" t="s">
        <v>63</v>
      </c>
      <c r="C1638" t="s">
        <v>61</v>
      </c>
      <c r="D1638" t="s">
        <v>64</v>
      </c>
      <c r="E1638" t="s">
        <v>10</v>
      </c>
      <c r="F1638" cm="1">
        <f t="array" ref="F1638">_xlfn.XLOOKUP(Food_Orders[[#This Row],[Event_No]],Event_Master[[#All],[Event_No]],Event_Master[[#All],[Guest_Count]],,0)</f>
        <v>300</v>
      </c>
      <c r="G1638" cm="1">
        <f t="array" ref="G1638">Food_Orders[[#This Row],[Quantity_Orderd]]*_xlfn.XLOOKUP(Food_Orders[[#This Row],[Food_ID]],Food_Catalog[[#All],[Food_ID]],Food_Catalog[[#All],[Price_Per_Unit]],0,0)</f>
        <v>9000</v>
      </c>
      <c r="H1638" cm="1">
        <f t="array" ref="H1638">Food_Orders[[#This Row],[Quantity_Orderd]]*_xlfn.XLOOKUP(Food_Orders[[#This Row],[Food_ID]],Food_Catalog[[#All],[Food_ID]],Food_Catalog[[#All],[Client_Price_Per_Unit]],0,0)</f>
        <v>10800</v>
      </c>
      <c r="I1638">
        <f>Food_Orders[[#This Row],[Client_Price]]-Food_Orders[[#This Row],[Cost]]</f>
        <v>1800</v>
      </c>
    </row>
    <row r="1639" spans="1:9" x14ac:dyDescent="0.25">
      <c r="A1639">
        <v>70</v>
      </c>
      <c r="B1639" t="s">
        <v>71</v>
      </c>
      <c r="C1639" t="s">
        <v>61</v>
      </c>
      <c r="D1639" t="s">
        <v>72</v>
      </c>
      <c r="E1639" t="s">
        <v>10</v>
      </c>
      <c r="F1639" cm="1">
        <f t="array" ref="F1639">_xlfn.XLOOKUP(Food_Orders[[#This Row],[Event_No]],Event_Master[[#All],[Event_No]],Event_Master[[#All],[Guest_Count]],,0)</f>
        <v>300</v>
      </c>
      <c r="G1639" cm="1">
        <f t="array" ref="G1639">Food_Orders[[#This Row],[Quantity_Orderd]]*_xlfn.XLOOKUP(Food_Orders[[#This Row],[Food_ID]],Food_Catalog[[#All],[Food_ID]],Food_Catalog[[#All],[Price_Per_Unit]],0,0)</f>
        <v>7500</v>
      </c>
      <c r="H1639" cm="1">
        <f t="array" ref="H1639">Food_Orders[[#This Row],[Quantity_Orderd]]*_xlfn.XLOOKUP(Food_Orders[[#This Row],[Food_ID]],Food_Catalog[[#All],[Food_ID]],Food_Catalog[[#All],[Client_Price_Per_Unit]],0,0)</f>
        <v>9000</v>
      </c>
      <c r="I1639">
        <f>Food_Orders[[#This Row],[Client_Price]]-Food_Orders[[#This Row],[Cost]]</f>
        <v>1500</v>
      </c>
    </row>
    <row r="1640" spans="1:9" x14ac:dyDescent="0.25">
      <c r="A1640">
        <v>70</v>
      </c>
      <c r="B1640" t="s">
        <v>29</v>
      </c>
      <c r="C1640" t="s">
        <v>8</v>
      </c>
      <c r="D1640" t="s">
        <v>30</v>
      </c>
      <c r="E1640" t="s">
        <v>10</v>
      </c>
      <c r="F1640" cm="1">
        <f t="array" ref="F1640">_xlfn.XLOOKUP(Food_Orders[[#This Row],[Event_No]],Event_Master[[#All],[Event_No]],Event_Master[[#All],[Guest_Count]],,0)</f>
        <v>300</v>
      </c>
      <c r="G1640" cm="1">
        <f t="array" ref="G1640">Food_Orders[[#This Row],[Quantity_Orderd]]*_xlfn.XLOOKUP(Food_Orders[[#This Row],[Food_ID]],Food_Catalog[[#All],[Food_ID]],Food_Catalog[[#All],[Price_Per_Unit]],0,0)</f>
        <v>9000</v>
      </c>
      <c r="H1640" cm="1">
        <f t="array" ref="H1640">Food_Orders[[#This Row],[Quantity_Orderd]]*_xlfn.XLOOKUP(Food_Orders[[#This Row],[Food_ID]],Food_Catalog[[#All],[Food_ID]],Food_Catalog[[#All],[Client_Price_Per_Unit]],0,0)</f>
        <v>10800</v>
      </c>
      <c r="I1640">
        <f>Food_Orders[[#This Row],[Client_Price]]-Food_Orders[[#This Row],[Cost]]</f>
        <v>1800</v>
      </c>
    </row>
    <row r="1641" spans="1:9" x14ac:dyDescent="0.25">
      <c r="A1641">
        <v>70</v>
      </c>
      <c r="B1641" t="s">
        <v>37</v>
      </c>
      <c r="C1641" t="s">
        <v>8</v>
      </c>
      <c r="D1641" t="s">
        <v>38</v>
      </c>
      <c r="E1641" t="s">
        <v>10</v>
      </c>
      <c r="F1641" cm="1">
        <f t="array" ref="F1641">_xlfn.XLOOKUP(Food_Orders[[#This Row],[Event_No]],Event_Master[[#All],[Event_No]],Event_Master[[#All],[Guest_Count]],,0)</f>
        <v>300</v>
      </c>
      <c r="G1641" cm="1">
        <f t="array" ref="G1641">Food_Orders[[#This Row],[Quantity_Orderd]]*_xlfn.XLOOKUP(Food_Orders[[#This Row],[Food_ID]],Food_Catalog[[#All],[Food_ID]],Food_Catalog[[#All],[Price_Per_Unit]],0,0)</f>
        <v>7500</v>
      </c>
      <c r="H1641" cm="1">
        <f t="array" ref="H1641">Food_Orders[[#This Row],[Quantity_Orderd]]*_xlfn.XLOOKUP(Food_Orders[[#This Row],[Food_ID]],Food_Catalog[[#All],[Food_ID]],Food_Catalog[[#All],[Client_Price_Per_Unit]],0,0)</f>
        <v>9000</v>
      </c>
      <c r="I1641">
        <f>Food_Orders[[#This Row],[Client_Price]]-Food_Orders[[#This Row],[Cost]]</f>
        <v>1500</v>
      </c>
    </row>
    <row r="1642" spans="1:9" x14ac:dyDescent="0.25">
      <c r="A1642">
        <v>70</v>
      </c>
      <c r="B1642" t="s">
        <v>82</v>
      </c>
      <c r="C1642" t="s">
        <v>83</v>
      </c>
      <c r="D1642" t="s">
        <v>84</v>
      </c>
      <c r="E1642" t="s">
        <v>85</v>
      </c>
      <c r="F1642" cm="1">
        <f t="array" ref="F1642">_xlfn.XLOOKUP(Food_Orders[[#This Row],[Event_No]],Event_Master[[#All],[Event_No]],Event_Master[[#All],[Guest_Count]],,0)</f>
        <v>300</v>
      </c>
      <c r="G1642" cm="1">
        <f t="array" ref="G1642">Food_Orders[[#This Row],[Quantity_Orderd]]*_xlfn.XLOOKUP(Food_Orders[[#This Row],[Food_ID]],Food_Catalog[[#All],[Food_ID]],Food_Catalog[[#All],[Price_Per_Unit]],0,0)</f>
        <v>6000</v>
      </c>
      <c r="H1642" cm="1">
        <f t="array" ref="H1642">Food_Orders[[#This Row],[Quantity_Orderd]]*_xlfn.XLOOKUP(Food_Orders[[#This Row],[Food_ID]],Food_Catalog[[#All],[Food_ID]],Food_Catalog[[#All],[Client_Price_Per_Unit]],0,0)</f>
        <v>7200</v>
      </c>
      <c r="I1642">
        <f>Food_Orders[[#This Row],[Client_Price]]-Food_Orders[[#This Row],[Cost]]</f>
        <v>1200</v>
      </c>
    </row>
    <row r="1643" spans="1:9" x14ac:dyDescent="0.25">
      <c r="A1643">
        <v>70</v>
      </c>
      <c r="B1643" t="s">
        <v>96</v>
      </c>
      <c r="C1643" t="s">
        <v>83</v>
      </c>
      <c r="D1643" t="s">
        <v>97</v>
      </c>
      <c r="E1643" t="s">
        <v>79</v>
      </c>
      <c r="F1643" cm="1">
        <f t="array" ref="F1643">_xlfn.XLOOKUP(Food_Orders[[#This Row],[Event_No]],Event_Master[[#All],[Event_No]],Event_Master[[#All],[Guest_Count]],,0)</f>
        <v>300</v>
      </c>
      <c r="G1643" cm="1">
        <f t="array" ref="G1643">Food_Orders[[#This Row],[Quantity_Orderd]]*_xlfn.XLOOKUP(Food_Orders[[#This Row],[Food_ID]],Food_Catalog[[#All],[Food_ID]],Food_Catalog[[#All],[Price_Per_Unit]],0,0)</f>
        <v>9000</v>
      </c>
      <c r="H1643" cm="1">
        <f t="array" ref="H1643">Food_Orders[[#This Row],[Quantity_Orderd]]*_xlfn.XLOOKUP(Food_Orders[[#This Row],[Food_ID]],Food_Catalog[[#All],[Food_ID]],Food_Catalog[[#All],[Client_Price_Per_Unit]],0,0)</f>
        <v>10800</v>
      </c>
      <c r="I1643">
        <f>Food_Orders[[#This Row],[Client_Price]]-Food_Orders[[#This Row],[Cost]]</f>
        <v>1800</v>
      </c>
    </row>
    <row r="1644" spans="1:9" x14ac:dyDescent="0.25">
      <c r="A1644">
        <v>70</v>
      </c>
      <c r="B1644" t="s">
        <v>92</v>
      </c>
      <c r="C1644" t="s">
        <v>83</v>
      </c>
      <c r="D1644" t="s">
        <v>93</v>
      </c>
      <c r="E1644" t="s">
        <v>85</v>
      </c>
      <c r="F1644" cm="1">
        <f t="array" ref="F1644">_xlfn.XLOOKUP(Food_Orders[[#This Row],[Event_No]],Event_Master[[#All],[Event_No]],Event_Master[[#All],[Guest_Count]],,0)</f>
        <v>300</v>
      </c>
      <c r="G1644" cm="1">
        <f t="array" ref="G1644">Food_Orders[[#This Row],[Quantity_Orderd]]*_xlfn.XLOOKUP(Food_Orders[[#This Row],[Food_ID]],Food_Catalog[[#All],[Food_ID]],Food_Catalog[[#All],[Price_Per_Unit]],0,0)</f>
        <v>4500</v>
      </c>
      <c r="H1644" cm="1">
        <f t="array" ref="H1644">Food_Orders[[#This Row],[Quantity_Orderd]]*_xlfn.XLOOKUP(Food_Orders[[#This Row],[Food_ID]],Food_Catalog[[#All],[Food_ID]],Food_Catalog[[#All],[Client_Price_Per_Unit]],0,0)</f>
        <v>5400</v>
      </c>
      <c r="I1644">
        <f>Food_Orders[[#This Row],[Client_Price]]-Food_Orders[[#This Row],[Cost]]</f>
        <v>900</v>
      </c>
    </row>
    <row r="1645" spans="1:9" x14ac:dyDescent="0.25">
      <c r="A1645">
        <v>71</v>
      </c>
      <c r="B1645" t="s">
        <v>63</v>
      </c>
      <c r="C1645" t="s">
        <v>61</v>
      </c>
      <c r="D1645" t="s">
        <v>64</v>
      </c>
      <c r="E1645" t="s">
        <v>10</v>
      </c>
      <c r="F1645" cm="1">
        <f t="array" ref="F1645">_xlfn.XLOOKUP(Food_Orders[[#This Row],[Event_No]],Event_Master[[#All],[Event_No]],Event_Master[[#All],[Guest_Count]],,0)</f>
        <v>250</v>
      </c>
      <c r="G1645" cm="1">
        <f t="array" ref="G1645">Food_Orders[[#This Row],[Quantity_Orderd]]*_xlfn.XLOOKUP(Food_Orders[[#This Row],[Food_ID]],Food_Catalog[[#All],[Food_ID]],Food_Catalog[[#All],[Price_Per_Unit]],0,0)</f>
        <v>7500</v>
      </c>
      <c r="H1645" cm="1">
        <f t="array" ref="H1645">Food_Orders[[#This Row],[Quantity_Orderd]]*_xlfn.XLOOKUP(Food_Orders[[#This Row],[Food_ID]],Food_Catalog[[#All],[Food_ID]],Food_Catalog[[#All],[Client_Price_Per_Unit]],0,0)</f>
        <v>9000</v>
      </c>
      <c r="I1645">
        <f>Food_Orders[[#This Row],[Client_Price]]-Food_Orders[[#This Row],[Cost]]</f>
        <v>1500</v>
      </c>
    </row>
    <row r="1646" spans="1:9" x14ac:dyDescent="0.25">
      <c r="A1646">
        <v>71</v>
      </c>
      <c r="B1646" t="s">
        <v>71</v>
      </c>
      <c r="C1646" t="s">
        <v>61</v>
      </c>
      <c r="D1646" t="s">
        <v>72</v>
      </c>
      <c r="E1646" t="s">
        <v>10</v>
      </c>
      <c r="F1646" cm="1">
        <f t="array" ref="F1646">_xlfn.XLOOKUP(Food_Orders[[#This Row],[Event_No]],Event_Master[[#All],[Event_No]],Event_Master[[#All],[Guest_Count]],,0)</f>
        <v>250</v>
      </c>
      <c r="G1646" cm="1">
        <f t="array" ref="G1646">Food_Orders[[#This Row],[Quantity_Orderd]]*_xlfn.XLOOKUP(Food_Orders[[#This Row],[Food_ID]],Food_Catalog[[#All],[Food_ID]],Food_Catalog[[#All],[Price_Per_Unit]],0,0)</f>
        <v>6250</v>
      </c>
      <c r="H1646" cm="1">
        <f t="array" ref="H1646">Food_Orders[[#This Row],[Quantity_Orderd]]*_xlfn.XLOOKUP(Food_Orders[[#This Row],[Food_ID]],Food_Catalog[[#All],[Food_ID]],Food_Catalog[[#All],[Client_Price_Per_Unit]],0,0)</f>
        <v>7500</v>
      </c>
      <c r="I1646">
        <f>Food_Orders[[#This Row],[Client_Price]]-Food_Orders[[#This Row],[Cost]]</f>
        <v>1250</v>
      </c>
    </row>
    <row r="1647" spans="1:9" x14ac:dyDescent="0.25">
      <c r="A1647">
        <v>71</v>
      </c>
      <c r="B1647" t="s">
        <v>69</v>
      </c>
      <c r="C1647" t="s">
        <v>61</v>
      </c>
      <c r="D1647" t="s">
        <v>70</v>
      </c>
      <c r="E1647" t="s">
        <v>10</v>
      </c>
      <c r="F1647" cm="1">
        <f t="array" ref="F1647">_xlfn.XLOOKUP(Food_Orders[[#This Row],[Event_No]],Event_Master[[#All],[Event_No]],Event_Master[[#All],[Guest_Count]],,0)</f>
        <v>250</v>
      </c>
      <c r="G1647" cm="1">
        <f t="array" ref="G1647">Food_Orders[[#This Row],[Quantity_Orderd]]*_xlfn.XLOOKUP(Food_Orders[[#This Row],[Food_ID]],Food_Catalog[[#All],[Food_ID]],Food_Catalog[[#All],[Price_Per_Unit]],0,0)</f>
        <v>12500</v>
      </c>
      <c r="H1647" cm="1">
        <f t="array" ref="H1647">Food_Orders[[#This Row],[Quantity_Orderd]]*_xlfn.XLOOKUP(Food_Orders[[#This Row],[Food_ID]],Food_Catalog[[#All],[Food_ID]],Food_Catalog[[#All],[Client_Price_Per_Unit]],0,0)</f>
        <v>15000</v>
      </c>
      <c r="I1647">
        <f>Food_Orders[[#This Row],[Client_Price]]-Food_Orders[[#This Row],[Cost]]</f>
        <v>2500</v>
      </c>
    </row>
    <row r="1648" spans="1:9" x14ac:dyDescent="0.25">
      <c r="A1648">
        <v>71</v>
      </c>
      <c r="B1648" t="s">
        <v>27</v>
      </c>
      <c r="C1648" t="s">
        <v>8</v>
      </c>
      <c r="D1648" t="s">
        <v>28</v>
      </c>
      <c r="E1648" t="s">
        <v>10</v>
      </c>
      <c r="F1648" cm="1">
        <f t="array" ref="F1648">_xlfn.XLOOKUP(Food_Orders[[#This Row],[Event_No]],Event_Master[[#All],[Event_No]],Event_Master[[#All],[Guest_Count]],,0)</f>
        <v>250</v>
      </c>
      <c r="G1648" cm="1">
        <f t="array" ref="G1648">Food_Orders[[#This Row],[Quantity_Orderd]]*_xlfn.XLOOKUP(Food_Orders[[#This Row],[Food_ID]],Food_Catalog[[#All],[Food_ID]],Food_Catalog[[#All],[Price_Per_Unit]],0,0)</f>
        <v>10000</v>
      </c>
      <c r="H1648" cm="1">
        <f t="array" ref="H1648">Food_Orders[[#This Row],[Quantity_Orderd]]*_xlfn.XLOOKUP(Food_Orders[[#This Row],[Food_ID]],Food_Catalog[[#All],[Food_ID]],Food_Catalog[[#All],[Client_Price_Per_Unit]],0,0)</f>
        <v>12000</v>
      </c>
      <c r="I1648">
        <f>Food_Orders[[#This Row],[Client_Price]]-Food_Orders[[#This Row],[Cost]]</f>
        <v>2000</v>
      </c>
    </row>
    <row r="1649" spans="1:9" x14ac:dyDescent="0.25">
      <c r="A1649">
        <v>71</v>
      </c>
      <c r="B1649" t="s">
        <v>29</v>
      </c>
      <c r="C1649" t="s">
        <v>8</v>
      </c>
      <c r="D1649" t="s">
        <v>30</v>
      </c>
      <c r="E1649" t="s">
        <v>10</v>
      </c>
      <c r="F1649" cm="1">
        <f t="array" ref="F1649">_xlfn.XLOOKUP(Food_Orders[[#This Row],[Event_No]],Event_Master[[#All],[Event_No]],Event_Master[[#All],[Guest_Count]],,0)</f>
        <v>250</v>
      </c>
      <c r="G1649" cm="1">
        <f t="array" ref="G1649">Food_Orders[[#This Row],[Quantity_Orderd]]*_xlfn.XLOOKUP(Food_Orders[[#This Row],[Food_ID]],Food_Catalog[[#All],[Food_ID]],Food_Catalog[[#All],[Price_Per_Unit]],0,0)</f>
        <v>7500</v>
      </c>
      <c r="H1649" cm="1">
        <f t="array" ref="H1649">Food_Orders[[#This Row],[Quantity_Orderd]]*_xlfn.XLOOKUP(Food_Orders[[#This Row],[Food_ID]],Food_Catalog[[#All],[Food_ID]],Food_Catalog[[#All],[Client_Price_Per_Unit]],0,0)</f>
        <v>9000</v>
      </c>
      <c r="I1649">
        <f>Food_Orders[[#This Row],[Client_Price]]-Food_Orders[[#This Row],[Cost]]</f>
        <v>1500</v>
      </c>
    </row>
    <row r="1650" spans="1:9" x14ac:dyDescent="0.25">
      <c r="A1650">
        <v>71</v>
      </c>
      <c r="B1650" t="s">
        <v>37</v>
      </c>
      <c r="C1650" t="s">
        <v>8</v>
      </c>
      <c r="D1650" t="s">
        <v>38</v>
      </c>
      <c r="E1650" t="s">
        <v>10</v>
      </c>
      <c r="F1650" cm="1">
        <f t="array" ref="F1650">_xlfn.XLOOKUP(Food_Orders[[#This Row],[Event_No]],Event_Master[[#All],[Event_No]],Event_Master[[#All],[Guest_Count]],,0)</f>
        <v>250</v>
      </c>
      <c r="G1650" cm="1">
        <f t="array" ref="G1650">Food_Orders[[#This Row],[Quantity_Orderd]]*_xlfn.XLOOKUP(Food_Orders[[#This Row],[Food_ID]],Food_Catalog[[#All],[Food_ID]],Food_Catalog[[#All],[Price_Per_Unit]],0,0)</f>
        <v>6250</v>
      </c>
      <c r="H1650" cm="1">
        <f t="array" ref="H1650">Food_Orders[[#This Row],[Quantity_Orderd]]*_xlfn.XLOOKUP(Food_Orders[[#This Row],[Food_ID]],Food_Catalog[[#All],[Food_ID]],Food_Catalog[[#All],[Client_Price_Per_Unit]],0,0)</f>
        <v>7500</v>
      </c>
      <c r="I1650">
        <f>Food_Orders[[#This Row],[Client_Price]]-Food_Orders[[#This Row],[Cost]]</f>
        <v>1250</v>
      </c>
    </row>
    <row r="1651" spans="1:9" x14ac:dyDescent="0.25">
      <c r="A1651">
        <v>71</v>
      </c>
      <c r="B1651" t="s">
        <v>82</v>
      </c>
      <c r="C1651" t="s">
        <v>83</v>
      </c>
      <c r="D1651" t="s">
        <v>84</v>
      </c>
      <c r="E1651" t="s">
        <v>85</v>
      </c>
      <c r="F1651" cm="1">
        <f t="array" ref="F1651">_xlfn.XLOOKUP(Food_Orders[[#This Row],[Event_No]],Event_Master[[#All],[Event_No]],Event_Master[[#All],[Guest_Count]],,0)</f>
        <v>250</v>
      </c>
      <c r="G1651" cm="1">
        <f t="array" ref="G1651">Food_Orders[[#This Row],[Quantity_Orderd]]*_xlfn.XLOOKUP(Food_Orders[[#This Row],[Food_ID]],Food_Catalog[[#All],[Food_ID]],Food_Catalog[[#All],[Price_Per_Unit]],0,0)</f>
        <v>5000</v>
      </c>
      <c r="H1651" cm="1">
        <f t="array" ref="H1651">Food_Orders[[#This Row],[Quantity_Orderd]]*_xlfn.XLOOKUP(Food_Orders[[#This Row],[Food_ID]],Food_Catalog[[#All],[Food_ID]],Food_Catalog[[#All],[Client_Price_Per_Unit]],0,0)</f>
        <v>6000</v>
      </c>
      <c r="I1651">
        <f>Food_Orders[[#This Row],[Client_Price]]-Food_Orders[[#This Row],[Cost]]</f>
        <v>1000</v>
      </c>
    </row>
    <row r="1652" spans="1:9" x14ac:dyDescent="0.25">
      <c r="A1652">
        <v>71</v>
      </c>
      <c r="B1652" t="s">
        <v>86</v>
      </c>
      <c r="C1652" t="s">
        <v>83</v>
      </c>
      <c r="D1652" t="s">
        <v>87</v>
      </c>
      <c r="E1652" t="s">
        <v>85</v>
      </c>
      <c r="F1652" cm="1">
        <f t="array" ref="F1652">_xlfn.XLOOKUP(Food_Orders[[#This Row],[Event_No]],Event_Master[[#All],[Event_No]],Event_Master[[#All],[Guest_Count]],,0)</f>
        <v>250</v>
      </c>
      <c r="G1652" cm="1">
        <f t="array" ref="G1652">Food_Orders[[#This Row],[Quantity_Orderd]]*_xlfn.XLOOKUP(Food_Orders[[#This Row],[Food_ID]],Food_Catalog[[#All],[Food_ID]],Food_Catalog[[#All],[Price_Per_Unit]],0,0)</f>
        <v>5000</v>
      </c>
      <c r="H1652" cm="1">
        <f t="array" ref="H1652">Food_Orders[[#This Row],[Quantity_Orderd]]*_xlfn.XLOOKUP(Food_Orders[[#This Row],[Food_ID]],Food_Catalog[[#All],[Food_ID]],Food_Catalog[[#All],[Client_Price_Per_Unit]],0,0)</f>
        <v>6000</v>
      </c>
      <c r="I1652">
        <f>Food_Orders[[#This Row],[Client_Price]]-Food_Orders[[#This Row],[Cost]]</f>
        <v>1000</v>
      </c>
    </row>
    <row r="1653" spans="1:9" x14ac:dyDescent="0.25">
      <c r="A1653">
        <v>71</v>
      </c>
      <c r="B1653" t="s">
        <v>96</v>
      </c>
      <c r="C1653" t="s">
        <v>83</v>
      </c>
      <c r="D1653" t="s">
        <v>97</v>
      </c>
      <c r="E1653" t="s">
        <v>79</v>
      </c>
      <c r="F1653" cm="1">
        <f t="array" ref="F1653">_xlfn.XLOOKUP(Food_Orders[[#This Row],[Event_No]],Event_Master[[#All],[Event_No]],Event_Master[[#All],[Guest_Count]],,0)</f>
        <v>250</v>
      </c>
      <c r="G1653" cm="1">
        <f t="array" ref="G1653">Food_Orders[[#This Row],[Quantity_Orderd]]*_xlfn.XLOOKUP(Food_Orders[[#This Row],[Food_ID]],Food_Catalog[[#All],[Food_ID]],Food_Catalog[[#All],[Price_Per_Unit]],0,0)</f>
        <v>7500</v>
      </c>
      <c r="H1653" cm="1">
        <f t="array" ref="H1653">Food_Orders[[#This Row],[Quantity_Orderd]]*_xlfn.XLOOKUP(Food_Orders[[#This Row],[Food_ID]],Food_Catalog[[#All],[Food_ID]],Food_Catalog[[#All],[Client_Price_Per_Unit]],0,0)</f>
        <v>9000</v>
      </c>
      <c r="I1653">
        <f>Food_Orders[[#This Row],[Client_Price]]-Food_Orders[[#This Row],[Cost]]</f>
        <v>1500</v>
      </c>
    </row>
    <row r="1654" spans="1:9" x14ac:dyDescent="0.25">
      <c r="A1654">
        <v>71</v>
      </c>
      <c r="B1654" t="s">
        <v>92</v>
      </c>
      <c r="C1654" t="s">
        <v>83</v>
      </c>
      <c r="D1654" t="s">
        <v>93</v>
      </c>
      <c r="E1654" t="s">
        <v>85</v>
      </c>
      <c r="F1654" cm="1">
        <f t="array" ref="F1654">_xlfn.XLOOKUP(Food_Orders[[#This Row],[Event_No]],Event_Master[[#All],[Event_No]],Event_Master[[#All],[Guest_Count]],,0)</f>
        <v>250</v>
      </c>
      <c r="G1654" cm="1">
        <f t="array" ref="G1654">Food_Orders[[#This Row],[Quantity_Orderd]]*_xlfn.XLOOKUP(Food_Orders[[#This Row],[Food_ID]],Food_Catalog[[#All],[Food_ID]],Food_Catalog[[#All],[Price_Per_Unit]],0,0)</f>
        <v>3750</v>
      </c>
      <c r="H1654" cm="1">
        <f t="array" ref="H1654">Food_Orders[[#This Row],[Quantity_Orderd]]*_xlfn.XLOOKUP(Food_Orders[[#This Row],[Food_ID]],Food_Catalog[[#All],[Food_ID]],Food_Catalog[[#All],[Client_Price_Per_Unit]],0,0)</f>
        <v>4500</v>
      </c>
      <c r="I1654">
        <f>Food_Orders[[#This Row],[Client_Price]]-Food_Orders[[#This Row],[Cost]]</f>
        <v>750</v>
      </c>
    </row>
    <row r="1655" spans="1:9" x14ac:dyDescent="0.25">
      <c r="A1655">
        <v>71</v>
      </c>
      <c r="B1655" t="s">
        <v>118</v>
      </c>
      <c r="C1655" t="s">
        <v>119</v>
      </c>
      <c r="D1655" t="s">
        <v>120</v>
      </c>
      <c r="E1655" t="s">
        <v>112</v>
      </c>
      <c r="F1655" cm="1">
        <f t="array" ref="F1655">_xlfn.XLOOKUP(Food_Orders[[#This Row],[Event_No]],Event_Master[[#All],[Event_No]],Event_Master[[#All],[Guest_Count]],,0)</f>
        <v>250</v>
      </c>
      <c r="G1655" cm="1">
        <f t="array" ref="G1655">Food_Orders[[#This Row],[Quantity_Orderd]]*_xlfn.XLOOKUP(Food_Orders[[#This Row],[Food_ID]],Food_Catalog[[#All],[Food_ID]],Food_Catalog[[#All],[Price_Per_Unit]],0,0)</f>
        <v>2500</v>
      </c>
      <c r="H1655" cm="1">
        <f t="array" ref="H1655">Food_Orders[[#This Row],[Quantity_Orderd]]*_xlfn.XLOOKUP(Food_Orders[[#This Row],[Food_ID]],Food_Catalog[[#All],[Food_ID]],Food_Catalog[[#All],[Client_Price_Per_Unit]],0,0)</f>
        <v>3000</v>
      </c>
      <c r="I1655">
        <f>Food_Orders[[#This Row],[Client_Price]]-Food_Orders[[#This Row],[Cost]]</f>
        <v>500</v>
      </c>
    </row>
    <row r="1656" spans="1:9" x14ac:dyDescent="0.25">
      <c r="A1656">
        <v>71</v>
      </c>
      <c r="B1656" t="s">
        <v>129</v>
      </c>
      <c r="C1656" t="s">
        <v>119</v>
      </c>
      <c r="D1656" t="s">
        <v>130</v>
      </c>
      <c r="E1656" t="s">
        <v>112</v>
      </c>
      <c r="F1656" cm="1">
        <f t="array" ref="F1656">_xlfn.XLOOKUP(Food_Orders[[#This Row],[Event_No]],Event_Master[[#All],[Event_No]],Event_Master[[#All],[Guest_Count]],,0)</f>
        <v>250</v>
      </c>
      <c r="G1656" cm="1">
        <f t="array" ref="G1656">Food_Orders[[#This Row],[Quantity_Orderd]]*_xlfn.XLOOKUP(Food_Orders[[#This Row],[Food_ID]],Food_Catalog[[#All],[Food_ID]],Food_Catalog[[#All],[Price_Per_Unit]],0,0)</f>
        <v>2500</v>
      </c>
      <c r="H1656" cm="1">
        <f t="array" ref="H1656">Food_Orders[[#This Row],[Quantity_Orderd]]*_xlfn.XLOOKUP(Food_Orders[[#This Row],[Food_ID]],Food_Catalog[[#All],[Food_ID]],Food_Catalog[[#All],[Client_Price_Per_Unit]],0,0)</f>
        <v>3000</v>
      </c>
      <c r="I1656">
        <f>Food_Orders[[#This Row],[Client_Price]]-Food_Orders[[#This Row],[Cost]]</f>
        <v>500</v>
      </c>
    </row>
    <row r="1657" spans="1:9" x14ac:dyDescent="0.25">
      <c r="A1657">
        <v>71</v>
      </c>
      <c r="B1657" t="s">
        <v>104</v>
      </c>
      <c r="C1657" t="s">
        <v>105</v>
      </c>
      <c r="D1657" t="s">
        <v>106</v>
      </c>
      <c r="E1657" t="s">
        <v>107</v>
      </c>
      <c r="F1657" cm="1">
        <f t="array" ref="F1657">_xlfn.XLOOKUP(Food_Orders[[#This Row],[Event_No]],Event_Master[[#All],[Event_No]],Event_Master[[#All],[Guest_Count]],,0)</f>
        <v>250</v>
      </c>
      <c r="G1657" cm="1">
        <f t="array" ref="G1657">Food_Orders[[#This Row],[Quantity_Orderd]]*_xlfn.XLOOKUP(Food_Orders[[#This Row],[Food_ID]],Food_Catalog[[#All],[Food_ID]],Food_Catalog[[#All],[Price_Per_Unit]],0,0)</f>
        <v>2500</v>
      </c>
      <c r="H1657" cm="1">
        <f t="array" ref="H1657">Food_Orders[[#This Row],[Quantity_Orderd]]*_xlfn.XLOOKUP(Food_Orders[[#This Row],[Food_ID]],Food_Catalog[[#All],[Food_ID]],Food_Catalog[[#All],[Client_Price_Per_Unit]],0,0)</f>
        <v>3000</v>
      </c>
      <c r="I1657">
        <f>Food_Orders[[#This Row],[Client_Price]]-Food_Orders[[#This Row],[Cost]]</f>
        <v>500</v>
      </c>
    </row>
    <row r="1658" spans="1:9" x14ac:dyDescent="0.25">
      <c r="A1658">
        <v>71</v>
      </c>
      <c r="B1658" t="s">
        <v>108</v>
      </c>
      <c r="C1658" t="s">
        <v>105</v>
      </c>
      <c r="D1658" t="s">
        <v>109</v>
      </c>
      <c r="E1658" t="s">
        <v>107</v>
      </c>
      <c r="F1658" cm="1">
        <f t="array" ref="F1658">_xlfn.XLOOKUP(Food_Orders[[#This Row],[Event_No]],Event_Master[[#All],[Event_No]],Event_Master[[#All],[Guest_Count]],,0)</f>
        <v>250</v>
      </c>
      <c r="G1658" cm="1">
        <f t="array" ref="G1658">Food_Orders[[#This Row],[Quantity_Orderd]]*_xlfn.XLOOKUP(Food_Orders[[#This Row],[Food_ID]],Food_Catalog[[#All],[Food_ID]],Food_Catalog[[#All],[Price_Per_Unit]],0,0)</f>
        <v>3750</v>
      </c>
      <c r="H1658" cm="1">
        <f t="array" ref="H1658">Food_Orders[[#This Row],[Quantity_Orderd]]*_xlfn.XLOOKUP(Food_Orders[[#This Row],[Food_ID]],Food_Catalog[[#All],[Food_ID]],Food_Catalog[[#All],[Client_Price_Per_Unit]],0,0)</f>
        <v>4500</v>
      </c>
      <c r="I1658">
        <f>Food_Orders[[#This Row],[Client_Price]]-Food_Orders[[#This Row],[Cost]]</f>
        <v>750</v>
      </c>
    </row>
    <row r="1659" spans="1:9" x14ac:dyDescent="0.25">
      <c r="A1659">
        <v>71</v>
      </c>
      <c r="B1659" t="s">
        <v>124</v>
      </c>
      <c r="C1659" t="s">
        <v>119</v>
      </c>
      <c r="D1659" t="s">
        <v>125</v>
      </c>
      <c r="E1659" t="s">
        <v>126</v>
      </c>
      <c r="F1659" cm="1">
        <f t="array" ref="F1659">_xlfn.XLOOKUP(Food_Orders[[#This Row],[Event_No]],Event_Master[[#All],[Event_No]],Event_Master[[#All],[Guest_Count]],,0)</f>
        <v>250</v>
      </c>
      <c r="G1659" cm="1">
        <f t="array" ref="G1659">Food_Orders[[#This Row],[Quantity_Orderd]]*_xlfn.XLOOKUP(Food_Orders[[#This Row],[Food_ID]],Food_Catalog[[#All],[Food_ID]],Food_Catalog[[#All],[Price_Per_Unit]],0,0)</f>
        <v>5000</v>
      </c>
      <c r="H1659" cm="1">
        <f t="array" ref="H1659">Food_Orders[[#This Row],[Quantity_Orderd]]*_xlfn.XLOOKUP(Food_Orders[[#This Row],[Food_ID]],Food_Catalog[[#All],[Food_ID]],Food_Catalog[[#All],[Client_Price_Per_Unit]],0,0)</f>
        <v>6000</v>
      </c>
      <c r="I1659">
        <f>Food_Orders[[#This Row],[Client_Price]]-Food_Orders[[#This Row],[Cost]]</f>
        <v>1000</v>
      </c>
    </row>
    <row r="1660" spans="1:9" x14ac:dyDescent="0.25">
      <c r="A1660">
        <v>72</v>
      </c>
      <c r="B1660" t="s">
        <v>118</v>
      </c>
      <c r="C1660" t="s">
        <v>119</v>
      </c>
      <c r="D1660" t="s">
        <v>120</v>
      </c>
      <c r="E1660" t="s">
        <v>112</v>
      </c>
      <c r="F1660" cm="1">
        <f t="array" ref="F1660">_xlfn.XLOOKUP(Food_Orders[[#This Row],[Event_No]],Event_Master[[#All],[Event_No]],Event_Master[[#All],[Guest_Count]],,0)</f>
        <v>200</v>
      </c>
      <c r="G1660" cm="1">
        <f t="array" ref="G1660">Food_Orders[[#This Row],[Quantity_Orderd]]*_xlfn.XLOOKUP(Food_Orders[[#This Row],[Food_ID]],Food_Catalog[[#All],[Food_ID]],Food_Catalog[[#All],[Price_Per_Unit]],0,0)</f>
        <v>2000</v>
      </c>
      <c r="H1660" cm="1">
        <f t="array" ref="H1660">Food_Orders[[#This Row],[Quantity_Orderd]]*_xlfn.XLOOKUP(Food_Orders[[#This Row],[Food_ID]],Food_Catalog[[#All],[Food_ID]],Food_Catalog[[#All],[Client_Price_Per_Unit]],0,0)</f>
        <v>2400</v>
      </c>
      <c r="I1660">
        <f>Food_Orders[[#This Row],[Client_Price]]-Food_Orders[[#This Row],[Cost]]</f>
        <v>400</v>
      </c>
    </row>
    <row r="1661" spans="1:9" x14ac:dyDescent="0.25">
      <c r="A1661">
        <v>72</v>
      </c>
      <c r="B1661" t="s">
        <v>129</v>
      </c>
      <c r="C1661" t="s">
        <v>119</v>
      </c>
      <c r="D1661" t="s">
        <v>130</v>
      </c>
      <c r="E1661" t="s">
        <v>112</v>
      </c>
      <c r="F1661" cm="1">
        <f t="array" ref="F1661">_xlfn.XLOOKUP(Food_Orders[[#This Row],[Event_No]],Event_Master[[#All],[Event_No]],Event_Master[[#All],[Guest_Count]],,0)</f>
        <v>200</v>
      </c>
      <c r="G1661" cm="1">
        <f t="array" ref="G1661">Food_Orders[[#This Row],[Quantity_Orderd]]*_xlfn.XLOOKUP(Food_Orders[[#This Row],[Food_ID]],Food_Catalog[[#All],[Food_ID]],Food_Catalog[[#All],[Price_Per_Unit]],0,0)</f>
        <v>2000</v>
      </c>
      <c r="H1661" cm="1">
        <f t="array" ref="H1661">Food_Orders[[#This Row],[Quantity_Orderd]]*_xlfn.XLOOKUP(Food_Orders[[#This Row],[Food_ID]],Food_Catalog[[#All],[Food_ID]],Food_Catalog[[#All],[Client_Price_Per_Unit]],0,0)</f>
        <v>2400</v>
      </c>
      <c r="I1661">
        <f>Food_Orders[[#This Row],[Client_Price]]-Food_Orders[[#This Row],[Cost]]</f>
        <v>400</v>
      </c>
    </row>
    <row r="1662" spans="1:9" x14ac:dyDescent="0.25">
      <c r="A1662">
        <v>72</v>
      </c>
      <c r="B1662" t="s">
        <v>104</v>
      </c>
      <c r="C1662" t="s">
        <v>105</v>
      </c>
      <c r="D1662" t="s">
        <v>106</v>
      </c>
      <c r="E1662" t="s">
        <v>107</v>
      </c>
      <c r="F1662" cm="1">
        <f t="array" ref="F1662">_xlfn.XLOOKUP(Food_Orders[[#This Row],[Event_No]],Event_Master[[#All],[Event_No]],Event_Master[[#All],[Guest_Count]],,0)</f>
        <v>200</v>
      </c>
      <c r="G1662" cm="1">
        <f t="array" ref="G1662">Food_Orders[[#This Row],[Quantity_Orderd]]*_xlfn.XLOOKUP(Food_Orders[[#This Row],[Food_ID]],Food_Catalog[[#All],[Food_ID]],Food_Catalog[[#All],[Price_Per_Unit]],0,0)</f>
        <v>2000</v>
      </c>
      <c r="H1662" cm="1">
        <f t="array" ref="H1662">Food_Orders[[#This Row],[Quantity_Orderd]]*_xlfn.XLOOKUP(Food_Orders[[#This Row],[Food_ID]],Food_Catalog[[#All],[Food_ID]],Food_Catalog[[#All],[Client_Price_Per_Unit]],0,0)</f>
        <v>2400</v>
      </c>
      <c r="I1662">
        <f>Food_Orders[[#This Row],[Client_Price]]-Food_Orders[[#This Row],[Cost]]</f>
        <v>400</v>
      </c>
    </row>
    <row r="1663" spans="1:9" x14ac:dyDescent="0.25">
      <c r="A1663">
        <v>72</v>
      </c>
      <c r="B1663" t="s">
        <v>121</v>
      </c>
      <c r="C1663" t="s">
        <v>119</v>
      </c>
      <c r="D1663" t="s">
        <v>122</v>
      </c>
      <c r="E1663" t="s">
        <v>123</v>
      </c>
      <c r="F1663" cm="1">
        <f t="array" ref="F1663">_xlfn.XLOOKUP(Food_Orders[[#This Row],[Event_No]],Event_Master[[#All],[Event_No]],Event_Master[[#All],[Guest_Count]],,0)</f>
        <v>200</v>
      </c>
      <c r="G1663" cm="1">
        <f t="array" ref="G1663">Food_Orders[[#This Row],[Quantity_Orderd]]*_xlfn.XLOOKUP(Food_Orders[[#This Row],[Food_ID]],Food_Catalog[[#All],[Food_ID]],Food_Catalog[[#All],[Price_Per_Unit]],0,0)</f>
        <v>2000</v>
      </c>
      <c r="H1663" cm="1">
        <f t="array" ref="H1663">Food_Orders[[#This Row],[Quantity_Orderd]]*_xlfn.XLOOKUP(Food_Orders[[#This Row],[Food_ID]],Food_Catalog[[#All],[Food_ID]],Food_Catalog[[#All],[Client_Price_Per_Unit]],0,0)</f>
        <v>2400</v>
      </c>
      <c r="I1663">
        <f>Food_Orders[[#This Row],[Client_Price]]-Food_Orders[[#This Row],[Cost]]</f>
        <v>400</v>
      </c>
    </row>
    <row r="1664" spans="1:9" x14ac:dyDescent="0.25">
      <c r="A1664">
        <v>72</v>
      </c>
      <c r="B1664" t="s">
        <v>124</v>
      </c>
      <c r="C1664" t="s">
        <v>119</v>
      </c>
      <c r="D1664" t="s">
        <v>125</v>
      </c>
      <c r="E1664" t="s">
        <v>126</v>
      </c>
      <c r="F1664" cm="1">
        <f t="array" ref="F1664">_xlfn.XLOOKUP(Food_Orders[[#This Row],[Event_No]],Event_Master[[#All],[Event_No]],Event_Master[[#All],[Guest_Count]],,0)</f>
        <v>200</v>
      </c>
      <c r="G1664" cm="1">
        <f t="array" ref="G1664">Food_Orders[[#This Row],[Quantity_Orderd]]*_xlfn.XLOOKUP(Food_Orders[[#This Row],[Food_ID]],Food_Catalog[[#All],[Food_ID]],Food_Catalog[[#All],[Price_Per_Unit]],0,0)</f>
        <v>4000</v>
      </c>
      <c r="H1664" cm="1">
        <f t="array" ref="H1664">Food_Orders[[#This Row],[Quantity_Orderd]]*_xlfn.XLOOKUP(Food_Orders[[#This Row],[Food_ID]],Food_Catalog[[#All],[Food_ID]],Food_Catalog[[#All],[Client_Price_Per_Unit]],0,0)</f>
        <v>4800</v>
      </c>
      <c r="I1664">
        <f>Food_Orders[[#This Row],[Client_Price]]-Food_Orders[[#This Row],[Cost]]</f>
        <v>800</v>
      </c>
    </row>
    <row r="1665" spans="1:9" x14ac:dyDescent="0.25">
      <c r="A1665">
        <v>72</v>
      </c>
      <c r="B1665" t="s">
        <v>63</v>
      </c>
      <c r="C1665" t="s">
        <v>61</v>
      </c>
      <c r="D1665" t="s">
        <v>64</v>
      </c>
      <c r="E1665" t="s">
        <v>10</v>
      </c>
      <c r="F1665" cm="1">
        <f t="array" ref="F1665">_xlfn.XLOOKUP(Food_Orders[[#This Row],[Event_No]],Event_Master[[#All],[Event_No]],Event_Master[[#All],[Guest_Count]],,0)</f>
        <v>200</v>
      </c>
      <c r="G1665" cm="1">
        <f t="array" ref="G1665">Food_Orders[[#This Row],[Quantity_Orderd]]*_xlfn.XLOOKUP(Food_Orders[[#This Row],[Food_ID]],Food_Catalog[[#All],[Food_ID]],Food_Catalog[[#All],[Price_Per_Unit]],0,0)</f>
        <v>6000</v>
      </c>
      <c r="H1665" cm="1">
        <f t="array" ref="H1665">Food_Orders[[#This Row],[Quantity_Orderd]]*_xlfn.XLOOKUP(Food_Orders[[#This Row],[Food_ID]],Food_Catalog[[#All],[Food_ID]],Food_Catalog[[#All],[Client_Price_Per_Unit]],0,0)</f>
        <v>7200</v>
      </c>
      <c r="I1665">
        <f>Food_Orders[[#This Row],[Client_Price]]-Food_Orders[[#This Row],[Cost]]</f>
        <v>1200</v>
      </c>
    </row>
    <row r="1666" spans="1:9" x14ac:dyDescent="0.25">
      <c r="A1666">
        <v>72</v>
      </c>
      <c r="B1666" t="s">
        <v>71</v>
      </c>
      <c r="C1666" t="s">
        <v>61</v>
      </c>
      <c r="D1666" t="s">
        <v>72</v>
      </c>
      <c r="E1666" t="s">
        <v>10</v>
      </c>
      <c r="F1666" cm="1">
        <f t="array" ref="F1666">_xlfn.XLOOKUP(Food_Orders[[#This Row],[Event_No]],Event_Master[[#All],[Event_No]],Event_Master[[#All],[Guest_Count]],,0)</f>
        <v>200</v>
      </c>
      <c r="G1666" cm="1">
        <f t="array" ref="G1666">Food_Orders[[#This Row],[Quantity_Orderd]]*_xlfn.XLOOKUP(Food_Orders[[#This Row],[Food_ID]],Food_Catalog[[#All],[Food_ID]],Food_Catalog[[#All],[Price_Per_Unit]],0,0)</f>
        <v>5000</v>
      </c>
      <c r="H1666" cm="1">
        <f t="array" ref="H1666">Food_Orders[[#This Row],[Quantity_Orderd]]*_xlfn.XLOOKUP(Food_Orders[[#This Row],[Food_ID]],Food_Catalog[[#All],[Food_ID]],Food_Catalog[[#All],[Client_Price_Per_Unit]],0,0)</f>
        <v>6000</v>
      </c>
      <c r="I1666">
        <f>Food_Orders[[#This Row],[Client_Price]]-Food_Orders[[#This Row],[Cost]]</f>
        <v>1000</v>
      </c>
    </row>
    <row r="1667" spans="1:9" x14ac:dyDescent="0.25">
      <c r="A1667">
        <v>72</v>
      </c>
      <c r="B1667" t="s">
        <v>29</v>
      </c>
      <c r="C1667" t="s">
        <v>8</v>
      </c>
      <c r="D1667" t="s">
        <v>30</v>
      </c>
      <c r="E1667" t="s">
        <v>10</v>
      </c>
      <c r="F1667" cm="1">
        <f t="array" ref="F1667">_xlfn.XLOOKUP(Food_Orders[[#This Row],[Event_No]],Event_Master[[#All],[Event_No]],Event_Master[[#All],[Guest_Count]],,0)</f>
        <v>200</v>
      </c>
      <c r="G1667" cm="1">
        <f t="array" ref="G1667">Food_Orders[[#This Row],[Quantity_Orderd]]*_xlfn.XLOOKUP(Food_Orders[[#This Row],[Food_ID]],Food_Catalog[[#All],[Food_ID]],Food_Catalog[[#All],[Price_Per_Unit]],0,0)</f>
        <v>6000</v>
      </c>
      <c r="H1667" cm="1">
        <f t="array" ref="H1667">Food_Orders[[#This Row],[Quantity_Orderd]]*_xlfn.XLOOKUP(Food_Orders[[#This Row],[Food_ID]],Food_Catalog[[#All],[Food_ID]],Food_Catalog[[#All],[Client_Price_Per_Unit]],0,0)</f>
        <v>7200</v>
      </c>
      <c r="I1667">
        <f>Food_Orders[[#This Row],[Client_Price]]-Food_Orders[[#This Row],[Cost]]</f>
        <v>1200</v>
      </c>
    </row>
    <row r="1668" spans="1:9" x14ac:dyDescent="0.25">
      <c r="A1668">
        <v>72</v>
      </c>
      <c r="B1668" t="s">
        <v>37</v>
      </c>
      <c r="C1668" t="s">
        <v>8</v>
      </c>
      <c r="D1668" t="s">
        <v>38</v>
      </c>
      <c r="E1668" t="s">
        <v>10</v>
      </c>
      <c r="F1668" cm="1">
        <f t="array" ref="F1668">_xlfn.XLOOKUP(Food_Orders[[#This Row],[Event_No]],Event_Master[[#All],[Event_No]],Event_Master[[#All],[Guest_Count]],,0)</f>
        <v>200</v>
      </c>
      <c r="G1668" cm="1">
        <f t="array" ref="G1668">Food_Orders[[#This Row],[Quantity_Orderd]]*_xlfn.XLOOKUP(Food_Orders[[#This Row],[Food_ID]],Food_Catalog[[#All],[Food_ID]],Food_Catalog[[#All],[Price_Per_Unit]],0,0)</f>
        <v>5000</v>
      </c>
      <c r="H1668" cm="1">
        <f t="array" ref="H1668">Food_Orders[[#This Row],[Quantity_Orderd]]*_xlfn.XLOOKUP(Food_Orders[[#This Row],[Food_ID]],Food_Catalog[[#All],[Food_ID]],Food_Catalog[[#All],[Client_Price_Per_Unit]],0,0)</f>
        <v>6000</v>
      </c>
      <c r="I1668">
        <f>Food_Orders[[#This Row],[Client_Price]]-Food_Orders[[#This Row],[Cost]]</f>
        <v>1000</v>
      </c>
    </row>
    <row r="1669" spans="1:9" x14ac:dyDescent="0.25">
      <c r="A1669">
        <v>72</v>
      </c>
      <c r="B1669" t="s">
        <v>27</v>
      </c>
      <c r="C1669" t="s">
        <v>8</v>
      </c>
      <c r="D1669" t="s">
        <v>28</v>
      </c>
      <c r="E1669" t="s">
        <v>10</v>
      </c>
      <c r="F1669" cm="1">
        <f t="array" ref="F1669">_xlfn.XLOOKUP(Food_Orders[[#This Row],[Event_No]],Event_Master[[#All],[Event_No]],Event_Master[[#All],[Guest_Count]],,0)</f>
        <v>200</v>
      </c>
      <c r="G1669" cm="1">
        <f t="array" ref="G1669">Food_Orders[[#This Row],[Quantity_Orderd]]*_xlfn.XLOOKUP(Food_Orders[[#This Row],[Food_ID]],Food_Catalog[[#All],[Food_ID]],Food_Catalog[[#All],[Price_Per_Unit]],0,0)</f>
        <v>8000</v>
      </c>
      <c r="H1669" cm="1">
        <f t="array" ref="H1669">Food_Orders[[#This Row],[Quantity_Orderd]]*_xlfn.XLOOKUP(Food_Orders[[#This Row],[Food_ID]],Food_Catalog[[#All],[Food_ID]],Food_Catalog[[#All],[Client_Price_Per_Unit]],0,0)</f>
        <v>9600</v>
      </c>
      <c r="I1669">
        <f>Food_Orders[[#This Row],[Client_Price]]-Food_Orders[[#This Row],[Cost]]</f>
        <v>1600</v>
      </c>
    </row>
    <row r="1670" spans="1:9" x14ac:dyDescent="0.25">
      <c r="A1670">
        <v>72</v>
      </c>
      <c r="B1670" t="s">
        <v>82</v>
      </c>
      <c r="C1670" t="s">
        <v>83</v>
      </c>
      <c r="D1670" t="s">
        <v>84</v>
      </c>
      <c r="E1670" t="s">
        <v>85</v>
      </c>
      <c r="F1670" cm="1">
        <f t="array" ref="F1670">_xlfn.XLOOKUP(Food_Orders[[#This Row],[Event_No]],Event_Master[[#All],[Event_No]],Event_Master[[#All],[Guest_Count]],,0)</f>
        <v>200</v>
      </c>
      <c r="G1670" cm="1">
        <f t="array" ref="G1670">Food_Orders[[#This Row],[Quantity_Orderd]]*_xlfn.XLOOKUP(Food_Orders[[#This Row],[Food_ID]],Food_Catalog[[#All],[Food_ID]],Food_Catalog[[#All],[Price_Per_Unit]],0,0)</f>
        <v>4000</v>
      </c>
      <c r="H1670" cm="1">
        <f t="array" ref="H1670">Food_Orders[[#This Row],[Quantity_Orderd]]*_xlfn.XLOOKUP(Food_Orders[[#This Row],[Food_ID]],Food_Catalog[[#All],[Food_ID]],Food_Catalog[[#All],[Client_Price_Per_Unit]],0,0)</f>
        <v>4800</v>
      </c>
      <c r="I1670">
        <f>Food_Orders[[#This Row],[Client_Price]]-Food_Orders[[#This Row],[Cost]]</f>
        <v>800</v>
      </c>
    </row>
    <row r="1671" spans="1:9" x14ac:dyDescent="0.25">
      <c r="A1671">
        <v>72</v>
      </c>
      <c r="B1671" t="s">
        <v>96</v>
      </c>
      <c r="C1671" t="s">
        <v>83</v>
      </c>
      <c r="D1671" t="s">
        <v>97</v>
      </c>
      <c r="E1671" t="s">
        <v>79</v>
      </c>
      <c r="F1671" cm="1">
        <f t="array" ref="F1671">_xlfn.XLOOKUP(Food_Orders[[#This Row],[Event_No]],Event_Master[[#All],[Event_No]],Event_Master[[#All],[Guest_Count]],,0)</f>
        <v>200</v>
      </c>
      <c r="G1671" cm="1">
        <f t="array" ref="G1671">Food_Orders[[#This Row],[Quantity_Orderd]]*_xlfn.XLOOKUP(Food_Orders[[#This Row],[Food_ID]],Food_Catalog[[#All],[Food_ID]],Food_Catalog[[#All],[Price_Per_Unit]],0,0)</f>
        <v>6000</v>
      </c>
      <c r="H1671" cm="1">
        <f t="array" ref="H1671">Food_Orders[[#This Row],[Quantity_Orderd]]*_xlfn.XLOOKUP(Food_Orders[[#This Row],[Food_ID]],Food_Catalog[[#All],[Food_ID]],Food_Catalog[[#All],[Client_Price_Per_Unit]],0,0)</f>
        <v>7200</v>
      </c>
      <c r="I1671">
        <f>Food_Orders[[#This Row],[Client_Price]]-Food_Orders[[#This Row],[Cost]]</f>
        <v>1200</v>
      </c>
    </row>
    <row r="1672" spans="1:9" x14ac:dyDescent="0.25">
      <c r="A1672">
        <v>73</v>
      </c>
      <c r="B1672" t="s">
        <v>60</v>
      </c>
      <c r="C1672" t="s">
        <v>61</v>
      </c>
      <c r="D1672" t="s">
        <v>62</v>
      </c>
      <c r="E1672" t="s">
        <v>10</v>
      </c>
      <c r="F1672" cm="1">
        <f t="array" ref="F1672">_xlfn.XLOOKUP(Food_Orders[[#This Row],[Event_No]],Event_Master[[#All],[Event_No]],Event_Master[[#All],[Guest_Count]],,0)</f>
        <v>900</v>
      </c>
      <c r="G1672" cm="1">
        <f t="array" ref="G1672">Food_Orders[[#This Row],[Quantity_Orderd]]*_xlfn.XLOOKUP(Food_Orders[[#This Row],[Food_ID]],Food_Catalog[[#All],[Food_ID]],Food_Catalog[[#All],[Price_Per_Unit]],0,0)</f>
        <v>18000</v>
      </c>
      <c r="H1672" cm="1">
        <f t="array" ref="H1672">Food_Orders[[#This Row],[Quantity_Orderd]]*_xlfn.XLOOKUP(Food_Orders[[#This Row],[Food_ID]],Food_Catalog[[#All],[Food_ID]],Food_Catalog[[#All],[Client_Price_Per_Unit]],0,0)</f>
        <v>21600</v>
      </c>
      <c r="I1672">
        <f>Food_Orders[[#This Row],[Client_Price]]-Food_Orders[[#This Row],[Cost]]</f>
        <v>3600</v>
      </c>
    </row>
    <row r="1673" spans="1:9" x14ac:dyDescent="0.25">
      <c r="A1673">
        <v>73</v>
      </c>
      <c r="B1673" t="s">
        <v>63</v>
      </c>
      <c r="C1673" t="s">
        <v>61</v>
      </c>
      <c r="D1673" t="s">
        <v>64</v>
      </c>
      <c r="E1673" t="s">
        <v>10</v>
      </c>
      <c r="F1673" cm="1">
        <f t="array" ref="F1673">_xlfn.XLOOKUP(Food_Orders[[#This Row],[Event_No]],Event_Master[[#All],[Event_No]],Event_Master[[#All],[Guest_Count]],,0)</f>
        <v>900</v>
      </c>
      <c r="G1673" cm="1">
        <f t="array" ref="G1673">Food_Orders[[#This Row],[Quantity_Orderd]]*_xlfn.XLOOKUP(Food_Orders[[#This Row],[Food_ID]],Food_Catalog[[#All],[Food_ID]],Food_Catalog[[#All],[Price_Per_Unit]],0,0)</f>
        <v>27000</v>
      </c>
      <c r="H1673" cm="1">
        <f t="array" ref="H1673">Food_Orders[[#This Row],[Quantity_Orderd]]*_xlfn.XLOOKUP(Food_Orders[[#This Row],[Food_ID]],Food_Catalog[[#All],[Food_ID]],Food_Catalog[[#All],[Client_Price_Per_Unit]],0,0)</f>
        <v>32400</v>
      </c>
      <c r="I1673">
        <f>Food_Orders[[#This Row],[Client_Price]]-Food_Orders[[#This Row],[Cost]]</f>
        <v>5400</v>
      </c>
    </row>
    <row r="1674" spans="1:9" x14ac:dyDescent="0.25">
      <c r="A1674">
        <v>73</v>
      </c>
      <c r="B1674" t="s">
        <v>71</v>
      </c>
      <c r="C1674" t="s">
        <v>61</v>
      </c>
      <c r="D1674" t="s">
        <v>72</v>
      </c>
      <c r="E1674" t="s">
        <v>10</v>
      </c>
      <c r="F1674" cm="1">
        <f t="array" ref="F1674">_xlfn.XLOOKUP(Food_Orders[[#This Row],[Event_No]],Event_Master[[#All],[Event_No]],Event_Master[[#All],[Guest_Count]],,0)</f>
        <v>900</v>
      </c>
      <c r="G1674" cm="1">
        <f t="array" ref="G1674">Food_Orders[[#This Row],[Quantity_Orderd]]*_xlfn.XLOOKUP(Food_Orders[[#This Row],[Food_ID]],Food_Catalog[[#All],[Food_ID]],Food_Catalog[[#All],[Price_Per_Unit]],0,0)</f>
        <v>22500</v>
      </c>
      <c r="H1674" cm="1">
        <f t="array" ref="H1674">Food_Orders[[#This Row],[Quantity_Orderd]]*_xlfn.XLOOKUP(Food_Orders[[#This Row],[Food_ID]],Food_Catalog[[#All],[Food_ID]],Food_Catalog[[#All],[Client_Price_Per_Unit]],0,0)</f>
        <v>27000</v>
      </c>
      <c r="I1674">
        <f>Food_Orders[[#This Row],[Client_Price]]-Food_Orders[[#This Row],[Cost]]</f>
        <v>4500</v>
      </c>
    </row>
    <row r="1675" spans="1:9" x14ac:dyDescent="0.25">
      <c r="A1675">
        <v>73</v>
      </c>
      <c r="B1675" t="s">
        <v>80</v>
      </c>
      <c r="C1675" t="s">
        <v>61</v>
      </c>
      <c r="D1675" t="s">
        <v>81</v>
      </c>
      <c r="E1675" t="s">
        <v>10</v>
      </c>
      <c r="F1675" cm="1">
        <f t="array" ref="F1675">_xlfn.XLOOKUP(Food_Orders[[#This Row],[Event_No]],Event_Master[[#All],[Event_No]],Event_Master[[#All],[Guest_Count]],,0)</f>
        <v>900</v>
      </c>
      <c r="G1675" cm="1">
        <f t="array" ref="G1675">Food_Orders[[#This Row],[Quantity_Orderd]]*_xlfn.XLOOKUP(Food_Orders[[#This Row],[Food_ID]],Food_Catalog[[#All],[Food_ID]],Food_Catalog[[#All],[Price_Per_Unit]],0,0)</f>
        <v>27000</v>
      </c>
      <c r="H1675" cm="1">
        <f t="array" ref="H1675">Food_Orders[[#This Row],[Quantity_Orderd]]*_xlfn.XLOOKUP(Food_Orders[[#This Row],[Food_ID]],Food_Catalog[[#All],[Food_ID]],Food_Catalog[[#All],[Client_Price_Per_Unit]],0,0)</f>
        <v>32400</v>
      </c>
      <c r="I1675">
        <f>Food_Orders[[#This Row],[Client_Price]]-Food_Orders[[#This Row],[Cost]]</f>
        <v>5400</v>
      </c>
    </row>
    <row r="1676" spans="1:9" x14ac:dyDescent="0.25">
      <c r="A1676">
        <v>73</v>
      </c>
      <c r="B1676" t="s">
        <v>73</v>
      </c>
      <c r="C1676" t="s">
        <v>61</v>
      </c>
      <c r="D1676" t="s">
        <v>74</v>
      </c>
      <c r="E1676" t="s">
        <v>10</v>
      </c>
      <c r="F1676" cm="1">
        <f t="array" ref="F1676">_xlfn.XLOOKUP(Food_Orders[[#This Row],[Event_No]],Event_Master[[#All],[Event_No]],Event_Master[[#All],[Guest_Count]],,0)</f>
        <v>900</v>
      </c>
      <c r="G1676" cm="1">
        <f t="array" ref="G1676">Food_Orders[[#This Row],[Quantity_Orderd]]*_xlfn.XLOOKUP(Food_Orders[[#This Row],[Food_ID]],Food_Catalog[[#All],[Food_ID]],Food_Catalog[[#All],[Price_Per_Unit]],0,0)</f>
        <v>36000</v>
      </c>
      <c r="H1676" cm="1">
        <f t="array" ref="H1676">Food_Orders[[#This Row],[Quantity_Orderd]]*_xlfn.XLOOKUP(Food_Orders[[#This Row],[Food_ID]],Food_Catalog[[#All],[Food_ID]],Food_Catalog[[#All],[Client_Price_Per_Unit]],0,0)</f>
        <v>43200</v>
      </c>
      <c r="I1676">
        <f>Food_Orders[[#This Row],[Client_Price]]-Food_Orders[[#This Row],[Cost]]</f>
        <v>7200</v>
      </c>
    </row>
    <row r="1677" spans="1:9" x14ac:dyDescent="0.25">
      <c r="A1677">
        <v>73</v>
      </c>
      <c r="B1677" t="s">
        <v>75</v>
      </c>
      <c r="C1677" t="s">
        <v>61</v>
      </c>
      <c r="D1677" t="s">
        <v>76</v>
      </c>
      <c r="E1677" t="s">
        <v>10</v>
      </c>
      <c r="F1677" cm="1">
        <f t="array" ref="F1677">_xlfn.XLOOKUP(Food_Orders[[#This Row],[Event_No]],Event_Master[[#All],[Event_No]],Event_Master[[#All],[Guest_Count]],,0)</f>
        <v>900</v>
      </c>
      <c r="G1677" cm="1">
        <f t="array" ref="G1677">Food_Orders[[#This Row],[Quantity_Orderd]]*_xlfn.XLOOKUP(Food_Orders[[#This Row],[Food_ID]],Food_Catalog[[#All],[Food_ID]],Food_Catalog[[#All],[Price_Per_Unit]],0,0)</f>
        <v>36000</v>
      </c>
      <c r="H1677" cm="1">
        <f t="array" ref="H1677">Food_Orders[[#This Row],[Quantity_Orderd]]*_xlfn.XLOOKUP(Food_Orders[[#This Row],[Food_ID]],Food_Catalog[[#All],[Food_ID]],Food_Catalog[[#All],[Client_Price_Per_Unit]],0,0)</f>
        <v>43200</v>
      </c>
      <c r="I1677">
        <f>Food_Orders[[#This Row],[Client_Price]]-Food_Orders[[#This Row],[Cost]]</f>
        <v>7200</v>
      </c>
    </row>
    <row r="1678" spans="1:9" x14ac:dyDescent="0.25">
      <c r="A1678">
        <v>73</v>
      </c>
      <c r="B1678" t="s">
        <v>69</v>
      </c>
      <c r="C1678" t="s">
        <v>61</v>
      </c>
      <c r="D1678" t="s">
        <v>70</v>
      </c>
      <c r="E1678" t="s">
        <v>10</v>
      </c>
      <c r="F1678" cm="1">
        <f t="array" ref="F1678">_xlfn.XLOOKUP(Food_Orders[[#This Row],[Event_No]],Event_Master[[#All],[Event_No]],Event_Master[[#All],[Guest_Count]],,0)</f>
        <v>900</v>
      </c>
      <c r="G1678" cm="1">
        <f t="array" ref="G1678">Food_Orders[[#This Row],[Quantity_Orderd]]*_xlfn.XLOOKUP(Food_Orders[[#This Row],[Food_ID]],Food_Catalog[[#All],[Food_ID]],Food_Catalog[[#All],[Price_Per_Unit]],0,0)</f>
        <v>45000</v>
      </c>
      <c r="H1678" cm="1">
        <f t="array" ref="H1678">Food_Orders[[#This Row],[Quantity_Orderd]]*_xlfn.XLOOKUP(Food_Orders[[#This Row],[Food_ID]],Food_Catalog[[#All],[Food_ID]],Food_Catalog[[#All],[Client_Price_Per_Unit]],0,0)</f>
        <v>54000</v>
      </c>
      <c r="I1678">
        <f>Food_Orders[[#This Row],[Client_Price]]-Food_Orders[[#This Row],[Cost]]</f>
        <v>9000</v>
      </c>
    </row>
    <row r="1679" spans="1:9" x14ac:dyDescent="0.25">
      <c r="A1679">
        <v>73</v>
      </c>
      <c r="B1679" t="s">
        <v>67</v>
      </c>
      <c r="C1679" t="s">
        <v>61</v>
      </c>
      <c r="D1679" t="s">
        <v>68</v>
      </c>
      <c r="E1679" t="s">
        <v>10</v>
      </c>
      <c r="F1679" cm="1">
        <f t="array" ref="F1679">_xlfn.XLOOKUP(Food_Orders[[#This Row],[Event_No]],Event_Master[[#All],[Event_No]],Event_Master[[#All],[Guest_Count]],,0)</f>
        <v>900</v>
      </c>
      <c r="G1679" cm="1">
        <f t="array" ref="G1679">Food_Orders[[#This Row],[Quantity_Orderd]]*_xlfn.XLOOKUP(Food_Orders[[#This Row],[Food_ID]],Food_Catalog[[#All],[Food_ID]],Food_Catalog[[#All],[Price_Per_Unit]],0,0)</f>
        <v>27000</v>
      </c>
      <c r="H1679" cm="1">
        <f t="array" ref="H1679">Food_Orders[[#This Row],[Quantity_Orderd]]*_xlfn.XLOOKUP(Food_Orders[[#This Row],[Food_ID]],Food_Catalog[[#All],[Food_ID]],Food_Catalog[[#All],[Client_Price_Per_Unit]],0,0)</f>
        <v>32400</v>
      </c>
      <c r="I1679">
        <f>Food_Orders[[#This Row],[Client_Price]]-Food_Orders[[#This Row],[Cost]]</f>
        <v>5400</v>
      </c>
    </row>
    <row r="1680" spans="1:9" x14ac:dyDescent="0.25">
      <c r="A1680">
        <v>73</v>
      </c>
      <c r="B1680" t="s">
        <v>77</v>
      </c>
      <c r="C1680" t="s">
        <v>61</v>
      </c>
      <c r="D1680" t="s">
        <v>78</v>
      </c>
      <c r="E1680" t="s">
        <v>79</v>
      </c>
      <c r="F1680" cm="1">
        <f t="array" ref="F1680">_xlfn.XLOOKUP(Food_Orders[[#This Row],[Event_No]],Event_Master[[#All],[Event_No]],Event_Master[[#All],[Guest_Count]],,0)</f>
        <v>900</v>
      </c>
      <c r="G1680" cm="1">
        <f t="array" ref="G1680">Food_Orders[[#This Row],[Quantity_Orderd]]*_xlfn.XLOOKUP(Food_Orders[[#This Row],[Food_ID]],Food_Catalog[[#All],[Food_ID]],Food_Catalog[[#All],[Price_Per_Unit]],0,0)</f>
        <v>31500</v>
      </c>
      <c r="H1680" cm="1">
        <f t="array" ref="H1680">Food_Orders[[#This Row],[Quantity_Orderd]]*_xlfn.XLOOKUP(Food_Orders[[#This Row],[Food_ID]],Food_Catalog[[#All],[Food_ID]],Food_Catalog[[#All],[Client_Price_Per_Unit]],0,0)</f>
        <v>37800</v>
      </c>
      <c r="I1680">
        <f>Food_Orders[[#This Row],[Client_Price]]-Food_Orders[[#This Row],[Cost]]</f>
        <v>6300</v>
      </c>
    </row>
    <row r="1681" spans="1:9" x14ac:dyDescent="0.25">
      <c r="A1681">
        <v>73</v>
      </c>
      <c r="B1681" t="s">
        <v>7</v>
      </c>
      <c r="C1681" t="s">
        <v>8</v>
      </c>
      <c r="D1681" t="s">
        <v>9</v>
      </c>
      <c r="E1681" t="s">
        <v>10</v>
      </c>
      <c r="F1681" cm="1">
        <f t="array" ref="F1681">_xlfn.XLOOKUP(Food_Orders[[#This Row],[Event_No]],Event_Master[[#All],[Event_No]],Event_Master[[#All],[Guest_Count]],,0)</f>
        <v>900</v>
      </c>
      <c r="G1681" cm="1">
        <f t="array" ref="G1681">Food_Orders[[#This Row],[Quantity_Orderd]]*_xlfn.XLOOKUP(Food_Orders[[#This Row],[Food_ID]],Food_Catalog[[#All],[Food_ID]],Food_Catalog[[#All],[Price_Per_Unit]],0,0)</f>
        <v>22500</v>
      </c>
      <c r="H1681" cm="1">
        <f t="array" ref="H1681">Food_Orders[[#This Row],[Quantity_Orderd]]*_xlfn.XLOOKUP(Food_Orders[[#This Row],[Food_ID]],Food_Catalog[[#All],[Food_ID]],Food_Catalog[[#All],[Client_Price_Per_Unit]],0,0)</f>
        <v>27000</v>
      </c>
      <c r="I1681">
        <f>Food_Orders[[#This Row],[Client_Price]]-Food_Orders[[#This Row],[Cost]]</f>
        <v>4500</v>
      </c>
    </row>
    <row r="1682" spans="1:9" x14ac:dyDescent="0.25">
      <c r="A1682">
        <v>73</v>
      </c>
      <c r="B1682" t="s">
        <v>13</v>
      </c>
      <c r="C1682" t="s">
        <v>8</v>
      </c>
      <c r="D1682" t="s">
        <v>14</v>
      </c>
      <c r="E1682" t="s">
        <v>10</v>
      </c>
      <c r="F1682" cm="1">
        <f t="array" ref="F1682">_xlfn.XLOOKUP(Food_Orders[[#This Row],[Event_No]],Event_Master[[#All],[Event_No]],Event_Master[[#All],[Guest_Count]],,0)</f>
        <v>900</v>
      </c>
      <c r="G1682" cm="1">
        <f t="array" ref="G1682">Food_Orders[[#This Row],[Quantity_Orderd]]*_xlfn.XLOOKUP(Food_Orders[[#This Row],[Food_ID]],Food_Catalog[[#All],[Food_ID]],Food_Catalog[[#All],[Price_Per_Unit]],0,0)</f>
        <v>31500</v>
      </c>
      <c r="H1682" cm="1">
        <f t="array" ref="H1682">Food_Orders[[#This Row],[Quantity_Orderd]]*_xlfn.XLOOKUP(Food_Orders[[#This Row],[Food_ID]],Food_Catalog[[#All],[Food_ID]],Food_Catalog[[#All],[Client_Price_Per_Unit]],0,0)</f>
        <v>37800</v>
      </c>
      <c r="I1682">
        <f>Food_Orders[[#This Row],[Client_Price]]-Food_Orders[[#This Row],[Cost]]</f>
        <v>6300</v>
      </c>
    </row>
    <row r="1683" spans="1:9" x14ac:dyDescent="0.25">
      <c r="A1683">
        <v>73</v>
      </c>
      <c r="B1683" t="s">
        <v>25</v>
      </c>
      <c r="C1683" t="s">
        <v>8</v>
      </c>
      <c r="D1683" t="s">
        <v>26</v>
      </c>
      <c r="E1683" t="s">
        <v>10</v>
      </c>
      <c r="F1683" cm="1">
        <f t="array" ref="F1683">_xlfn.XLOOKUP(Food_Orders[[#This Row],[Event_No]],Event_Master[[#All],[Event_No]],Event_Master[[#All],[Guest_Count]],,0)</f>
        <v>900</v>
      </c>
      <c r="G1683" cm="1">
        <f t="array" ref="G1683">Food_Orders[[#This Row],[Quantity_Orderd]]*_xlfn.XLOOKUP(Food_Orders[[#This Row],[Food_ID]],Food_Catalog[[#All],[Food_ID]],Food_Catalog[[#All],[Price_Per_Unit]],0,0)</f>
        <v>27000</v>
      </c>
      <c r="H1683" cm="1">
        <f t="array" ref="H1683">Food_Orders[[#This Row],[Quantity_Orderd]]*_xlfn.XLOOKUP(Food_Orders[[#This Row],[Food_ID]],Food_Catalog[[#All],[Food_ID]],Food_Catalog[[#All],[Client_Price_Per_Unit]],0,0)</f>
        <v>32400</v>
      </c>
      <c r="I1683">
        <f>Food_Orders[[#This Row],[Client_Price]]-Food_Orders[[#This Row],[Cost]]</f>
        <v>5400</v>
      </c>
    </row>
    <row r="1684" spans="1:9" x14ac:dyDescent="0.25">
      <c r="A1684">
        <v>73</v>
      </c>
      <c r="B1684" t="s">
        <v>15</v>
      </c>
      <c r="C1684" t="s">
        <v>8</v>
      </c>
      <c r="D1684" t="s">
        <v>16</v>
      </c>
      <c r="E1684" t="s">
        <v>10</v>
      </c>
      <c r="F1684" cm="1">
        <f t="array" ref="F1684">_xlfn.XLOOKUP(Food_Orders[[#This Row],[Event_No]],Event_Master[[#All],[Event_No]],Event_Master[[#All],[Guest_Count]],,0)</f>
        <v>900</v>
      </c>
      <c r="G1684" cm="1">
        <f t="array" ref="G1684">Food_Orders[[#This Row],[Quantity_Orderd]]*_xlfn.XLOOKUP(Food_Orders[[#This Row],[Food_ID]],Food_Catalog[[#All],[Food_ID]],Food_Catalog[[#All],[Price_Per_Unit]],0,0)</f>
        <v>27000</v>
      </c>
      <c r="H1684" cm="1">
        <f t="array" ref="H1684">Food_Orders[[#This Row],[Quantity_Orderd]]*_xlfn.XLOOKUP(Food_Orders[[#This Row],[Food_ID]],Food_Catalog[[#All],[Food_ID]],Food_Catalog[[#All],[Client_Price_Per_Unit]],0,0)</f>
        <v>32400</v>
      </c>
      <c r="I1684">
        <f>Food_Orders[[#This Row],[Client_Price]]-Food_Orders[[#This Row],[Cost]]</f>
        <v>5400</v>
      </c>
    </row>
    <row r="1685" spans="1:9" x14ac:dyDescent="0.25">
      <c r="A1685">
        <v>73</v>
      </c>
      <c r="B1685" t="s">
        <v>35</v>
      </c>
      <c r="C1685" t="s">
        <v>8</v>
      </c>
      <c r="D1685" t="s">
        <v>36</v>
      </c>
      <c r="E1685" t="s">
        <v>10</v>
      </c>
      <c r="F1685" cm="1">
        <f t="array" ref="F1685">_xlfn.XLOOKUP(Food_Orders[[#This Row],[Event_No]],Event_Master[[#All],[Event_No]],Event_Master[[#All],[Guest_Count]],,0)</f>
        <v>900</v>
      </c>
      <c r="G1685" cm="1">
        <f t="array" ref="G1685">Food_Orders[[#This Row],[Quantity_Orderd]]*_xlfn.XLOOKUP(Food_Orders[[#This Row],[Food_ID]],Food_Catalog[[#All],[Food_ID]],Food_Catalog[[#All],[Price_Per_Unit]],0,0)</f>
        <v>27000</v>
      </c>
      <c r="H1685" cm="1">
        <f t="array" ref="H1685">Food_Orders[[#This Row],[Quantity_Orderd]]*_xlfn.XLOOKUP(Food_Orders[[#This Row],[Food_ID]],Food_Catalog[[#All],[Food_ID]],Food_Catalog[[#All],[Client_Price_Per_Unit]],0,0)</f>
        <v>32400</v>
      </c>
      <c r="I1685">
        <f>Food_Orders[[#This Row],[Client_Price]]-Food_Orders[[#This Row],[Cost]]</f>
        <v>5400</v>
      </c>
    </row>
    <row r="1686" spans="1:9" x14ac:dyDescent="0.25">
      <c r="A1686">
        <v>73</v>
      </c>
      <c r="B1686" t="s">
        <v>27</v>
      </c>
      <c r="C1686" t="s">
        <v>8</v>
      </c>
      <c r="D1686" t="s">
        <v>28</v>
      </c>
      <c r="E1686" t="s">
        <v>10</v>
      </c>
      <c r="F1686" cm="1">
        <f t="array" ref="F1686">_xlfn.XLOOKUP(Food_Orders[[#This Row],[Event_No]],Event_Master[[#All],[Event_No]],Event_Master[[#All],[Guest_Count]],,0)</f>
        <v>900</v>
      </c>
      <c r="G1686" cm="1">
        <f t="array" ref="G1686">Food_Orders[[#This Row],[Quantity_Orderd]]*_xlfn.XLOOKUP(Food_Orders[[#This Row],[Food_ID]],Food_Catalog[[#All],[Food_ID]],Food_Catalog[[#All],[Price_Per_Unit]],0,0)</f>
        <v>36000</v>
      </c>
      <c r="H1686" cm="1">
        <f t="array" ref="H1686">Food_Orders[[#This Row],[Quantity_Orderd]]*_xlfn.XLOOKUP(Food_Orders[[#This Row],[Food_ID]],Food_Catalog[[#All],[Food_ID]],Food_Catalog[[#All],[Client_Price_Per_Unit]],0,0)</f>
        <v>43200</v>
      </c>
      <c r="I1686">
        <f>Food_Orders[[#This Row],[Client_Price]]-Food_Orders[[#This Row],[Cost]]</f>
        <v>7200</v>
      </c>
    </row>
    <row r="1687" spans="1:9" x14ac:dyDescent="0.25">
      <c r="A1687">
        <v>73</v>
      </c>
      <c r="B1687" t="s">
        <v>31</v>
      </c>
      <c r="C1687" t="s">
        <v>8</v>
      </c>
      <c r="D1687" t="s">
        <v>32</v>
      </c>
      <c r="E1687" t="s">
        <v>10</v>
      </c>
      <c r="F1687" cm="1">
        <f t="array" ref="F1687">_xlfn.XLOOKUP(Food_Orders[[#This Row],[Event_No]],Event_Master[[#All],[Event_No]],Event_Master[[#All],[Guest_Count]],,0)</f>
        <v>900</v>
      </c>
      <c r="G1687" cm="1">
        <f t="array" ref="G1687">Food_Orders[[#This Row],[Quantity_Orderd]]*_xlfn.XLOOKUP(Food_Orders[[#This Row],[Food_ID]],Food_Catalog[[#All],[Food_ID]],Food_Catalog[[#All],[Price_Per_Unit]],0,0)</f>
        <v>27000</v>
      </c>
      <c r="H1687" cm="1">
        <f t="array" ref="H1687">Food_Orders[[#This Row],[Quantity_Orderd]]*_xlfn.XLOOKUP(Food_Orders[[#This Row],[Food_ID]],Food_Catalog[[#All],[Food_ID]],Food_Catalog[[#All],[Client_Price_Per_Unit]],0,0)</f>
        <v>32400</v>
      </c>
      <c r="I1687">
        <f>Food_Orders[[#This Row],[Client_Price]]-Food_Orders[[#This Row],[Cost]]</f>
        <v>5400</v>
      </c>
    </row>
    <row r="1688" spans="1:9" x14ac:dyDescent="0.25">
      <c r="A1688">
        <v>73</v>
      </c>
      <c r="B1688" t="s">
        <v>33</v>
      </c>
      <c r="C1688" t="s">
        <v>8</v>
      </c>
      <c r="D1688" t="s">
        <v>34</v>
      </c>
      <c r="E1688" t="s">
        <v>10</v>
      </c>
      <c r="F1688" cm="1">
        <f t="array" ref="F1688">_xlfn.XLOOKUP(Food_Orders[[#This Row],[Event_No]],Event_Master[[#All],[Event_No]],Event_Master[[#All],[Guest_Count]],,0)</f>
        <v>900</v>
      </c>
      <c r="G1688" cm="1">
        <f t="array" ref="G1688">Food_Orders[[#This Row],[Quantity_Orderd]]*_xlfn.XLOOKUP(Food_Orders[[#This Row],[Food_ID]],Food_Catalog[[#All],[Food_ID]],Food_Catalog[[#All],[Price_Per_Unit]],0,0)</f>
        <v>27000</v>
      </c>
      <c r="H1688" cm="1">
        <f t="array" ref="H1688">Food_Orders[[#This Row],[Quantity_Orderd]]*_xlfn.XLOOKUP(Food_Orders[[#This Row],[Food_ID]],Food_Catalog[[#All],[Food_ID]],Food_Catalog[[#All],[Client_Price_Per_Unit]],0,0)</f>
        <v>32400</v>
      </c>
      <c r="I1688">
        <f>Food_Orders[[#This Row],[Client_Price]]-Food_Orders[[#This Row],[Cost]]</f>
        <v>5400</v>
      </c>
    </row>
    <row r="1689" spans="1:9" x14ac:dyDescent="0.25">
      <c r="A1689">
        <v>73</v>
      </c>
      <c r="B1689" t="s">
        <v>17</v>
      </c>
      <c r="C1689" t="s">
        <v>8</v>
      </c>
      <c r="D1689" t="s">
        <v>18</v>
      </c>
      <c r="E1689" t="s">
        <v>10</v>
      </c>
      <c r="F1689" cm="1">
        <f t="array" ref="F1689">_xlfn.XLOOKUP(Food_Orders[[#This Row],[Event_No]],Event_Master[[#All],[Event_No]],Event_Master[[#All],[Guest_Count]],,0)</f>
        <v>900</v>
      </c>
      <c r="G1689" cm="1">
        <f t="array" ref="G1689">Food_Orders[[#This Row],[Quantity_Orderd]]*_xlfn.XLOOKUP(Food_Orders[[#This Row],[Food_ID]],Food_Catalog[[#All],[Food_ID]],Food_Catalog[[#All],[Price_Per_Unit]],0,0)</f>
        <v>36000</v>
      </c>
      <c r="H1689" cm="1">
        <f t="array" ref="H1689">Food_Orders[[#This Row],[Quantity_Orderd]]*_xlfn.XLOOKUP(Food_Orders[[#This Row],[Food_ID]],Food_Catalog[[#All],[Food_ID]],Food_Catalog[[#All],[Client_Price_Per_Unit]],0,0)</f>
        <v>43200</v>
      </c>
      <c r="I1689">
        <f>Food_Orders[[#This Row],[Client_Price]]-Food_Orders[[#This Row],[Cost]]</f>
        <v>7200</v>
      </c>
    </row>
    <row r="1690" spans="1:9" x14ac:dyDescent="0.25">
      <c r="A1690">
        <v>73</v>
      </c>
      <c r="B1690" t="s">
        <v>21</v>
      </c>
      <c r="C1690" t="s">
        <v>8</v>
      </c>
      <c r="D1690" t="s">
        <v>22</v>
      </c>
      <c r="E1690" t="s">
        <v>10</v>
      </c>
      <c r="F1690" cm="1">
        <f t="array" ref="F1690">_xlfn.XLOOKUP(Food_Orders[[#This Row],[Event_No]],Event_Master[[#All],[Event_No]],Event_Master[[#All],[Guest_Count]],,0)</f>
        <v>900</v>
      </c>
      <c r="G1690" cm="1">
        <f t="array" ref="G1690">Food_Orders[[#This Row],[Quantity_Orderd]]*_xlfn.XLOOKUP(Food_Orders[[#This Row],[Food_ID]],Food_Catalog[[#All],[Food_ID]],Food_Catalog[[#All],[Price_Per_Unit]],0,0)</f>
        <v>31500</v>
      </c>
      <c r="H1690" cm="1">
        <f t="array" ref="H1690">Food_Orders[[#This Row],[Quantity_Orderd]]*_xlfn.XLOOKUP(Food_Orders[[#This Row],[Food_ID]],Food_Catalog[[#All],[Food_ID]],Food_Catalog[[#All],[Client_Price_Per_Unit]],0,0)</f>
        <v>37800</v>
      </c>
      <c r="I1690">
        <f>Food_Orders[[#This Row],[Client_Price]]-Food_Orders[[#This Row],[Cost]]</f>
        <v>6300</v>
      </c>
    </row>
    <row r="1691" spans="1:9" x14ac:dyDescent="0.25">
      <c r="A1691">
        <v>73</v>
      </c>
      <c r="B1691" t="s">
        <v>19</v>
      </c>
      <c r="C1691" t="s">
        <v>8</v>
      </c>
      <c r="D1691" t="s">
        <v>20</v>
      </c>
      <c r="E1691" t="s">
        <v>10</v>
      </c>
      <c r="F1691" cm="1">
        <f t="array" ref="F1691">_xlfn.XLOOKUP(Food_Orders[[#This Row],[Event_No]],Event_Master[[#All],[Event_No]],Event_Master[[#All],[Guest_Count]],,0)</f>
        <v>900</v>
      </c>
      <c r="G1691" cm="1">
        <f t="array" ref="G1691">Food_Orders[[#This Row],[Quantity_Orderd]]*_xlfn.XLOOKUP(Food_Orders[[#This Row],[Food_ID]],Food_Catalog[[#All],[Food_ID]],Food_Catalog[[#All],[Price_Per_Unit]],0,0)</f>
        <v>31500</v>
      </c>
      <c r="H1691" cm="1">
        <f t="array" ref="H1691">Food_Orders[[#This Row],[Quantity_Orderd]]*_xlfn.XLOOKUP(Food_Orders[[#This Row],[Food_ID]],Food_Catalog[[#All],[Food_ID]],Food_Catalog[[#All],[Client_Price_Per_Unit]],0,0)</f>
        <v>37800</v>
      </c>
      <c r="I1691">
        <f>Food_Orders[[#This Row],[Client_Price]]-Food_Orders[[#This Row],[Cost]]</f>
        <v>6300</v>
      </c>
    </row>
    <row r="1692" spans="1:9" x14ac:dyDescent="0.25">
      <c r="A1692">
        <v>73</v>
      </c>
      <c r="B1692" t="s">
        <v>29</v>
      </c>
      <c r="C1692" t="s">
        <v>8</v>
      </c>
      <c r="D1692" t="s">
        <v>30</v>
      </c>
      <c r="E1692" t="s">
        <v>10</v>
      </c>
      <c r="F1692" cm="1">
        <f t="array" ref="F1692">_xlfn.XLOOKUP(Food_Orders[[#This Row],[Event_No]],Event_Master[[#All],[Event_No]],Event_Master[[#All],[Guest_Count]],,0)</f>
        <v>900</v>
      </c>
      <c r="G1692" cm="1">
        <f t="array" ref="G1692">Food_Orders[[#This Row],[Quantity_Orderd]]*_xlfn.XLOOKUP(Food_Orders[[#This Row],[Food_ID]],Food_Catalog[[#All],[Food_ID]],Food_Catalog[[#All],[Price_Per_Unit]],0,0)</f>
        <v>27000</v>
      </c>
      <c r="H1692" cm="1">
        <f t="array" ref="H1692">Food_Orders[[#This Row],[Quantity_Orderd]]*_xlfn.XLOOKUP(Food_Orders[[#This Row],[Food_ID]],Food_Catalog[[#All],[Food_ID]],Food_Catalog[[#All],[Client_Price_Per_Unit]],0,0)</f>
        <v>32400</v>
      </c>
      <c r="I1692">
        <f>Food_Orders[[#This Row],[Client_Price]]-Food_Orders[[#This Row],[Cost]]</f>
        <v>5400</v>
      </c>
    </row>
    <row r="1693" spans="1:9" x14ac:dyDescent="0.25">
      <c r="A1693">
        <v>73</v>
      </c>
      <c r="B1693" t="s">
        <v>37</v>
      </c>
      <c r="C1693" t="s">
        <v>8</v>
      </c>
      <c r="D1693" t="s">
        <v>38</v>
      </c>
      <c r="E1693" t="s">
        <v>10</v>
      </c>
      <c r="F1693" cm="1">
        <f t="array" ref="F1693">_xlfn.XLOOKUP(Food_Orders[[#This Row],[Event_No]],Event_Master[[#All],[Event_No]],Event_Master[[#All],[Guest_Count]],,0)</f>
        <v>900</v>
      </c>
      <c r="G1693" cm="1">
        <f t="array" ref="G1693">Food_Orders[[#This Row],[Quantity_Orderd]]*_xlfn.XLOOKUP(Food_Orders[[#This Row],[Food_ID]],Food_Catalog[[#All],[Food_ID]],Food_Catalog[[#All],[Price_Per_Unit]],0,0)</f>
        <v>22500</v>
      </c>
      <c r="H1693" cm="1">
        <f t="array" ref="H1693">Food_Orders[[#This Row],[Quantity_Orderd]]*_xlfn.XLOOKUP(Food_Orders[[#This Row],[Food_ID]],Food_Catalog[[#All],[Food_ID]],Food_Catalog[[#All],[Client_Price_Per_Unit]],0,0)</f>
        <v>27000</v>
      </c>
      <c r="I1693">
        <f>Food_Orders[[#This Row],[Client_Price]]-Food_Orders[[#This Row],[Cost]]</f>
        <v>4500</v>
      </c>
    </row>
    <row r="1694" spans="1:9" x14ac:dyDescent="0.25">
      <c r="A1694">
        <v>73</v>
      </c>
      <c r="B1694" t="s">
        <v>39</v>
      </c>
      <c r="C1694" t="s">
        <v>40</v>
      </c>
      <c r="D1694" t="s">
        <v>41</v>
      </c>
      <c r="E1694" t="s">
        <v>10</v>
      </c>
      <c r="F1694" cm="1">
        <f t="array" ref="F1694">_xlfn.XLOOKUP(Food_Orders[[#This Row],[Event_No]],Event_Master[[#All],[Event_No]],Event_Master[[#All],[Guest_Count]],,0)</f>
        <v>900</v>
      </c>
      <c r="G1694" cm="1">
        <f t="array" ref="G1694">Food_Orders[[#This Row],[Quantity_Orderd]]*_xlfn.XLOOKUP(Food_Orders[[#This Row],[Food_ID]],Food_Catalog[[#All],[Food_ID]],Food_Catalog[[#All],[Price_Per_Unit]],0,0)</f>
        <v>54000</v>
      </c>
      <c r="H1694" cm="1">
        <f t="array" ref="H1694">Food_Orders[[#This Row],[Quantity_Orderd]]*_xlfn.XLOOKUP(Food_Orders[[#This Row],[Food_ID]],Food_Catalog[[#All],[Food_ID]],Food_Catalog[[#All],[Client_Price_Per_Unit]],0,0)</f>
        <v>64800</v>
      </c>
      <c r="I1694">
        <f>Food_Orders[[#This Row],[Client_Price]]-Food_Orders[[#This Row],[Cost]]</f>
        <v>10800</v>
      </c>
    </row>
    <row r="1695" spans="1:9" x14ac:dyDescent="0.25">
      <c r="A1695">
        <v>73</v>
      </c>
      <c r="B1695" t="s">
        <v>42</v>
      </c>
      <c r="C1695" t="s">
        <v>40</v>
      </c>
      <c r="D1695" t="s">
        <v>43</v>
      </c>
      <c r="E1695" t="s">
        <v>10</v>
      </c>
      <c r="F1695" cm="1">
        <f t="array" ref="F1695">_xlfn.XLOOKUP(Food_Orders[[#This Row],[Event_No]],Event_Master[[#All],[Event_No]],Event_Master[[#All],[Guest_Count]],,0)</f>
        <v>900</v>
      </c>
      <c r="G1695" cm="1">
        <f t="array" ref="G1695">Food_Orders[[#This Row],[Quantity_Orderd]]*_xlfn.XLOOKUP(Food_Orders[[#This Row],[Food_ID]],Food_Catalog[[#All],[Food_ID]],Food_Catalog[[#All],[Price_Per_Unit]],0,0)</f>
        <v>63000</v>
      </c>
      <c r="H1695" cm="1">
        <f t="array" ref="H1695">Food_Orders[[#This Row],[Quantity_Orderd]]*_xlfn.XLOOKUP(Food_Orders[[#This Row],[Food_ID]],Food_Catalog[[#All],[Food_ID]],Food_Catalog[[#All],[Client_Price_Per_Unit]],0,0)</f>
        <v>75600</v>
      </c>
      <c r="I1695">
        <f>Food_Orders[[#This Row],[Client_Price]]-Food_Orders[[#This Row],[Cost]]</f>
        <v>12600</v>
      </c>
    </row>
    <row r="1696" spans="1:9" x14ac:dyDescent="0.25">
      <c r="A1696">
        <v>73</v>
      </c>
      <c r="B1696" t="s">
        <v>46</v>
      </c>
      <c r="C1696" t="s">
        <v>40</v>
      </c>
      <c r="D1696" t="s">
        <v>47</v>
      </c>
      <c r="E1696" t="s">
        <v>10</v>
      </c>
      <c r="F1696" cm="1">
        <f t="array" ref="F1696">_xlfn.XLOOKUP(Food_Orders[[#This Row],[Event_No]],Event_Master[[#All],[Event_No]],Event_Master[[#All],[Guest_Count]],,0)</f>
        <v>900</v>
      </c>
      <c r="G1696" cm="1">
        <f t="array" ref="G1696">Food_Orders[[#This Row],[Quantity_Orderd]]*_xlfn.XLOOKUP(Food_Orders[[#This Row],[Food_ID]],Food_Catalog[[#All],[Food_ID]],Food_Catalog[[#All],[Price_Per_Unit]],0,0)</f>
        <v>81000</v>
      </c>
      <c r="H1696" cm="1">
        <f t="array" ref="H1696">Food_Orders[[#This Row],[Quantity_Orderd]]*_xlfn.XLOOKUP(Food_Orders[[#This Row],[Food_ID]],Food_Catalog[[#All],[Food_ID]],Food_Catalog[[#All],[Client_Price_Per_Unit]],0,0)</f>
        <v>97200</v>
      </c>
      <c r="I1696">
        <f>Food_Orders[[#This Row],[Client_Price]]-Food_Orders[[#This Row],[Cost]]</f>
        <v>16200</v>
      </c>
    </row>
    <row r="1697" spans="1:9" x14ac:dyDescent="0.25">
      <c r="A1697">
        <v>73</v>
      </c>
      <c r="B1697" t="s">
        <v>48</v>
      </c>
      <c r="C1697" t="s">
        <v>40</v>
      </c>
      <c r="D1697" t="s">
        <v>49</v>
      </c>
      <c r="E1697" t="s">
        <v>10</v>
      </c>
      <c r="F1697" cm="1">
        <f t="array" ref="F1697">_xlfn.XLOOKUP(Food_Orders[[#This Row],[Event_No]],Event_Master[[#All],[Event_No]],Event_Master[[#All],[Guest_Count]],,0)</f>
        <v>900</v>
      </c>
      <c r="G1697" cm="1">
        <f t="array" ref="G1697">Food_Orders[[#This Row],[Quantity_Orderd]]*_xlfn.XLOOKUP(Food_Orders[[#This Row],[Food_ID]],Food_Catalog[[#All],[Food_ID]],Food_Catalog[[#All],[Price_Per_Unit]],0,0)</f>
        <v>90000</v>
      </c>
      <c r="H1697" cm="1">
        <f t="array" ref="H1697">Food_Orders[[#This Row],[Quantity_Orderd]]*_xlfn.XLOOKUP(Food_Orders[[#This Row],[Food_ID]],Food_Catalog[[#All],[Food_ID]],Food_Catalog[[#All],[Client_Price_Per_Unit]],0,0)</f>
        <v>108000</v>
      </c>
      <c r="I1697">
        <f>Food_Orders[[#This Row],[Client_Price]]-Food_Orders[[#This Row],[Cost]]</f>
        <v>18000</v>
      </c>
    </row>
    <row r="1698" spans="1:9" x14ac:dyDescent="0.25">
      <c r="A1698">
        <v>73</v>
      </c>
      <c r="B1698" t="s">
        <v>50</v>
      </c>
      <c r="C1698" t="s">
        <v>40</v>
      </c>
      <c r="D1698" t="s">
        <v>51</v>
      </c>
      <c r="E1698" t="s">
        <v>10</v>
      </c>
      <c r="F1698" cm="1">
        <f t="array" ref="F1698">_xlfn.XLOOKUP(Food_Orders[[#This Row],[Event_No]],Event_Master[[#All],[Event_No]],Event_Master[[#All],[Guest_Count]],,0)</f>
        <v>900</v>
      </c>
      <c r="G1698" cm="1">
        <f t="array" ref="G1698">Food_Orders[[#This Row],[Quantity_Orderd]]*_xlfn.XLOOKUP(Food_Orders[[#This Row],[Food_ID]],Food_Catalog[[#All],[Food_ID]],Food_Catalog[[#All],[Price_Per_Unit]],0,0)</f>
        <v>72000</v>
      </c>
      <c r="H1698" cm="1">
        <f t="array" ref="H1698">Food_Orders[[#This Row],[Quantity_Orderd]]*_xlfn.XLOOKUP(Food_Orders[[#This Row],[Food_ID]],Food_Catalog[[#All],[Food_ID]],Food_Catalog[[#All],[Client_Price_Per_Unit]],0,0)</f>
        <v>86400</v>
      </c>
      <c r="I1698">
        <f>Food_Orders[[#This Row],[Client_Price]]-Food_Orders[[#This Row],[Cost]]</f>
        <v>14400</v>
      </c>
    </row>
    <row r="1699" spans="1:9" x14ac:dyDescent="0.25">
      <c r="A1699">
        <v>73</v>
      </c>
      <c r="B1699" t="s">
        <v>52</v>
      </c>
      <c r="C1699" t="s">
        <v>40</v>
      </c>
      <c r="D1699" t="s">
        <v>53</v>
      </c>
      <c r="E1699" t="s">
        <v>10</v>
      </c>
      <c r="F1699" cm="1">
        <f t="array" ref="F1699">_xlfn.XLOOKUP(Food_Orders[[#This Row],[Event_No]],Event_Master[[#All],[Event_No]],Event_Master[[#All],[Guest_Count]],,0)</f>
        <v>900</v>
      </c>
      <c r="G1699" cm="1">
        <f t="array" ref="G1699">Food_Orders[[#This Row],[Quantity_Orderd]]*_xlfn.XLOOKUP(Food_Orders[[#This Row],[Food_ID]],Food_Catalog[[#All],[Food_ID]],Food_Catalog[[#All],[Price_Per_Unit]],0,0)</f>
        <v>90000</v>
      </c>
      <c r="H1699" cm="1">
        <f t="array" ref="H1699">Food_Orders[[#This Row],[Quantity_Orderd]]*_xlfn.XLOOKUP(Food_Orders[[#This Row],[Food_ID]],Food_Catalog[[#All],[Food_ID]],Food_Catalog[[#All],[Client_Price_Per_Unit]],0,0)</f>
        <v>108000</v>
      </c>
      <c r="I1699">
        <f>Food_Orders[[#This Row],[Client_Price]]-Food_Orders[[#This Row],[Cost]]</f>
        <v>18000</v>
      </c>
    </row>
    <row r="1700" spans="1:9" x14ac:dyDescent="0.25">
      <c r="A1700">
        <v>73</v>
      </c>
      <c r="B1700" t="s">
        <v>54</v>
      </c>
      <c r="C1700" t="s">
        <v>40</v>
      </c>
      <c r="D1700" t="s">
        <v>55</v>
      </c>
      <c r="E1700" t="s">
        <v>10</v>
      </c>
      <c r="F1700" cm="1">
        <f t="array" ref="F1700">_xlfn.XLOOKUP(Food_Orders[[#This Row],[Event_No]],Event_Master[[#All],[Event_No]],Event_Master[[#All],[Guest_Count]],,0)</f>
        <v>900</v>
      </c>
      <c r="G1700" cm="1">
        <f t="array" ref="G1700">Food_Orders[[#This Row],[Quantity_Orderd]]*_xlfn.XLOOKUP(Food_Orders[[#This Row],[Food_ID]],Food_Catalog[[#All],[Food_ID]],Food_Catalog[[#All],[Price_Per_Unit]],0,0)</f>
        <v>36000</v>
      </c>
      <c r="H1700" cm="1">
        <f t="array" ref="H1700">Food_Orders[[#This Row],[Quantity_Orderd]]*_xlfn.XLOOKUP(Food_Orders[[#This Row],[Food_ID]],Food_Catalog[[#All],[Food_ID]],Food_Catalog[[#All],[Client_Price_Per_Unit]],0,0)</f>
        <v>43200</v>
      </c>
      <c r="I1700">
        <f>Food_Orders[[#This Row],[Client_Price]]-Food_Orders[[#This Row],[Cost]]</f>
        <v>7200</v>
      </c>
    </row>
    <row r="1701" spans="1:9" x14ac:dyDescent="0.25">
      <c r="A1701">
        <v>73</v>
      </c>
      <c r="B1701" t="s">
        <v>58</v>
      </c>
      <c r="C1701" t="s">
        <v>40</v>
      </c>
      <c r="D1701" t="s">
        <v>59</v>
      </c>
      <c r="E1701" t="s">
        <v>10</v>
      </c>
      <c r="F1701" cm="1">
        <f t="array" ref="F1701">_xlfn.XLOOKUP(Food_Orders[[#This Row],[Event_No]],Event_Master[[#All],[Event_No]],Event_Master[[#All],[Guest_Count]],,0)</f>
        <v>900</v>
      </c>
      <c r="G1701" cm="1">
        <f t="array" ref="G1701">Food_Orders[[#This Row],[Quantity_Orderd]]*_xlfn.XLOOKUP(Food_Orders[[#This Row],[Food_ID]],Food_Catalog[[#All],[Food_ID]],Food_Catalog[[#All],[Price_Per_Unit]],0,0)</f>
        <v>81000</v>
      </c>
      <c r="H1701" cm="1">
        <f t="array" ref="H1701">Food_Orders[[#This Row],[Quantity_Orderd]]*_xlfn.XLOOKUP(Food_Orders[[#This Row],[Food_ID]],Food_Catalog[[#All],[Food_ID]],Food_Catalog[[#All],[Client_Price_Per_Unit]],0,0)</f>
        <v>97200</v>
      </c>
      <c r="I1701">
        <f>Food_Orders[[#This Row],[Client_Price]]-Food_Orders[[#This Row],[Cost]]</f>
        <v>16200</v>
      </c>
    </row>
    <row r="1702" spans="1:9" x14ac:dyDescent="0.25">
      <c r="A1702">
        <v>73</v>
      </c>
      <c r="B1702" t="s">
        <v>82</v>
      </c>
      <c r="C1702" t="s">
        <v>83</v>
      </c>
      <c r="D1702" t="s">
        <v>84</v>
      </c>
      <c r="E1702" t="s">
        <v>85</v>
      </c>
      <c r="F1702" cm="1">
        <f t="array" ref="F1702">_xlfn.XLOOKUP(Food_Orders[[#This Row],[Event_No]],Event_Master[[#All],[Event_No]],Event_Master[[#All],[Guest_Count]],,0)</f>
        <v>900</v>
      </c>
      <c r="G1702" cm="1">
        <f t="array" ref="G1702">Food_Orders[[#This Row],[Quantity_Orderd]]*_xlfn.XLOOKUP(Food_Orders[[#This Row],[Food_ID]],Food_Catalog[[#All],[Food_ID]],Food_Catalog[[#All],[Price_Per_Unit]],0,0)</f>
        <v>18000</v>
      </c>
      <c r="H1702" cm="1">
        <f t="array" ref="H1702">Food_Orders[[#This Row],[Quantity_Orderd]]*_xlfn.XLOOKUP(Food_Orders[[#This Row],[Food_ID]],Food_Catalog[[#All],[Food_ID]],Food_Catalog[[#All],[Client_Price_Per_Unit]],0,0)</f>
        <v>21600</v>
      </c>
      <c r="I1702">
        <f>Food_Orders[[#This Row],[Client_Price]]-Food_Orders[[#This Row],[Cost]]</f>
        <v>3600</v>
      </c>
    </row>
    <row r="1703" spans="1:9" x14ac:dyDescent="0.25">
      <c r="A1703">
        <v>73</v>
      </c>
      <c r="B1703" t="s">
        <v>86</v>
      </c>
      <c r="C1703" t="s">
        <v>83</v>
      </c>
      <c r="D1703" t="s">
        <v>87</v>
      </c>
      <c r="E1703" t="s">
        <v>85</v>
      </c>
      <c r="F1703" cm="1">
        <f t="array" ref="F1703">_xlfn.XLOOKUP(Food_Orders[[#This Row],[Event_No]],Event_Master[[#All],[Event_No]],Event_Master[[#All],[Guest_Count]],,0)</f>
        <v>900</v>
      </c>
      <c r="G1703" cm="1">
        <f t="array" ref="G1703">Food_Orders[[#This Row],[Quantity_Orderd]]*_xlfn.XLOOKUP(Food_Orders[[#This Row],[Food_ID]],Food_Catalog[[#All],[Food_ID]],Food_Catalog[[#All],[Price_Per_Unit]],0,0)</f>
        <v>18000</v>
      </c>
      <c r="H1703" cm="1">
        <f t="array" ref="H1703">Food_Orders[[#This Row],[Quantity_Orderd]]*_xlfn.XLOOKUP(Food_Orders[[#This Row],[Food_ID]],Food_Catalog[[#All],[Food_ID]],Food_Catalog[[#All],[Client_Price_Per_Unit]],0,0)</f>
        <v>21600</v>
      </c>
      <c r="I1703">
        <f>Food_Orders[[#This Row],[Client_Price]]-Food_Orders[[#This Row],[Cost]]</f>
        <v>3600</v>
      </c>
    </row>
    <row r="1704" spans="1:9" x14ac:dyDescent="0.25">
      <c r="A1704">
        <v>73</v>
      </c>
      <c r="B1704" t="s">
        <v>88</v>
      </c>
      <c r="C1704" t="s">
        <v>83</v>
      </c>
      <c r="D1704" t="s">
        <v>89</v>
      </c>
      <c r="E1704" t="s">
        <v>85</v>
      </c>
      <c r="F1704" cm="1">
        <f t="array" ref="F1704">_xlfn.XLOOKUP(Food_Orders[[#This Row],[Event_No]],Event_Master[[#All],[Event_No]],Event_Master[[#All],[Guest_Count]],,0)</f>
        <v>900</v>
      </c>
      <c r="G1704" cm="1">
        <f t="array" ref="G1704">Food_Orders[[#This Row],[Quantity_Orderd]]*_xlfn.XLOOKUP(Food_Orders[[#This Row],[Food_ID]],Food_Catalog[[#All],[Food_ID]],Food_Catalog[[#All],[Price_Per_Unit]],0,0)</f>
        <v>13500</v>
      </c>
      <c r="H1704" cm="1">
        <f t="array" ref="H1704">Food_Orders[[#This Row],[Quantity_Orderd]]*_xlfn.XLOOKUP(Food_Orders[[#This Row],[Food_ID]],Food_Catalog[[#All],[Food_ID]],Food_Catalog[[#All],[Client_Price_Per_Unit]],0,0)</f>
        <v>16200</v>
      </c>
      <c r="I1704">
        <f>Food_Orders[[#This Row],[Client_Price]]-Food_Orders[[#This Row],[Cost]]</f>
        <v>2700</v>
      </c>
    </row>
    <row r="1705" spans="1:9" x14ac:dyDescent="0.25">
      <c r="A1705">
        <v>73</v>
      </c>
      <c r="B1705" t="s">
        <v>100</v>
      </c>
      <c r="C1705" t="s">
        <v>83</v>
      </c>
      <c r="D1705" t="s">
        <v>101</v>
      </c>
      <c r="E1705" t="s">
        <v>79</v>
      </c>
      <c r="F1705" cm="1">
        <f t="array" ref="F1705">_xlfn.XLOOKUP(Food_Orders[[#This Row],[Event_No]],Event_Master[[#All],[Event_No]],Event_Master[[#All],[Guest_Count]],,0)</f>
        <v>900</v>
      </c>
      <c r="G1705" cm="1">
        <f t="array" ref="G1705">Food_Orders[[#This Row],[Quantity_Orderd]]*_xlfn.XLOOKUP(Food_Orders[[#This Row],[Food_ID]],Food_Catalog[[#All],[Food_ID]],Food_Catalog[[#All],[Price_Per_Unit]],0,0)</f>
        <v>31500</v>
      </c>
      <c r="H1705" cm="1">
        <f t="array" ref="H1705">Food_Orders[[#This Row],[Quantity_Orderd]]*_xlfn.XLOOKUP(Food_Orders[[#This Row],[Food_ID]],Food_Catalog[[#All],[Food_ID]],Food_Catalog[[#All],[Client_Price_Per_Unit]],0,0)</f>
        <v>37800</v>
      </c>
      <c r="I1705">
        <f>Food_Orders[[#This Row],[Client_Price]]-Food_Orders[[#This Row],[Cost]]</f>
        <v>6300</v>
      </c>
    </row>
    <row r="1706" spans="1:9" x14ac:dyDescent="0.25">
      <c r="A1706">
        <v>73</v>
      </c>
      <c r="B1706" t="s">
        <v>96</v>
      </c>
      <c r="C1706" t="s">
        <v>83</v>
      </c>
      <c r="D1706" t="s">
        <v>97</v>
      </c>
      <c r="E1706" t="s">
        <v>79</v>
      </c>
      <c r="F1706" cm="1">
        <f t="array" ref="F1706">_xlfn.XLOOKUP(Food_Orders[[#This Row],[Event_No]],Event_Master[[#All],[Event_No]],Event_Master[[#All],[Guest_Count]],,0)</f>
        <v>900</v>
      </c>
      <c r="G1706" cm="1">
        <f t="array" ref="G1706">Food_Orders[[#This Row],[Quantity_Orderd]]*_xlfn.XLOOKUP(Food_Orders[[#This Row],[Food_ID]],Food_Catalog[[#All],[Food_ID]],Food_Catalog[[#All],[Price_Per_Unit]],0,0)</f>
        <v>27000</v>
      </c>
      <c r="H1706" cm="1">
        <f t="array" ref="H1706">Food_Orders[[#This Row],[Quantity_Orderd]]*_xlfn.XLOOKUP(Food_Orders[[#This Row],[Food_ID]],Food_Catalog[[#All],[Food_ID]],Food_Catalog[[#All],[Client_Price_Per_Unit]],0,0)</f>
        <v>32400</v>
      </c>
      <c r="I1706">
        <f>Food_Orders[[#This Row],[Client_Price]]-Food_Orders[[#This Row],[Cost]]</f>
        <v>5400</v>
      </c>
    </row>
    <row r="1707" spans="1:9" x14ac:dyDescent="0.25">
      <c r="A1707">
        <v>73</v>
      </c>
      <c r="B1707" t="s">
        <v>92</v>
      </c>
      <c r="C1707" t="s">
        <v>83</v>
      </c>
      <c r="D1707" t="s">
        <v>93</v>
      </c>
      <c r="E1707" t="s">
        <v>85</v>
      </c>
      <c r="F1707" cm="1">
        <f t="array" ref="F1707">_xlfn.XLOOKUP(Food_Orders[[#This Row],[Event_No]],Event_Master[[#All],[Event_No]],Event_Master[[#All],[Guest_Count]],,0)</f>
        <v>900</v>
      </c>
      <c r="G1707" cm="1">
        <f t="array" ref="G1707">Food_Orders[[#This Row],[Quantity_Orderd]]*_xlfn.XLOOKUP(Food_Orders[[#This Row],[Food_ID]],Food_Catalog[[#All],[Food_ID]],Food_Catalog[[#All],[Price_Per_Unit]],0,0)</f>
        <v>13500</v>
      </c>
      <c r="H1707" cm="1">
        <f t="array" ref="H1707">Food_Orders[[#This Row],[Quantity_Orderd]]*_xlfn.XLOOKUP(Food_Orders[[#This Row],[Food_ID]],Food_Catalog[[#All],[Food_ID]],Food_Catalog[[#All],[Client_Price_Per_Unit]],0,0)</f>
        <v>16200</v>
      </c>
      <c r="I1707">
        <f>Food_Orders[[#This Row],[Client_Price]]-Food_Orders[[#This Row],[Cost]]</f>
        <v>2700</v>
      </c>
    </row>
    <row r="1708" spans="1:9" x14ac:dyDescent="0.25">
      <c r="A1708">
        <v>73</v>
      </c>
      <c r="B1708" t="s">
        <v>102</v>
      </c>
      <c r="C1708" t="s">
        <v>83</v>
      </c>
      <c r="D1708" t="s">
        <v>103</v>
      </c>
      <c r="E1708" t="s">
        <v>85</v>
      </c>
      <c r="F1708" cm="1">
        <f t="array" ref="F1708">_xlfn.XLOOKUP(Food_Orders[[#This Row],[Event_No]],Event_Master[[#All],[Event_No]],Event_Master[[#All],[Guest_Count]],,0)</f>
        <v>900</v>
      </c>
      <c r="G1708" cm="1">
        <f t="array" ref="G1708">Food_Orders[[#This Row],[Quantity_Orderd]]*_xlfn.XLOOKUP(Food_Orders[[#This Row],[Food_ID]],Food_Catalog[[#All],[Food_ID]],Food_Catalog[[#All],[Price_Per_Unit]],0,0)</f>
        <v>18000</v>
      </c>
      <c r="H1708" cm="1">
        <f t="array" ref="H1708">Food_Orders[[#This Row],[Quantity_Orderd]]*_xlfn.XLOOKUP(Food_Orders[[#This Row],[Food_ID]],Food_Catalog[[#All],[Food_ID]],Food_Catalog[[#All],[Client_Price_Per_Unit]],0,0)</f>
        <v>21600</v>
      </c>
      <c r="I1708">
        <f>Food_Orders[[#This Row],[Client_Price]]-Food_Orders[[#This Row],[Cost]]</f>
        <v>3600</v>
      </c>
    </row>
    <row r="1709" spans="1:9" x14ac:dyDescent="0.25">
      <c r="A1709">
        <v>73</v>
      </c>
      <c r="B1709" t="s">
        <v>98</v>
      </c>
      <c r="C1709" t="s">
        <v>83</v>
      </c>
      <c r="D1709" t="s">
        <v>99</v>
      </c>
      <c r="E1709" t="s">
        <v>85</v>
      </c>
      <c r="F1709" cm="1">
        <f t="array" ref="F1709">_xlfn.XLOOKUP(Food_Orders[[#This Row],[Event_No]],Event_Master[[#All],[Event_No]],Event_Master[[#All],[Guest_Count]],,0)</f>
        <v>900</v>
      </c>
      <c r="G1709" cm="1">
        <f t="array" ref="G1709">Food_Orders[[#This Row],[Quantity_Orderd]]*_xlfn.XLOOKUP(Food_Orders[[#This Row],[Food_ID]],Food_Catalog[[#All],[Food_ID]],Food_Catalog[[#All],[Price_Per_Unit]],0,0)</f>
        <v>13500</v>
      </c>
      <c r="H1709" cm="1">
        <f t="array" ref="H1709">Food_Orders[[#This Row],[Quantity_Orderd]]*_xlfn.XLOOKUP(Food_Orders[[#This Row],[Food_ID]],Food_Catalog[[#All],[Food_ID]],Food_Catalog[[#All],[Client_Price_Per_Unit]],0,0)</f>
        <v>16200</v>
      </c>
      <c r="I1709">
        <f>Food_Orders[[#This Row],[Client_Price]]-Food_Orders[[#This Row],[Cost]]</f>
        <v>2700</v>
      </c>
    </row>
    <row r="1710" spans="1:9" x14ac:dyDescent="0.25">
      <c r="A1710">
        <v>73</v>
      </c>
      <c r="B1710" t="s">
        <v>104</v>
      </c>
      <c r="C1710" t="s">
        <v>105</v>
      </c>
      <c r="D1710" t="s">
        <v>106</v>
      </c>
      <c r="E1710" t="s">
        <v>107</v>
      </c>
      <c r="F1710" cm="1">
        <f t="array" ref="F1710">_xlfn.XLOOKUP(Food_Orders[[#This Row],[Event_No]],Event_Master[[#All],[Event_No]],Event_Master[[#All],[Guest_Count]],,0)</f>
        <v>900</v>
      </c>
      <c r="G1710" cm="1">
        <f t="array" ref="G1710">Food_Orders[[#This Row],[Quantity_Orderd]]*_xlfn.XLOOKUP(Food_Orders[[#This Row],[Food_ID]],Food_Catalog[[#All],[Food_ID]],Food_Catalog[[#All],[Price_Per_Unit]],0,0)</f>
        <v>9000</v>
      </c>
      <c r="H1710" cm="1">
        <f t="array" ref="H1710">Food_Orders[[#This Row],[Quantity_Orderd]]*_xlfn.XLOOKUP(Food_Orders[[#This Row],[Food_ID]],Food_Catalog[[#All],[Food_ID]],Food_Catalog[[#All],[Client_Price_Per_Unit]],0,0)</f>
        <v>10800</v>
      </c>
      <c r="I1710">
        <f>Food_Orders[[#This Row],[Client_Price]]-Food_Orders[[#This Row],[Cost]]</f>
        <v>1800</v>
      </c>
    </row>
    <row r="1711" spans="1:9" x14ac:dyDescent="0.25">
      <c r="A1711">
        <v>73</v>
      </c>
      <c r="B1711" t="s">
        <v>108</v>
      </c>
      <c r="C1711" t="s">
        <v>105</v>
      </c>
      <c r="D1711" t="s">
        <v>109</v>
      </c>
      <c r="E1711" t="s">
        <v>107</v>
      </c>
      <c r="F1711" cm="1">
        <f t="array" ref="F1711">_xlfn.XLOOKUP(Food_Orders[[#This Row],[Event_No]],Event_Master[[#All],[Event_No]],Event_Master[[#All],[Guest_Count]],,0)</f>
        <v>900</v>
      </c>
      <c r="G1711" cm="1">
        <f t="array" ref="G1711">Food_Orders[[#This Row],[Quantity_Orderd]]*_xlfn.XLOOKUP(Food_Orders[[#This Row],[Food_ID]],Food_Catalog[[#All],[Food_ID]],Food_Catalog[[#All],[Price_Per_Unit]],0,0)</f>
        <v>13500</v>
      </c>
      <c r="H1711" cm="1">
        <f t="array" ref="H1711">Food_Orders[[#This Row],[Quantity_Orderd]]*_xlfn.XLOOKUP(Food_Orders[[#This Row],[Food_ID]],Food_Catalog[[#All],[Food_ID]],Food_Catalog[[#All],[Client_Price_Per_Unit]],0,0)</f>
        <v>16200</v>
      </c>
      <c r="I1711">
        <f>Food_Orders[[#This Row],[Client_Price]]-Food_Orders[[#This Row],[Cost]]</f>
        <v>2700</v>
      </c>
    </row>
    <row r="1712" spans="1:9" x14ac:dyDescent="0.25">
      <c r="A1712">
        <v>73</v>
      </c>
      <c r="B1712" t="s">
        <v>115</v>
      </c>
      <c r="C1712" t="s">
        <v>105</v>
      </c>
      <c r="D1712" t="s">
        <v>116</v>
      </c>
      <c r="E1712" t="s">
        <v>117</v>
      </c>
      <c r="F1712" cm="1">
        <f t="array" ref="F1712">_xlfn.XLOOKUP(Food_Orders[[#This Row],[Event_No]],Event_Master[[#All],[Event_No]],Event_Master[[#All],[Guest_Count]],,0)</f>
        <v>900</v>
      </c>
      <c r="G1712" cm="1">
        <f t="array" ref="G1712">Food_Orders[[#This Row],[Quantity_Orderd]]*_xlfn.XLOOKUP(Food_Orders[[#This Row],[Food_ID]],Food_Catalog[[#All],[Food_ID]],Food_Catalog[[#All],[Price_Per_Unit]],0,0)</f>
        <v>22500</v>
      </c>
      <c r="H1712" cm="1">
        <f t="array" ref="H1712">Food_Orders[[#This Row],[Quantity_Orderd]]*_xlfn.XLOOKUP(Food_Orders[[#This Row],[Food_ID]],Food_Catalog[[#All],[Food_ID]],Food_Catalog[[#All],[Client_Price_Per_Unit]],0,0)</f>
        <v>27000</v>
      </c>
      <c r="I1712">
        <f>Food_Orders[[#This Row],[Client_Price]]-Food_Orders[[#This Row],[Cost]]</f>
        <v>4500</v>
      </c>
    </row>
    <row r="1713" spans="1:9" x14ac:dyDescent="0.25">
      <c r="A1713">
        <v>73</v>
      </c>
      <c r="B1713" t="s">
        <v>110</v>
      </c>
      <c r="C1713" t="s">
        <v>105</v>
      </c>
      <c r="D1713" t="s">
        <v>111</v>
      </c>
      <c r="E1713" t="s">
        <v>112</v>
      </c>
      <c r="F1713" cm="1">
        <f t="array" ref="F1713">_xlfn.XLOOKUP(Food_Orders[[#This Row],[Event_No]],Event_Master[[#All],[Event_No]],Event_Master[[#All],[Guest_Count]],,0)</f>
        <v>900</v>
      </c>
      <c r="G1713" cm="1">
        <f t="array" ref="G1713">Food_Orders[[#This Row],[Quantity_Orderd]]*_xlfn.XLOOKUP(Food_Orders[[#This Row],[Food_ID]],Food_Catalog[[#All],[Food_ID]],Food_Catalog[[#All],[Price_Per_Unit]],0,0)</f>
        <v>18000</v>
      </c>
      <c r="H1713" cm="1">
        <f t="array" ref="H1713">Food_Orders[[#This Row],[Quantity_Orderd]]*_xlfn.XLOOKUP(Food_Orders[[#This Row],[Food_ID]],Food_Catalog[[#All],[Food_ID]],Food_Catalog[[#All],[Client_Price_Per_Unit]],0,0)</f>
        <v>21600</v>
      </c>
      <c r="I1713">
        <f>Food_Orders[[#This Row],[Client_Price]]-Food_Orders[[#This Row],[Cost]]</f>
        <v>3600</v>
      </c>
    </row>
    <row r="1714" spans="1:9" x14ac:dyDescent="0.25">
      <c r="A1714">
        <v>73</v>
      </c>
      <c r="B1714" t="s">
        <v>118</v>
      </c>
      <c r="C1714" t="s">
        <v>119</v>
      </c>
      <c r="D1714" t="s">
        <v>120</v>
      </c>
      <c r="E1714" t="s">
        <v>112</v>
      </c>
      <c r="F1714" cm="1">
        <f t="array" ref="F1714">_xlfn.XLOOKUP(Food_Orders[[#This Row],[Event_No]],Event_Master[[#All],[Event_No]],Event_Master[[#All],[Guest_Count]],,0)</f>
        <v>900</v>
      </c>
      <c r="G1714" cm="1">
        <f t="array" ref="G1714">Food_Orders[[#This Row],[Quantity_Orderd]]*_xlfn.XLOOKUP(Food_Orders[[#This Row],[Food_ID]],Food_Catalog[[#All],[Food_ID]],Food_Catalog[[#All],[Price_Per_Unit]],0,0)</f>
        <v>9000</v>
      </c>
      <c r="H1714" cm="1">
        <f t="array" ref="H1714">Food_Orders[[#This Row],[Quantity_Orderd]]*_xlfn.XLOOKUP(Food_Orders[[#This Row],[Food_ID]],Food_Catalog[[#All],[Food_ID]],Food_Catalog[[#All],[Client_Price_Per_Unit]],0,0)</f>
        <v>10800</v>
      </c>
      <c r="I1714">
        <f>Food_Orders[[#This Row],[Client_Price]]-Food_Orders[[#This Row],[Cost]]</f>
        <v>1800</v>
      </c>
    </row>
    <row r="1715" spans="1:9" x14ac:dyDescent="0.25">
      <c r="A1715">
        <v>73</v>
      </c>
      <c r="B1715" t="s">
        <v>129</v>
      </c>
      <c r="C1715" t="s">
        <v>119</v>
      </c>
      <c r="D1715" t="s">
        <v>130</v>
      </c>
      <c r="E1715" t="s">
        <v>112</v>
      </c>
      <c r="F1715" cm="1">
        <f t="array" ref="F1715">_xlfn.XLOOKUP(Food_Orders[[#This Row],[Event_No]],Event_Master[[#All],[Event_No]],Event_Master[[#All],[Guest_Count]],,0)</f>
        <v>900</v>
      </c>
      <c r="G1715" cm="1">
        <f t="array" ref="G1715">Food_Orders[[#This Row],[Quantity_Orderd]]*_xlfn.XLOOKUP(Food_Orders[[#This Row],[Food_ID]],Food_Catalog[[#All],[Food_ID]],Food_Catalog[[#All],[Price_Per_Unit]],0,0)</f>
        <v>9000</v>
      </c>
      <c r="H1715" cm="1">
        <f t="array" ref="H1715">Food_Orders[[#This Row],[Quantity_Orderd]]*_xlfn.XLOOKUP(Food_Orders[[#This Row],[Food_ID]],Food_Catalog[[#All],[Food_ID]],Food_Catalog[[#All],[Client_Price_Per_Unit]],0,0)</f>
        <v>10800</v>
      </c>
      <c r="I1715">
        <f>Food_Orders[[#This Row],[Client_Price]]-Food_Orders[[#This Row],[Cost]]</f>
        <v>1800</v>
      </c>
    </row>
    <row r="1716" spans="1:9" x14ac:dyDescent="0.25">
      <c r="A1716">
        <v>73</v>
      </c>
      <c r="B1716" t="s">
        <v>124</v>
      </c>
      <c r="C1716" t="s">
        <v>119</v>
      </c>
      <c r="D1716" t="s">
        <v>125</v>
      </c>
      <c r="E1716" t="s">
        <v>126</v>
      </c>
      <c r="F1716" cm="1">
        <f t="array" ref="F1716">_xlfn.XLOOKUP(Food_Orders[[#This Row],[Event_No]],Event_Master[[#All],[Event_No]],Event_Master[[#All],[Guest_Count]],,0)</f>
        <v>900</v>
      </c>
      <c r="G1716" cm="1">
        <f t="array" ref="G1716">Food_Orders[[#This Row],[Quantity_Orderd]]*_xlfn.XLOOKUP(Food_Orders[[#This Row],[Food_ID]],Food_Catalog[[#All],[Food_ID]],Food_Catalog[[#All],[Price_Per_Unit]],0,0)</f>
        <v>18000</v>
      </c>
      <c r="H1716" cm="1">
        <f t="array" ref="H1716">Food_Orders[[#This Row],[Quantity_Orderd]]*_xlfn.XLOOKUP(Food_Orders[[#This Row],[Food_ID]],Food_Catalog[[#All],[Food_ID]],Food_Catalog[[#All],[Client_Price_Per_Unit]],0,0)</f>
        <v>21600</v>
      </c>
      <c r="I1716">
        <f>Food_Orders[[#This Row],[Client_Price]]-Food_Orders[[#This Row],[Cost]]</f>
        <v>3600</v>
      </c>
    </row>
    <row r="1717" spans="1:9" x14ac:dyDescent="0.25">
      <c r="A1717">
        <v>73</v>
      </c>
      <c r="B1717" t="s">
        <v>127</v>
      </c>
      <c r="C1717" t="s">
        <v>119</v>
      </c>
      <c r="D1717" t="s">
        <v>128</v>
      </c>
      <c r="E1717" t="s">
        <v>107</v>
      </c>
      <c r="F1717" cm="1">
        <f t="array" ref="F1717">_xlfn.XLOOKUP(Food_Orders[[#This Row],[Event_No]],Event_Master[[#All],[Event_No]],Event_Master[[#All],[Guest_Count]],,0)</f>
        <v>900</v>
      </c>
      <c r="G1717" cm="1">
        <f t="array" ref="G1717">Food_Orders[[#This Row],[Quantity_Orderd]]*_xlfn.XLOOKUP(Food_Orders[[#This Row],[Food_ID]],Food_Catalog[[#All],[Food_ID]],Food_Catalog[[#All],[Price_Per_Unit]],0,0)</f>
        <v>18000</v>
      </c>
      <c r="H1717" cm="1">
        <f t="array" ref="H1717">Food_Orders[[#This Row],[Quantity_Orderd]]*_xlfn.XLOOKUP(Food_Orders[[#This Row],[Food_ID]],Food_Catalog[[#All],[Food_ID]],Food_Catalog[[#All],[Client_Price_Per_Unit]],0,0)</f>
        <v>21600</v>
      </c>
      <c r="I1717">
        <f>Food_Orders[[#This Row],[Client_Price]]-Food_Orders[[#This Row],[Cost]]</f>
        <v>3600</v>
      </c>
    </row>
    <row r="1718" spans="1:9" x14ac:dyDescent="0.25">
      <c r="A1718">
        <v>74</v>
      </c>
      <c r="B1718" t="s">
        <v>75</v>
      </c>
      <c r="C1718" t="s">
        <v>61</v>
      </c>
      <c r="D1718" t="s">
        <v>76</v>
      </c>
      <c r="E1718" t="s">
        <v>10</v>
      </c>
      <c r="F1718" cm="1">
        <f t="array" ref="F1718">_xlfn.XLOOKUP(Food_Orders[[#This Row],[Event_No]],Event_Master[[#All],[Event_No]],Event_Master[[#All],[Guest_Count]],,0)</f>
        <v>550</v>
      </c>
      <c r="G1718" cm="1">
        <f t="array" ref="G1718">Food_Orders[[#This Row],[Quantity_Orderd]]*_xlfn.XLOOKUP(Food_Orders[[#This Row],[Food_ID]],Food_Catalog[[#All],[Food_ID]],Food_Catalog[[#All],[Price_Per_Unit]],0,0)</f>
        <v>22000</v>
      </c>
      <c r="H1718" cm="1">
        <f t="array" ref="H1718">Food_Orders[[#This Row],[Quantity_Orderd]]*_xlfn.XLOOKUP(Food_Orders[[#This Row],[Food_ID]],Food_Catalog[[#All],[Food_ID]],Food_Catalog[[#All],[Client_Price_Per_Unit]],0,0)</f>
        <v>26400</v>
      </c>
      <c r="I1718">
        <f>Food_Orders[[#This Row],[Client_Price]]-Food_Orders[[#This Row],[Cost]]</f>
        <v>4400</v>
      </c>
    </row>
    <row r="1719" spans="1:9" x14ac:dyDescent="0.25">
      <c r="A1719">
        <v>74</v>
      </c>
      <c r="B1719" t="s">
        <v>69</v>
      </c>
      <c r="C1719" t="s">
        <v>61</v>
      </c>
      <c r="D1719" t="s">
        <v>70</v>
      </c>
      <c r="E1719" t="s">
        <v>10</v>
      </c>
      <c r="F1719" cm="1">
        <f t="array" ref="F1719">_xlfn.XLOOKUP(Food_Orders[[#This Row],[Event_No]],Event_Master[[#All],[Event_No]],Event_Master[[#All],[Guest_Count]],,0)</f>
        <v>550</v>
      </c>
      <c r="G1719" cm="1">
        <f t="array" ref="G1719">Food_Orders[[#This Row],[Quantity_Orderd]]*_xlfn.XLOOKUP(Food_Orders[[#This Row],[Food_ID]],Food_Catalog[[#All],[Food_ID]],Food_Catalog[[#All],[Price_Per_Unit]],0,0)</f>
        <v>27500</v>
      </c>
      <c r="H1719" cm="1">
        <f t="array" ref="H1719">Food_Orders[[#This Row],[Quantity_Orderd]]*_xlfn.XLOOKUP(Food_Orders[[#This Row],[Food_ID]],Food_Catalog[[#All],[Food_ID]],Food_Catalog[[#All],[Client_Price_Per_Unit]],0,0)</f>
        <v>33000</v>
      </c>
      <c r="I1719">
        <f>Food_Orders[[#This Row],[Client_Price]]-Food_Orders[[#This Row],[Cost]]</f>
        <v>5500</v>
      </c>
    </row>
    <row r="1720" spans="1:9" x14ac:dyDescent="0.25">
      <c r="A1720">
        <v>74</v>
      </c>
      <c r="B1720" t="s">
        <v>17</v>
      </c>
      <c r="C1720" t="s">
        <v>8</v>
      </c>
      <c r="D1720" t="s">
        <v>18</v>
      </c>
      <c r="E1720" t="s">
        <v>10</v>
      </c>
      <c r="F1720" cm="1">
        <f t="array" ref="F1720">_xlfn.XLOOKUP(Food_Orders[[#This Row],[Event_No]],Event_Master[[#All],[Event_No]],Event_Master[[#All],[Guest_Count]],,0)</f>
        <v>550</v>
      </c>
      <c r="G1720" cm="1">
        <f t="array" ref="G1720">Food_Orders[[#This Row],[Quantity_Orderd]]*_xlfn.XLOOKUP(Food_Orders[[#This Row],[Food_ID]],Food_Catalog[[#All],[Food_ID]],Food_Catalog[[#All],[Price_Per_Unit]],0,0)</f>
        <v>22000</v>
      </c>
      <c r="H1720" cm="1">
        <f t="array" ref="H1720">Food_Orders[[#This Row],[Quantity_Orderd]]*_xlfn.XLOOKUP(Food_Orders[[#This Row],[Food_ID]],Food_Catalog[[#All],[Food_ID]],Food_Catalog[[#All],[Client_Price_Per_Unit]],0,0)</f>
        <v>26400</v>
      </c>
      <c r="I1720">
        <f>Food_Orders[[#This Row],[Client_Price]]-Food_Orders[[#This Row],[Cost]]</f>
        <v>4400</v>
      </c>
    </row>
    <row r="1721" spans="1:9" x14ac:dyDescent="0.25">
      <c r="A1721">
        <v>74</v>
      </c>
      <c r="B1721" t="s">
        <v>27</v>
      </c>
      <c r="C1721" t="s">
        <v>8</v>
      </c>
      <c r="D1721" t="s">
        <v>28</v>
      </c>
      <c r="E1721" t="s">
        <v>10</v>
      </c>
      <c r="F1721" cm="1">
        <f t="array" ref="F1721">_xlfn.XLOOKUP(Food_Orders[[#This Row],[Event_No]],Event_Master[[#All],[Event_No]],Event_Master[[#All],[Guest_Count]],,0)</f>
        <v>550</v>
      </c>
      <c r="G1721" cm="1">
        <f t="array" ref="G1721">Food_Orders[[#This Row],[Quantity_Orderd]]*_xlfn.XLOOKUP(Food_Orders[[#This Row],[Food_ID]],Food_Catalog[[#All],[Food_ID]],Food_Catalog[[#All],[Price_Per_Unit]],0,0)</f>
        <v>22000</v>
      </c>
      <c r="H1721" cm="1">
        <f t="array" ref="H1721">Food_Orders[[#This Row],[Quantity_Orderd]]*_xlfn.XLOOKUP(Food_Orders[[#This Row],[Food_ID]],Food_Catalog[[#All],[Food_ID]],Food_Catalog[[#All],[Client_Price_Per_Unit]],0,0)</f>
        <v>26400</v>
      </c>
      <c r="I1721">
        <f>Food_Orders[[#This Row],[Client_Price]]-Food_Orders[[#This Row],[Cost]]</f>
        <v>4400</v>
      </c>
    </row>
    <row r="1722" spans="1:9" x14ac:dyDescent="0.25">
      <c r="A1722">
        <v>74</v>
      </c>
      <c r="B1722" t="s">
        <v>42</v>
      </c>
      <c r="C1722" t="s">
        <v>40</v>
      </c>
      <c r="D1722" t="s">
        <v>43</v>
      </c>
      <c r="E1722" t="s">
        <v>10</v>
      </c>
      <c r="F1722" cm="1">
        <f t="array" ref="F1722">_xlfn.XLOOKUP(Food_Orders[[#This Row],[Event_No]],Event_Master[[#All],[Event_No]],Event_Master[[#All],[Guest_Count]],,0)</f>
        <v>550</v>
      </c>
      <c r="G1722" cm="1">
        <f t="array" ref="G1722">Food_Orders[[#This Row],[Quantity_Orderd]]*_xlfn.XLOOKUP(Food_Orders[[#This Row],[Food_ID]],Food_Catalog[[#All],[Food_ID]],Food_Catalog[[#All],[Price_Per_Unit]],0,0)</f>
        <v>38500</v>
      </c>
      <c r="H1722" cm="1">
        <f t="array" ref="H1722">Food_Orders[[#This Row],[Quantity_Orderd]]*_xlfn.XLOOKUP(Food_Orders[[#This Row],[Food_ID]],Food_Catalog[[#All],[Food_ID]],Food_Catalog[[#All],[Client_Price_Per_Unit]],0,0)</f>
        <v>46200</v>
      </c>
      <c r="I1722">
        <f>Food_Orders[[#This Row],[Client_Price]]-Food_Orders[[#This Row],[Cost]]</f>
        <v>7700</v>
      </c>
    </row>
    <row r="1723" spans="1:9" x14ac:dyDescent="0.25">
      <c r="A1723">
        <v>74</v>
      </c>
      <c r="B1723" t="s">
        <v>58</v>
      </c>
      <c r="C1723" t="s">
        <v>40</v>
      </c>
      <c r="D1723" t="s">
        <v>59</v>
      </c>
      <c r="E1723" t="s">
        <v>10</v>
      </c>
      <c r="F1723" cm="1">
        <f t="array" ref="F1723">_xlfn.XLOOKUP(Food_Orders[[#This Row],[Event_No]],Event_Master[[#All],[Event_No]],Event_Master[[#All],[Guest_Count]],,0)</f>
        <v>550</v>
      </c>
      <c r="G1723" cm="1">
        <f t="array" ref="G1723">Food_Orders[[#This Row],[Quantity_Orderd]]*_xlfn.XLOOKUP(Food_Orders[[#This Row],[Food_ID]],Food_Catalog[[#All],[Food_ID]],Food_Catalog[[#All],[Price_Per_Unit]],0,0)</f>
        <v>49500</v>
      </c>
      <c r="H1723" cm="1">
        <f t="array" ref="H1723">Food_Orders[[#This Row],[Quantity_Orderd]]*_xlfn.XLOOKUP(Food_Orders[[#This Row],[Food_ID]],Food_Catalog[[#All],[Food_ID]],Food_Catalog[[#All],[Client_Price_Per_Unit]],0,0)</f>
        <v>59400</v>
      </c>
      <c r="I1723">
        <f>Food_Orders[[#This Row],[Client_Price]]-Food_Orders[[#This Row],[Cost]]</f>
        <v>9900</v>
      </c>
    </row>
    <row r="1724" spans="1:9" x14ac:dyDescent="0.25">
      <c r="A1724">
        <v>74</v>
      </c>
      <c r="B1724" t="s">
        <v>82</v>
      </c>
      <c r="C1724" t="s">
        <v>83</v>
      </c>
      <c r="D1724" t="s">
        <v>84</v>
      </c>
      <c r="E1724" t="s">
        <v>85</v>
      </c>
      <c r="F1724" cm="1">
        <f t="array" ref="F1724">_xlfn.XLOOKUP(Food_Orders[[#This Row],[Event_No]],Event_Master[[#All],[Event_No]],Event_Master[[#All],[Guest_Count]],,0)</f>
        <v>550</v>
      </c>
      <c r="G1724" cm="1">
        <f t="array" ref="G1724">Food_Orders[[#This Row],[Quantity_Orderd]]*_xlfn.XLOOKUP(Food_Orders[[#This Row],[Food_ID]],Food_Catalog[[#All],[Food_ID]],Food_Catalog[[#All],[Price_Per_Unit]],0,0)</f>
        <v>11000</v>
      </c>
      <c r="H1724" cm="1">
        <f t="array" ref="H1724">Food_Orders[[#This Row],[Quantity_Orderd]]*_xlfn.XLOOKUP(Food_Orders[[#This Row],[Food_ID]],Food_Catalog[[#All],[Food_ID]],Food_Catalog[[#All],[Client_Price_Per_Unit]],0,0)</f>
        <v>13200</v>
      </c>
      <c r="I1724">
        <f>Food_Orders[[#This Row],[Client_Price]]-Food_Orders[[#This Row],[Cost]]</f>
        <v>2200</v>
      </c>
    </row>
    <row r="1725" spans="1:9" x14ac:dyDescent="0.25">
      <c r="A1725">
        <v>74</v>
      </c>
      <c r="B1725" t="s">
        <v>100</v>
      </c>
      <c r="C1725" t="s">
        <v>83</v>
      </c>
      <c r="D1725" t="s">
        <v>101</v>
      </c>
      <c r="E1725" t="s">
        <v>79</v>
      </c>
      <c r="F1725" cm="1">
        <f t="array" ref="F1725">_xlfn.XLOOKUP(Food_Orders[[#This Row],[Event_No]],Event_Master[[#All],[Event_No]],Event_Master[[#All],[Guest_Count]],,0)</f>
        <v>550</v>
      </c>
      <c r="G1725" cm="1">
        <f t="array" ref="G1725">Food_Orders[[#This Row],[Quantity_Orderd]]*_xlfn.XLOOKUP(Food_Orders[[#This Row],[Food_ID]],Food_Catalog[[#All],[Food_ID]],Food_Catalog[[#All],[Price_Per_Unit]],0,0)</f>
        <v>19250</v>
      </c>
      <c r="H1725" cm="1">
        <f t="array" ref="H1725">Food_Orders[[#This Row],[Quantity_Orderd]]*_xlfn.XLOOKUP(Food_Orders[[#This Row],[Food_ID]],Food_Catalog[[#All],[Food_ID]],Food_Catalog[[#All],[Client_Price_Per_Unit]],0,0)</f>
        <v>23100</v>
      </c>
      <c r="I1725">
        <f>Food_Orders[[#This Row],[Client_Price]]-Food_Orders[[#This Row],[Cost]]</f>
        <v>3850</v>
      </c>
    </row>
    <row r="1726" spans="1:9" x14ac:dyDescent="0.25">
      <c r="A1726">
        <v>74</v>
      </c>
      <c r="B1726" t="s">
        <v>108</v>
      </c>
      <c r="C1726" t="s">
        <v>105</v>
      </c>
      <c r="D1726" t="s">
        <v>109</v>
      </c>
      <c r="E1726" t="s">
        <v>107</v>
      </c>
      <c r="F1726" cm="1">
        <f t="array" ref="F1726">_xlfn.XLOOKUP(Food_Orders[[#This Row],[Event_No]],Event_Master[[#All],[Event_No]],Event_Master[[#All],[Guest_Count]],,0)</f>
        <v>550</v>
      </c>
      <c r="G1726" cm="1">
        <f t="array" ref="G1726">Food_Orders[[#This Row],[Quantity_Orderd]]*_xlfn.XLOOKUP(Food_Orders[[#This Row],[Food_ID]],Food_Catalog[[#All],[Food_ID]],Food_Catalog[[#All],[Price_Per_Unit]],0,0)</f>
        <v>8250</v>
      </c>
      <c r="H1726" cm="1">
        <f t="array" ref="H1726">Food_Orders[[#This Row],[Quantity_Orderd]]*_xlfn.XLOOKUP(Food_Orders[[#This Row],[Food_ID]],Food_Catalog[[#All],[Food_ID]],Food_Catalog[[#All],[Client_Price_Per_Unit]],0,0)</f>
        <v>9900</v>
      </c>
      <c r="I1726">
        <f>Food_Orders[[#This Row],[Client_Price]]-Food_Orders[[#This Row],[Cost]]</f>
        <v>1650</v>
      </c>
    </row>
    <row r="1727" spans="1:9" x14ac:dyDescent="0.25">
      <c r="A1727">
        <v>74</v>
      </c>
      <c r="B1727" t="s">
        <v>118</v>
      </c>
      <c r="C1727" t="s">
        <v>119</v>
      </c>
      <c r="D1727" t="s">
        <v>120</v>
      </c>
      <c r="E1727" t="s">
        <v>112</v>
      </c>
      <c r="F1727" cm="1">
        <f t="array" ref="F1727">_xlfn.XLOOKUP(Food_Orders[[#This Row],[Event_No]],Event_Master[[#All],[Event_No]],Event_Master[[#All],[Guest_Count]],,0)</f>
        <v>550</v>
      </c>
      <c r="G1727" cm="1">
        <f t="array" ref="G1727">Food_Orders[[#This Row],[Quantity_Orderd]]*_xlfn.XLOOKUP(Food_Orders[[#This Row],[Food_ID]],Food_Catalog[[#All],[Food_ID]],Food_Catalog[[#All],[Price_Per_Unit]],0,0)</f>
        <v>5500</v>
      </c>
      <c r="H1727" cm="1">
        <f t="array" ref="H1727">Food_Orders[[#This Row],[Quantity_Orderd]]*_xlfn.XLOOKUP(Food_Orders[[#This Row],[Food_ID]],Food_Catalog[[#All],[Food_ID]],Food_Catalog[[#All],[Client_Price_Per_Unit]],0,0)</f>
        <v>6600</v>
      </c>
      <c r="I1727">
        <f>Food_Orders[[#This Row],[Client_Price]]-Food_Orders[[#This Row],[Cost]]</f>
        <v>1100</v>
      </c>
    </row>
    <row r="1728" spans="1:9" x14ac:dyDescent="0.25">
      <c r="A1728">
        <v>75</v>
      </c>
      <c r="B1728" t="s">
        <v>118</v>
      </c>
      <c r="C1728" t="s">
        <v>119</v>
      </c>
      <c r="D1728" t="s">
        <v>120</v>
      </c>
      <c r="E1728" t="s">
        <v>112</v>
      </c>
      <c r="F1728" cm="1">
        <f t="array" ref="F1728">_xlfn.XLOOKUP(Food_Orders[[#This Row],[Event_No]],Event_Master[[#All],[Event_No]],Event_Master[[#All],[Guest_Count]],,0)</f>
        <v>350</v>
      </c>
      <c r="G1728" cm="1">
        <f t="array" ref="G1728">Food_Orders[[#This Row],[Quantity_Orderd]]*_xlfn.XLOOKUP(Food_Orders[[#This Row],[Food_ID]],Food_Catalog[[#All],[Food_ID]],Food_Catalog[[#All],[Price_Per_Unit]],0,0)</f>
        <v>3500</v>
      </c>
      <c r="H1728" cm="1">
        <f t="array" ref="H1728">Food_Orders[[#This Row],[Quantity_Orderd]]*_xlfn.XLOOKUP(Food_Orders[[#This Row],[Food_ID]],Food_Catalog[[#All],[Food_ID]],Food_Catalog[[#All],[Client_Price_Per_Unit]],0,0)</f>
        <v>4200</v>
      </c>
      <c r="I1728">
        <f>Food_Orders[[#This Row],[Client_Price]]-Food_Orders[[#This Row],[Cost]]</f>
        <v>700</v>
      </c>
    </row>
    <row r="1729" spans="1:9" x14ac:dyDescent="0.25">
      <c r="A1729">
        <v>75</v>
      </c>
      <c r="B1729" t="s">
        <v>129</v>
      </c>
      <c r="C1729" t="s">
        <v>119</v>
      </c>
      <c r="D1729" t="s">
        <v>130</v>
      </c>
      <c r="E1729" t="s">
        <v>112</v>
      </c>
      <c r="F1729" cm="1">
        <f t="array" ref="F1729">_xlfn.XLOOKUP(Food_Orders[[#This Row],[Event_No]],Event_Master[[#All],[Event_No]],Event_Master[[#All],[Guest_Count]],,0)</f>
        <v>350</v>
      </c>
      <c r="G1729" cm="1">
        <f t="array" ref="G1729">Food_Orders[[#This Row],[Quantity_Orderd]]*_xlfn.XLOOKUP(Food_Orders[[#This Row],[Food_ID]],Food_Catalog[[#All],[Food_ID]],Food_Catalog[[#All],[Price_Per_Unit]],0,0)</f>
        <v>3500</v>
      </c>
      <c r="H1729" cm="1">
        <f t="array" ref="H1729">Food_Orders[[#This Row],[Quantity_Orderd]]*_xlfn.XLOOKUP(Food_Orders[[#This Row],[Food_ID]],Food_Catalog[[#All],[Food_ID]],Food_Catalog[[#All],[Client_Price_Per_Unit]],0,0)</f>
        <v>4200</v>
      </c>
      <c r="I1729">
        <f>Food_Orders[[#This Row],[Client_Price]]-Food_Orders[[#This Row],[Cost]]</f>
        <v>700</v>
      </c>
    </row>
    <row r="1730" spans="1:9" x14ac:dyDescent="0.25">
      <c r="A1730">
        <v>75</v>
      </c>
      <c r="B1730" t="s">
        <v>104</v>
      </c>
      <c r="C1730" t="s">
        <v>105</v>
      </c>
      <c r="D1730" t="s">
        <v>106</v>
      </c>
      <c r="E1730" t="s">
        <v>107</v>
      </c>
      <c r="F1730" cm="1">
        <f t="array" ref="F1730">_xlfn.XLOOKUP(Food_Orders[[#This Row],[Event_No]],Event_Master[[#All],[Event_No]],Event_Master[[#All],[Guest_Count]],,0)</f>
        <v>350</v>
      </c>
      <c r="G1730" cm="1">
        <f t="array" ref="G1730">Food_Orders[[#This Row],[Quantity_Orderd]]*_xlfn.XLOOKUP(Food_Orders[[#This Row],[Food_ID]],Food_Catalog[[#All],[Food_ID]],Food_Catalog[[#All],[Price_Per_Unit]],0,0)</f>
        <v>3500</v>
      </c>
      <c r="H1730" cm="1">
        <f t="array" ref="H1730">Food_Orders[[#This Row],[Quantity_Orderd]]*_xlfn.XLOOKUP(Food_Orders[[#This Row],[Food_ID]],Food_Catalog[[#All],[Food_ID]],Food_Catalog[[#All],[Client_Price_Per_Unit]],0,0)</f>
        <v>4200</v>
      </c>
      <c r="I1730">
        <f>Food_Orders[[#This Row],[Client_Price]]-Food_Orders[[#This Row],[Cost]]</f>
        <v>700</v>
      </c>
    </row>
    <row r="1731" spans="1:9" x14ac:dyDescent="0.25">
      <c r="A1731">
        <v>75</v>
      </c>
      <c r="B1731" t="s">
        <v>108</v>
      </c>
      <c r="C1731" t="s">
        <v>105</v>
      </c>
      <c r="D1731" t="s">
        <v>109</v>
      </c>
      <c r="E1731" t="s">
        <v>107</v>
      </c>
      <c r="F1731" cm="1">
        <f t="array" ref="F1731">_xlfn.XLOOKUP(Food_Orders[[#This Row],[Event_No]],Event_Master[[#All],[Event_No]],Event_Master[[#All],[Guest_Count]],,0)</f>
        <v>350</v>
      </c>
      <c r="G1731" cm="1">
        <f t="array" ref="G1731">Food_Orders[[#This Row],[Quantity_Orderd]]*_xlfn.XLOOKUP(Food_Orders[[#This Row],[Food_ID]],Food_Catalog[[#All],[Food_ID]],Food_Catalog[[#All],[Price_Per_Unit]],0,0)</f>
        <v>5250</v>
      </c>
      <c r="H1731" cm="1">
        <f t="array" ref="H1731">Food_Orders[[#This Row],[Quantity_Orderd]]*_xlfn.XLOOKUP(Food_Orders[[#This Row],[Food_ID]],Food_Catalog[[#All],[Food_ID]],Food_Catalog[[#All],[Client_Price_Per_Unit]],0,0)</f>
        <v>6300</v>
      </c>
      <c r="I1731">
        <f>Food_Orders[[#This Row],[Client_Price]]-Food_Orders[[#This Row],[Cost]]</f>
        <v>1050</v>
      </c>
    </row>
    <row r="1732" spans="1:9" x14ac:dyDescent="0.25">
      <c r="A1732">
        <v>75</v>
      </c>
      <c r="B1732" t="s">
        <v>121</v>
      </c>
      <c r="C1732" t="s">
        <v>119</v>
      </c>
      <c r="D1732" t="s">
        <v>122</v>
      </c>
      <c r="E1732" t="s">
        <v>123</v>
      </c>
      <c r="F1732" cm="1">
        <f t="array" ref="F1732">_xlfn.XLOOKUP(Food_Orders[[#This Row],[Event_No]],Event_Master[[#All],[Event_No]],Event_Master[[#All],[Guest_Count]],,0)</f>
        <v>350</v>
      </c>
      <c r="G1732" cm="1">
        <f t="array" ref="G1732">Food_Orders[[#This Row],[Quantity_Orderd]]*_xlfn.XLOOKUP(Food_Orders[[#This Row],[Food_ID]],Food_Catalog[[#All],[Food_ID]],Food_Catalog[[#All],[Price_Per_Unit]],0,0)</f>
        <v>3500</v>
      </c>
      <c r="H1732" cm="1">
        <f t="array" ref="H1732">Food_Orders[[#This Row],[Quantity_Orderd]]*_xlfn.XLOOKUP(Food_Orders[[#This Row],[Food_ID]],Food_Catalog[[#All],[Food_ID]],Food_Catalog[[#All],[Client_Price_Per_Unit]],0,0)</f>
        <v>4200</v>
      </c>
      <c r="I1732">
        <f>Food_Orders[[#This Row],[Client_Price]]-Food_Orders[[#This Row],[Cost]]</f>
        <v>700</v>
      </c>
    </row>
    <row r="1733" spans="1:9" x14ac:dyDescent="0.25">
      <c r="A1733">
        <v>75</v>
      </c>
      <c r="B1733" t="s">
        <v>124</v>
      </c>
      <c r="C1733" t="s">
        <v>119</v>
      </c>
      <c r="D1733" t="s">
        <v>125</v>
      </c>
      <c r="E1733" t="s">
        <v>126</v>
      </c>
      <c r="F1733" cm="1">
        <f t="array" ref="F1733">_xlfn.XLOOKUP(Food_Orders[[#This Row],[Event_No]],Event_Master[[#All],[Event_No]],Event_Master[[#All],[Guest_Count]],,0)</f>
        <v>350</v>
      </c>
      <c r="G1733" cm="1">
        <f t="array" ref="G1733">Food_Orders[[#This Row],[Quantity_Orderd]]*_xlfn.XLOOKUP(Food_Orders[[#This Row],[Food_ID]],Food_Catalog[[#All],[Food_ID]],Food_Catalog[[#All],[Price_Per_Unit]],0,0)</f>
        <v>7000</v>
      </c>
      <c r="H1733" cm="1">
        <f t="array" ref="H1733">Food_Orders[[#This Row],[Quantity_Orderd]]*_xlfn.XLOOKUP(Food_Orders[[#This Row],[Food_ID]],Food_Catalog[[#All],[Food_ID]],Food_Catalog[[#All],[Client_Price_Per_Unit]],0,0)</f>
        <v>8400</v>
      </c>
      <c r="I1733">
        <f>Food_Orders[[#This Row],[Client_Price]]-Food_Orders[[#This Row],[Cost]]</f>
        <v>1400</v>
      </c>
    </row>
    <row r="1734" spans="1:9" x14ac:dyDescent="0.25">
      <c r="A1734">
        <v>75</v>
      </c>
      <c r="B1734" t="s">
        <v>127</v>
      </c>
      <c r="C1734" t="s">
        <v>119</v>
      </c>
      <c r="D1734" t="s">
        <v>128</v>
      </c>
      <c r="E1734" t="s">
        <v>107</v>
      </c>
      <c r="F1734" cm="1">
        <f t="array" ref="F1734">_xlfn.XLOOKUP(Food_Orders[[#This Row],[Event_No]],Event_Master[[#All],[Event_No]],Event_Master[[#All],[Guest_Count]],,0)</f>
        <v>350</v>
      </c>
      <c r="G1734" cm="1">
        <f t="array" ref="G1734">Food_Orders[[#This Row],[Quantity_Orderd]]*_xlfn.XLOOKUP(Food_Orders[[#This Row],[Food_ID]],Food_Catalog[[#All],[Food_ID]],Food_Catalog[[#All],[Price_Per_Unit]],0,0)</f>
        <v>7000</v>
      </c>
      <c r="H1734" cm="1">
        <f t="array" ref="H1734">Food_Orders[[#This Row],[Quantity_Orderd]]*_xlfn.XLOOKUP(Food_Orders[[#This Row],[Food_ID]],Food_Catalog[[#All],[Food_ID]],Food_Catalog[[#All],[Client_Price_Per_Unit]],0,0)</f>
        <v>8400</v>
      </c>
      <c r="I1734">
        <f>Food_Orders[[#This Row],[Client_Price]]-Food_Orders[[#This Row],[Cost]]</f>
        <v>1400</v>
      </c>
    </row>
    <row r="1735" spans="1:9" x14ac:dyDescent="0.25">
      <c r="A1735">
        <v>75</v>
      </c>
      <c r="B1735" t="s">
        <v>63</v>
      </c>
      <c r="C1735" t="s">
        <v>61</v>
      </c>
      <c r="D1735" t="s">
        <v>64</v>
      </c>
      <c r="E1735" t="s">
        <v>10</v>
      </c>
      <c r="F1735" cm="1">
        <f t="array" ref="F1735">_xlfn.XLOOKUP(Food_Orders[[#This Row],[Event_No]],Event_Master[[#All],[Event_No]],Event_Master[[#All],[Guest_Count]],,0)</f>
        <v>350</v>
      </c>
      <c r="G1735" cm="1">
        <f t="array" ref="G1735">Food_Orders[[#This Row],[Quantity_Orderd]]*_xlfn.XLOOKUP(Food_Orders[[#This Row],[Food_ID]],Food_Catalog[[#All],[Food_ID]],Food_Catalog[[#All],[Price_Per_Unit]],0,0)</f>
        <v>10500</v>
      </c>
      <c r="H1735" cm="1">
        <f t="array" ref="H1735">Food_Orders[[#This Row],[Quantity_Orderd]]*_xlfn.XLOOKUP(Food_Orders[[#This Row],[Food_ID]],Food_Catalog[[#All],[Food_ID]],Food_Catalog[[#All],[Client_Price_Per_Unit]],0,0)</f>
        <v>12600</v>
      </c>
      <c r="I1735">
        <f>Food_Orders[[#This Row],[Client_Price]]-Food_Orders[[#This Row],[Cost]]</f>
        <v>2100</v>
      </c>
    </row>
    <row r="1736" spans="1:9" x14ac:dyDescent="0.25">
      <c r="A1736">
        <v>75</v>
      </c>
      <c r="B1736" t="s">
        <v>71</v>
      </c>
      <c r="C1736" t="s">
        <v>61</v>
      </c>
      <c r="D1736" t="s">
        <v>72</v>
      </c>
      <c r="E1736" t="s">
        <v>10</v>
      </c>
      <c r="F1736" cm="1">
        <f t="array" ref="F1736">_xlfn.XLOOKUP(Food_Orders[[#This Row],[Event_No]],Event_Master[[#All],[Event_No]],Event_Master[[#All],[Guest_Count]],,0)</f>
        <v>350</v>
      </c>
      <c r="G1736" cm="1">
        <f t="array" ref="G1736">Food_Orders[[#This Row],[Quantity_Orderd]]*_xlfn.XLOOKUP(Food_Orders[[#This Row],[Food_ID]],Food_Catalog[[#All],[Food_ID]],Food_Catalog[[#All],[Price_Per_Unit]],0,0)</f>
        <v>8750</v>
      </c>
      <c r="H1736" cm="1">
        <f t="array" ref="H1736">Food_Orders[[#This Row],[Quantity_Orderd]]*_xlfn.XLOOKUP(Food_Orders[[#This Row],[Food_ID]],Food_Catalog[[#All],[Food_ID]],Food_Catalog[[#All],[Client_Price_Per_Unit]],0,0)</f>
        <v>10500</v>
      </c>
      <c r="I1736">
        <f>Food_Orders[[#This Row],[Client_Price]]-Food_Orders[[#This Row],[Cost]]</f>
        <v>1750</v>
      </c>
    </row>
    <row r="1737" spans="1:9" x14ac:dyDescent="0.25">
      <c r="A1737">
        <v>75</v>
      </c>
      <c r="B1737" t="s">
        <v>29</v>
      </c>
      <c r="C1737" t="s">
        <v>8</v>
      </c>
      <c r="D1737" t="s">
        <v>30</v>
      </c>
      <c r="E1737" t="s">
        <v>10</v>
      </c>
      <c r="F1737" cm="1">
        <f t="array" ref="F1737">_xlfn.XLOOKUP(Food_Orders[[#This Row],[Event_No]],Event_Master[[#All],[Event_No]],Event_Master[[#All],[Guest_Count]],,0)</f>
        <v>350</v>
      </c>
      <c r="G1737" cm="1">
        <f t="array" ref="G1737">Food_Orders[[#This Row],[Quantity_Orderd]]*_xlfn.XLOOKUP(Food_Orders[[#This Row],[Food_ID]],Food_Catalog[[#All],[Food_ID]],Food_Catalog[[#All],[Price_Per_Unit]],0,0)</f>
        <v>10500</v>
      </c>
      <c r="H1737" cm="1">
        <f t="array" ref="H1737">Food_Orders[[#This Row],[Quantity_Orderd]]*_xlfn.XLOOKUP(Food_Orders[[#This Row],[Food_ID]],Food_Catalog[[#All],[Food_ID]],Food_Catalog[[#All],[Client_Price_Per_Unit]],0,0)</f>
        <v>12600</v>
      </c>
      <c r="I1737">
        <f>Food_Orders[[#This Row],[Client_Price]]-Food_Orders[[#This Row],[Cost]]</f>
        <v>2100</v>
      </c>
    </row>
    <row r="1738" spans="1:9" x14ac:dyDescent="0.25">
      <c r="A1738">
        <v>75</v>
      </c>
      <c r="B1738" t="s">
        <v>37</v>
      </c>
      <c r="C1738" t="s">
        <v>8</v>
      </c>
      <c r="D1738" t="s">
        <v>38</v>
      </c>
      <c r="E1738" t="s">
        <v>10</v>
      </c>
      <c r="F1738" cm="1">
        <f t="array" ref="F1738">_xlfn.XLOOKUP(Food_Orders[[#This Row],[Event_No]],Event_Master[[#All],[Event_No]],Event_Master[[#All],[Guest_Count]],,0)</f>
        <v>350</v>
      </c>
      <c r="G1738" cm="1">
        <f t="array" ref="G1738">Food_Orders[[#This Row],[Quantity_Orderd]]*_xlfn.XLOOKUP(Food_Orders[[#This Row],[Food_ID]],Food_Catalog[[#All],[Food_ID]],Food_Catalog[[#All],[Price_Per_Unit]],0,0)</f>
        <v>8750</v>
      </c>
      <c r="H1738" cm="1">
        <f t="array" ref="H1738">Food_Orders[[#This Row],[Quantity_Orderd]]*_xlfn.XLOOKUP(Food_Orders[[#This Row],[Food_ID]],Food_Catalog[[#All],[Food_ID]],Food_Catalog[[#All],[Client_Price_Per_Unit]],0,0)</f>
        <v>10500</v>
      </c>
      <c r="I1738">
        <f>Food_Orders[[#This Row],[Client_Price]]-Food_Orders[[#This Row],[Cost]]</f>
        <v>1750</v>
      </c>
    </row>
    <row r="1739" spans="1:9" x14ac:dyDescent="0.25">
      <c r="A1739">
        <v>75</v>
      </c>
      <c r="B1739" t="s">
        <v>92</v>
      </c>
      <c r="C1739" t="s">
        <v>83</v>
      </c>
      <c r="D1739" t="s">
        <v>93</v>
      </c>
      <c r="E1739" t="s">
        <v>85</v>
      </c>
      <c r="F1739" cm="1">
        <f t="array" ref="F1739">_xlfn.XLOOKUP(Food_Orders[[#This Row],[Event_No]],Event_Master[[#All],[Event_No]],Event_Master[[#All],[Guest_Count]],,0)</f>
        <v>350</v>
      </c>
      <c r="G1739" cm="1">
        <f t="array" ref="G1739">Food_Orders[[#This Row],[Quantity_Orderd]]*_xlfn.XLOOKUP(Food_Orders[[#This Row],[Food_ID]],Food_Catalog[[#All],[Food_ID]],Food_Catalog[[#All],[Price_Per_Unit]],0,0)</f>
        <v>5250</v>
      </c>
      <c r="H1739" cm="1">
        <f t="array" ref="H1739">Food_Orders[[#This Row],[Quantity_Orderd]]*_xlfn.XLOOKUP(Food_Orders[[#This Row],[Food_ID]],Food_Catalog[[#All],[Food_ID]],Food_Catalog[[#All],[Client_Price_Per_Unit]],0,0)</f>
        <v>6300</v>
      </c>
      <c r="I1739">
        <f>Food_Orders[[#This Row],[Client_Price]]-Food_Orders[[#This Row],[Cost]]</f>
        <v>1050</v>
      </c>
    </row>
    <row r="1740" spans="1:9" x14ac:dyDescent="0.25">
      <c r="A1740">
        <v>75</v>
      </c>
      <c r="B1740" t="s">
        <v>96</v>
      </c>
      <c r="C1740" t="s">
        <v>83</v>
      </c>
      <c r="D1740" t="s">
        <v>97</v>
      </c>
      <c r="E1740" t="s">
        <v>79</v>
      </c>
      <c r="F1740" cm="1">
        <f t="array" ref="F1740">_xlfn.XLOOKUP(Food_Orders[[#This Row],[Event_No]],Event_Master[[#All],[Event_No]],Event_Master[[#All],[Guest_Count]],,0)</f>
        <v>350</v>
      </c>
      <c r="G1740" cm="1">
        <f t="array" ref="G1740">Food_Orders[[#This Row],[Quantity_Orderd]]*_xlfn.XLOOKUP(Food_Orders[[#This Row],[Food_ID]],Food_Catalog[[#All],[Food_ID]],Food_Catalog[[#All],[Price_Per_Unit]],0,0)</f>
        <v>10500</v>
      </c>
      <c r="H1740" cm="1">
        <f t="array" ref="H1740">Food_Orders[[#This Row],[Quantity_Orderd]]*_xlfn.XLOOKUP(Food_Orders[[#This Row],[Food_ID]],Food_Catalog[[#All],[Food_ID]],Food_Catalog[[#All],[Client_Price_Per_Unit]],0,0)</f>
        <v>12600</v>
      </c>
      <c r="I1740">
        <f>Food_Orders[[#This Row],[Client_Price]]-Food_Orders[[#This Row],[Cost]]</f>
        <v>2100</v>
      </c>
    </row>
    <row r="1741" spans="1:9" x14ac:dyDescent="0.25">
      <c r="A1741">
        <v>76</v>
      </c>
      <c r="B1741" t="s">
        <v>63</v>
      </c>
      <c r="C1741" t="s">
        <v>61</v>
      </c>
      <c r="D1741" t="s">
        <v>64</v>
      </c>
      <c r="E1741" t="s">
        <v>10</v>
      </c>
      <c r="F1741" cm="1">
        <f t="array" ref="F1741">_xlfn.XLOOKUP(Food_Orders[[#This Row],[Event_No]],Event_Master[[#All],[Event_No]],Event_Master[[#All],[Guest_Count]],,0)</f>
        <v>900</v>
      </c>
      <c r="G1741" cm="1">
        <f t="array" ref="G1741">Food_Orders[[#This Row],[Quantity_Orderd]]*_xlfn.XLOOKUP(Food_Orders[[#This Row],[Food_ID]],Food_Catalog[[#All],[Food_ID]],Food_Catalog[[#All],[Price_Per_Unit]],0,0)</f>
        <v>27000</v>
      </c>
      <c r="H1741" cm="1">
        <f t="array" ref="H1741">Food_Orders[[#This Row],[Quantity_Orderd]]*_xlfn.XLOOKUP(Food_Orders[[#This Row],[Food_ID]],Food_Catalog[[#All],[Food_ID]],Food_Catalog[[#All],[Client_Price_Per_Unit]],0,0)</f>
        <v>32400</v>
      </c>
      <c r="I1741">
        <f>Food_Orders[[#This Row],[Client_Price]]-Food_Orders[[#This Row],[Cost]]</f>
        <v>5400</v>
      </c>
    </row>
    <row r="1742" spans="1:9" x14ac:dyDescent="0.25">
      <c r="A1742">
        <v>76</v>
      </c>
      <c r="B1742" t="s">
        <v>71</v>
      </c>
      <c r="C1742" t="s">
        <v>61</v>
      </c>
      <c r="D1742" t="s">
        <v>72</v>
      </c>
      <c r="E1742" t="s">
        <v>10</v>
      </c>
      <c r="F1742" cm="1">
        <f t="array" ref="F1742">_xlfn.XLOOKUP(Food_Orders[[#This Row],[Event_No]],Event_Master[[#All],[Event_No]],Event_Master[[#All],[Guest_Count]],,0)</f>
        <v>900</v>
      </c>
      <c r="G1742" cm="1">
        <f t="array" ref="G1742">Food_Orders[[#This Row],[Quantity_Orderd]]*_xlfn.XLOOKUP(Food_Orders[[#This Row],[Food_ID]],Food_Catalog[[#All],[Food_ID]],Food_Catalog[[#All],[Price_Per_Unit]],0,0)</f>
        <v>22500</v>
      </c>
      <c r="H1742" cm="1">
        <f t="array" ref="H1742">Food_Orders[[#This Row],[Quantity_Orderd]]*_xlfn.XLOOKUP(Food_Orders[[#This Row],[Food_ID]],Food_Catalog[[#All],[Food_ID]],Food_Catalog[[#All],[Client_Price_Per_Unit]],0,0)</f>
        <v>27000</v>
      </c>
      <c r="I1742">
        <f>Food_Orders[[#This Row],[Client_Price]]-Food_Orders[[#This Row],[Cost]]</f>
        <v>4500</v>
      </c>
    </row>
    <row r="1743" spans="1:9" x14ac:dyDescent="0.25">
      <c r="A1743">
        <v>76</v>
      </c>
      <c r="B1743" t="s">
        <v>77</v>
      </c>
      <c r="C1743" t="s">
        <v>61</v>
      </c>
      <c r="D1743" t="s">
        <v>78</v>
      </c>
      <c r="E1743" t="s">
        <v>79</v>
      </c>
      <c r="F1743" cm="1">
        <f t="array" ref="F1743">_xlfn.XLOOKUP(Food_Orders[[#This Row],[Event_No]],Event_Master[[#All],[Event_No]],Event_Master[[#All],[Guest_Count]],,0)</f>
        <v>900</v>
      </c>
      <c r="G1743" cm="1">
        <f t="array" ref="G1743">Food_Orders[[#This Row],[Quantity_Orderd]]*_xlfn.XLOOKUP(Food_Orders[[#This Row],[Food_ID]],Food_Catalog[[#All],[Food_ID]],Food_Catalog[[#All],[Price_Per_Unit]],0,0)</f>
        <v>31500</v>
      </c>
      <c r="H1743" cm="1">
        <f t="array" ref="H1743">Food_Orders[[#This Row],[Quantity_Orderd]]*_xlfn.XLOOKUP(Food_Orders[[#This Row],[Food_ID]],Food_Catalog[[#All],[Food_ID]],Food_Catalog[[#All],[Client_Price_Per_Unit]],0,0)</f>
        <v>37800</v>
      </c>
      <c r="I1743">
        <f>Food_Orders[[#This Row],[Client_Price]]-Food_Orders[[#This Row],[Cost]]</f>
        <v>6300</v>
      </c>
    </row>
    <row r="1744" spans="1:9" x14ac:dyDescent="0.25">
      <c r="A1744">
        <v>76</v>
      </c>
      <c r="B1744" t="s">
        <v>7</v>
      </c>
      <c r="C1744" t="s">
        <v>8</v>
      </c>
      <c r="D1744" t="s">
        <v>9</v>
      </c>
      <c r="E1744" t="s">
        <v>10</v>
      </c>
      <c r="F1744" cm="1">
        <f t="array" ref="F1744">_xlfn.XLOOKUP(Food_Orders[[#This Row],[Event_No]],Event_Master[[#All],[Event_No]],Event_Master[[#All],[Guest_Count]],,0)</f>
        <v>900</v>
      </c>
      <c r="G1744" cm="1">
        <f t="array" ref="G1744">Food_Orders[[#This Row],[Quantity_Orderd]]*_xlfn.XLOOKUP(Food_Orders[[#This Row],[Food_ID]],Food_Catalog[[#All],[Food_ID]],Food_Catalog[[#All],[Price_Per_Unit]],0,0)</f>
        <v>22500</v>
      </c>
      <c r="H1744" cm="1">
        <f t="array" ref="H1744">Food_Orders[[#This Row],[Quantity_Orderd]]*_xlfn.XLOOKUP(Food_Orders[[#This Row],[Food_ID]],Food_Catalog[[#All],[Food_ID]],Food_Catalog[[#All],[Client_Price_Per_Unit]],0,0)</f>
        <v>27000</v>
      </c>
      <c r="I1744">
        <f>Food_Orders[[#This Row],[Client_Price]]-Food_Orders[[#This Row],[Cost]]</f>
        <v>4500</v>
      </c>
    </row>
    <row r="1745" spans="1:9" x14ac:dyDescent="0.25">
      <c r="A1745">
        <v>76</v>
      </c>
      <c r="B1745" t="s">
        <v>13</v>
      </c>
      <c r="C1745" t="s">
        <v>8</v>
      </c>
      <c r="D1745" t="s">
        <v>14</v>
      </c>
      <c r="E1745" t="s">
        <v>10</v>
      </c>
      <c r="F1745" cm="1">
        <f t="array" ref="F1745">_xlfn.XLOOKUP(Food_Orders[[#This Row],[Event_No]],Event_Master[[#All],[Event_No]],Event_Master[[#All],[Guest_Count]],,0)</f>
        <v>900</v>
      </c>
      <c r="G1745" cm="1">
        <f t="array" ref="G1745">Food_Orders[[#This Row],[Quantity_Orderd]]*_xlfn.XLOOKUP(Food_Orders[[#This Row],[Food_ID]],Food_Catalog[[#All],[Food_ID]],Food_Catalog[[#All],[Price_Per_Unit]],0,0)</f>
        <v>31500</v>
      </c>
      <c r="H1745" cm="1">
        <f t="array" ref="H1745">Food_Orders[[#This Row],[Quantity_Orderd]]*_xlfn.XLOOKUP(Food_Orders[[#This Row],[Food_ID]],Food_Catalog[[#All],[Food_ID]],Food_Catalog[[#All],[Client_Price_Per_Unit]],0,0)</f>
        <v>37800</v>
      </c>
      <c r="I1745">
        <f>Food_Orders[[#This Row],[Client_Price]]-Food_Orders[[#This Row],[Cost]]</f>
        <v>6300</v>
      </c>
    </row>
    <row r="1746" spans="1:9" x14ac:dyDescent="0.25">
      <c r="A1746">
        <v>76</v>
      </c>
      <c r="B1746" t="s">
        <v>31</v>
      </c>
      <c r="C1746" t="s">
        <v>8</v>
      </c>
      <c r="D1746" t="s">
        <v>32</v>
      </c>
      <c r="E1746" t="s">
        <v>10</v>
      </c>
      <c r="F1746" cm="1">
        <f t="array" ref="F1746">_xlfn.XLOOKUP(Food_Orders[[#This Row],[Event_No]],Event_Master[[#All],[Event_No]],Event_Master[[#All],[Guest_Count]],,0)</f>
        <v>900</v>
      </c>
      <c r="G1746" cm="1">
        <f t="array" ref="G1746">Food_Orders[[#This Row],[Quantity_Orderd]]*_xlfn.XLOOKUP(Food_Orders[[#This Row],[Food_ID]],Food_Catalog[[#All],[Food_ID]],Food_Catalog[[#All],[Price_Per_Unit]],0,0)</f>
        <v>27000</v>
      </c>
      <c r="H1746" cm="1">
        <f t="array" ref="H1746">Food_Orders[[#This Row],[Quantity_Orderd]]*_xlfn.XLOOKUP(Food_Orders[[#This Row],[Food_ID]],Food_Catalog[[#All],[Food_ID]],Food_Catalog[[#All],[Client_Price_Per_Unit]],0,0)</f>
        <v>32400</v>
      </c>
      <c r="I1746">
        <f>Food_Orders[[#This Row],[Client_Price]]-Food_Orders[[#This Row],[Cost]]</f>
        <v>5400</v>
      </c>
    </row>
    <row r="1747" spans="1:9" x14ac:dyDescent="0.25">
      <c r="A1747">
        <v>76</v>
      </c>
      <c r="B1747" t="s">
        <v>29</v>
      </c>
      <c r="C1747" t="s">
        <v>8</v>
      </c>
      <c r="D1747" t="s">
        <v>30</v>
      </c>
      <c r="E1747" t="s">
        <v>10</v>
      </c>
      <c r="F1747" cm="1">
        <f t="array" ref="F1747">_xlfn.XLOOKUP(Food_Orders[[#This Row],[Event_No]],Event_Master[[#All],[Event_No]],Event_Master[[#All],[Guest_Count]],,0)</f>
        <v>900</v>
      </c>
      <c r="G1747" cm="1">
        <f t="array" ref="G1747">Food_Orders[[#This Row],[Quantity_Orderd]]*_xlfn.XLOOKUP(Food_Orders[[#This Row],[Food_ID]],Food_Catalog[[#All],[Food_ID]],Food_Catalog[[#All],[Price_Per_Unit]],0,0)</f>
        <v>27000</v>
      </c>
      <c r="H1747" cm="1">
        <f t="array" ref="H1747">Food_Orders[[#This Row],[Quantity_Orderd]]*_xlfn.XLOOKUP(Food_Orders[[#This Row],[Food_ID]],Food_Catalog[[#All],[Food_ID]],Food_Catalog[[#All],[Client_Price_Per_Unit]],0,0)</f>
        <v>32400</v>
      </c>
      <c r="I1747">
        <f>Food_Orders[[#This Row],[Client_Price]]-Food_Orders[[#This Row],[Cost]]</f>
        <v>5400</v>
      </c>
    </row>
    <row r="1748" spans="1:9" x14ac:dyDescent="0.25">
      <c r="A1748">
        <v>76</v>
      </c>
      <c r="B1748" t="s">
        <v>37</v>
      </c>
      <c r="C1748" t="s">
        <v>8</v>
      </c>
      <c r="D1748" t="s">
        <v>38</v>
      </c>
      <c r="E1748" t="s">
        <v>10</v>
      </c>
      <c r="F1748" cm="1">
        <f t="array" ref="F1748">_xlfn.XLOOKUP(Food_Orders[[#This Row],[Event_No]],Event_Master[[#All],[Event_No]],Event_Master[[#All],[Guest_Count]],,0)</f>
        <v>900</v>
      </c>
      <c r="G1748" cm="1">
        <f t="array" ref="G1748">Food_Orders[[#This Row],[Quantity_Orderd]]*_xlfn.XLOOKUP(Food_Orders[[#This Row],[Food_ID]],Food_Catalog[[#All],[Food_ID]],Food_Catalog[[#All],[Price_Per_Unit]],0,0)</f>
        <v>22500</v>
      </c>
      <c r="H1748" cm="1">
        <f t="array" ref="H1748">Food_Orders[[#This Row],[Quantity_Orderd]]*_xlfn.XLOOKUP(Food_Orders[[#This Row],[Food_ID]],Food_Catalog[[#All],[Food_ID]],Food_Catalog[[#All],[Client_Price_Per_Unit]],0,0)</f>
        <v>27000</v>
      </c>
      <c r="I1748">
        <f>Food_Orders[[#This Row],[Client_Price]]-Food_Orders[[#This Row],[Cost]]</f>
        <v>4500</v>
      </c>
    </row>
    <row r="1749" spans="1:9" x14ac:dyDescent="0.25">
      <c r="A1749">
        <v>76</v>
      </c>
      <c r="B1749" t="s">
        <v>82</v>
      </c>
      <c r="C1749" t="s">
        <v>83</v>
      </c>
      <c r="D1749" t="s">
        <v>84</v>
      </c>
      <c r="E1749" t="s">
        <v>85</v>
      </c>
      <c r="F1749" cm="1">
        <f t="array" ref="F1749">_xlfn.XLOOKUP(Food_Orders[[#This Row],[Event_No]],Event_Master[[#All],[Event_No]],Event_Master[[#All],[Guest_Count]],,0)</f>
        <v>900</v>
      </c>
      <c r="G1749" cm="1">
        <f t="array" ref="G1749">Food_Orders[[#This Row],[Quantity_Orderd]]*_xlfn.XLOOKUP(Food_Orders[[#This Row],[Food_ID]],Food_Catalog[[#All],[Food_ID]],Food_Catalog[[#All],[Price_Per_Unit]],0,0)</f>
        <v>18000</v>
      </c>
      <c r="H1749" cm="1">
        <f t="array" ref="H1749">Food_Orders[[#This Row],[Quantity_Orderd]]*_xlfn.XLOOKUP(Food_Orders[[#This Row],[Food_ID]],Food_Catalog[[#All],[Food_ID]],Food_Catalog[[#All],[Client_Price_Per_Unit]],0,0)</f>
        <v>21600</v>
      </c>
      <c r="I1749">
        <f>Food_Orders[[#This Row],[Client_Price]]-Food_Orders[[#This Row],[Cost]]</f>
        <v>3600</v>
      </c>
    </row>
    <row r="1750" spans="1:9" x14ac:dyDescent="0.25">
      <c r="A1750">
        <v>76</v>
      </c>
      <c r="B1750" t="s">
        <v>86</v>
      </c>
      <c r="C1750" t="s">
        <v>83</v>
      </c>
      <c r="D1750" t="s">
        <v>87</v>
      </c>
      <c r="E1750" t="s">
        <v>85</v>
      </c>
      <c r="F1750" cm="1">
        <f t="array" ref="F1750">_xlfn.XLOOKUP(Food_Orders[[#This Row],[Event_No]],Event_Master[[#All],[Event_No]],Event_Master[[#All],[Guest_Count]],,0)</f>
        <v>900</v>
      </c>
      <c r="G1750" cm="1">
        <f t="array" ref="G1750">Food_Orders[[#This Row],[Quantity_Orderd]]*_xlfn.XLOOKUP(Food_Orders[[#This Row],[Food_ID]],Food_Catalog[[#All],[Food_ID]],Food_Catalog[[#All],[Price_Per_Unit]],0,0)</f>
        <v>18000</v>
      </c>
      <c r="H1750" cm="1">
        <f t="array" ref="H1750">Food_Orders[[#This Row],[Quantity_Orderd]]*_xlfn.XLOOKUP(Food_Orders[[#This Row],[Food_ID]],Food_Catalog[[#All],[Food_ID]],Food_Catalog[[#All],[Client_Price_Per_Unit]],0,0)</f>
        <v>21600</v>
      </c>
      <c r="I1750">
        <f>Food_Orders[[#This Row],[Client_Price]]-Food_Orders[[#This Row],[Cost]]</f>
        <v>3600</v>
      </c>
    </row>
    <row r="1751" spans="1:9" x14ac:dyDescent="0.25">
      <c r="A1751">
        <v>76</v>
      </c>
      <c r="B1751" t="s">
        <v>96</v>
      </c>
      <c r="C1751" t="s">
        <v>83</v>
      </c>
      <c r="D1751" t="s">
        <v>97</v>
      </c>
      <c r="E1751" t="s">
        <v>79</v>
      </c>
      <c r="F1751" cm="1">
        <f t="array" ref="F1751">_xlfn.XLOOKUP(Food_Orders[[#This Row],[Event_No]],Event_Master[[#All],[Event_No]],Event_Master[[#All],[Guest_Count]],,0)</f>
        <v>900</v>
      </c>
      <c r="G1751" cm="1">
        <f t="array" ref="G1751">Food_Orders[[#This Row],[Quantity_Orderd]]*_xlfn.XLOOKUP(Food_Orders[[#This Row],[Food_ID]],Food_Catalog[[#All],[Food_ID]],Food_Catalog[[#All],[Price_Per_Unit]],0,0)</f>
        <v>27000</v>
      </c>
      <c r="H1751" cm="1">
        <f t="array" ref="H1751">Food_Orders[[#This Row],[Quantity_Orderd]]*_xlfn.XLOOKUP(Food_Orders[[#This Row],[Food_ID]],Food_Catalog[[#All],[Food_ID]],Food_Catalog[[#All],[Client_Price_Per_Unit]],0,0)</f>
        <v>32400</v>
      </c>
      <c r="I1751">
        <f>Food_Orders[[#This Row],[Client_Price]]-Food_Orders[[#This Row],[Cost]]</f>
        <v>5400</v>
      </c>
    </row>
    <row r="1752" spans="1:9" x14ac:dyDescent="0.25">
      <c r="A1752">
        <v>76</v>
      </c>
      <c r="B1752" t="s">
        <v>104</v>
      </c>
      <c r="C1752" t="s">
        <v>105</v>
      </c>
      <c r="D1752" t="s">
        <v>106</v>
      </c>
      <c r="E1752" t="s">
        <v>107</v>
      </c>
      <c r="F1752" cm="1">
        <f t="array" ref="F1752">_xlfn.XLOOKUP(Food_Orders[[#This Row],[Event_No]],Event_Master[[#All],[Event_No]],Event_Master[[#All],[Guest_Count]],,0)</f>
        <v>900</v>
      </c>
      <c r="G1752" cm="1">
        <f t="array" ref="G1752">Food_Orders[[#This Row],[Quantity_Orderd]]*_xlfn.XLOOKUP(Food_Orders[[#This Row],[Food_ID]],Food_Catalog[[#All],[Food_ID]],Food_Catalog[[#All],[Price_Per_Unit]],0,0)</f>
        <v>9000</v>
      </c>
      <c r="H1752" cm="1">
        <f t="array" ref="H1752">Food_Orders[[#This Row],[Quantity_Orderd]]*_xlfn.XLOOKUP(Food_Orders[[#This Row],[Food_ID]],Food_Catalog[[#All],[Food_ID]],Food_Catalog[[#All],[Client_Price_Per_Unit]],0,0)</f>
        <v>10800</v>
      </c>
      <c r="I1752">
        <f>Food_Orders[[#This Row],[Client_Price]]-Food_Orders[[#This Row],[Cost]]</f>
        <v>1800</v>
      </c>
    </row>
    <row r="1753" spans="1:9" x14ac:dyDescent="0.25">
      <c r="A1753">
        <v>76</v>
      </c>
      <c r="B1753" t="s">
        <v>118</v>
      </c>
      <c r="C1753" t="s">
        <v>119</v>
      </c>
      <c r="D1753" t="s">
        <v>120</v>
      </c>
      <c r="E1753" t="s">
        <v>112</v>
      </c>
      <c r="F1753" cm="1">
        <f t="array" ref="F1753">_xlfn.XLOOKUP(Food_Orders[[#This Row],[Event_No]],Event_Master[[#All],[Event_No]],Event_Master[[#All],[Guest_Count]],,0)</f>
        <v>900</v>
      </c>
      <c r="G1753" cm="1">
        <f t="array" ref="G1753">Food_Orders[[#This Row],[Quantity_Orderd]]*_xlfn.XLOOKUP(Food_Orders[[#This Row],[Food_ID]],Food_Catalog[[#All],[Food_ID]],Food_Catalog[[#All],[Price_Per_Unit]],0,0)</f>
        <v>9000</v>
      </c>
      <c r="H1753" cm="1">
        <f t="array" ref="H1753">Food_Orders[[#This Row],[Quantity_Orderd]]*_xlfn.XLOOKUP(Food_Orders[[#This Row],[Food_ID]],Food_Catalog[[#All],[Food_ID]],Food_Catalog[[#All],[Client_Price_Per_Unit]],0,0)</f>
        <v>10800</v>
      </c>
      <c r="I1753">
        <f>Food_Orders[[#This Row],[Client_Price]]-Food_Orders[[#This Row],[Cost]]</f>
        <v>1800</v>
      </c>
    </row>
    <row r="1754" spans="1:9" x14ac:dyDescent="0.25">
      <c r="A1754">
        <v>76</v>
      </c>
      <c r="B1754" t="s">
        <v>129</v>
      </c>
      <c r="C1754" t="s">
        <v>119</v>
      </c>
      <c r="D1754" t="s">
        <v>130</v>
      </c>
      <c r="E1754" t="s">
        <v>112</v>
      </c>
      <c r="F1754" cm="1">
        <f t="array" ref="F1754">_xlfn.XLOOKUP(Food_Orders[[#This Row],[Event_No]],Event_Master[[#All],[Event_No]],Event_Master[[#All],[Guest_Count]],,0)</f>
        <v>900</v>
      </c>
      <c r="G1754" cm="1">
        <f t="array" ref="G1754">Food_Orders[[#This Row],[Quantity_Orderd]]*_xlfn.XLOOKUP(Food_Orders[[#This Row],[Food_ID]],Food_Catalog[[#All],[Food_ID]],Food_Catalog[[#All],[Price_Per_Unit]],0,0)</f>
        <v>9000</v>
      </c>
      <c r="H1754" cm="1">
        <f t="array" ref="H1754">Food_Orders[[#This Row],[Quantity_Orderd]]*_xlfn.XLOOKUP(Food_Orders[[#This Row],[Food_ID]],Food_Catalog[[#All],[Food_ID]],Food_Catalog[[#All],[Client_Price_Per_Unit]],0,0)</f>
        <v>10800</v>
      </c>
      <c r="I1754">
        <f>Food_Orders[[#This Row],[Client_Price]]-Food_Orders[[#This Row],[Cost]]</f>
        <v>1800</v>
      </c>
    </row>
    <row r="1755" spans="1:9" x14ac:dyDescent="0.25">
      <c r="A1755">
        <v>77</v>
      </c>
      <c r="B1755" t="s">
        <v>63</v>
      </c>
      <c r="C1755" t="s">
        <v>61</v>
      </c>
      <c r="D1755" t="s">
        <v>64</v>
      </c>
      <c r="E1755" t="s">
        <v>10</v>
      </c>
      <c r="F1755" cm="1">
        <f t="array" ref="F1755">_xlfn.XLOOKUP(Food_Orders[[#This Row],[Event_No]],Event_Master[[#All],[Event_No]],Event_Master[[#All],[Guest_Count]],,0)</f>
        <v>700</v>
      </c>
      <c r="G1755" cm="1">
        <f t="array" ref="G1755">Food_Orders[[#This Row],[Quantity_Orderd]]*_xlfn.XLOOKUP(Food_Orders[[#This Row],[Food_ID]],Food_Catalog[[#All],[Food_ID]],Food_Catalog[[#All],[Price_Per_Unit]],0,0)</f>
        <v>21000</v>
      </c>
      <c r="H1755" cm="1">
        <f t="array" ref="H1755">Food_Orders[[#This Row],[Quantity_Orderd]]*_xlfn.XLOOKUP(Food_Orders[[#This Row],[Food_ID]],Food_Catalog[[#All],[Food_ID]],Food_Catalog[[#All],[Client_Price_Per_Unit]],0,0)</f>
        <v>25200</v>
      </c>
      <c r="I1755">
        <f>Food_Orders[[#This Row],[Client_Price]]-Food_Orders[[#This Row],[Cost]]</f>
        <v>4200</v>
      </c>
    </row>
    <row r="1756" spans="1:9" x14ac:dyDescent="0.25">
      <c r="A1756">
        <v>77</v>
      </c>
      <c r="B1756" t="s">
        <v>71</v>
      </c>
      <c r="C1756" t="s">
        <v>61</v>
      </c>
      <c r="D1756" t="s">
        <v>72</v>
      </c>
      <c r="E1756" t="s">
        <v>10</v>
      </c>
      <c r="F1756" cm="1">
        <f t="array" ref="F1756">_xlfn.XLOOKUP(Food_Orders[[#This Row],[Event_No]],Event_Master[[#All],[Event_No]],Event_Master[[#All],[Guest_Count]],,0)</f>
        <v>700</v>
      </c>
      <c r="G1756" cm="1">
        <f t="array" ref="G1756">Food_Orders[[#This Row],[Quantity_Orderd]]*_xlfn.XLOOKUP(Food_Orders[[#This Row],[Food_ID]],Food_Catalog[[#All],[Food_ID]],Food_Catalog[[#All],[Price_Per_Unit]],0,0)</f>
        <v>17500</v>
      </c>
      <c r="H1756" cm="1">
        <f t="array" ref="H1756">Food_Orders[[#This Row],[Quantity_Orderd]]*_xlfn.XLOOKUP(Food_Orders[[#This Row],[Food_ID]],Food_Catalog[[#All],[Food_ID]],Food_Catalog[[#All],[Client_Price_Per_Unit]],0,0)</f>
        <v>21000</v>
      </c>
      <c r="I1756">
        <f>Food_Orders[[#This Row],[Client_Price]]-Food_Orders[[#This Row],[Cost]]</f>
        <v>3500</v>
      </c>
    </row>
    <row r="1757" spans="1:9" x14ac:dyDescent="0.25">
      <c r="A1757">
        <v>77</v>
      </c>
      <c r="B1757" t="s">
        <v>77</v>
      </c>
      <c r="C1757" t="s">
        <v>61</v>
      </c>
      <c r="D1757" t="s">
        <v>78</v>
      </c>
      <c r="E1757" t="s">
        <v>79</v>
      </c>
      <c r="F1757" cm="1">
        <f t="array" ref="F1757">_xlfn.XLOOKUP(Food_Orders[[#This Row],[Event_No]],Event_Master[[#All],[Event_No]],Event_Master[[#All],[Guest_Count]],,0)</f>
        <v>700</v>
      </c>
      <c r="G1757" cm="1">
        <f t="array" ref="G1757">Food_Orders[[#This Row],[Quantity_Orderd]]*_xlfn.XLOOKUP(Food_Orders[[#This Row],[Food_ID]],Food_Catalog[[#All],[Food_ID]],Food_Catalog[[#All],[Price_Per_Unit]],0,0)</f>
        <v>24500</v>
      </c>
      <c r="H1757" cm="1">
        <f t="array" ref="H1757">Food_Orders[[#This Row],[Quantity_Orderd]]*_xlfn.XLOOKUP(Food_Orders[[#This Row],[Food_ID]],Food_Catalog[[#All],[Food_ID]],Food_Catalog[[#All],[Client_Price_Per_Unit]],0,0)</f>
        <v>29400</v>
      </c>
      <c r="I1757">
        <f>Food_Orders[[#This Row],[Client_Price]]-Food_Orders[[#This Row],[Cost]]</f>
        <v>4900</v>
      </c>
    </row>
    <row r="1758" spans="1:9" x14ac:dyDescent="0.25">
      <c r="A1758">
        <v>77</v>
      </c>
      <c r="B1758" t="s">
        <v>7</v>
      </c>
      <c r="C1758" t="s">
        <v>8</v>
      </c>
      <c r="D1758" t="s">
        <v>9</v>
      </c>
      <c r="E1758" t="s">
        <v>10</v>
      </c>
      <c r="F1758" cm="1">
        <f t="array" ref="F1758">_xlfn.XLOOKUP(Food_Orders[[#This Row],[Event_No]],Event_Master[[#All],[Event_No]],Event_Master[[#All],[Guest_Count]],,0)</f>
        <v>700</v>
      </c>
      <c r="G1758" cm="1">
        <f t="array" ref="G1758">Food_Orders[[#This Row],[Quantity_Orderd]]*_xlfn.XLOOKUP(Food_Orders[[#This Row],[Food_ID]],Food_Catalog[[#All],[Food_ID]],Food_Catalog[[#All],[Price_Per_Unit]],0,0)</f>
        <v>17500</v>
      </c>
      <c r="H1758" cm="1">
        <f t="array" ref="H1758">Food_Orders[[#This Row],[Quantity_Orderd]]*_xlfn.XLOOKUP(Food_Orders[[#This Row],[Food_ID]],Food_Catalog[[#All],[Food_ID]],Food_Catalog[[#All],[Client_Price_Per_Unit]],0,0)</f>
        <v>21000</v>
      </c>
      <c r="I1758">
        <f>Food_Orders[[#This Row],[Client_Price]]-Food_Orders[[#This Row],[Cost]]</f>
        <v>3500</v>
      </c>
    </row>
    <row r="1759" spans="1:9" x14ac:dyDescent="0.25">
      <c r="A1759">
        <v>77</v>
      </c>
      <c r="B1759" t="s">
        <v>13</v>
      </c>
      <c r="C1759" t="s">
        <v>8</v>
      </c>
      <c r="D1759" t="s">
        <v>14</v>
      </c>
      <c r="E1759" t="s">
        <v>10</v>
      </c>
      <c r="F1759" cm="1">
        <f t="array" ref="F1759">_xlfn.XLOOKUP(Food_Orders[[#This Row],[Event_No]],Event_Master[[#All],[Event_No]],Event_Master[[#All],[Guest_Count]],,0)</f>
        <v>700</v>
      </c>
      <c r="G1759" cm="1">
        <f t="array" ref="G1759">Food_Orders[[#This Row],[Quantity_Orderd]]*_xlfn.XLOOKUP(Food_Orders[[#This Row],[Food_ID]],Food_Catalog[[#All],[Food_ID]],Food_Catalog[[#All],[Price_Per_Unit]],0,0)</f>
        <v>24500</v>
      </c>
      <c r="H1759" cm="1">
        <f t="array" ref="H1759">Food_Orders[[#This Row],[Quantity_Orderd]]*_xlfn.XLOOKUP(Food_Orders[[#This Row],[Food_ID]],Food_Catalog[[#All],[Food_ID]],Food_Catalog[[#All],[Client_Price_Per_Unit]],0,0)</f>
        <v>29400</v>
      </c>
      <c r="I1759">
        <f>Food_Orders[[#This Row],[Client_Price]]-Food_Orders[[#This Row],[Cost]]</f>
        <v>4900</v>
      </c>
    </row>
    <row r="1760" spans="1:9" x14ac:dyDescent="0.25">
      <c r="A1760">
        <v>77</v>
      </c>
      <c r="B1760" t="s">
        <v>31</v>
      </c>
      <c r="C1760" t="s">
        <v>8</v>
      </c>
      <c r="D1760" t="s">
        <v>32</v>
      </c>
      <c r="E1760" t="s">
        <v>10</v>
      </c>
      <c r="F1760" cm="1">
        <f t="array" ref="F1760">_xlfn.XLOOKUP(Food_Orders[[#This Row],[Event_No]],Event_Master[[#All],[Event_No]],Event_Master[[#All],[Guest_Count]],,0)</f>
        <v>700</v>
      </c>
      <c r="G1760" cm="1">
        <f t="array" ref="G1760">Food_Orders[[#This Row],[Quantity_Orderd]]*_xlfn.XLOOKUP(Food_Orders[[#This Row],[Food_ID]],Food_Catalog[[#All],[Food_ID]],Food_Catalog[[#All],[Price_Per_Unit]],0,0)</f>
        <v>21000</v>
      </c>
      <c r="H1760" cm="1">
        <f t="array" ref="H1760">Food_Orders[[#This Row],[Quantity_Orderd]]*_xlfn.XLOOKUP(Food_Orders[[#This Row],[Food_ID]],Food_Catalog[[#All],[Food_ID]],Food_Catalog[[#All],[Client_Price_Per_Unit]],0,0)</f>
        <v>25200</v>
      </c>
      <c r="I1760">
        <f>Food_Orders[[#This Row],[Client_Price]]-Food_Orders[[#This Row],[Cost]]</f>
        <v>4200</v>
      </c>
    </row>
    <row r="1761" spans="1:9" x14ac:dyDescent="0.25">
      <c r="A1761">
        <v>77</v>
      </c>
      <c r="B1761" t="s">
        <v>29</v>
      </c>
      <c r="C1761" t="s">
        <v>8</v>
      </c>
      <c r="D1761" t="s">
        <v>30</v>
      </c>
      <c r="E1761" t="s">
        <v>10</v>
      </c>
      <c r="F1761" cm="1">
        <f t="array" ref="F1761">_xlfn.XLOOKUP(Food_Orders[[#This Row],[Event_No]],Event_Master[[#All],[Event_No]],Event_Master[[#All],[Guest_Count]],,0)</f>
        <v>700</v>
      </c>
      <c r="G1761" cm="1">
        <f t="array" ref="G1761">Food_Orders[[#This Row],[Quantity_Orderd]]*_xlfn.XLOOKUP(Food_Orders[[#This Row],[Food_ID]],Food_Catalog[[#All],[Food_ID]],Food_Catalog[[#All],[Price_Per_Unit]],0,0)</f>
        <v>21000</v>
      </c>
      <c r="H1761" cm="1">
        <f t="array" ref="H1761">Food_Orders[[#This Row],[Quantity_Orderd]]*_xlfn.XLOOKUP(Food_Orders[[#This Row],[Food_ID]],Food_Catalog[[#All],[Food_ID]],Food_Catalog[[#All],[Client_Price_Per_Unit]],0,0)</f>
        <v>25200</v>
      </c>
      <c r="I1761">
        <f>Food_Orders[[#This Row],[Client_Price]]-Food_Orders[[#This Row],[Cost]]</f>
        <v>4200</v>
      </c>
    </row>
    <row r="1762" spans="1:9" x14ac:dyDescent="0.25">
      <c r="A1762">
        <v>77</v>
      </c>
      <c r="B1762" t="s">
        <v>37</v>
      </c>
      <c r="C1762" t="s">
        <v>8</v>
      </c>
      <c r="D1762" t="s">
        <v>38</v>
      </c>
      <c r="E1762" t="s">
        <v>10</v>
      </c>
      <c r="F1762" cm="1">
        <f t="array" ref="F1762">_xlfn.XLOOKUP(Food_Orders[[#This Row],[Event_No]],Event_Master[[#All],[Event_No]],Event_Master[[#All],[Guest_Count]],,0)</f>
        <v>700</v>
      </c>
      <c r="G1762" cm="1">
        <f t="array" ref="G1762">Food_Orders[[#This Row],[Quantity_Orderd]]*_xlfn.XLOOKUP(Food_Orders[[#This Row],[Food_ID]],Food_Catalog[[#All],[Food_ID]],Food_Catalog[[#All],[Price_Per_Unit]],0,0)</f>
        <v>17500</v>
      </c>
      <c r="H1762" cm="1">
        <f t="array" ref="H1762">Food_Orders[[#This Row],[Quantity_Orderd]]*_xlfn.XLOOKUP(Food_Orders[[#This Row],[Food_ID]],Food_Catalog[[#All],[Food_ID]],Food_Catalog[[#All],[Client_Price_Per_Unit]],0,0)</f>
        <v>21000</v>
      </c>
      <c r="I1762">
        <f>Food_Orders[[#This Row],[Client_Price]]-Food_Orders[[#This Row],[Cost]]</f>
        <v>3500</v>
      </c>
    </row>
    <row r="1763" spans="1:9" x14ac:dyDescent="0.25">
      <c r="A1763">
        <v>77</v>
      </c>
      <c r="B1763" t="s">
        <v>82</v>
      </c>
      <c r="C1763" t="s">
        <v>83</v>
      </c>
      <c r="D1763" t="s">
        <v>84</v>
      </c>
      <c r="E1763" t="s">
        <v>85</v>
      </c>
      <c r="F1763" cm="1">
        <f t="array" ref="F1763">_xlfn.XLOOKUP(Food_Orders[[#This Row],[Event_No]],Event_Master[[#All],[Event_No]],Event_Master[[#All],[Guest_Count]],,0)</f>
        <v>700</v>
      </c>
      <c r="G1763" cm="1">
        <f t="array" ref="G1763">Food_Orders[[#This Row],[Quantity_Orderd]]*_xlfn.XLOOKUP(Food_Orders[[#This Row],[Food_ID]],Food_Catalog[[#All],[Food_ID]],Food_Catalog[[#All],[Price_Per_Unit]],0,0)</f>
        <v>14000</v>
      </c>
      <c r="H1763" cm="1">
        <f t="array" ref="H1763">Food_Orders[[#This Row],[Quantity_Orderd]]*_xlfn.XLOOKUP(Food_Orders[[#This Row],[Food_ID]],Food_Catalog[[#All],[Food_ID]],Food_Catalog[[#All],[Client_Price_Per_Unit]],0,0)</f>
        <v>16800</v>
      </c>
      <c r="I1763">
        <f>Food_Orders[[#This Row],[Client_Price]]-Food_Orders[[#This Row],[Cost]]</f>
        <v>2800</v>
      </c>
    </row>
    <row r="1764" spans="1:9" x14ac:dyDescent="0.25">
      <c r="A1764">
        <v>77</v>
      </c>
      <c r="B1764" t="s">
        <v>86</v>
      </c>
      <c r="C1764" t="s">
        <v>83</v>
      </c>
      <c r="D1764" t="s">
        <v>87</v>
      </c>
      <c r="E1764" t="s">
        <v>85</v>
      </c>
      <c r="F1764" cm="1">
        <f t="array" ref="F1764">_xlfn.XLOOKUP(Food_Orders[[#This Row],[Event_No]],Event_Master[[#All],[Event_No]],Event_Master[[#All],[Guest_Count]],,0)</f>
        <v>700</v>
      </c>
      <c r="G1764" cm="1">
        <f t="array" ref="G1764">Food_Orders[[#This Row],[Quantity_Orderd]]*_xlfn.XLOOKUP(Food_Orders[[#This Row],[Food_ID]],Food_Catalog[[#All],[Food_ID]],Food_Catalog[[#All],[Price_Per_Unit]],0,0)</f>
        <v>14000</v>
      </c>
      <c r="H1764" cm="1">
        <f t="array" ref="H1764">Food_Orders[[#This Row],[Quantity_Orderd]]*_xlfn.XLOOKUP(Food_Orders[[#This Row],[Food_ID]],Food_Catalog[[#All],[Food_ID]],Food_Catalog[[#All],[Client_Price_Per_Unit]],0,0)</f>
        <v>16800</v>
      </c>
      <c r="I1764">
        <f>Food_Orders[[#This Row],[Client_Price]]-Food_Orders[[#This Row],[Cost]]</f>
        <v>2800</v>
      </c>
    </row>
    <row r="1765" spans="1:9" x14ac:dyDescent="0.25">
      <c r="A1765">
        <v>77</v>
      </c>
      <c r="B1765" t="s">
        <v>96</v>
      </c>
      <c r="C1765" t="s">
        <v>83</v>
      </c>
      <c r="D1765" t="s">
        <v>97</v>
      </c>
      <c r="E1765" t="s">
        <v>79</v>
      </c>
      <c r="F1765" cm="1">
        <f t="array" ref="F1765">_xlfn.XLOOKUP(Food_Orders[[#This Row],[Event_No]],Event_Master[[#All],[Event_No]],Event_Master[[#All],[Guest_Count]],,0)</f>
        <v>700</v>
      </c>
      <c r="G1765" cm="1">
        <f t="array" ref="G1765">Food_Orders[[#This Row],[Quantity_Orderd]]*_xlfn.XLOOKUP(Food_Orders[[#This Row],[Food_ID]],Food_Catalog[[#All],[Food_ID]],Food_Catalog[[#All],[Price_Per_Unit]],0,0)</f>
        <v>21000</v>
      </c>
      <c r="H1765" cm="1">
        <f t="array" ref="H1765">Food_Orders[[#This Row],[Quantity_Orderd]]*_xlfn.XLOOKUP(Food_Orders[[#This Row],[Food_ID]],Food_Catalog[[#All],[Food_ID]],Food_Catalog[[#All],[Client_Price_Per_Unit]],0,0)</f>
        <v>25200</v>
      </c>
      <c r="I1765">
        <f>Food_Orders[[#This Row],[Client_Price]]-Food_Orders[[#This Row],[Cost]]</f>
        <v>4200</v>
      </c>
    </row>
    <row r="1766" spans="1:9" x14ac:dyDescent="0.25">
      <c r="A1766">
        <v>77</v>
      </c>
      <c r="B1766" t="s">
        <v>104</v>
      </c>
      <c r="C1766" t="s">
        <v>105</v>
      </c>
      <c r="D1766" t="s">
        <v>106</v>
      </c>
      <c r="E1766" t="s">
        <v>107</v>
      </c>
      <c r="F1766" cm="1">
        <f t="array" ref="F1766">_xlfn.XLOOKUP(Food_Orders[[#This Row],[Event_No]],Event_Master[[#All],[Event_No]],Event_Master[[#All],[Guest_Count]],,0)</f>
        <v>700</v>
      </c>
      <c r="G1766" cm="1">
        <f t="array" ref="G1766">Food_Orders[[#This Row],[Quantity_Orderd]]*_xlfn.XLOOKUP(Food_Orders[[#This Row],[Food_ID]],Food_Catalog[[#All],[Food_ID]],Food_Catalog[[#All],[Price_Per_Unit]],0,0)</f>
        <v>7000</v>
      </c>
      <c r="H1766" cm="1">
        <f t="array" ref="H1766">Food_Orders[[#This Row],[Quantity_Orderd]]*_xlfn.XLOOKUP(Food_Orders[[#This Row],[Food_ID]],Food_Catalog[[#All],[Food_ID]],Food_Catalog[[#All],[Client_Price_Per_Unit]],0,0)</f>
        <v>8400</v>
      </c>
      <c r="I1766">
        <f>Food_Orders[[#This Row],[Client_Price]]-Food_Orders[[#This Row],[Cost]]</f>
        <v>1400</v>
      </c>
    </row>
    <row r="1767" spans="1:9" x14ac:dyDescent="0.25">
      <c r="A1767">
        <v>77</v>
      </c>
      <c r="B1767" t="s">
        <v>118</v>
      </c>
      <c r="C1767" t="s">
        <v>119</v>
      </c>
      <c r="D1767" t="s">
        <v>120</v>
      </c>
      <c r="E1767" t="s">
        <v>112</v>
      </c>
      <c r="F1767" cm="1">
        <f t="array" ref="F1767">_xlfn.XLOOKUP(Food_Orders[[#This Row],[Event_No]],Event_Master[[#All],[Event_No]],Event_Master[[#All],[Guest_Count]],,0)</f>
        <v>700</v>
      </c>
      <c r="G1767" cm="1">
        <f t="array" ref="G1767">Food_Orders[[#This Row],[Quantity_Orderd]]*_xlfn.XLOOKUP(Food_Orders[[#This Row],[Food_ID]],Food_Catalog[[#All],[Food_ID]],Food_Catalog[[#All],[Price_Per_Unit]],0,0)</f>
        <v>7000</v>
      </c>
      <c r="H1767" cm="1">
        <f t="array" ref="H1767">Food_Orders[[#This Row],[Quantity_Orderd]]*_xlfn.XLOOKUP(Food_Orders[[#This Row],[Food_ID]],Food_Catalog[[#All],[Food_ID]],Food_Catalog[[#All],[Client_Price_Per_Unit]],0,0)</f>
        <v>8400</v>
      </c>
      <c r="I1767">
        <f>Food_Orders[[#This Row],[Client_Price]]-Food_Orders[[#This Row],[Cost]]</f>
        <v>1400</v>
      </c>
    </row>
    <row r="1768" spans="1:9" x14ac:dyDescent="0.25">
      <c r="A1768">
        <v>77</v>
      </c>
      <c r="B1768" t="s">
        <v>129</v>
      </c>
      <c r="C1768" t="s">
        <v>119</v>
      </c>
      <c r="D1768" t="s">
        <v>130</v>
      </c>
      <c r="E1768" t="s">
        <v>112</v>
      </c>
      <c r="F1768" cm="1">
        <f t="array" ref="F1768">_xlfn.XLOOKUP(Food_Orders[[#This Row],[Event_No]],Event_Master[[#All],[Event_No]],Event_Master[[#All],[Guest_Count]],,0)</f>
        <v>700</v>
      </c>
      <c r="G1768" cm="1">
        <f t="array" ref="G1768">Food_Orders[[#This Row],[Quantity_Orderd]]*_xlfn.XLOOKUP(Food_Orders[[#This Row],[Food_ID]],Food_Catalog[[#All],[Food_ID]],Food_Catalog[[#All],[Price_Per_Unit]],0,0)</f>
        <v>7000</v>
      </c>
      <c r="H1768" cm="1">
        <f t="array" ref="H1768">Food_Orders[[#This Row],[Quantity_Orderd]]*_xlfn.XLOOKUP(Food_Orders[[#This Row],[Food_ID]],Food_Catalog[[#All],[Food_ID]],Food_Catalog[[#All],[Client_Price_Per_Unit]],0,0)</f>
        <v>8400</v>
      </c>
      <c r="I1768">
        <f>Food_Orders[[#This Row],[Client_Price]]-Food_Orders[[#This Row],[Cost]]</f>
        <v>1400</v>
      </c>
    </row>
    <row r="1769" spans="1:9" x14ac:dyDescent="0.25">
      <c r="A1769">
        <v>78</v>
      </c>
      <c r="B1769" t="s">
        <v>60</v>
      </c>
      <c r="C1769" t="s">
        <v>61</v>
      </c>
      <c r="D1769" t="s">
        <v>62</v>
      </c>
      <c r="E1769" t="s">
        <v>10</v>
      </c>
      <c r="F1769" cm="1">
        <f t="array" ref="F1769">_xlfn.XLOOKUP(Food_Orders[[#This Row],[Event_No]],Event_Master[[#All],[Event_No]],Event_Master[[#All],[Guest_Count]],,0)</f>
        <v>1200</v>
      </c>
      <c r="G1769" cm="1">
        <f t="array" ref="G1769">Food_Orders[[#This Row],[Quantity_Orderd]]*_xlfn.XLOOKUP(Food_Orders[[#This Row],[Food_ID]],Food_Catalog[[#All],[Food_ID]],Food_Catalog[[#All],[Price_Per_Unit]],0,0)</f>
        <v>24000</v>
      </c>
      <c r="H1769" cm="1">
        <f t="array" ref="H1769">Food_Orders[[#This Row],[Quantity_Orderd]]*_xlfn.XLOOKUP(Food_Orders[[#This Row],[Food_ID]],Food_Catalog[[#All],[Food_ID]],Food_Catalog[[#All],[Client_Price_Per_Unit]],0,0)</f>
        <v>28800</v>
      </c>
      <c r="I1769">
        <f>Food_Orders[[#This Row],[Client_Price]]-Food_Orders[[#This Row],[Cost]]</f>
        <v>4800</v>
      </c>
    </row>
    <row r="1770" spans="1:9" x14ac:dyDescent="0.25">
      <c r="A1770">
        <v>78</v>
      </c>
      <c r="B1770" t="s">
        <v>63</v>
      </c>
      <c r="C1770" t="s">
        <v>61</v>
      </c>
      <c r="D1770" t="s">
        <v>64</v>
      </c>
      <c r="E1770" t="s">
        <v>10</v>
      </c>
      <c r="F1770" cm="1">
        <f t="array" ref="F1770">_xlfn.XLOOKUP(Food_Orders[[#This Row],[Event_No]],Event_Master[[#All],[Event_No]],Event_Master[[#All],[Guest_Count]],,0)</f>
        <v>1200</v>
      </c>
      <c r="G1770" cm="1">
        <f t="array" ref="G1770">Food_Orders[[#This Row],[Quantity_Orderd]]*_xlfn.XLOOKUP(Food_Orders[[#This Row],[Food_ID]],Food_Catalog[[#All],[Food_ID]],Food_Catalog[[#All],[Price_Per_Unit]],0,0)</f>
        <v>36000</v>
      </c>
      <c r="H1770" cm="1">
        <f t="array" ref="H1770">Food_Orders[[#This Row],[Quantity_Orderd]]*_xlfn.XLOOKUP(Food_Orders[[#This Row],[Food_ID]],Food_Catalog[[#All],[Food_ID]],Food_Catalog[[#All],[Client_Price_Per_Unit]],0,0)</f>
        <v>43200</v>
      </c>
      <c r="I1770">
        <f>Food_Orders[[#This Row],[Client_Price]]-Food_Orders[[#This Row],[Cost]]</f>
        <v>7200</v>
      </c>
    </row>
    <row r="1771" spans="1:9" x14ac:dyDescent="0.25">
      <c r="A1771">
        <v>78</v>
      </c>
      <c r="B1771" t="s">
        <v>71</v>
      </c>
      <c r="C1771" t="s">
        <v>61</v>
      </c>
      <c r="D1771" t="s">
        <v>72</v>
      </c>
      <c r="E1771" t="s">
        <v>10</v>
      </c>
      <c r="F1771" cm="1">
        <f t="array" ref="F1771">_xlfn.XLOOKUP(Food_Orders[[#This Row],[Event_No]],Event_Master[[#All],[Event_No]],Event_Master[[#All],[Guest_Count]],,0)</f>
        <v>1200</v>
      </c>
      <c r="G1771" cm="1">
        <f t="array" ref="G1771">Food_Orders[[#This Row],[Quantity_Orderd]]*_xlfn.XLOOKUP(Food_Orders[[#This Row],[Food_ID]],Food_Catalog[[#All],[Food_ID]],Food_Catalog[[#All],[Price_Per_Unit]],0,0)</f>
        <v>30000</v>
      </c>
      <c r="H1771" cm="1">
        <f t="array" ref="H1771">Food_Orders[[#This Row],[Quantity_Orderd]]*_xlfn.XLOOKUP(Food_Orders[[#This Row],[Food_ID]],Food_Catalog[[#All],[Food_ID]],Food_Catalog[[#All],[Client_Price_Per_Unit]],0,0)</f>
        <v>36000</v>
      </c>
      <c r="I1771">
        <f>Food_Orders[[#This Row],[Client_Price]]-Food_Orders[[#This Row],[Cost]]</f>
        <v>6000</v>
      </c>
    </row>
    <row r="1772" spans="1:9" x14ac:dyDescent="0.25">
      <c r="A1772">
        <v>78</v>
      </c>
      <c r="B1772" t="s">
        <v>80</v>
      </c>
      <c r="C1772" t="s">
        <v>61</v>
      </c>
      <c r="D1772" t="s">
        <v>81</v>
      </c>
      <c r="E1772" t="s">
        <v>10</v>
      </c>
      <c r="F1772" cm="1">
        <f t="array" ref="F1772">_xlfn.XLOOKUP(Food_Orders[[#This Row],[Event_No]],Event_Master[[#All],[Event_No]],Event_Master[[#All],[Guest_Count]],,0)</f>
        <v>1200</v>
      </c>
      <c r="G1772" cm="1">
        <f t="array" ref="G1772">Food_Orders[[#This Row],[Quantity_Orderd]]*_xlfn.XLOOKUP(Food_Orders[[#This Row],[Food_ID]],Food_Catalog[[#All],[Food_ID]],Food_Catalog[[#All],[Price_Per_Unit]],0,0)</f>
        <v>36000</v>
      </c>
      <c r="H1772" cm="1">
        <f t="array" ref="H1772">Food_Orders[[#This Row],[Quantity_Orderd]]*_xlfn.XLOOKUP(Food_Orders[[#This Row],[Food_ID]],Food_Catalog[[#All],[Food_ID]],Food_Catalog[[#All],[Client_Price_Per_Unit]],0,0)</f>
        <v>43200</v>
      </c>
      <c r="I1772">
        <f>Food_Orders[[#This Row],[Client_Price]]-Food_Orders[[#This Row],[Cost]]</f>
        <v>7200</v>
      </c>
    </row>
    <row r="1773" spans="1:9" x14ac:dyDescent="0.25">
      <c r="A1773">
        <v>78</v>
      </c>
      <c r="B1773" t="s">
        <v>73</v>
      </c>
      <c r="C1773" t="s">
        <v>61</v>
      </c>
      <c r="D1773" t="s">
        <v>74</v>
      </c>
      <c r="E1773" t="s">
        <v>10</v>
      </c>
      <c r="F1773" cm="1">
        <f t="array" ref="F1773">_xlfn.XLOOKUP(Food_Orders[[#This Row],[Event_No]],Event_Master[[#All],[Event_No]],Event_Master[[#All],[Guest_Count]],,0)</f>
        <v>1200</v>
      </c>
      <c r="G1773" cm="1">
        <f t="array" ref="G1773">Food_Orders[[#This Row],[Quantity_Orderd]]*_xlfn.XLOOKUP(Food_Orders[[#This Row],[Food_ID]],Food_Catalog[[#All],[Food_ID]],Food_Catalog[[#All],[Price_Per_Unit]],0,0)</f>
        <v>48000</v>
      </c>
      <c r="H1773" cm="1">
        <f t="array" ref="H1773">Food_Orders[[#This Row],[Quantity_Orderd]]*_xlfn.XLOOKUP(Food_Orders[[#This Row],[Food_ID]],Food_Catalog[[#All],[Food_ID]],Food_Catalog[[#All],[Client_Price_Per_Unit]],0,0)</f>
        <v>57600</v>
      </c>
      <c r="I1773">
        <f>Food_Orders[[#This Row],[Client_Price]]-Food_Orders[[#This Row],[Cost]]</f>
        <v>9600</v>
      </c>
    </row>
    <row r="1774" spans="1:9" x14ac:dyDescent="0.25">
      <c r="A1774">
        <v>78</v>
      </c>
      <c r="B1774" t="s">
        <v>75</v>
      </c>
      <c r="C1774" t="s">
        <v>61</v>
      </c>
      <c r="D1774" t="s">
        <v>76</v>
      </c>
      <c r="E1774" t="s">
        <v>10</v>
      </c>
      <c r="F1774" cm="1">
        <f t="array" ref="F1774">_xlfn.XLOOKUP(Food_Orders[[#This Row],[Event_No]],Event_Master[[#All],[Event_No]],Event_Master[[#All],[Guest_Count]],,0)</f>
        <v>1200</v>
      </c>
      <c r="G1774" cm="1">
        <f t="array" ref="G1774">Food_Orders[[#This Row],[Quantity_Orderd]]*_xlfn.XLOOKUP(Food_Orders[[#This Row],[Food_ID]],Food_Catalog[[#All],[Food_ID]],Food_Catalog[[#All],[Price_Per_Unit]],0,0)</f>
        <v>48000</v>
      </c>
      <c r="H1774" cm="1">
        <f t="array" ref="H1774">Food_Orders[[#This Row],[Quantity_Orderd]]*_xlfn.XLOOKUP(Food_Orders[[#This Row],[Food_ID]],Food_Catalog[[#All],[Food_ID]],Food_Catalog[[#All],[Client_Price_Per_Unit]],0,0)</f>
        <v>57600</v>
      </c>
      <c r="I1774">
        <f>Food_Orders[[#This Row],[Client_Price]]-Food_Orders[[#This Row],[Cost]]</f>
        <v>9600</v>
      </c>
    </row>
    <row r="1775" spans="1:9" x14ac:dyDescent="0.25">
      <c r="A1775">
        <v>78</v>
      </c>
      <c r="B1775" t="s">
        <v>69</v>
      </c>
      <c r="C1775" t="s">
        <v>61</v>
      </c>
      <c r="D1775" t="s">
        <v>70</v>
      </c>
      <c r="E1775" t="s">
        <v>10</v>
      </c>
      <c r="F1775" cm="1">
        <f t="array" ref="F1775">_xlfn.XLOOKUP(Food_Orders[[#This Row],[Event_No]],Event_Master[[#All],[Event_No]],Event_Master[[#All],[Guest_Count]],,0)</f>
        <v>1200</v>
      </c>
      <c r="G1775" cm="1">
        <f t="array" ref="G1775">Food_Orders[[#This Row],[Quantity_Orderd]]*_xlfn.XLOOKUP(Food_Orders[[#This Row],[Food_ID]],Food_Catalog[[#All],[Food_ID]],Food_Catalog[[#All],[Price_Per_Unit]],0,0)</f>
        <v>60000</v>
      </c>
      <c r="H1775" cm="1">
        <f t="array" ref="H1775">Food_Orders[[#This Row],[Quantity_Orderd]]*_xlfn.XLOOKUP(Food_Orders[[#This Row],[Food_ID]],Food_Catalog[[#All],[Food_ID]],Food_Catalog[[#All],[Client_Price_Per_Unit]],0,0)</f>
        <v>72000</v>
      </c>
      <c r="I1775">
        <f>Food_Orders[[#This Row],[Client_Price]]-Food_Orders[[#This Row],[Cost]]</f>
        <v>12000</v>
      </c>
    </row>
    <row r="1776" spans="1:9" x14ac:dyDescent="0.25">
      <c r="A1776">
        <v>78</v>
      </c>
      <c r="B1776" t="s">
        <v>67</v>
      </c>
      <c r="C1776" t="s">
        <v>61</v>
      </c>
      <c r="D1776" t="s">
        <v>68</v>
      </c>
      <c r="E1776" t="s">
        <v>10</v>
      </c>
      <c r="F1776" cm="1">
        <f t="array" ref="F1776">_xlfn.XLOOKUP(Food_Orders[[#This Row],[Event_No]],Event_Master[[#All],[Event_No]],Event_Master[[#All],[Guest_Count]],,0)</f>
        <v>1200</v>
      </c>
      <c r="G1776" cm="1">
        <f t="array" ref="G1776">Food_Orders[[#This Row],[Quantity_Orderd]]*_xlfn.XLOOKUP(Food_Orders[[#This Row],[Food_ID]],Food_Catalog[[#All],[Food_ID]],Food_Catalog[[#All],[Price_Per_Unit]],0,0)</f>
        <v>36000</v>
      </c>
      <c r="H1776" cm="1">
        <f t="array" ref="H1776">Food_Orders[[#This Row],[Quantity_Orderd]]*_xlfn.XLOOKUP(Food_Orders[[#This Row],[Food_ID]],Food_Catalog[[#All],[Food_ID]],Food_Catalog[[#All],[Client_Price_Per_Unit]],0,0)</f>
        <v>43200</v>
      </c>
      <c r="I1776">
        <f>Food_Orders[[#This Row],[Client_Price]]-Food_Orders[[#This Row],[Cost]]</f>
        <v>7200</v>
      </c>
    </row>
    <row r="1777" spans="1:9" x14ac:dyDescent="0.25">
      <c r="A1777">
        <v>78</v>
      </c>
      <c r="B1777" t="s">
        <v>77</v>
      </c>
      <c r="C1777" t="s">
        <v>61</v>
      </c>
      <c r="D1777" t="s">
        <v>78</v>
      </c>
      <c r="E1777" t="s">
        <v>79</v>
      </c>
      <c r="F1777" cm="1">
        <f t="array" ref="F1777">_xlfn.XLOOKUP(Food_Orders[[#This Row],[Event_No]],Event_Master[[#All],[Event_No]],Event_Master[[#All],[Guest_Count]],,0)</f>
        <v>1200</v>
      </c>
      <c r="G1777" cm="1">
        <f t="array" ref="G1777">Food_Orders[[#This Row],[Quantity_Orderd]]*_xlfn.XLOOKUP(Food_Orders[[#This Row],[Food_ID]],Food_Catalog[[#All],[Food_ID]],Food_Catalog[[#All],[Price_Per_Unit]],0,0)</f>
        <v>42000</v>
      </c>
      <c r="H1777" cm="1">
        <f t="array" ref="H1777">Food_Orders[[#This Row],[Quantity_Orderd]]*_xlfn.XLOOKUP(Food_Orders[[#This Row],[Food_ID]],Food_Catalog[[#All],[Food_ID]],Food_Catalog[[#All],[Client_Price_Per_Unit]],0,0)</f>
        <v>50400</v>
      </c>
      <c r="I1777">
        <f>Food_Orders[[#This Row],[Client_Price]]-Food_Orders[[#This Row],[Cost]]</f>
        <v>8400</v>
      </c>
    </row>
    <row r="1778" spans="1:9" x14ac:dyDescent="0.25">
      <c r="A1778">
        <v>78</v>
      </c>
      <c r="B1778" t="s">
        <v>7</v>
      </c>
      <c r="C1778" t="s">
        <v>8</v>
      </c>
      <c r="D1778" t="s">
        <v>9</v>
      </c>
      <c r="E1778" t="s">
        <v>10</v>
      </c>
      <c r="F1778" cm="1">
        <f t="array" ref="F1778">_xlfn.XLOOKUP(Food_Orders[[#This Row],[Event_No]],Event_Master[[#All],[Event_No]],Event_Master[[#All],[Guest_Count]],,0)</f>
        <v>1200</v>
      </c>
      <c r="G1778" cm="1">
        <f t="array" ref="G1778">Food_Orders[[#This Row],[Quantity_Orderd]]*_xlfn.XLOOKUP(Food_Orders[[#This Row],[Food_ID]],Food_Catalog[[#All],[Food_ID]],Food_Catalog[[#All],[Price_Per_Unit]],0,0)</f>
        <v>30000</v>
      </c>
      <c r="H1778" cm="1">
        <f t="array" ref="H1778">Food_Orders[[#This Row],[Quantity_Orderd]]*_xlfn.XLOOKUP(Food_Orders[[#This Row],[Food_ID]],Food_Catalog[[#All],[Food_ID]],Food_Catalog[[#All],[Client_Price_Per_Unit]],0,0)</f>
        <v>36000</v>
      </c>
      <c r="I1778">
        <f>Food_Orders[[#This Row],[Client_Price]]-Food_Orders[[#This Row],[Cost]]</f>
        <v>6000</v>
      </c>
    </row>
    <row r="1779" spans="1:9" x14ac:dyDescent="0.25">
      <c r="A1779">
        <v>78</v>
      </c>
      <c r="B1779" t="s">
        <v>13</v>
      </c>
      <c r="C1779" t="s">
        <v>8</v>
      </c>
      <c r="D1779" t="s">
        <v>14</v>
      </c>
      <c r="E1779" t="s">
        <v>10</v>
      </c>
      <c r="F1779" cm="1">
        <f t="array" ref="F1779">_xlfn.XLOOKUP(Food_Orders[[#This Row],[Event_No]],Event_Master[[#All],[Event_No]],Event_Master[[#All],[Guest_Count]],,0)</f>
        <v>1200</v>
      </c>
      <c r="G1779" cm="1">
        <f t="array" ref="G1779">Food_Orders[[#This Row],[Quantity_Orderd]]*_xlfn.XLOOKUP(Food_Orders[[#This Row],[Food_ID]],Food_Catalog[[#All],[Food_ID]],Food_Catalog[[#All],[Price_Per_Unit]],0,0)</f>
        <v>42000</v>
      </c>
      <c r="H1779" cm="1">
        <f t="array" ref="H1779">Food_Orders[[#This Row],[Quantity_Orderd]]*_xlfn.XLOOKUP(Food_Orders[[#This Row],[Food_ID]],Food_Catalog[[#All],[Food_ID]],Food_Catalog[[#All],[Client_Price_Per_Unit]],0,0)</f>
        <v>50400</v>
      </c>
      <c r="I1779">
        <f>Food_Orders[[#This Row],[Client_Price]]-Food_Orders[[#This Row],[Cost]]</f>
        <v>8400</v>
      </c>
    </row>
    <row r="1780" spans="1:9" x14ac:dyDescent="0.25">
      <c r="A1780">
        <v>78</v>
      </c>
      <c r="B1780" t="s">
        <v>25</v>
      </c>
      <c r="C1780" t="s">
        <v>8</v>
      </c>
      <c r="D1780" t="s">
        <v>26</v>
      </c>
      <c r="E1780" t="s">
        <v>10</v>
      </c>
      <c r="F1780" cm="1">
        <f t="array" ref="F1780">_xlfn.XLOOKUP(Food_Orders[[#This Row],[Event_No]],Event_Master[[#All],[Event_No]],Event_Master[[#All],[Guest_Count]],,0)</f>
        <v>1200</v>
      </c>
      <c r="G1780" cm="1">
        <f t="array" ref="G1780">Food_Orders[[#This Row],[Quantity_Orderd]]*_xlfn.XLOOKUP(Food_Orders[[#This Row],[Food_ID]],Food_Catalog[[#All],[Food_ID]],Food_Catalog[[#All],[Price_Per_Unit]],0,0)</f>
        <v>36000</v>
      </c>
      <c r="H1780" cm="1">
        <f t="array" ref="H1780">Food_Orders[[#This Row],[Quantity_Orderd]]*_xlfn.XLOOKUP(Food_Orders[[#This Row],[Food_ID]],Food_Catalog[[#All],[Food_ID]],Food_Catalog[[#All],[Client_Price_Per_Unit]],0,0)</f>
        <v>43200</v>
      </c>
      <c r="I1780">
        <f>Food_Orders[[#This Row],[Client_Price]]-Food_Orders[[#This Row],[Cost]]</f>
        <v>7200</v>
      </c>
    </row>
    <row r="1781" spans="1:9" x14ac:dyDescent="0.25">
      <c r="A1781">
        <v>78</v>
      </c>
      <c r="B1781" t="s">
        <v>15</v>
      </c>
      <c r="C1781" t="s">
        <v>8</v>
      </c>
      <c r="D1781" t="s">
        <v>16</v>
      </c>
      <c r="E1781" t="s">
        <v>10</v>
      </c>
      <c r="F1781" cm="1">
        <f t="array" ref="F1781">_xlfn.XLOOKUP(Food_Orders[[#This Row],[Event_No]],Event_Master[[#All],[Event_No]],Event_Master[[#All],[Guest_Count]],,0)</f>
        <v>1200</v>
      </c>
      <c r="G1781" cm="1">
        <f t="array" ref="G1781">Food_Orders[[#This Row],[Quantity_Orderd]]*_xlfn.XLOOKUP(Food_Orders[[#This Row],[Food_ID]],Food_Catalog[[#All],[Food_ID]],Food_Catalog[[#All],[Price_Per_Unit]],0,0)</f>
        <v>36000</v>
      </c>
      <c r="H1781" cm="1">
        <f t="array" ref="H1781">Food_Orders[[#This Row],[Quantity_Orderd]]*_xlfn.XLOOKUP(Food_Orders[[#This Row],[Food_ID]],Food_Catalog[[#All],[Food_ID]],Food_Catalog[[#All],[Client_Price_Per_Unit]],0,0)</f>
        <v>43200</v>
      </c>
      <c r="I1781">
        <f>Food_Orders[[#This Row],[Client_Price]]-Food_Orders[[#This Row],[Cost]]</f>
        <v>7200</v>
      </c>
    </row>
    <row r="1782" spans="1:9" x14ac:dyDescent="0.25">
      <c r="A1782">
        <v>78</v>
      </c>
      <c r="B1782" t="s">
        <v>35</v>
      </c>
      <c r="C1782" t="s">
        <v>8</v>
      </c>
      <c r="D1782" t="s">
        <v>36</v>
      </c>
      <c r="E1782" t="s">
        <v>10</v>
      </c>
      <c r="F1782" cm="1">
        <f t="array" ref="F1782">_xlfn.XLOOKUP(Food_Orders[[#This Row],[Event_No]],Event_Master[[#All],[Event_No]],Event_Master[[#All],[Guest_Count]],,0)</f>
        <v>1200</v>
      </c>
      <c r="G1782" cm="1">
        <f t="array" ref="G1782">Food_Orders[[#This Row],[Quantity_Orderd]]*_xlfn.XLOOKUP(Food_Orders[[#This Row],[Food_ID]],Food_Catalog[[#All],[Food_ID]],Food_Catalog[[#All],[Price_Per_Unit]],0,0)</f>
        <v>36000</v>
      </c>
      <c r="H1782" cm="1">
        <f t="array" ref="H1782">Food_Orders[[#This Row],[Quantity_Orderd]]*_xlfn.XLOOKUP(Food_Orders[[#This Row],[Food_ID]],Food_Catalog[[#All],[Food_ID]],Food_Catalog[[#All],[Client_Price_Per_Unit]],0,0)</f>
        <v>43200</v>
      </c>
      <c r="I1782">
        <f>Food_Orders[[#This Row],[Client_Price]]-Food_Orders[[#This Row],[Cost]]</f>
        <v>7200</v>
      </c>
    </row>
    <row r="1783" spans="1:9" x14ac:dyDescent="0.25">
      <c r="A1783">
        <v>78</v>
      </c>
      <c r="B1783" t="s">
        <v>27</v>
      </c>
      <c r="C1783" t="s">
        <v>8</v>
      </c>
      <c r="D1783" t="s">
        <v>28</v>
      </c>
      <c r="E1783" t="s">
        <v>10</v>
      </c>
      <c r="F1783" cm="1">
        <f t="array" ref="F1783">_xlfn.XLOOKUP(Food_Orders[[#This Row],[Event_No]],Event_Master[[#All],[Event_No]],Event_Master[[#All],[Guest_Count]],,0)</f>
        <v>1200</v>
      </c>
      <c r="G1783" cm="1">
        <f t="array" ref="G1783">Food_Orders[[#This Row],[Quantity_Orderd]]*_xlfn.XLOOKUP(Food_Orders[[#This Row],[Food_ID]],Food_Catalog[[#All],[Food_ID]],Food_Catalog[[#All],[Price_Per_Unit]],0,0)</f>
        <v>48000</v>
      </c>
      <c r="H1783" cm="1">
        <f t="array" ref="H1783">Food_Orders[[#This Row],[Quantity_Orderd]]*_xlfn.XLOOKUP(Food_Orders[[#This Row],[Food_ID]],Food_Catalog[[#All],[Food_ID]],Food_Catalog[[#All],[Client_Price_Per_Unit]],0,0)</f>
        <v>57600</v>
      </c>
      <c r="I1783">
        <f>Food_Orders[[#This Row],[Client_Price]]-Food_Orders[[#This Row],[Cost]]</f>
        <v>9600</v>
      </c>
    </row>
    <row r="1784" spans="1:9" x14ac:dyDescent="0.25">
      <c r="A1784">
        <v>78</v>
      </c>
      <c r="B1784" t="s">
        <v>31</v>
      </c>
      <c r="C1784" t="s">
        <v>8</v>
      </c>
      <c r="D1784" t="s">
        <v>32</v>
      </c>
      <c r="E1784" t="s">
        <v>10</v>
      </c>
      <c r="F1784" cm="1">
        <f t="array" ref="F1784">_xlfn.XLOOKUP(Food_Orders[[#This Row],[Event_No]],Event_Master[[#All],[Event_No]],Event_Master[[#All],[Guest_Count]],,0)</f>
        <v>1200</v>
      </c>
      <c r="G1784" cm="1">
        <f t="array" ref="G1784">Food_Orders[[#This Row],[Quantity_Orderd]]*_xlfn.XLOOKUP(Food_Orders[[#This Row],[Food_ID]],Food_Catalog[[#All],[Food_ID]],Food_Catalog[[#All],[Price_Per_Unit]],0,0)</f>
        <v>36000</v>
      </c>
      <c r="H1784" cm="1">
        <f t="array" ref="H1784">Food_Orders[[#This Row],[Quantity_Orderd]]*_xlfn.XLOOKUP(Food_Orders[[#This Row],[Food_ID]],Food_Catalog[[#All],[Food_ID]],Food_Catalog[[#All],[Client_Price_Per_Unit]],0,0)</f>
        <v>43200</v>
      </c>
      <c r="I1784">
        <f>Food_Orders[[#This Row],[Client_Price]]-Food_Orders[[#This Row],[Cost]]</f>
        <v>7200</v>
      </c>
    </row>
    <row r="1785" spans="1:9" x14ac:dyDescent="0.25">
      <c r="A1785">
        <v>78</v>
      </c>
      <c r="B1785" t="s">
        <v>33</v>
      </c>
      <c r="C1785" t="s">
        <v>8</v>
      </c>
      <c r="D1785" t="s">
        <v>34</v>
      </c>
      <c r="E1785" t="s">
        <v>10</v>
      </c>
      <c r="F1785" cm="1">
        <f t="array" ref="F1785">_xlfn.XLOOKUP(Food_Orders[[#This Row],[Event_No]],Event_Master[[#All],[Event_No]],Event_Master[[#All],[Guest_Count]],,0)</f>
        <v>1200</v>
      </c>
      <c r="G1785" cm="1">
        <f t="array" ref="G1785">Food_Orders[[#This Row],[Quantity_Orderd]]*_xlfn.XLOOKUP(Food_Orders[[#This Row],[Food_ID]],Food_Catalog[[#All],[Food_ID]],Food_Catalog[[#All],[Price_Per_Unit]],0,0)</f>
        <v>36000</v>
      </c>
      <c r="H1785" cm="1">
        <f t="array" ref="H1785">Food_Orders[[#This Row],[Quantity_Orderd]]*_xlfn.XLOOKUP(Food_Orders[[#This Row],[Food_ID]],Food_Catalog[[#All],[Food_ID]],Food_Catalog[[#All],[Client_Price_Per_Unit]],0,0)</f>
        <v>43200</v>
      </c>
      <c r="I1785">
        <f>Food_Orders[[#This Row],[Client_Price]]-Food_Orders[[#This Row],[Cost]]</f>
        <v>7200</v>
      </c>
    </row>
    <row r="1786" spans="1:9" x14ac:dyDescent="0.25">
      <c r="A1786">
        <v>78</v>
      </c>
      <c r="B1786" t="s">
        <v>17</v>
      </c>
      <c r="C1786" t="s">
        <v>8</v>
      </c>
      <c r="D1786" t="s">
        <v>18</v>
      </c>
      <c r="E1786" t="s">
        <v>10</v>
      </c>
      <c r="F1786" cm="1">
        <f t="array" ref="F1786">_xlfn.XLOOKUP(Food_Orders[[#This Row],[Event_No]],Event_Master[[#All],[Event_No]],Event_Master[[#All],[Guest_Count]],,0)</f>
        <v>1200</v>
      </c>
      <c r="G1786" cm="1">
        <f t="array" ref="G1786">Food_Orders[[#This Row],[Quantity_Orderd]]*_xlfn.XLOOKUP(Food_Orders[[#This Row],[Food_ID]],Food_Catalog[[#All],[Food_ID]],Food_Catalog[[#All],[Price_Per_Unit]],0,0)</f>
        <v>48000</v>
      </c>
      <c r="H1786" cm="1">
        <f t="array" ref="H1786">Food_Orders[[#This Row],[Quantity_Orderd]]*_xlfn.XLOOKUP(Food_Orders[[#This Row],[Food_ID]],Food_Catalog[[#All],[Food_ID]],Food_Catalog[[#All],[Client_Price_Per_Unit]],0,0)</f>
        <v>57600</v>
      </c>
      <c r="I1786">
        <f>Food_Orders[[#This Row],[Client_Price]]-Food_Orders[[#This Row],[Cost]]</f>
        <v>9600</v>
      </c>
    </row>
    <row r="1787" spans="1:9" x14ac:dyDescent="0.25">
      <c r="A1787">
        <v>78</v>
      </c>
      <c r="B1787" t="s">
        <v>21</v>
      </c>
      <c r="C1787" t="s">
        <v>8</v>
      </c>
      <c r="D1787" t="s">
        <v>22</v>
      </c>
      <c r="E1787" t="s">
        <v>10</v>
      </c>
      <c r="F1787" cm="1">
        <f t="array" ref="F1787">_xlfn.XLOOKUP(Food_Orders[[#This Row],[Event_No]],Event_Master[[#All],[Event_No]],Event_Master[[#All],[Guest_Count]],,0)</f>
        <v>1200</v>
      </c>
      <c r="G1787" cm="1">
        <f t="array" ref="G1787">Food_Orders[[#This Row],[Quantity_Orderd]]*_xlfn.XLOOKUP(Food_Orders[[#This Row],[Food_ID]],Food_Catalog[[#All],[Food_ID]],Food_Catalog[[#All],[Price_Per_Unit]],0,0)</f>
        <v>42000</v>
      </c>
      <c r="H1787" cm="1">
        <f t="array" ref="H1787">Food_Orders[[#This Row],[Quantity_Orderd]]*_xlfn.XLOOKUP(Food_Orders[[#This Row],[Food_ID]],Food_Catalog[[#All],[Food_ID]],Food_Catalog[[#All],[Client_Price_Per_Unit]],0,0)</f>
        <v>50400</v>
      </c>
      <c r="I1787">
        <f>Food_Orders[[#This Row],[Client_Price]]-Food_Orders[[#This Row],[Cost]]</f>
        <v>8400</v>
      </c>
    </row>
    <row r="1788" spans="1:9" x14ac:dyDescent="0.25">
      <c r="A1788">
        <v>78</v>
      </c>
      <c r="B1788" t="s">
        <v>19</v>
      </c>
      <c r="C1788" t="s">
        <v>8</v>
      </c>
      <c r="D1788" t="s">
        <v>20</v>
      </c>
      <c r="E1788" t="s">
        <v>10</v>
      </c>
      <c r="F1788" cm="1">
        <f t="array" ref="F1788">_xlfn.XLOOKUP(Food_Orders[[#This Row],[Event_No]],Event_Master[[#All],[Event_No]],Event_Master[[#All],[Guest_Count]],,0)</f>
        <v>1200</v>
      </c>
      <c r="G1788" cm="1">
        <f t="array" ref="G1788">Food_Orders[[#This Row],[Quantity_Orderd]]*_xlfn.XLOOKUP(Food_Orders[[#This Row],[Food_ID]],Food_Catalog[[#All],[Food_ID]],Food_Catalog[[#All],[Price_Per_Unit]],0,0)</f>
        <v>42000</v>
      </c>
      <c r="H1788" cm="1">
        <f t="array" ref="H1788">Food_Orders[[#This Row],[Quantity_Orderd]]*_xlfn.XLOOKUP(Food_Orders[[#This Row],[Food_ID]],Food_Catalog[[#All],[Food_ID]],Food_Catalog[[#All],[Client_Price_Per_Unit]],0,0)</f>
        <v>50400</v>
      </c>
      <c r="I1788">
        <f>Food_Orders[[#This Row],[Client_Price]]-Food_Orders[[#This Row],[Cost]]</f>
        <v>8400</v>
      </c>
    </row>
    <row r="1789" spans="1:9" x14ac:dyDescent="0.25">
      <c r="A1789">
        <v>78</v>
      </c>
      <c r="B1789" t="s">
        <v>29</v>
      </c>
      <c r="C1789" t="s">
        <v>8</v>
      </c>
      <c r="D1789" t="s">
        <v>30</v>
      </c>
      <c r="E1789" t="s">
        <v>10</v>
      </c>
      <c r="F1789" cm="1">
        <f t="array" ref="F1789">_xlfn.XLOOKUP(Food_Orders[[#This Row],[Event_No]],Event_Master[[#All],[Event_No]],Event_Master[[#All],[Guest_Count]],,0)</f>
        <v>1200</v>
      </c>
      <c r="G1789" cm="1">
        <f t="array" ref="G1789">Food_Orders[[#This Row],[Quantity_Orderd]]*_xlfn.XLOOKUP(Food_Orders[[#This Row],[Food_ID]],Food_Catalog[[#All],[Food_ID]],Food_Catalog[[#All],[Price_Per_Unit]],0,0)</f>
        <v>36000</v>
      </c>
      <c r="H1789" cm="1">
        <f t="array" ref="H1789">Food_Orders[[#This Row],[Quantity_Orderd]]*_xlfn.XLOOKUP(Food_Orders[[#This Row],[Food_ID]],Food_Catalog[[#All],[Food_ID]],Food_Catalog[[#All],[Client_Price_Per_Unit]],0,0)</f>
        <v>43200</v>
      </c>
      <c r="I1789">
        <f>Food_Orders[[#This Row],[Client_Price]]-Food_Orders[[#This Row],[Cost]]</f>
        <v>7200</v>
      </c>
    </row>
    <row r="1790" spans="1:9" x14ac:dyDescent="0.25">
      <c r="A1790">
        <v>78</v>
      </c>
      <c r="B1790" t="s">
        <v>37</v>
      </c>
      <c r="C1790" t="s">
        <v>8</v>
      </c>
      <c r="D1790" t="s">
        <v>38</v>
      </c>
      <c r="E1790" t="s">
        <v>10</v>
      </c>
      <c r="F1790" cm="1">
        <f t="array" ref="F1790">_xlfn.XLOOKUP(Food_Orders[[#This Row],[Event_No]],Event_Master[[#All],[Event_No]],Event_Master[[#All],[Guest_Count]],,0)</f>
        <v>1200</v>
      </c>
      <c r="G1790" cm="1">
        <f t="array" ref="G1790">Food_Orders[[#This Row],[Quantity_Orderd]]*_xlfn.XLOOKUP(Food_Orders[[#This Row],[Food_ID]],Food_Catalog[[#All],[Food_ID]],Food_Catalog[[#All],[Price_Per_Unit]],0,0)</f>
        <v>30000</v>
      </c>
      <c r="H1790" cm="1">
        <f t="array" ref="H1790">Food_Orders[[#This Row],[Quantity_Orderd]]*_xlfn.XLOOKUP(Food_Orders[[#This Row],[Food_ID]],Food_Catalog[[#All],[Food_ID]],Food_Catalog[[#All],[Client_Price_Per_Unit]],0,0)</f>
        <v>36000</v>
      </c>
      <c r="I1790">
        <f>Food_Orders[[#This Row],[Client_Price]]-Food_Orders[[#This Row],[Cost]]</f>
        <v>6000</v>
      </c>
    </row>
    <row r="1791" spans="1:9" x14ac:dyDescent="0.25">
      <c r="A1791">
        <v>78</v>
      </c>
      <c r="B1791" t="s">
        <v>39</v>
      </c>
      <c r="C1791" t="s">
        <v>40</v>
      </c>
      <c r="D1791" t="s">
        <v>41</v>
      </c>
      <c r="E1791" t="s">
        <v>10</v>
      </c>
      <c r="F1791" cm="1">
        <f t="array" ref="F1791">_xlfn.XLOOKUP(Food_Orders[[#This Row],[Event_No]],Event_Master[[#All],[Event_No]],Event_Master[[#All],[Guest_Count]],,0)</f>
        <v>1200</v>
      </c>
      <c r="G1791" cm="1">
        <f t="array" ref="G1791">Food_Orders[[#This Row],[Quantity_Orderd]]*_xlfn.XLOOKUP(Food_Orders[[#This Row],[Food_ID]],Food_Catalog[[#All],[Food_ID]],Food_Catalog[[#All],[Price_Per_Unit]],0,0)</f>
        <v>72000</v>
      </c>
      <c r="H1791" cm="1">
        <f t="array" ref="H1791">Food_Orders[[#This Row],[Quantity_Orderd]]*_xlfn.XLOOKUP(Food_Orders[[#This Row],[Food_ID]],Food_Catalog[[#All],[Food_ID]],Food_Catalog[[#All],[Client_Price_Per_Unit]],0,0)</f>
        <v>86400</v>
      </c>
      <c r="I1791">
        <f>Food_Orders[[#This Row],[Client_Price]]-Food_Orders[[#This Row],[Cost]]</f>
        <v>14400</v>
      </c>
    </row>
    <row r="1792" spans="1:9" x14ac:dyDescent="0.25">
      <c r="A1792">
        <v>78</v>
      </c>
      <c r="B1792" t="s">
        <v>42</v>
      </c>
      <c r="C1792" t="s">
        <v>40</v>
      </c>
      <c r="D1792" t="s">
        <v>43</v>
      </c>
      <c r="E1792" t="s">
        <v>10</v>
      </c>
      <c r="F1792" cm="1">
        <f t="array" ref="F1792">_xlfn.XLOOKUP(Food_Orders[[#This Row],[Event_No]],Event_Master[[#All],[Event_No]],Event_Master[[#All],[Guest_Count]],,0)</f>
        <v>1200</v>
      </c>
      <c r="G1792" cm="1">
        <f t="array" ref="G1792">Food_Orders[[#This Row],[Quantity_Orderd]]*_xlfn.XLOOKUP(Food_Orders[[#This Row],[Food_ID]],Food_Catalog[[#All],[Food_ID]],Food_Catalog[[#All],[Price_Per_Unit]],0,0)</f>
        <v>84000</v>
      </c>
      <c r="H1792" cm="1">
        <f t="array" ref="H1792">Food_Orders[[#This Row],[Quantity_Orderd]]*_xlfn.XLOOKUP(Food_Orders[[#This Row],[Food_ID]],Food_Catalog[[#All],[Food_ID]],Food_Catalog[[#All],[Client_Price_Per_Unit]],0,0)</f>
        <v>100800</v>
      </c>
      <c r="I1792">
        <f>Food_Orders[[#This Row],[Client_Price]]-Food_Orders[[#This Row],[Cost]]</f>
        <v>16800</v>
      </c>
    </row>
    <row r="1793" spans="1:9" x14ac:dyDescent="0.25">
      <c r="A1793">
        <v>78</v>
      </c>
      <c r="B1793" t="s">
        <v>46</v>
      </c>
      <c r="C1793" t="s">
        <v>40</v>
      </c>
      <c r="D1793" t="s">
        <v>47</v>
      </c>
      <c r="E1793" t="s">
        <v>10</v>
      </c>
      <c r="F1793" cm="1">
        <f t="array" ref="F1793">_xlfn.XLOOKUP(Food_Orders[[#This Row],[Event_No]],Event_Master[[#All],[Event_No]],Event_Master[[#All],[Guest_Count]],,0)</f>
        <v>1200</v>
      </c>
      <c r="G1793" cm="1">
        <f t="array" ref="G1793">Food_Orders[[#This Row],[Quantity_Orderd]]*_xlfn.XLOOKUP(Food_Orders[[#This Row],[Food_ID]],Food_Catalog[[#All],[Food_ID]],Food_Catalog[[#All],[Price_Per_Unit]],0,0)</f>
        <v>108000</v>
      </c>
      <c r="H1793" cm="1">
        <f t="array" ref="H1793">Food_Orders[[#This Row],[Quantity_Orderd]]*_xlfn.XLOOKUP(Food_Orders[[#This Row],[Food_ID]],Food_Catalog[[#All],[Food_ID]],Food_Catalog[[#All],[Client_Price_Per_Unit]],0,0)</f>
        <v>129600</v>
      </c>
      <c r="I1793">
        <f>Food_Orders[[#This Row],[Client_Price]]-Food_Orders[[#This Row],[Cost]]</f>
        <v>21600</v>
      </c>
    </row>
    <row r="1794" spans="1:9" x14ac:dyDescent="0.25">
      <c r="A1794">
        <v>78</v>
      </c>
      <c r="B1794" t="s">
        <v>48</v>
      </c>
      <c r="C1794" t="s">
        <v>40</v>
      </c>
      <c r="D1794" t="s">
        <v>49</v>
      </c>
      <c r="E1794" t="s">
        <v>10</v>
      </c>
      <c r="F1794" cm="1">
        <f t="array" ref="F1794">_xlfn.XLOOKUP(Food_Orders[[#This Row],[Event_No]],Event_Master[[#All],[Event_No]],Event_Master[[#All],[Guest_Count]],,0)</f>
        <v>1200</v>
      </c>
      <c r="G1794" cm="1">
        <f t="array" ref="G1794">Food_Orders[[#This Row],[Quantity_Orderd]]*_xlfn.XLOOKUP(Food_Orders[[#This Row],[Food_ID]],Food_Catalog[[#All],[Food_ID]],Food_Catalog[[#All],[Price_Per_Unit]],0,0)</f>
        <v>120000</v>
      </c>
      <c r="H1794" cm="1">
        <f t="array" ref="H1794">Food_Orders[[#This Row],[Quantity_Orderd]]*_xlfn.XLOOKUP(Food_Orders[[#This Row],[Food_ID]],Food_Catalog[[#All],[Food_ID]],Food_Catalog[[#All],[Client_Price_Per_Unit]],0,0)</f>
        <v>144000</v>
      </c>
      <c r="I1794">
        <f>Food_Orders[[#This Row],[Client_Price]]-Food_Orders[[#This Row],[Cost]]</f>
        <v>24000</v>
      </c>
    </row>
    <row r="1795" spans="1:9" x14ac:dyDescent="0.25">
      <c r="A1795">
        <v>78</v>
      </c>
      <c r="B1795" t="s">
        <v>50</v>
      </c>
      <c r="C1795" t="s">
        <v>40</v>
      </c>
      <c r="D1795" t="s">
        <v>51</v>
      </c>
      <c r="E1795" t="s">
        <v>10</v>
      </c>
      <c r="F1795" cm="1">
        <f t="array" ref="F1795">_xlfn.XLOOKUP(Food_Orders[[#This Row],[Event_No]],Event_Master[[#All],[Event_No]],Event_Master[[#All],[Guest_Count]],,0)</f>
        <v>1200</v>
      </c>
      <c r="G1795" cm="1">
        <f t="array" ref="G1795">Food_Orders[[#This Row],[Quantity_Orderd]]*_xlfn.XLOOKUP(Food_Orders[[#This Row],[Food_ID]],Food_Catalog[[#All],[Food_ID]],Food_Catalog[[#All],[Price_Per_Unit]],0,0)</f>
        <v>96000</v>
      </c>
      <c r="H1795" cm="1">
        <f t="array" ref="H1795">Food_Orders[[#This Row],[Quantity_Orderd]]*_xlfn.XLOOKUP(Food_Orders[[#This Row],[Food_ID]],Food_Catalog[[#All],[Food_ID]],Food_Catalog[[#All],[Client_Price_Per_Unit]],0,0)</f>
        <v>115200</v>
      </c>
      <c r="I1795">
        <f>Food_Orders[[#This Row],[Client_Price]]-Food_Orders[[#This Row],[Cost]]</f>
        <v>19200</v>
      </c>
    </row>
    <row r="1796" spans="1:9" x14ac:dyDescent="0.25">
      <c r="A1796">
        <v>78</v>
      </c>
      <c r="B1796" t="s">
        <v>52</v>
      </c>
      <c r="C1796" t="s">
        <v>40</v>
      </c>
      <c r="D1796" t="s">
        <v>53</v>
      </c>
      <c r="E1796" t="s">
        <v>10</v>
      </c>
      <c r="F1796" cm="1">
        <f t="array" ref="F1796">_xlfn.XLOOKUP(Food_Orders[[#This Row],[Event_No]],Event_Master[[#All],[Event_No]],Event_Master[[#All],[Guest_Count]],,0)</f>
        <v>1200</v>
      </c>
      <c r="G1796" cm="1">
        <f t="array" ref="G1796">Food_Orders[[#This Row],[Quantity_Orderd]]*_xlfn.XLOOKUP(Food_Orders[[#This Row],[Food_ID]],Food_Catalog[[#All],[Food_ID]],Food_Catalog[[#All],[Price_Per_Unit]],0,0)</f>
        <v>120000</v>
      </c>
      <c r="H1796" cm="1">
        <f t="array" ref="H1796">Food_Orders[[#This Row],[Quantity_Orderd]]*_xlfn.XLOOKUP(Food_Orders[[#This Row],[Food_ID]],Food_Catalog[[#All],[Food_ID]],Food_Catalog[[#All],[Client_Price_Per_Unit]],0,0)</f>
        <v>144000</v>
      </c>
      <c r="I1796">
        <f>Food_Orders[[#This Row],[Client_Price]]-Food_Orders[[#This Row],[Cost]]</f>
        <v>24000</v>
      </c>
    </row>
    <row r="1797" spans="1:9" x14ac:dyDescent="0.25">
      <c r="A1797">
        <v>78</v>
      </c>
      <c r="B1797" t="s">
        <v>54</v>
      </c>
      <c r="C1797" t="s">
        <v>40</v>
      </c>
      <c r="D1797" t="s">
        <v>55</v>
      </c>
      <c r="E1797" t="s">
        <v>10</v>
      </c>
      <c r="F1797" cm="1">
        <f t="array" ref="F1797">_xlfn.XLOOKUP(Food_Orders[[#This Row],[Event_No]],Event_Master[[#All],[Event_No]],Event_Master[[#All],[Guest_Count]],,0)</f>
        <v>1200</v>
      </c>
      <c r="G1797" cm="1">
        <f t="array" ref="G1797">Food_Orders[[#This Row],[Quantity_Orderd]]*_xlfn.XLOOKUP(Food_Orders[[#This Row],[Food_ID]],Food_Catalog[[#All],[Food_ID]],Food_Catalog[[#All],[Price_Per_Unit]],0,0)</f>
        <v>48000</v>
      </c>
      <c r="H1797" cm="1">
        <f t="array" ref="H1797">Food_Orders[[#This Row],[Quantity_Orderd]]*_xlfn.XLOOKUP(Food_Orders[[#This Row],[Food_ID]],Food_Catalog[[#All],[Food_ID]],Food_Catalog[[#All],[Client_Price_Per_Unit]],0,0)</f>
        <v>57600</v>
      </c>
      <c r="I1797">
        <f>Food_Orders[[#This Row],[Client_Price]]-Food_Orders[[#This Row],[Cost]]</f>
        <v>9600</v>
      </c>
    </row>
    <row r="1798" spans="1:9" x14ac:dyDescent="0.25">
      <c r="A1798">
        <v>78</v>
      </c>
      <c r="B1798" t="s">
        <v>58</v>
      </c>
      <c r="C1798" t="s">
        <v>40</v>
      </c>
      <c r="D1798" t="s">
        <v>59</v>
      </c>
      <c r="E1798" t="s">
        <v>10</v>
      </c>
      <c r="F1798" cm="1">
        <f t="array" ref="F1798">_xlfn.XLOOKUP(Food_Orders[[#This Row],[Event_No]],Event_Master[[#All],[Event_No]],Event_Master[[#All],[Guest_Count]],,0)</f>
        <v>1200</v>
      </c>
      <c r="G1798" cm="1">
        <f t="array" ref="G1798">Food_Orders[[#This Row],[Quantity_Orderd]]*_xlfn.XLOOKUP(Food_Orders[[#This Row],[Food_ID]],Food_Catalog[[#All],[Food_ID]],Food_Catalog[[#All],[Price_Per_Unit]],0,0)</f>
        <v>108000</v>
      </c>
      <c r="H1798" cm="1">
        <f t="array" ref="H1798">Food_Orders[[#This Row],[Quantity_Orderd]]*_xlfn.XLOOKUP(Food_Orders[[#This Row],[Food_ID]],Food_Catalog[[#All],[Food_ID]],Food_Catalog[[#All],[Client_Price_Per_Unit]],0,0)</f>
        <v>129600</v>
      </c>
      <c r="I1798">
        <f>Food_Orders[[#This Row],[Client_Price]]-Food_Orders[[#This Row],[Cost]]</f>
        <v>21600</v>
      </c>
    </row>
    <row r="1799" spans="1:9" x14ac:dyDescent="0.25">
      <c r="A1799">
        <v>78</v>
      </c>
      <c r="B1799" t="s">
        <v>82</v>
      </c>
      <c r="C1799" t="s">
        <v>83</v>
      </c>
      <c r="D1799" t="s">
        <v>84</v>
      </c>
      <c r="E1799" t="s">
        <v>85</v>
      </c>
      <c r="F1799" cm="1">
        <f t="array" ref="F1799">_xlfn.XLOOKUP(Food_Orders[[#This Row],[Event_No]],Event_Master[[#All],[Event_No]],Event_Master[[#All],[Guest_Count]],,0)</f>
        <v>1200</v>
      </c>
      <c r="G1799" cm="1">
        <f t="array" ref="G1799">Food_Orders[[#This Row],[Quantity_Orderd]]*_xlfn.XLOOKUP(Food_Orders[[#This Row],[Food_ID]],Food_Catalog[[#All],[Food_ID]],Food_Catalog[[#All],[Price_Per_Unit]],0,0)</f>
        <v>24000</v>
      </c>
      <c r="H1799" cm="1">
        <f t="array" ref="H1799">Food_Orders[[#This Row],[Quantity_Orderd]]*_xlfn.XLOOKUP(Food_Orders[[#This Row],[Food_ID]],Food_Catalog[[#All],[Food_ID]],Food_Catalog[[#All],[Client_Price_Per_Unit]],0,0)</f>
        <v>28800</v>
      </c>
      <c r="I1799">
        <f>Food_Orders[[#This Row],[Client_Price]]-Food_Orders[[#This Row],[Cost]]</f>
        <v>4800</v>
      </c>
    </row>
    <row r="1800" spans="1:9" x14ac:dyDescent="0.25">
      <c r="A1800">
        <v>78</v>
      </c>
      <c r="B1800" t="s">
        <v>86</v>
      </c>
      <c r="C1800" t="s">
        <v>83</v>
      </c>
      <c r="D1800" t="s">
        <v>87</v>
      </c>
      <c r="E1800" t="s">
        <v>85</v>
      </c>
      <c r="F1800" cm="1">
        <f t="array" ref="F1800">_xlfn.XLOOKUP(Food_Orders[[#This Row],[Event_No]],Event_Master[[#All],[Event_No]],Event_Master[[#All],[Guest_Count]],,0)</f>
        <v>1200</v>
      </c>
      <c r="G1800" cm="1">
        <f t="array" ref="G1800">Food_Orders[[#This Row],[Quantity_Orderd]]*_xlfn.XLOOKUP(Food_Orders[[#This Row],[Food_ID]],Food_Catalog[[#All],[Food_ID]],Food_Catalog[[#All],[Price_Per_Unit]],0,0)</f>
        <v>24000</v>
      </c>
      <c r="H1800" cm="1">
        <f t="array" ref="H1800">Food_Orders[[#This Row],[Quantity_Orderd]]*_xlfn.XLOOKUP(Food_Orders[[#This Row],[Food_ID]],Food_Catalog[[#All],[Food_ID]],Food_Catalog[[#All],[Client_Price_Per_Unit]],0,0)</f>
        <v>28800</v>
      </c>
      <c r="I1800">
        <f>Food_Orders[[#This Row],[Client_Price]]-Food_Orders[[#This Row],[Cost]]</f>
        <v>4800</v>
      </c>
    </row>
    <row r="1801" spans="1:9" x14ac:dyDescent="0.25">
      <c r="A1801">
        <v>78</v>
      </c>
      <c r="B1801" t="s">
        <v>88</v>
      </c>
      <c r="C1801" t="s">
        <v>83</v>
      </c>
      <c r="D1801" t="s">
        <v>89</v>
      </c>
      <c r="E1801" t="s">
        <v>85</v>
      </c>
      <c r="F1801" cm="1">
        <f t="array" ref="F1801">_xlfn.XLOOKUP(Food_Orders[[#This Row],[Event_No]],Event_Master[[#All],[Event_No]],Event_Master[[#All],[Guest_Count]],,0)</f>
        <v>1200</v>
      </c>
      <c r="G1801" cm="1">
        <f t="array" ref="G1801">Food_Orders[[#This Row],[Quantity_Orderd]]*_xlfn.XLOOKUP(Food_Orders[[#This Row],[Food_ID]],Food_Catalog[[#All],[Food_ID]],Food_Catalog[[#All],[Price_Per_Unit]],0,0)</f>
        <v>18000</v>
      </c>
      <c r="H1801" cm="1">
        <f t="array" ref="H1801">Food_Orders[[#This Row],[Quantity_Orderd]]*_xlfn.XLOOKUP(Food_Orders[[#This Row],[Food_ID]],Food_Catalog[[#All],[Food_ID]],Food_Catalog[[#All],[Client_Price_Per_Unit]],0,0)</f>
        <v>21600</v>
      </c>
      <c r="I1801">
        <f>Food_Orders[[#This Row],[Client_Price]]-Food_Orders[[#This Row],[Cost]]</f>
        <v>3600</v>
      </c>
    </row>
    <row r="1802" spans="1:9" x14ac:dyDescent="0.25">
      <c r="A1802">
        <v>78</v>
      </c>
      <c r="B1802" t="s">
        <v>100</v>
      </c>
      <c r="C1802" t="s">
        <v>83</v>
      </c>
      <c r="D1802" t="s">
        <v>101</v>
      </c>
      <c r="E1802" t="s">
        <v>79</v>
      </c>
      <c r="F1802" cm="1">
        <f t="array" ref="F1802">_xlfn.XLOOKUP(Food_Orders[[#This Row],[Event_No]],Event_Master[[#All],[Event_No]],Event_Master[[#All],[Guest_Count]],,0)</f>
        <v>1200</v>
      </c>
      <c r="G1802" cm="1">
        <f t="array" ref="G1802">Food_Orders[[#This Row],[Quantity_Orderd]]*_xlfn.XLOOKUP(Food_Orders[[#This Row],[Food_ID]],Food_Catalog[[#All],[Food_ID]],Food_Catalog[[#All],[Price_Per_Unit]],0,0)</f>
        <v>42000</v>
      </c>
      <c r="H1802" cm="1">
        <f t="array" ref="H1802">Food_Orders[[#This Row],[Quantity_Orderd]]*_xlfn.XLOOKUP(Food_Orders[[#This Row],[Food_ID]],Food_Catalog[[#All],[Food_ID]],Food_Catalog[[#All],[Client_Price_Per_Unit]],0,0)</f>
        <v>50400</v>
      </c>
      <c r="I1802">
        <f>Food_Orders[[#This Row],[Client_Price]]-Food_Orders[[#This Row],[Cost]]</f>
        <v>8400</v>
      </c>
    </row>
    <row r="1803" spans="1:9" x14ac:dyDescent="0.25">
      <c r="A1803">
        <v>78</v>
      </c>
      <c r="B1803" t="s">
        <v>96</v>
      </c>
      <c r="C1803" t="s">
        <v>83</v>
      </c>
      <c r="D1803" t="s">
        <v>97</v>
      </c>
      <c r="E1803" t="s">
        <v>79</v>
      </c>
      <c r="F1803" cm="1">
        <f t="array" ref="F1803">_xlfn.XLOOKUP(Food_Orders[[#This Row],[Event_No]],Event_Master[[#All],[Event_No]],Event_Master[[#All],[Guest_Count]],,0)</f>
        <v>1200</v>
      </c>
      <c r="G1803" cm="1">
        <f t="array" ref="G1803">Food_Orders[[#This Row],[Quantity_Orderd]]*_xlfn.XLOOKUP(Food_Orders[[#This Row],[Food_ID]],Food_Catalog[[#All],[Food_ID]],Food_Catalog[[#All],[Price_Per_Unit]],0,0)</f>
        <v>36000</v>
      </c>
      <c r="H1803" cm="1">
        <f t="array" ref="H1803">Food_Orders[[#This Row],[Quantity_Orderd]]*_xlfn.XLOOKUP(Food_Orders[[#This Row],[Food_ID]],Food_Catalog[[#All],[Food_ID]],Food_Catalog[[#All],[Client_Price_Per_Unit]],0,0)</f>
        <v>43200</v>
      </c>
      <c r="I1803">
        <f>Food_Orders[[#This Row],[Client_Price]]-Food_Orders[[#This Row],[Cost]]</f>
        <v>7200</v>
      </c>
    </row>
    <row r="1804" spans="1:9" x14ac:dyDescent="0.25">
      <c r="A1804">
        <v>78</v>
      </c>
      <c r="B1804" t="s">
        <v>92</v>
      </c>
      <c r="C1804" t="s">
        <v>83</v>
      </c>
      <c r="D1804" t="s">
        <v>93</v>
      </c>
      <c r="E1804" t="s">
        <v>85</v>
      </c>
      <c r="F1804" cm="1">
        <f t="array" ref="F1804">_xlfn.XLOOKUP(Food_Orders[[#This Row],[Event_No]],Event_Master[[#All],[Event_No]],Event_Master[[#All],[Guest_Count]],,0)</f>
        <v>1200</v>
      </c>
      <c r="G1804" cm="1">
        <f t="array" ref="G1804">Food_Orders[[#This Row],[Quantity_Orderd]]*_xlfn.XLOOKUP(Food_Orders[[#This Row],[Food_ID]],Food_Catalog[[#All],[Food_ID]],Food_Catalog[[#All],[Price_Per_Unit]],0,0)</f>
        <v>18000</v>
      </c>
      <c r="H1804" cm="1">
        <f t="array" ref="H1804">Food_Orders[[#This Row],[Quantity_Orderd]]*_xlfn.XLOOKUP(Food_Orders[[#This Row],[Food_ID]],Food_Catalog[[#All],[Food_ID]],Food_Catalog[[#All],[Client_Price_Per_Unit]],0,0)</f>
        <v>21600</v>
      </c>
      <c r="I1804">
        <f>Food_Orders[[#This Row],[Client_Price]]-Food_Orders[[#This Row],[Cost]]</f>
        <v>3600</v>
      </c>
    </row>
    <row r="1805" spans="1:9" x14ac:dyDescent="0.25">
      <c r="A1805">
        <v>78</v>
      </c>
      <c r="B1805" t="s">
        <v>102</v>
      </c>
      <c r="C1805" t="s">
        <v>83</v>
      </c>
      <c r="D1805" t="s">
        <v>103</v>
      </c>
      <c r="E1805" t="s">
        <v>85</v>
      </c>
      <c r="F1805" cm="1">
        <f t="array" ref="F1805">_xlfn.XLOOKUP(Food_Orders[[#This Row],[Event_No]],Event_Master[[#All],[Event_No]],Event_Master[[#All],[Guest_Count]],,0)</f>
        <v>1200</v>
      </c>
      <c r="G1805" cm="1">
        <f t="array" ref="G1805">Food_Orders[[#This Row],[Quantity_Orderd]]*_xlfn.XLOOKUP(Food_Orders[[#This Row],[Food_ID]],Food_Catalog[[#All],[Food_ID]],Food_Catalog[[#All],[Price_Per_Unit]],0,0)</f>
        <v>24000</v>
      </c>
      <c r="H1805" cm="1">
        <f t="array" ref="H1805">Food_Orders[[#This Row],[Quantity_Orderd]]*_xlfn.XLOOKUP(Food_Orders[[#This Row],[Food_ID]],Food_Catalog[[#All],[Food_ID]],Food_Catalog[[#All],[Client_Price_Per_Unit]],0,0)</f>
        <v>28800</v>
      </c>
      <c r="I1805">
        <f>Food_Orders[[#This Row],[Client_Price]]-Food_Orders[[#This Row],[Cost]]</f>
        <v>4800</v>
      </c>
    </row>
    <row r="1806" spans="1:9" x14ac:dyDescent="0.25">
      <c r="A1806">
        <v>78</v>
      </c>
      <c r="B1806" t="s">
        <v>98</v>
      </c>
      <c r="C1806" t="s">
        <v>83</v>
      </c>
      <c r="D1806" t="s">
        <v>99</v>
      </c>
      <c r="E1806" t="s">
        <v>85</v>
      </c>
      <c r="F1806" cm="1">
        <f t="array" ref="F1806">_xlfn.XLOOKUP(Food_Orders[[#This Row],[Event_No]],Event_Master[[#All],[Event_No]],Event_Master[[#All],[Guest_Count]],,0)</f>
        <v>1200</v>
      </c>
      <c r="G1806" cm="1">
        <f t="array" ref="G1806">Food_Orders[[#This Row],[Quantity_Orderd]]*_xlfn.XLOOKUP(Food_Orders[[#This Row],[Food_ID]],Food_Catalog[[#All],[Food_ID]],Food_Catalog[[#All],[Price_Per_Unit]],0,0)</f>
        <v>18000</v>
      </c>
      <c r="H1806" cm="1">
        <f t="array" ref="H1806">Food_Orders[[#This Row],[Quantity_Orderd]]*_xlfn.XLOOKUP(Food_Orders[[#This Row],[Food_ID]],Food_Catalog[[#All],[Food_ID]],Food_Catalog[[#All],[Client_Price_Per_Unit]],0,0)</f>
        <v>21600</v>
      </c>
      <c r="I1806">
        <f>Food_Orders[[#This Row],[Client_Price]]-Food_Orders[[#This Row],[Cost]]</f>
        <v>3600</v>
      </c>
    </row>
    <row r="1807" spans="1:9" x14ac:dyDescent="0.25">
      <c r="A1807">
        <v>78</v>
      </c>
      <c r="B1807" t="s">
        <v>104</v>
      </c>
      <c r="C1807" t="s">
        <v>105</v>
      </c>
      <c r="D1807" t="s">
        <v>106</v>
      </c>
      <c r="E1807" t="s">
        <v>107</v>
      </c>
      <c r="F1807" cm="1">
        <f t="array" ref="F1807">_xlfn.XLOOKUP(Food_Orders[[#This Row],[Event_No]],Event_Master[[#All],[Event_No]],Event_Master[[#All],[Guest_Count]],,0)</f>
        <v>1200</v>
      </c>
      <c r="G1807" cm="1">
        <f t="array" ref="G1807">Food_Orders[[#This Row],[Quantity_Orderd]]*_xlfn.XLOOKUP(Food_Orders[[#This Row],[Food_ID]],Food_Catalog[[#All],[Food_ID]],Food_Catalog[[#All],[Price_Per_Unit]],0,0)</f>
        <v>12000</v>
      </c>
      <c r="H1807" cm="1">
        <f t="array" ref="H1807">Food_Orders[[#This Row],[Quantity_Orderd]]*_xlfn.XLOOKUP(Food_Orders[[#This Row],[Food_ID]],Food_Catalog[[#All],[Food_ID]],Food_Catalog[[#All],[Client_Price_Per_Unit]],0,0)</f>
        <v>14400</v>
      </c>
      <c r="I1807">
        <f>Food_Orders[[#This Row],[Client_Price]]-Food_Orders[[#This Row],[Cost]]</f>
        <v>2400</v>
      </c>
    </row>
    <row r="1808" spans="1:9" x14ac:dyDescent="0.25">
      <c r="A1808">
        <v>78</v>
      </c>
      <c r="B1808" t="s">
        <v>108</v>
      </c>
      <c r="C1808" t="s">
        <v>105</v>
      </c>
      <c r="D1808" t="s">
        <v>109</v>
      </c>
      <c r="E1808" t="s">
        <v>107</v>
      </c>
      <c r="F1808" cm="1">
        <f t="array" ref="F1808">_xlfn.XLOOKUP(Food_Orders[[#This Row],[Event_No]],Event_Master[[#All],[Event_No]],Event_Master[[#All],[Guest_Count]],,0)</f>
        <v>1200</v>
      </c>
      <c r="G1808" cm="1">
        <f t="array" ref="G1808">Food_Orders[[#This Row],[Quantity_Orderd]]*_xlfn.XLOOKUP(Food_Orders[[#This Row],[Food_ID]],Food_Catalog[[#All],[Food_ID]],Food_Catalog[[#All],[Price_Per_Unit]],0,0)</f>
        <v>18000</v>
      </c>
      <c r="H1808" cm="1">
        <f t="array" ref="H1808">Food_Orders[[#This Row],[Quantity_Orderd]]*_xlfn.XLOOKUP(Food_Orders[[#This Row],[Food_ID]],Food_Catalog[[#All],[Food_ID]],Food_Catalog[[#All],[Client_Price_Per_Unit]],0,0)</f>
        <v>21600</v>
      </c>
      <c r="I1808">
        <f>Food_Orders[[#This Row],[Client_Price]]-Food_Orders[[#This Row],[Cost]]</f>
        <v>3600</v>
      </c>
    </row>
    <row r="1809" spans="1:9" x14ac:dyDescent="0.25">
      <c r="A1809">
        <v>78</v>
      </c>
      <c r="B1809" t="s">
        <v>115</v>
      </c>
      <c r="C1809" t="s">
        <v>105</v>
      </c>
      <c r="D1809" t="s">
        <v>116</v>
      </c>
      <c r="E1809" t="s">
        <v>117</v>
      </c>
      <c r="F1809" cm="1">
        <f t="array" ref="F1809">_xlfn.XLOOKUP(Food_Orders[[#This Row],[Event_No]],Event_Master[[#All],[Event_No]],Event_Master[[#All],[Guest_Count]],,0)</f>
        <v>1200</v>
      </c>
      <c r="G1809" cm="1">
        <f t="array" ref="G1809">Food_Orders[[#This Row],[Quantity_Orderd]]*_xlfn.XLOOKUP(Food_Orders[[#This Row],[Food_ID]],Food_Catalog[[#All],[Food_ID]],Food_Catalog[[#All],[Price_Per_Unit]],0,0)</f>
        <v>30000</v>
      </c>
      <c r="H1809" cm="1">
        <f t="array" ref="H1809">Food_Orders[[#This Row],[Quantity_Orderd]]*_xlfn.XLOOKUP(Food_Orders[[#This Row],[Food_ID]],Food_Catalog[[#All],[Food_ID]],Food_Catalog[[#All],[Client_Price_Per_Unit]],0,0)</f>
        <v>36000</v>
      </c>
      <c r="I1809">
        <f>Food_Orders[[#This Row],[Client_Price]]-Food_Orders[[#This Row],[Cost]]</f>
        <v>6000</v>
      </c>
    </row>
    <row r="1810" spans="1:9" x14ac:dyDescent="0.25">
      <c r="A1810">
        <v>78</v>
      </c>
      <c r="B1810" t="s">
        <v>110</v>
      </c>
      <c r="C1810" t="s">
        <v>105</v>
      </c>
      <c r="D1810" t="s">
        <v>111</v>
      </c>
      <c r="E1810" t="s">
        <v>112</v>
      </c>
      <c r="F1810" cm="1">
        <f t="array" ref="F1810">_xlfn.XLOOKUP(Food_Orders[[#This Row],[Event_No]],Event_Master[[#All],[Event_No]],Event_Master[[#All],[Guest_Count]],,0)</f>
        <v>1200</v>
      </c>
      <c r="G1810" cm="1">
        <f t="array" ref="G1810">Food_Orders[[#This Row],[Quantity_Orderd]]*_xlfn.XLOOKUP(Food_Orders[[#This Row],[Food_ID]],Food_Catalog[[#All],[Food_ID]],Food_Catalog[[#All],[Price_Per_Unit]],0,0)</f>
        <v>24000</v>
      </c>
      <c r="H1810" cm="1">
        <f t="array" ref="H1810">Food_Orders[[#This Row],[Quantity_Orderd]]*_xlfn.XLOOKUP(Food_Orders[[#This Row],[Food_ID]],Food_Catalog[[#All],[Food_ID]],Food_Catalog[[#All],[Client_Price_Per_Unit]],0,0)</f>
        <v>28800</v>
      </c>
      <c r="I1810">
        <f>Food_Orders[[#This Row],[Client_Price]]-Food_Orders[[#This Row],[Cost]]</f>
        <v>4800</v>
      </c>
    </row>
    <row r="1811" spans="1:9" x14ac:dyDescent="0.25">
      <c r="A1811">
        <v>78</v>
      </c>
      <c r="B1811" t="s">
        <v>118</v>
      </c>
      <c r="C1811" t="s">
        <v>119</v>
      </c>
      <c r="D1811" t="s">
        <v>120</v>
      </c>
      <c r="E1811" t="s">
        <v>112</v>
      </c>
      <c r="F1811" cm="1">
        <f t="array" ref="F1811">_xlfn.XLOOKUP(Food_Orders[[#This Row],[Event_No]],Event_Master[[#All],[Event_No]],Event_Master[[#All],[Guest_Count]],,0)</f>
        <v>1200</v>
      </c>
      <c r="G1811" cm="1">
        <f t="array" ref="G1811">Food_Orders[[#This Row],[Quantity_Orderd]]*_xlfn.XLOOKUP(Food_Orders[[#This Row],[Food_ID]],Food_Catalog[[#All],[Food_ID]],Food_Catalog[[#All],[Price_Per_Unit]],0,0)</f>
        <v>12000</v>
      </c>
      <c r="H1811" cm="1">
        <f t="array" ref="H1811">Food_Orders[[#This Row],[Quantity_Orderd]]*_xlfn.XLOOKUP(Food_Orders[[#This Row],[Food_ID]],Food_Catalog[[#All],[Food_ID]],Food_Catalog[[#All],[Client_Price_Per_Unit]],0,0)</f>
        <v>14400</v>
      </c>
      <c r="I1811">
        <f>Food_Orders[[#This Row],[Client_Price]]-Food_Orders[[#This Row],[Cost]]</f>
        <v>2400</v>
      </c>
    </row>
    <row r="1812" spans="1:9" x14ac:dyDescent="0.25">
      <c r="A1812">
        <v>78</v>
      </c>
      <c r="B1812" t="s">
        <v>129</v>
      </c>
      <c r="C1812" t="s">
        <v>119</v>
      </c>
      <c r="D1812" t="s">
        <v>130</v>
      </c>
      <c r="E1812" t="s">
        <v>112</v>
      </c>
      <c r="F1812" cm="1">
        <f t="array" ref="F1812">_xlfn.XLOOKUP(Food_Orders[[#This Row],[Event_No]],Event_Master[[#All],[Event_No]],Event_Master[[#All],[Guest_Count]],,0)</f>
        <v>1200</v>
      </c>
      <c r="G1812" cm="1">
        <f t="array" ref="G1812">Food_Orders[[#This Row],[Quantity_Orderd]]*_xlfn.XLOOKUP(Food_Orders[[#This Row],[Food_ID]],Food_Catalog[[#All],[Food_ID]],Food_Catalog[[#All],[Price_Per_Unit]],0,0)</f>
        <v>12000</v>
      </c>
      <c r="H1812" cm="1">
        <f t="array" ref="H1812">Food_Orders[[#This Row],[Quantity_Orderd]]*_xlfn.XLOOKUP(Food_Orders[[#This Row],[Food_ID]],Food_Catalog[[#All],[Food_ID]],Food_Catalog[[#All],[Client_Price_Per_Unit]],0,0)</f>
        <v>14400</v>
      </c>
      <c r="I1812">
        <f>Food_Orders[[#This Row],[Client_Price]]-Food_Orders[[#This Row],[Cost]]</f>
        <v>2400</v>
      </c>
    </row>
    <row r="1813" spans="1:9" x14ac:dyDescent="0.25">
      <c r="A1813">
        <v>78</v>
      </c>
      <c r="B1813" t="s">
        <v>124</v>
      </c>
      <c r="C1813" t="s">
        <v>119</v>
      </c>
      <c r="D1813" t="s">
        <v>125</v>
      </c>
      <c r="E1813" t="s">
        <v>126</v>
      </c>
      <c r="F1813" cm="1">
        <f t="array" ref="F1813">_xlfn.XLOOKUP(Food_Orders[[#This Row],[Event_No]],Event_Master[[#All],[Event_No]],Event_Master[[#All],[Guest_Count]],,0)</f>
        <v>1200</v>
      </c>
      <c r="G1813" cm="1">
        <f t="array" ref="G1813">Food_Orders[[#This Row],[Quantity_Orderd]]*_xlfn.XLOOKUP(Food_Orders[[#This Row],[Food_ID]],Food_Catalog[[#All],[Food_ID]],Food_Catalog[[#All],[Price_Per_Unit]],0,0)</f>
        <v>24000</v>
      </c>
      <c r="H1813" cm="1">
        <f t="array" ref="H1813">Food_Orders[[#This Row],[Quantity_Orderd]]*_xlfn.XLOOKUP(Food_Orders[[#This Row],[Food_ID]],Food_Catalog[[#All],[Food_ID]],Food_Catalog[[#All],[Client_Price_Per_Unit]],0,0)</f>
        <v>28800</v>
      </c>
      <c r="I1813">
        <f>Food_Orders[[#This Row],[Client_Price]]-Food_Orders[[#This Row],[Cost]]</f>
        <v>4800</v>
      </c>
    </row>
    <row r="1814" spans="1:9" x14ac:dyDescent="0.25">
      <c r="A1814">
        <v>78</v>
      </c>
      <c r="B1814" t="s">
        <v>127</v>
      </c>
      <c r="C1814" t="s">
        <v>119</v>
      </c>
      <c r="D1814" t="s">
        <v>128</v>
      </c>
      <c r="E1814" t="s">
        <v>107</v>
      </c>
      <c r="F1814" cm="1">
        <f t="array" ref="F1814">_xlfn.XLOOKUP(Food_Orders[[#This Row],[Event_No]],Event_Master[[#All],[Event_No]],Event_Master[[#All],[Guest_Count]],,0)</f>
        <v>1200</v>
      </c>
      <c r="G1814" cm="1">
        <f t="array" ref="G1814">Food_Orders[[#This Row],[Quantity_Orderd]]*_xlfn.XLOOKUP(Food_Orders[[#This Row],[Food_ID]],Food_Catalog[[#All],[Food_ID]],Food_Catalog[[#All],[Price_Per_Unit]],0,0)</f>
        <v>24000</v>
      </c>
      <c r="H1814" cm="1">
        <f t="array" ref="H1814">Food_Orders[[#This Row],[Quantity_Orderd]]*_xlfn.XLOOKUP(Food_Orders[[#This Row],[Food_ID]],Food_Catalog[[#All],[Food_ID]],Food_Catalog[[#All],[Client_Price_Per_Unit]],0,0)</f>
        <v>28800</v>
      </c>
      <c r="I1814">
        <f>Food_Orders[[#This Row],[Client_Price]]-Food_Orders[[#This Row],[Cost]]</f>
        <v>4800</v>
      </c>
    </row>
    <row r="1815" spans="1:9" x14ac:dyDescent="0.25">
      <c r="A1815">
        <v>79</v>
      </c>
      <c r="B1815" t="s">
        <v>63</v>
      </c>
      <c r="C1815" t="s">
        <v>61</v>
      </c>
      <c r="D1815" t="s">
        <v>64</v>
      </c>
      <c r="E1815" t="s">
        <v>10</v>
      </c>
      <c r="F1815" cm="1">
        <f t="array" ref="F1815">_xlfn.XLOOKUP(Food_Orders[[#This Row],[Event_No]],Event_Master[[#All],[Event_No]],Event_Master[[#All],[Guest_Count]],,0)</f>
        <v>1500</v>
      </c>
      <c r="G1815" cm="1">
        <f t="array" ref="G1815">Food_Orders[[#This Row],[Quantity_Orderd]]*_xlfn.XLOOKUP(Food_Orders[[#This Row],[Food_ID]],Food_Catalog[[#All],[Food_ID]],Food_Catalog[[#All],[Price_Per_Unit]],0,0)</f>
        <v>45000</v>
      </c>
      <c r="H1815" cm="1">
        <f t="array" ref="H1815">Food_Orders[[#This Row],[Quantity_Orderd]]*_xlfn.XLOOKUP(Food_Orders[[#This Row],[Food_ID]],Food_Catalog[[#All],[Food_ID]],Food_Catalog[[#All],[Client_Price_Per_Unit]],0,0)</f>
        <v>54000</v>
      </c>
      <c r="I1815">
        <f>Food_Orders[[#This Row],[Client_Price]]-Food_Orders[[#This Row],[Cost]]</f>
        <v>9000</v>
      </c>
    </row>
    <row r="1816" spans="1:9" x14ac:dyDescent="0.25">
      <c r="A1816">
        <v>79</v>
      </c>
      <c r="B1816" t="s">
        <v>71</v>
      </c>
      <c r="C1816" t="s">
        <v>61</v>
      </c>
      <c r="D1816" t="s">
        <v>72</v>
      </c>
      <c r="E1816" t="s">
        <v>10</v>
      </c>
      <c r="F1816" cm="1">
        <f t="array" ref="F1816">_xlfn.XLOOKUP(Food_Orders[[#This Row],[Event_No]],Event_Master[[#All],[Event_No]],Event_Master[[#All],[Guest_Count]],,0)</f>
        <v>1500</v>
      </c>
      <c r="G1816" cm="1">
        <f t="array" ref="G1816">Food_Orders[[#This Row],[Quantity_Orderd]]*_xlfn.XLOOKUP(Food_Orders[[#This Row],[Food_ID]],Food_Catalog[[#All],[Food_ID]],Food_Catalog[[#All],[Price_Per_Unit]],0,0)</f>
        <v>37500</v>
      </c>
      <c r="H1816" cm="1">
        <f t="array" ref="H1816">Food_Orders[[#This Row],[Quantity_Orderd]]*_xlfn.XLOOKUP(Food_Orders[[#This Row],[Food_ID]],Food_Catalog[[#All],[Food_ID]],Food_Catalog[[#All],[Client_Price_Per_Unit]],0,0)</f>
        <v>45000</v>
      </c>
      <c r="I1816">
        <f>Food_Orders[[#This Row],[Client_Price]]-Food_Orders[[#This Row],[Cost]]</f>
        <v>7500</v>
      </c>
    </row>
    <row r="1817" spans="1:9" x14ac:dyDescent="0.25">
      <c r="A1817">
        <v>79</v>
      </c>
      <c r="B1817" t="s">
        <v>60</v>
      </c>
      <c r="C1817" t="s">
        <v>61</v>
      </c>
      <c r="D1817" t="s">
        <v>62</v>
      </c>
      <c r="E1817" t="s">
        <v>10</v>
      </c>
      <c r="F1817" cm="1">
        <f t="array" ref="F1817">_xlfn.XLOOKUP(Food_Orders[[#This Row],[Event_No]],Event_Master[[#All],[Event_No]],Event_Master[[#All],[Guest_Count]],,0)</f>
        <v>1500</v>
      </c>
      <c r="G1817" cm="1">
        <f t="array" ref="G1817">Food_Orders[[#This Row],[Quantity_Orderd]]*_xlfn.XLOOKUP(Food_Orders[[#This Row],[Food_ID]],Food_Catalog[[#All],[Food_ID]],Food_Catalog[[#All],[Price_Per_Unit]],0,0)</f>
        <v>30000</v>
      </c>
      <c r="H1817" cm="1">
        <f t="array" ref="H1817">Food_Orders[[#This Row],[Quantity_Orderd]]*_xlfn.XLOOKUP(Food_Orders[[#This Row],[Food_ID]],Food_Catalog[[#All],[Food_ID]],Food_Catalog[[#All],[Client_Price_Per_Unit]],0,0)</f>
        <v>36000</v>
      </c>
      <c r="I1817">
        <f>Food_Orders[[#This Row],[Client_Price]]-Food_Orders[[#This Row],[Cost]]</f>
        <v>6000</v>
      </c>
    </row>
    <row r="1818" spans="1:9" x14ac:dyDescent="0.25">
      <c r="A1818">
        <v>79</v>
      </c>
      <c r="B1818" t="s">
        <v>80</v>
      </c>
      <c r="C1818" t="s">
        <v>61</v>
      </c>
      <c r="D1818" t="s">
        <v>81</v>
      </c>
      <c r="E1818" t="s">
        <v>10</v>
      </c>
      <c r="F1818" cm="1">
        <f t="array" ref="F1818">_xlfn.XLOOKUP(Food_Orders[[#This Row],[Event_No]],Event_Master[[#All],[Event_No]],Event_Master[[#All],[Guest_Count]],,0)</f>
        <v>1500</v>
      </c>
      <c r="G1818" cm="1">
        <f t="array" ref="G1818">Food_Orders[[#This Row],[Quantity_Orderd]]*_xlfn.XLOOKUP(Food_Orders[[#This Row],[Food_ID]],Food_Catalog[[#All],[Food_ID]],Food_Catalog[[#All],[Price_Per_Unit]],0,0)</f>
        <v>45000</v>
      </c>
      <c r="H1818" cm="1">
        <f t="array" ref="H1818">Food_Orders[[#This Row],[Quantity_Orderd]]*_xlfn.XLOOKUP(Food_Orders[[#This Row],[Food_ID]],Food_Catalog[[#All],[Food_ID]],Food_Catalog[[#All],[Client_Price_Per_Unit]],0,0)</f>
        <v>54000</v>
      </c>
      <c r="I1818">
        <f>Food_Orders[[#This Row],[Client_Price]]-Food_Orders[[#This Row],[Cost]]</f>
        <v>9000</v>
      </c>
    </row>
    <row r="1819" spans="1:9" x14ac:dyDescent="0.25">
      <c r="A1819">
        <v>79</v>
      </c>
      <c r="B1819" t="s">
        <v>73</v>
      </c>
      <c r="C1819" t="s">
        <v>61</v>
      </c>
      <c r="D1819" t="s">
        <v>74</v>
      </c>
      <c r="E1819" t="s">
        <v>10</v>
      </c>
      <c r="F1819" cm="1">
        <f t="array" ref="F1819">_xlfn.XLOOKUP(Food_Orders[[#This Row],[Event_No]],Event_Master[[#All],[Event_No]],Event_Master[[#All],[Guest_Count]],,0)</f>
        <v>1500</v>
      </c>
      <c r="G1819" cm="1">
        <f t="array" ref="G1819">Food_Orders[[#This Row],[Quantity_Orderd]]*_xlfn.XLOOKUP(Food_Orders[[#This Row],[Food_ID]],Food_Catalog[[#All],[Food_ID]],Food_Catalog[[#All],[Price_Per_Unit]],0,0)</f>
        <v>60000</v>
      </c>
      <c r="H1819" cm="1">
        <f t="array" ref="H1819">Food_Orders[[#This Row],[Quantity_Orderd]]*_xlfn.XLOOKUP(Food_Orders[[#This Row],[Food_ID]],Food_Catalog[[#All],[Food_ID]],Food_Catalog[[#All],[Client_Price_Per_Unit]],0,0)</f>
        <v>72000</v>
      </c>
      <c r="I1819">
        <f>Food_Orders[[#This Row],[Client_Price]]-Food_Orders[[#This Row],[Cost]]</f>
        <v>12000</v>
      </c>
    </row>
    <row r="1820" spans="1:9" x14ac:dyDescent="0.25">
      <c r="A1820">
        <v>79</v>
      </c>
      <c r="B1820" t="s">
        <v>75</v>
      </c>
      <c r="C1820" t="s">
        <v>61</v>
      </c>
      <c r="D1820" t="s">
        <v>76</v>
      </c>
      <c r="E1820" t="s">
        <v>10</v>
      </c>
      <c r="F1820" cm="1">
        <f t="array" ref="F1820">_xlfn.XLOOKUP(Food_Orders[[#This Row],[Event_No]],Event_Master[[#All],[Event_No]],Event_Master[[#All],[Guest_Count]],,0)</f>
        <v>1500</v>
      </c>
      <c r="G1820" cm="1">
        <f t="array" ref="G1820">Food_Orders[[#This Row],[Quantity_Orderd]]*_xlfn.XLOOKUP(Food_Orders[[#This Row],[Food_ID]],Food_Catalog[[#All],[Food_ID]],Food_Catalog[[#All],[Price_Per_Unit]],0,0)</f>
        <v>60000</v>
      </c>
      <c r="H1820" cm="1">
        <f t="array" ref="H1820">Food_Orders[[#This Row],[Quantity_Orderd]]*_xlfn.XLOOKUP(Food_Orders[[#This Row],[Food_ID]],Food_Catalog[[#All],[Food_ID]],Food_Catalog[[#All],[Client_Price_Per_Unit]],0,0)</f>
        <v>72000</v>
      </c>
      <c r="I1820">
        <f>Food_Orders[[#This Row],[Client_Price]]-Food_Orders[[#This Row],[Cost]]</f>
        <v>12000</v>
      </c>
    </row>
    <row r="1821" spans="1:9" x14ac:dyDescent="0.25">
      <c r="A1821">
        <v>79</v>
      </c>
      <c r="B1821" t="s">
        <v>69</v>
      </c>
      <c r="C1821" t="s">
        <v>61</v>
      </c>
      <c r="D1821" t="s">
        <v>70</v>
      </c>
      <c r="E1821" t="s">
        <v>10</v>
      </c>
      <c r="F1821" cm="1">
        <f t="array" ref="F1821">_xlfn.XLOOKUP(Food_Orders[[#This Row],[Event_No]],Event_Master[[#All],[Event_No]],Event_Master[[#All],[Guest_Count]],,0)</f>
        <v>1500</v>
      </c>
      <c r="G1821" cm="1">
        <f t="array" ref="G1821">Food_Orders[[#This Row],[Quantity_Orderd]]*_xlfn.XLOOKUP(Food_Orders[[#This Row],[Food_ID]],Food_Catalog[[#All],[Food_ID]],Food_Catalog[[#All],[Price_Per_Unit]],0,0)</f>
        <v>75000</v>
      </c>
      <c r="H1821" cm="1">
        <f t="array" ref="H1821">Food_Orders[[#This Row],[Quantity_Orderd]]*_xlfn.XLOOKUP(Food_Orders[[#This Row],[Food_ID]],Food_Catalog[[#All],[Food_ID]],Food_Catalog[[#All],[Client_Price_Per_Unit]],0,0)</f>
        <v>90000</v>
      </c>
      <c r="I1821">
        <f>Food_Orders[[#This Row],[Client_Price]]-Food_Orders[[#This Row],[Cost]]</f>
        <v>15000</v>
      </c>
    </row>
    <row r="1822" spans="1:9" x14ac:dyDescent="0.25">
      <c r="A1822">
        <v>79</v>
      </c>
      <c r="B1822" t="s">
        <v>77</v>
      </c>
      <c r="C1822" t="s">
        <v>61</v>
      </c>
      <c r="D1822" t="s">
        <v>78</v>
      </c>
      <c r="E1822" t="s">
        <v>79</v>
      </c>
      <c r="F1822" cm="1">
        <f t="array" ref="F1822">_xlfn.XLOOKUP(Food_Orders[[#This Row],[Event_No]],Event_Master[[#All],[Event_No]],Event_Master[[#All],[Guest_Count]],,0)</f>
        <v>1500</v>
      </c>
      <c r="G1822" cm="1">
        <f t="array" ref="G1822">Food_Orders[[#This Row],[Quantity_Orderd]]*_xlfn.XLOOKUP(Food_Orders[[#This Row],[Food_ID]],Food_Catalog[[#All],[Food_ID]],Food_Catalog[[#All],[Price_Per_Unit]],0,0)</f>
        <v>52500</v>
      </c>
      <c r="H1822" cm="1">
        <f t="array" ref="H1822">Food_Orders[[#This Row],[Quantity_Orderd]]*_xlfn.XLOOKUP(Food_Orders[[#This Row],[Food_ID]],Food_Catalog[[#All],[Food_ID]],Food_Catalog[[#All],[Client_Price_Per_Unit]],0,0)</f>
        <v>63000</v>
      </c>
      <c r="I1822">
        <f>Food_Orders[[#This Row],[Client_Price]]-Food_Orders[[#This Row],[Cost]]</f>
        <v>10500</v>
      </c>
    </row>
    <row r="1823" spans="1:9" x14ac:dyDescent="0.25">
      <c r="A1823">
        <v>79</v>
      </c>
      <c r="B1823" t="s">
        <v>7</v>
      </c>
      <c r="C1823" t="s">
        <v>8</v>
      </c>
      <c r="D1823" t="s">
        <v>9</v>
      </c>
      <c r="E1823" t="s">
        <v>10</v>
      </c>
      <c r="F1823" cm="1">
        <f t="array" ref="F1823">_xlfn.XLOOKUP(Food_Orders[[#This Row],[Event_No]],Event_Master[[#All],[Event_No]],Event_Master[[#All],[Guest_Count]],,0)</f>
        <v>1500</v>
      </c>
      <c r="G1823" cm="1">
        <f t="array" ref="G1823">Food_Orders[[#This Row],[Quantity_Orderd]]*_xlfn.XLOOKUP(Food_Orders[[#This Row],[Food_ID]],Food_Catalog[[#All],[Food_ID]],Food_Catalog[[#All],[Price_Per_Unit]],0,0)</f>
        <v>37500</v>
      </c>
      <c r="H1823" cm="1">
        <f t="array" ref="H1823">Food_Orders[[#This Row],[Quantity_Orderd]]*_xlfn.XLOOKUP(Food_Orders[[#This Row],[Food_ID]],Food_Catalog[[#All],[Food_ID]],Food_Catalog[[#All],[Client_Price_Per_Unit]],0,0)</f>
        <v>45000</v>
      </c>
      <c r="I1823">
        <f>Food_Orders[[#This Row],[Client_Price]]-Food_Orders[[#This Row],[Cost]]</f>
        <v>7500</v>
      </c>
    </row>
    <row r="1824" spans="1:9" x14ac:dyDescent="0.25">
      <c r="A1824">
        <v>79</v>
      </c>
      <c r="B1824" t="s">
        <v>13</v>
      </c>
      <c r="C1824" t="s">
        <v>8</v>
      </c>
      <c r="D1824" t="s">
        <v>14</v>
      </c>
      <c r="E1824" t="s">
        <v>10</v>
      </c>
      <c r="F1824" cm="1">
        <f t="array" ref="F1824">_xlfn.XLOOKUP(Food_Orders[[#This Row],[Event_No]],Event_Master[[#All],[Event_No]],Event_Master[[#All],[Guest_Count]],,0)</f>
        <v>1500</v>
      </c>
      <c r="G1824" cm="1">
        <f t="array" ref="G1824">Food_Orders[[#This Row],[Quantity_Orderd]]*_xlfn.XLOOKUP(Food_Orders[[#This Row],[Food_ID]],Food_Catalog[[#All],[Food_ID]],Food_Catalog[[#All],[Price_Per_Unit]],0,0)</f>
        <v>52500</v>
      </c>
      <c r="H1824" cm="1">
        <f t="array" ref="H1824">Food_Orders[[#This Row],[Quantity_Orderd]]*_xlfn.XLOOKUP(Food_Orders[[#This Row],[Food_ID]],Food_Catalog[[#All],[Food_ID]],Food_Catalog[[#All],[Client_Price_Per_Unit]],0,0)</f>
        <v>63000</v>
      </c>
      <c r="I1824">
        <f>Food_Orders[[#This Row],[Client_Price]]-Food_Orders[[#This Row],[Cost]]</f>
        <v>10500</v>
      </c>
    </row>
    <row r="1825" spans="1:9" x14ac:dyDescent="0.25">
      <c r="A1825">
        <v>79</v>
      </c>
      <c r="B1825" t="s">
        <v>35</v>
      </c>
      <c r="C1825" t="s">
        <v>8</v>
      </c>
      <c r="D1825" t="s">
        <v>36</v>
      </c>
      <c r="E1825" t="s">
        <v>10</v>
      </c>
      <c r="F1825" cm="1">
        <f t="array" ref="F1825">_xlfn.XLOOKUP(Food_Orders[[#This Row],[Event_No]],Event_Master[[#All],[Event_No]],Event_Master[[#All],[Guest_Count]],,0)</f>
        <v>1500</v>
      </c>
      <c r="G1825" cm="1">
        <f t="array" ref="G1825">Food_Orders[[#This Row],[Quantity_Orderd]]*_xlfn.XLOOKUP(Food_Orders[[#This Row],[Food_ID]],Food_Catalog[[#All],[Food_ID]],Food_Catalog[[#All],[Price_Per_Unit]],0,0)</f>
        <v>45000</v>
      </c>
      <c r="H1825" cm="1">
        <f t="array" ref="H1825">Food_Orders[[#This Row],[Quantity_Orderd]]*_xlfn.XLOOKUP(Food_Orders[[#This Row],[Food_ID]],Food_Catalog[[#All],[Food_ID]],Food_Catalog[[#All],[Client_Price_Per_Unit]],0,0)</f>
        <v>54000</v>
      </c>
      <c r="I1825">
        <f>Food_Orders[[#This Row],[Client_Price]]-Food_Orders[[#This Row],[Cost]]</f>
        <v>9000</v>
      </c>
    </row>
    <row r="1826" spans="1:9" x14ac:dyDescent="0.25">
      <c r="A1826">
        <v>79</v>
      </c>
      <c r="B1826" t="s">
        <v>27</v>
      </c>
      <c r="C1826" t="s">
        <v>8</v>
      </c>
      <c r="D1826" t="s">
        <v>28</v>
      </c>
      <c r="E1826" t="s">
        <v>10</v>
      </c>
      <c r="F1826" cm="1">
        <f t="array" ref="F1826">_xlfn.XLOOKUP(Food_Orders[[#This Row],[Event_No]],Event_Master[[#All],[Event_No]],Event_Master[[#All],[Guest_Count]],,0)</f>
        <v>1500</v>
      </c>
      <c r="G1826" cm="1">
        <f t="array" ref="G1826">Food_Orders[[#This Row],[Quantity_Orderd]]*_xlfn.XLOOKUP(Food_Orders[[#This Row],[Food_ID]],Food_Catalog[[#All],[Food_ID]],Food_Catalog[[#All],[Price_Per_Unit]],0,0)</f>
        <v>60000</v>
      </c>
      <c r="H1826" cm="1">
        <f t="array" ref="H1826">Food_Orders[[#This Row],[Quantity_Orderd]]*_xlfn.XLOOKUP(Food_Orders[[#This Row],[Food_ID]],Food_Catalog[[#All],[Food_ID]],Food_Catalog[[#All],[Client_Price_Per_Unit]],0,0)</f>
        <v>72000</v>
      </c>
      <c r="I1826">
        <f>Food_Orders[[#This Row],[Client_Price]]-Food_Orders[[#This Row],[Cost]]</f>
        <v>12000</v>
      </c>
    </row>
    <row r="1827" spans="1:9" x14ac:dyDescent="0.25">
      <c r="A1827">
        <v>79</v>
      </c>
      <c r="B1827" t="s">
        <v>31</v>
      </c>
      <c r="C1827" t="s">
        <v>8</v>
      </c>
      <c r="D1827" t="s">
        <v>32</v>
      </c>
      <c r="E1827" t="s">
        <v>10</v>
      </c>
      <c r="F1827" cm="1">
        <f t="array" ref="F1827">_xlfn.XLOOKUP(Food_Orders[[#This Row],[Event_No]],Event_Master[[#All],[Event_No]],Event_Master[[#All],[Guest_Count]],,0)</f>
        <v>1500</v>
      </c>
      <c r="G1827" cm="1">
        <f t="array" ref="G1827">Food_Orders[[#This Row],[Quantity_Orderd]]*_xlfn.XLOOKUP(Food_Orders[[#This Row],[Food_ID]],Food_Catalog[[#All],[Food_ID]],Food_Catalog[[#All],[Price_Per_Unit]],0,0)</f>
        <v>45000</v>
      </c>
      <c r="H1827" cm="1">
        <f t="array" ref="H1827">Food_Orders[[#This Row],[Quantity_Orderd]]*_xlfn.XLOOKUP(Food_Orders[[#This Row],[Food_ID]],Food_Catalog[[#All],[Food_ID]],Food_Catalog[[#All],[Client_Price_Per_Unit]],0,0)</f>
        <v>54000</v>
      </c>
      <c r="I1827">
        <f>Food_Orders[[#This Row],[Client_Price]]-Food_Orders[[#This Row],[Cost]]</f>
        <v>9000</v>
      </c>
    </row>
    <row r="1828" spans="1:9" x14ac:dyDescent="0.25">
      <c r="A1828">
        <v>79</v>
      </c>
      <c r="B1828" t="s">
        <v>33</v>
      </c>
      <c r="C1828" t="s">
        <v>8</v>
      </c>
      <c r="D1828" t="s">
        <v>34</v>
      </c>
      <c r="E1828" t="s">
        <v>10</v>
      </c>
      <c r="F1828" cm="1">
        <f t="array" ref="F1828">_xlfn.XLOOKUP(Food_Orders[[#This Row],[Event_No]],Event_Master[[#All],[Event_No]],Event_Master[[#All],[Guest_Count]],,0)</f>
        <v>1500</v>
      </c>
      <c r="G1828" cm="1">
        <f t="array" ref="G1828">Food_Orders[[#This Row],[Quantity_Orderd]]*_xlfn.XLOOKUP(Food_Orders[[#This Row],[Food_ID]],Food_Catalog[[#All],[Food_ID]],Food_Catalog[[#All],[Price_Per_Unit]],0,0)</f>
        <v>45000</v>
      </c>
      <c r="H1828" cm="1">
        <f t="array" ref="H1828">Food_Orders[[#This Row],[Quantity_Orderd]]*_xlfn.XLOOKUP(Food_Orders[[#This Row],[Food_ID]],Food_Catalog[[#All],[Food_ID]],Food_Catalog[[#All],[Client_Price_Per_Unit]],0,0)</f>
        <v>54000</v>
      </c>
      <c r="I1828">
        <f>Food_Orders[[#This Row],[Client_Price]]-Food_Orders[[#This Row],[Cost]]</f>
        <v>9000</v>
      </c>
    </row>
    <row r="1829" spans="1:9" x14ac:dyDescent="0.25">
      <c r="A1829">
        <v>79</v>
      </c>
      <c r="B1829" t="s">
        <v>17</v>
      </c>
      <c r="C1829" t="s">
        <v>8</v>
      </c>
      <c r="D1829" t="s">
        <v>18</v>
      </c>
      <c r="E1829" t="s">
        <v>10</v>
      </c>
      <c r="F1829" cm="1">
        <f t="array" ref="F1829">_xlfn.XLOOKUP(Food_Orders[[#This Row],[Event_No]],Event_Master[[#All],[Event_No]],Event_Master[[#All],[Guest_Count]],,0)</f>
        <v>1500</v>
      </c>
      <c r="G1829" cm="1">
        <f t="array" ref="G1829">Food_Orders[[#This Row],[Quantity_Orderd]]*_xlfn.XLOOKUP(Food_Orders[[#This Row],[Food_ID]],Food_Catalog[[#All],[Food_ID]],Food_Catalog[[#All],[Price_Per_Unit]],0,0)</f>
        <v>60000</v>
      </c>
      <c r="H1829" cm="1">
        <f t="array" ref="H1829">Food_Orders[[#This Row],[Quantity_Orderd]]*_xlfn.XLOOKUP(Food_Orders[[#This Row],[Food_ID]],Food_Catalog[[#All],[Food_ID]],Food_Catalog[[#All],[Client_Price_Per_Unit]],0,0)</f>
        <v>72000</v>
      </c>
      <c r="I1829">
        <f>Food_Orders[[#This Row],[Client_Price]]-Food_Orders[[#This Row],[Cost]]</f>
        <v>12000</v>
      </c>
    </row>
    <row r="1830" spans="1:9" x14ac:dyDescent="0.25">
      <c r="A1830">
        <v>79</v>
      </c>
      <c r="B1830" t="s">
        <v>29</v>
      </c>
      <c r="C1830" t="s">
        <v>8</v>
      </c>
      <c r="D1830" t="s">
        <v>30</v>
      </c>
      <c r="E1830" t="s">
        <v>10</v>
      </c>
      <c r="F1830" cm="1">
        <f t="array" ref="F1830">_xlfn.XLOOKUP(Food_Orders[[#This Row],[Event_No]],Event_Master[[#All],[Event_No]],Event_Master[[#All],[Guest_Count]],,0)</f>
        <v>1500</v>
      </c>
      <c r="G1830" cm="1">
        <f t="array" ref="G1830">Food_Orders[[#This Row],[Quantity_Orderd]]*_xlfn.XLOOKUP(Food_Orders[[#This Row],[Food_ID]],Food_Catalog[[#All],[Food_ID]],Food_Catalog[[#All],[Price_Per_Unit]],0,0)</f>
        <v>45000</v>
      </c>
      <c r="H1830" cm="1">
        <f t="array" ref="H1830">Food_Orders[[#This Row],[Quantity_Orderd]]*_xlfn.XLOOKUP(Food_Orders[[#This Row],[Food_ID]],Food_Catalog[[#All],[Food_ID]],Food_Catalog[[#All],[Client_Price_Per_Unit]],0,0)</f>
        <v>54000</v>
      </c>
      <c r="I1830">
        <f>Food_Orders[[#This Row],[Client_Price]]-Food_Orders[[#This Row],[Cost]]</f>
        <v>9000</v>
      </c>
    </row>
    <row r="1831" spans="1:9" x14ac:dyDescent="0.25">
      <c r="A1831">
        <v>79</v>
      </c>
      <c r="B1831" t="s">
        <v>37</v>
      </c>
      <c r="C1831" t="s">
        <v>8</v>
      </c>
      <c r="D1831" t="s">
        <v>38</v>
      </c>
      <c r="E1831" t="s">
        <v>10</v>
      </c>
      <c r="F1831" cm="1">
        <f t="array" ref="F1831">_xlfn.XLOOKUP(Food_Orders[[#This Row],[Event_No]],Event_Master[[#All],[Event_No]],Event_Master[[#All],[Guest_Count]],,0)</f>
        <v>1500</v>
      </c>
      <c r="G1831" cm="1">
        <f t="array" ref="G1831">Food_Orders[[#This Row],[Quantity_Orderd]]*_xlfn.XLOOKUP(Food_Orders[[#This Row],[Food_ID]],Food_Catalog[[#All],[Food_ID]],Food_Catalog[[#All],[Price_Per_Unit]],0,0)</f>
        <v>37500</v>
      </c>
      <c r="H1831" cm="1">
        <f t="array" ref="H1831">Food_Orders[[#This Row],[Quantity_Orderd]]*_xlfn.XLOOKUP(Food_Orders[[#This Row],[Food_ID]],Food_Catalog[[#All],[Food_ID]],Food_Catalog[[#All],[Client_Price_Per_Unit]],0,0)</f>
        <v>45000</v>
      </c>
      <c r="I1831">
        <f>Food_Orders[[#This Row],[Client_Price]]-Food_Orders[[#This Row],[Cost]]</f>
        <v>7500</v>
      </c>
    </row>
    <row r="1832" spans="1:9" x14ac:dyDescent="0.25">
      <c r="A1832">
        <v>79</v>
      </c>
      <c r="B1832" t="s">
        <v>82</v>
      </c>
      <c r="C1832" t="s">
        <v>83</v>
      </c>
      <c r="D1832" t="s">
        <v>84</v>
      </c>
      <c r="E1832" t="s">
        <v>85</v>
      </c>
      <c r="F1832" cm="1">
        <f t="array" ref="F1832">_xlfn.XLOOKUP(Food_Orders[[#This Row],[Event_No]],Event_Master[[#All],[Event_No]],Event_Master[[#All],[Guest_Count]],,0)</f>
        <v>1500</v>
      </c>
      <c r="G1832" cm="1">
        <f t="array" ref="G1832">Food_Orders[[#This Row],[Quantity_Orderd]]*_xlfn.XLOOKUP(Food_Orders[[#This Row],[Food_ID]],Food_Catalog[[#All],[Food_ID]],Food_Catalog[[#All],[Price_Per_Unit]],0,0)</f>
        <v>30000</v>
      </c>
      <c r="H1832" cm="1">
        <f t="array" ref="H1832">Food_Orders[[#This Row],[Quantity_Orderd]]*_xlfn.XLOOKUP(Food_Orders[[#This Row],[Food_ID]],Food_Catalog[[#All],[Food_ID]],Food_Catalog[[#All],[Client_Price_Per_Unit]],0,0)</f>
        <v>36000</v>
      </c>
      <c r="I1832">
        <f>Food_Orders[[#This Row],[Client_Price]]-Food_Orders[[#This Row],[Cost]]</f>
        <v>6000</v>
      </c>
    </row>
    <row r="1833" spans="1:9" x14ac:dyDescent="0.25">
      <c r="A1833">
        <v>79</v>
      </c>
      <c r="B1833" t="s">
        <v>86</v>
      </c>
      <c r="C1833" t="s">
        <v>83</v>
      </c>
      <c r="D1833" t="s">
        <v>87</v>
      </c>
      <c r="E1833" t="s">
        <v>85</v>
      </c>
      <c r="F1833" cm="1">
        <f t="array" ref="F1833">_xlfn.XLOOKUP(Food_Orders[[#This Row],[Event_No]],Event_Master[[#All],[Event_No]],Event_Master[[#All],[Guest_Count]],,0)</f>
        <v>1500</v>
      </c>
      <c r="G1833" cm="1">
        <f t="array" ref="G1833">Food_Orders[[#This Row],[Quantity_Orderd]]*_xlfn.XLOOKUP(Food_Orders[[#This Row],[Food_ID]],Food_Catalog[[#All],[Food_ID]],Food_Catalog[[#All],[Price_Per_Unit]],0,0)</f>
        <v>30000</v>
      </c>
      <c r="H1833" cm="1">
        <f t="array" ref="H1833">Food_Orders[[#This Row],[Quantity_Orderd]]*_xlfn.XLOOKUP(Food_Orders[[#This Row],[Food_ID]],Food_Catalog[[#All],[Food_ID]],Food_Catalog[[#All],[Client_Price_Per_Unit]],0,0)</f>
        <v>36000</v>
      </c>
      <c r="I1833">
        <f>Food_Orders[[#This Row],[Client_Price]]-Food_Orders[[#This Row],[Cost]]</f>
        <v>6000</v>
      </c>
    </row>
    <row r="1834" spans="1:9" x14ac:dyDescent="0.25">
      <c r="A1834">
        <v>79</v>
      </c>
      <c r="B1834" t="s">
        <v>96</v>
      </c>
      <c r="C1834" t="s">
        <v>83</v>
      </c>
      <c r="D1834" t="s">
        <v>97</v>
      </c>
      <c r="E1834" t="s">
        <v>79</v>
      </c>
      <c r="F1834" cm="1">
        <f t="array" ref="F1834">_xlfn.XLOOKUP(Food_Orders[[#This Row],[Event_No]],Event_Master[[#All],[Event_No]],Event_Master[[#All],[Guest_Count]],,0)</f>
        <v>1500</v>
      </c>
      <c r="G1834" cm="1">
        <f t="array" ref="G1834">Food_Orders[[#This Row],[Quantity_Orderd]]*_xlfn.XLOOKUP(Food_Orders[[#This Row],[Food_ID]],Food_Catalog[[#All],[Food_ID]],Food_Catalog[[#All],[Price_Per_Unit]],0,0)</f>
        <v>45000</v>
      </c>
      <c r="H1834" cm="1">
        <f t="array" ref="H1834">Food_Orders[[#This Row],[Quantity_Orderd]]*_xlfn.XLOOKUP(Food_Orders[[#This Row],[Food_ID]],Food_Catalog[[#All],[Food_ID]],Food_Catalog[[#All],[Client_Price_Per_Unit]],0,0)</f>
        <v>54000</v>
      </c>
      <c r="I1834">
        <f>Food_Orders[[#This Row],[Client_Price]]-Food_Orders[[#This Row],[Cost]]</f>
        <v>9000</v>
      </c>
    </row>
    <row r="1835" spans="1:9" x14ac:dyDescent="0.25">
      <c r="A1835">
        <v>79</v>
      </c>
      <c r="B1835" t="s">
        <v>88</v>
      </c>
      <c r="C1835" t="s">
        <v>83</v>
      </c>
      <c r="D1835" t="s">
        <v>89</v>
      </c>
      <c r="E1835" t="s">
        <v>85</v>
      </c>
      <c r="F1835" cm="1">
        <f t="array" ref="F1835">_xlfn.XLOOKUP(Food_Orders[[#This Row],[Event_No]],Event_Master[[#All],[Event_No]],Event_Master[[#All],[Guest_Count]],,0)</f>
        <v>1500</v>
      </c>
      <c r="G1835" cm="1">
        <f t="array" ref="G1835">Food_Orders[[#This Row],[Quantity_Orderd]]*_xlfn.XLOOKUP(Food_Orders[[#This Row],[Food_ID]],Food_Catalog[[#All],[Food_ID]],Food_Catalog[[#All],[Price_Per_Unit]],0,0)</f>
        <v>22500</v>
      </c>
      <c r="H1835" cm="1">
        <f t="array" ref="H1835">Food_Orders[[#This Row],[Quantity_Orderd]]*_xlfn.XLOOKUP(Food_Orders[[#This Row],[Food_ID]],Food_Catalog[[#All],[Food_ID]],Food_Catalog[[#All],[Client_Price_Per_Unit]],0,0)</f>
        <v>27000</v>
      </c>
      <c r="I1835">
        <f>Food_Orders[[#This Row],[Client_Price]]-Food_Orders[[#This Row],[Cost]]</f>
        <v>4500</v>
      </c>
    </row>
    <row r="1836" spans="1:9" x14ac:dyDescent="0.25">
      <c r="A1836">
        <v>79</v>
      </c>
      <c r="B1836" t="s">
        <v>92</v>
      </c>
      <c r="C1836" t="s">
        <v>83</v>
      </c>
      <c r="D1836" t="s">
        <v>93</v>
      </c>
      <c r="E1836" t="s">
        <v>85</v>
      </c>
      <c r="F1836" cm="1">
        <f t="array" ref="F1836">_xlfn.XLOOKUP(Food_Orders[[#This Row],[Event_No]],Event_Master[[#All],[Event_No]],Event_Master[[#All],[Guest_Count]],,0)</f>
        <v>1500</v>
      </c>
      <c r="G1836" cm="1">
        <f t="array" ref="G1836">Food_Orders[[#This Row],[Quantity_Orderd]]*_xlfn.XLOOKUP(Food_Orders[[#This Row],[Food_ID]],Food_Catalog[[#All],[Food_ID]],Food_Catalog[[#All],[Price_Per_Unit]],0,0)</f>
        <v>22500</v>
      </c>
      <c r="H1836" cm="1">
        <f t="array" ref="H1836">Food_Orders[[#This Row],[Quantity_Orderd]]*_xlfn.XLOOKUP(Food_Orders[[#This Row],[Food_ID]],Food_Catalog[[#All],[Food_ID]],Food_Catalog[[#All],[Client_Price_Per_Unit]],0,0)</f>
        <v>27000</v>
      </c>
      <c r="I1836">
        <f>Food_Orders[[#This Row],[Client_Price]]-Food_Orders[[#This Row],[Cost]]</f>
        <v>4500</v>
      </c>
    </row>
    <row r="1837" spans="1:9" x14ac:dyDescent="0.25">
      <c r="A1837">
        <v>79</v>
      </c>
      <c r="B1837" t="s">
        <v>98</v>
      </c>
      <c r="C1837" t="s">
        <v>83</v>
      </c>
      <c r="D1837" t="s">
        <v>99</v>
      </c>
      <c r="E1837" t="s">
        <v>85</v>
      </c>
      <c r="F1837" cm="1">
        <f t="array" ref="F1837">_xlfn.XLOOKUP(Food_Orders[[#This Row],[Event_No]],Event_Master[[#All],[Event_No]],Event_Master[[#All],[Guest_Count]],,0)</f>
        <v>1500</v>
      </c>
      <c r="G1837" cm="1">
        <f t="array" ref="G1837">Food_Orders[[#This Row],[Quantity_Orderd]]*_xlfn.XLOOKUP(Food_Orders[[#This Row],[Food_ID]],Food_Catalog[[#All],[Food_ID]],Food_Catalog[[#All],[Price_Per_Unit]],0,0)</f>
        <v>22500</v>
      </c>
      <c r="H1837" cm="1">
        <f t="array" ref="H1837">Food_Orders[[#This Row],[Quantity_Orderd]]*_xlfn.XLOOKUP(Food_Orders[[#This Row],[Food_ID]],Food_Catalog[[#All],[Food_ID]],Food_Catalog[[#All],[Client_Price_Per_Unit]],0,0)</f>
        <v>27000</v>
      </c>
      <c r="I1837">
        <f>Food_Orders[[#This Row],[Client_Price]]-Food_Orders[[#This Row],[Cost]]</f>
        <v>4500</v>
      </c>
    </row>
    <row r="1838" spans="1:9" x14ac:dyDescent="0.25">
      <c r="A1838">
        <v>79</v>
      </c>
      <c r="B1838" t="s">
        <v>104</v>
      </c>
      <c r="C1838" t="s">
        <v>105</v>
      </c>
      <c r="D1838" t="s">
        <v>106</v>
      </c>
      <c r="E1838" t="s">
        <v>107</v>
      </c>
      <c r="F1838" cm="1">
        <f t="array" ref="F1838">_xlfn.XLOOKUP(Food_Orders[[#This Row],[Event_No]],Event_Master[[#All],[Event_No]],Event_Master[[#All],[Guest_Count]],,0)</f>
        <v>1500</v>
      </c>
      <c r="G1838" cm="1">
        <f t="array" ref="G1838">Food_Orders[[#This Row],[Quantity_Orderd]]*_xlfn.XLOOKUP(Food_Orders[[#This Row],[Food_ID]],Food_Catalog[[#All],[Food_ID]],Food_Catalog[[#All],[Price_Per_Unit]],0,0)</f>
        <v>15000</v>
      </c>
      <c r="H1838" cm="1">
        <f t="array" ref="H1838">Food_Orders[[#This Row],[Quantity_Orderd]]*_xlfn.XLOOKUP(Food_Orders[[#This Row],[Food_ID]],Food_Catalog[[#All],[Food_ID]],Food_Catalog[[#All],[Client_Price_Per_Unit]],0,0)</f>
        <v>18000</v>
      </c>
      <c r="I1838">
        <f>Food_Orders[[#This Row],[Client_Price]]-Food_Orders[[#This Row],[Cost]]</f>
        <v>3000</v>
      </c>
    </row>
    <row r="1839" spans="1:9" x14ac:dyDescent="0.25">
      <c r="A1839">
        <v>79</v>
      </c>
      <c r="B1839" t="s">
        <v>108</v>
      </c>
      <c r="C1839" t="s">
        <v>105</v>
      </c>
      <c r="D1839" t="s">
        <v>109</v>
      </c>
      <c r="E1839" t="s">
        <v>107</v>
      </c>
      <c r="F1839" cm="1">
        <f t="array" ref="F1839">_xlfn.XLOOKUP(Food_Orders[[#This Row],[Event_No]],Event_Master[[#All],[Event_No]],Event_Master[[#All],[Guest_Count]],,0)</f>
        <v>1500</v>
      </c>
      <c r="G1839" cm="1">
        <f t="array" ref="G1839">Food_Orders[[#This Row],[Quantity_Orderd]]*_xlfn.XLOOKUP(Food_Orders[[#This Row],[Food_ID]],Food_Catalog[[#All],[Food_ID]],Food_Catalog[[#All],[Price_Per_Unit]],0,0)</f>
        <v>22500</v>
      </c>
      <c r="H1839" cm="1">
        <f t="array" ref="H1839">Food_Orders[[#This Row],[Quantity_Orderd]]*_xlfn.XLOOKUP(Food_Orders[[#This Row],[Food_ID]],Food_Catalog[[#All],[Food_ID]],Food_Catalog[[#All],[Client_Price_Per_Unit]],0,0)</f>
        <v>27000</v>
      </c>
      <c r="I1839">
        <f>Food_Orders[[#This Row],[Client_Price]]-Food_Orders[[#This Row],[Cost]]</f>
        <v>4500</v>
      </c>
    </row>
    <row r="1840" spans="1:9" x14ac:dyDescent="0.25">
      <c r="A1840">
        <v>79</v>
      </c>
      <c r="B1840" t="s">
        <v>118</v>
      </c>
      <c r="C1840" t="s">
        <v>119</v>
      </c>
      <c r="D1840" t="s">
        <v>120</v>
      </c>
      <c r="E1840" t="s">
        <v>112</v>
      </c>
      <c r="F1840" cm="1">
        <f t="array" ref="F1840">_xlfn.XLOOKUP(Food_Orders[[#This Row],[Event_No]],Event_Master[[#All],[Event_No]],Event_Master[[#All],[Guest_Count]],,0)</f>
        <v>1500</v>
      </c>
      <c r="G1840" cm="1">
        <f t="array" ref="G1840">Food_Orders[[#This Row],[Quantity_Orderd]]*_xlfn.XLOOKUP(Food_Orders[[#This Row],[Food_ID]],Food_Catalog[[#All],[Food_ID]],Food_Catalog[[#All],[Price_Per_Unit]],0,0)</f>
        <v>15000</v>
      </c>
      <c r="H1840" cm="1">
        <f t="array" ref="H1840">Food_Orders[[#This Row],[Quantity_Orderd]]*_xlfn.XLOOKUP(Food_Orders[[#This Row],[Food_ID]],Food_Catalog[[#All],[Food_ID]],Food_Catalog[[#All],[Client_Price_Per_Unit]],0,0)</f>
        <v>18000</v>
      </c>
      <c r="I1840">
        <f>Food_Orders[[#This Row],[Client_Price]]-Food_Orders[[#This Row],[Cost]]</f>
        <v>3000</v>
      </c>
    </row>
    <row r="1841" spans="1:9" x14ac:dyDescent="0.25">
      <c r="A1841">
        <v>79</v>
      </c>
      <c r="B1841" t="s">
        <v>129</v>
      </c>
      <c r="C1841" t="s">
        <v>119</v>
      </c>
      <c r="D1841" t="s">
        <v>130</v>
      </c>
      <c r="E1841" t="s">
        <v>112</v>
      </c>
      <c r="F1841" cm="1">
        <f t="array" ref="F1841">_xlfn.XLOOKUP(Food_Orders[[#This Row],[Event_No]],Event_Master[[#All],[Event_No]],Event_Master[[#All],[Guest_Count]],,0)</f>
        <v>1500</v>
      </c>
      <c r="G1841" cm="1">
        <f t="array" ref="G1841">Food_Orders[[#This Row],[Quantity_Orderd]]*_xlfn.XLOOKUP(Food_Orders[[#This Row],[Food_ID]],Food_Catalog[[#All],[Food_ID]],Food_Catalog[[#All],[Price_Per_Unit]],0,0)</f>
        <v>15000</v>
      </c>
      <c r="H1841" cm="1">
        <f t="array" ref="H1841">Food_Orders[[#This Row],[Quantity_Orderd]]*_xlfn.XLOOKUP(Food_Orders[[#This Row],[Food_ID]],Food_Catalog[[#All],[Food_ID]],Food_Catalog[[#All],[Client_Price_Per_Unit]],0,0)</f>
        <v>18000</v>
      </c>
      <c r="I1841">
        <f>Food_Orders[[#This Row],[Client_Price]]-Food_Orders[[#This Row],[Cost]]</f>
        <v>3000</v>
      </c>
    </row>
    <row r="1842" spans="1:9" x14ac:dyDescent="0.25">
      <c r="A1842">
        <v>79</v>
      </c>
      <c r="B1842" t="s">
        <v>127</v>
      </c>
      <c r="C1842" t="s">
        <v>119</v>
      </c>
      <c r="D1842" t="s">
        <v>128</v>
      </c>
      <c r="E1842" t="s">
        <v>107</v>
      </c>
      <c r="F1842" cm="1">
        <f t="array" ref="F1842">_xlfn.XLOOKUP(Food_Orders[[#This Row],[Event_No]],Event_Master[[#All],[Event_No]],Event_Master[[#All],[Guest_Count]],,0)</f>
        <v>1500</v>
      </c>
      <c r="G1842" cm="1">
        <f t="array" ref="G1842">Food_Orders[[#This Row],[Quantity_Orderd]]*_xlfn.XLOOKUP(Food_Orders[[#This Row],[Food_ID]],Food_Catalog[[#All],[Food_ID]],Food_Catalog[[#All],[Price_Per_Unit]],0,0)</f>
        <v>30000</v>
      </c>
      <c r="H1842" cm="1">
        <f t="array" ref="H1842">Food_Orders[[#This Row],[Quantity_Orderd]]*_xlfn.XLOOKUP(Food_Orders[[#This Row],[Food_ID]],Food_Catalog[[#All],[Food_ID]],Food_Catalog[[#All],[Client_Price_Per_Unit]],0,0)</f>
        <v>36000</v>
      </c>
      <c r="I1842">
        <f>Food_Orders[[#This Row],[Client_Price]]-Food_Orders[[#This Row],[Cost]]</f>
        <v>6000</v>
      </c>
    </row>
    <row r="1843" spans="1:9" x14ac:dyDescent="0.25">
      <c r="A1843">
        <v>79</v>
      </c>
      <c r="B1843" t="s">
        <v>124</v>
      </c>
      <c r="C1843" t="s">
        <v>119</v>
      </c>
      <c r="D1843" t="s">
        <v>125</v>
      </c>
      <c r="E1843" t="s">
        <v>126</v>
      </c>
      <c r="F1843" cm="1">
        <f t="array" ref="F1843">_xlfn.XLOOKUP(Food_Orders[[#This Row],[Event_No]],Event_Master[[#All],[Event_No]],Event_Master[[#All],[Guest_Count]],,0)</f>
        <v>1500</v>
      </c>
      <c r="G1843" cm="1">
        <f t="array" ref="G1843">Food_Orders[[#This Row],[Quantity_Orderd]]*_xlfn.XLOOKUP(Food_Orders[[#This Row],[Food_ID]],Food_Catalog[[#All],[Food_ID]],Food_Catalog[[#All],[Price_Per_Unit]],0,0)</f>
        <v>30000</v>
      </c>
      <c r="H1843" cm="1">
        <f t="array" ref="H1843">Food_Orders[[#This Row],[Quantity_Orderd]]*_xlfn.XLOOKUP(Food_Orders[[#This Row],[Food_ID]],Food_Catalog[[#All],[Food_ID]],Food_Catalog[[#All],[Client_Price_Per_Unit]],0,0)</f>
        <v>36000</v>
      </c>
      <c r="I1843">
        <f>Food_Orders[[#This Row],[Client_Price]]-Food_Orders[[#This Row],[Cost]]</f>
        <v>6000</v>
      </c>
    </row>
    <row r="1844" spans="1:9" x14ac:dyDescent="0.25">
      <c r="A1844">
        <v>80</v>
      </c>
      <c r="B1844" t="s">
        <v>63</v>
      </c>
      <c r="C1844" t="s">
        <v>61</v>
      </c>
      <c r="D1844" t="s">
        <v>64</v>
      </c>
      <c r="E1844" t="s">
        <v>10</v>
      </c>
      <c r="F1844" cm="1">
        <f t="array" ref="F1844">_xlfn.XLOOKUP(Food_Orders[[#This Row],[Event_No]],Event_Master[[#All],[Event_No]],Event_Master[[#All],[Guest_Count]],,0)</f>
        <v>1000</v>
      </c>
      <c r="G1844" cm="1">
        <f t="array" ref="G1844">Food_Orders[[#This Row],[Quantity_Orderd]]*_xlfn.XLOOKUP(Food_Orders[[#This Row],[Food_ID]],Food_Catalog[[#All],[Food_ID]],Food_Catalog[[#All],[Price_Per_Unit]],0,0)</f>
        <v>30000</v>
      </c>
      <c r="H1844" cm="1">
        <f t="array" ref="H1844">Food_Orders[[#This Row],[Quantity_Orderd]]*_xlfn.XLOOKUP(Food_Orders[[#This Row],[Food_ID]],Food_Catalog[[#All],[Food_ID]],Food_Catalog[[#All],[Client_Price_Per_Unit]],0,0)</f>
        <v>36000</v>
      </c>
      <c r="I1844">
        <f>Food_Orders[[#This Row],[Client_Price]]-Food_Orders[[#This Row],[Cost]]</f>
        <v>6000</v>
      </c>
    </row>
    <row r="1845" spans="1:9" x14ac:dyDescent="0.25">
      <c r="A1845">
        <v>80</v>
      </c>
      <c r="B1845" t="s">
        <v>71</v>
      </c>
      <c r="C1845" t="s">
        <v>61</v>
      </c>
      <c r="D1845" t="s">
        <v>72</v>
      </c>
      <c r="E1845" t="s">
        <v>10</v>
      </c>
      <c r="F1845" cm="1">
        <f t="array" ref="F1845">_xlfn.XLOOKUP(Food_Orders[[#This Row],[Event_No]],Event_Master[[#All],[Event_No]],Event_Master[[#All],[Guest_Count]],,0)</f>
        <v>1000</v>
      </c>
      <c r="G1845" cm="1">
        <f t="array" ref="G1845">Food_Orders[[#This Row],[Quantity_Orderd]]*_xlfn.XLOOKUP(Food_Orders[[#This Row],[Food_ID]],Food_Catalog[[#All],[Food_ID]],Food_Catalog[[#All],[Price_Per_Unit]],0,0)</f>
        <v>25000</v>
      </c>
      <c r="H1845" cm="1">
        <f t="array" ref="H1845">Food_Orders[[#This Row],[Quantity_Orderd]]*_xlfn.XLOOKUP(Food_Orders[[#This Row],[Food_ID]],Food_Catalog[[#All],[Food_ID]],Food_Catalog[[#All],[Client_Price_Per_Unit]],0,0)</f>
        <v>30000</v>
      </c>
      <c r="I1845">
        <f>Food_Orders[[#This Row],[Client_Price]]-Food_Orders[[#This Row],[Cost]]</f>
        <v>5000</v>
      </c>
    </row>
    <row r="1846" spans="1:9" x14ac:dyDescent="0.25">
      <c r="A1846">
        <v>80</v>
      </c>
      <c r="B1846" t="s">
        <v>69</v>
      </c>
      <c r="C1846" t="s">
        <v>61</v>
      </c>
      <c r="D1846" t="s">
        <v>70</v>
      </c>
      <c r="E1846" t="s">
        <v>10</v>
      </c>
      <c r="F1846" cm="1">
        <f t="array" ref="F1846">_xlfn.XLOOKUP(Food_Orders[[#This Row],[Event_No]],Event_Master[[#All],[Event_No]],Event_Master[[#All],[Guest_Count]],,0)</f>
        <v>1000</v>
      </c>
      <c r="G1846" cm="1">
        <f t="array" ref="G1846">Food_Orders[[#This Row],[Quantity_Orderd]]*_xlfn.XLOOKUP(Food_Orders[[#This Row],[Food_ID]],Food_Catalog[[#All],[Food_ID]],Food_Catalog[[#All],[Price_Per_Unit]],0,0)</f>
        <v>50000</v>
      </c>
      <c r="H1846" cm="1">
        <f t="array" ref="H1846">Food_Orders[[#This Row],[Quantity_Orderd]]*_xlfn.XLOOKUP(Food_Orders[[#This Row],[Food_ID]],Food_Catalog[[#All],[Food_ID]],Food_Catalog[[#All],[Client_Price_Per_Unit]],0,0)</f>
        <v>60000</v>
      </c>
      <c r="I1846">
        <f>Food_Orders[[#This Row],[Client_Price]]-Food_Orders[[#This Row],[Cost]]</f>
        <v>10000</v>
      </c>
    </row>
    <row r="1847" spans="1:9" x14ac:dyDescent="0.25">
      <c r="A1847">
        <v>80</v>
      </c>
      <c r="B1847" t="s">
        <v>27</v>
      </c>
      <c r="C1847" t="s">
        <v>8</v>
      </c>
      <c r="D1847" t="s">
        <v>28</v>
      </c>
      <c r="E1847" t="s">
        <v>10</v>
      </c>
      <c r="F1847" cm="1">
        <f t="array" ref="F1847">_xlfn.XLOOKUP(Food_Orders[[#This Row],[Event_No]],Event_Master[[#All],[Event_No]],Event_Master[[#All],[Guest_Count]],,0)</f>
        <v>1000</v>
      </c>
      <c r="G1847" cm="1">
        <f t="array" ref="G1847">Food_Orders[[#This Row],[Quantity_Orderd]]*_xlfn.XLOOKUP(Food_Orders[[#This Row],[Food_ID]],Food_Catalog[[#All],[Food_ID]],Food_Catalog[[#All],[Price_Per_Unit]],0,0)</f>
        <v>40000</v>
      </c>
      <c r="H1847" cm="1">
        <f t="array" ref="H1847">Food_Orders[[#This Row],[Quantity_Orderd]]*_xlfn.XLOOKUP(Food_Orders[[#This Row],[Food_ID]],Food_Catalog[[#All],[Food_ID]],Food_Catalog[[#All],[Client_Price_Per_Unit]],0,0)</f>
        <v>48000</v>
      </c>
      <c r="I1847">
        <f>Food_Orders[[#This Row],[Client_Price]]-Food_Orders[[#This Row],[Cost]]</f>
        <v>8000</v>
      </c>
    </row>
    <row r="1848" spans="1:9" x14ac:dyDescent="0.25">
      <c r="A1848">
        <v>80</v>
      </c>
      <c r="B1848" t="s">
        <v>29</v>
      </c>
      <c r="C1848" t="s">
        <v>8</v>
      </c>
      <c r="D1848" t="s">
        <v>30</v>
      </c>
      <c r="E1848" t="s">
        <v>10</v>
      </c>
      <c r="F1848" cm="1">
        <f t="array" ref="F1848">_xlfn.XLOOKUP(Food_Orders[[#This Row],[Event_No]],Event_Master[[#All],[Event_No]],Event_Master[[#All],[Guest_Count]],,0)</f>
        <v>1000</v>
      </c>
      <c r="G1848" cm="1">
        <f t="array" ref="G1848">Food_Orders[[#This Row],[Quantity_Orderd]]*_xlfn.XLOOKUP(Food_Orders[[#This Row],[Food_ID]],Food_Catalog[[#All],[Food_ID]],Food_Catalog[[#All],[Price_Per_Unit]],0,0)</f>
        <v>30000</v>
      </c>
      <c r="H1848" cm="1">
        <f t="array" ref="H1848">Food_Orders[[#This Row],[Quantity_Orderd]]*_xlfn.XLOOKUP(Food_Orders[[#This Row],[Food_ID]],Food_Catalog[[#All],[Food_ID]],Food_Catalog[[#All],[Client_Price_Per_Unit]],0,0)</f>
        <v>36000</v>
      </c>
      <c r="I1848">
        <f>Food_Orders[[#This Row],[Client_Price]]-Food_Orders[[#This Row],[Cost]]</f>
        <v>6000</v>
      </c>
    </row>
    <row r="1849" spans="1:9" x14ac:dyDescent="0.25">
      <c r="A1849">
        <v>80</v>
      </c>
      <c r="B1849" t="s">
        <v>37</v>
      </c>
      <c r="C1849" t="s">
        <v>8</v>
      </c>
      <c r="D1849" t="s">
        <v>38</v>
      </c>
      <c r="E1849" t="s">
        <v>10</v>
      </c>
      <c r="F1849" cm="1">
        <f t="array" ref="F1849">_xlfn.XLOOKUP(Food_Orders[[#This Row],[Event_No]],Event_Master[[#All],[Event_No]],Event_Master[[#All],[Guest_Count]],,0)</f>
        <v>1000</v>
      </c>
      <c r="G1849" cm="1">
        <f t="array" ref="G1849">Food_Orders[[#This Row],[Quantity_Orderd]]*_xlfn.XLOOKUP(Food_Orders[[#This Row],[Food_ID]],Food_Catalog[[#All],[Food_ID]],Food_Catalog[[#All],[Price_Per_Unit]],0,0)</f>
        <v>25000</v>
      </c>
      <c r="H1849" cm="1">
        <f t="array" ref="H1849">Food_Orders[[#This Row],[Quantity_Orderd]]*_xlfn.XLOOKUP(Food_Orders[[#This Row],[Food_ID]],Food_Catalog[[#All],[Food_ID]],Food_Catalog[[#All],[Client_Price_Per_Unit]],0,0)</f>
        <v>30000</v>
      </c>
      <c r="I1849">
        <f>Food_Orders[[#This Row],[Client_Price]]-Food_Orders[[#This Row],[Cost]]</f>
        <v>5000</v>
      </c>
    </row>
    <row r="1850" spans="1:9" x14ac:dyDescent="0.25">
      <c r="A1850">
        <v>80</v>
      </c>
      <c r="B1850" t="s">
        <v>82</v>
      </c>
      <c r="C1850" t="s">
        <v>83</v>
      </c>
      <c r="D1850" t="s">
        <v>84</v>
      </c>
      <c r="E1850" t="s">
        <v>85</v>
      </c>
      <c r="F1850" cm="1">
        <f t="array" ref="F1850">_xlfn.XLOOKUP(Food_Orders[[#This Row],[Event_No]],Event_Master[[#All],[Event_No]],Event_Master[[#All],[Guest_Count]],,0)</f>
        <v>1000</v>
      </c>
      <c r="G1850" cm="1">
        <f t="array" ref="G1850">Food_Orders[[#This Row],[Quantity_Orderd]]*_xlfn.XLOOKUP(Food_Orders[[#This Row],[Food_ID]],Food_Catalog[[#All],[Food_ID]],Food_Catalog[[#All],[Price_Per_Unit]],0,0)</f>
        <v>20000</v>
      </c>
      <c r="H1850" cm="1">
        <f t="array" ref="H1850">Food_Orders[[#This Row],[Quantity_Orderd]]*_xlfn.XLOOKUP(Food_Orders[[#This Row],[Food_ID]],Food_Catalog[[#All],[Food_ID]],Food_Catalog[[#All],[Client_Price_Per_Unit]],0,0)</f>
        <v>24000</v>
      </c>
      <c r="I1850">
        <f>Food_Orders[[#This Row],[Client_Price]]-Food_Orders[[#This Row],[Cost]]</f>
        <v>4000</v>
      </c>
    </row>
    <row r="1851" spans="1:9" x14ac:dyDescent="0.25">
      <c r="A1851">
        <v>80</v>
      </c>
      <c r="B1851" t="s">
        <v>86</v>
      </c>
      <c r="C1851" t="s">
        <v>83</v>
      </c>
      <c r="D1851" t="s">
        <v>87</v>
      </c>
      <c r="E1851" t="s">
        <v>85</v>
      </c>
      <c r="F1851" cm="1">
        <f t="array" ref="F1851">_xlfn.XLOOKUP(Food_Orders[[#This Row],[Event_No]],Event_Master[[#All],[Event_No]],Event_Master[[#All],[Guest_Count]],,0)</f>
        <v>1000</v>
      </c>
      <c r="G1851" cm="1">
        <f t="array" ref="G1851">Food_Orders[[#This Row],[Quantity_Orderd]]*_xlfn.XLOOKUP(Food_Orders[[#This Row],[Food_ID]],Food_Catalog[[#All],[Food_ID]],Food_Catalog[[#All],[Price_Per_Unit]],0,0)</f>
        <v>20000</v>
      </c>
      <c r="H1851" cm="1">
        <f t="array" ref="H1851">Food_Orders[[#This Row],[Quantity_Orderd]]*_xlfn.XLOOKUP(Food_Orders[[#This Row],[Food_ID]],Food_Catalog[[#All],[Food_ID]],Food_Catalog[[#All],[Client_Price_Per_Unit]],0,0)</f>
        <v>24000</v>
      </c>
      <c r="I1851">
        <f>Food_Orders[[#This Row],[Client_Price]]-Food_Orders[[#This Row],[Cost]]</f>
        <v>4000</v>
      </c>
    </row>
    <row r="1852" spans="1:9" x14ac:dyDescent="0.25">
      <c r="A1852">
        <v>80</v>
      </c>
      <c r="B1852" t="s">
        <v>96</v>
      </c>
      <c r="C1852" t="s">
        <v>83</v>
      </c>
      <c r="D1852" t="s">
        <v>97</v>
      </c>
      <c r="E1852" t="s">
        <v>79</v>
      </c>
      <c r="F1852" cm="1">
        <f t="array" ref="F1852">_xlfn.XLOOKUP(Food_Orders[[#This Row],[Event_No]],Event_Master[[#All],[Event_No]],Event_Master[[#All],[Guest_Count]],,0)</f>
        <v>1000</v>
      </c>
      <c r="G1852" cm="1">
        <f t="array" ref="G1852">Food_Orders[[#This Row],[Quantity_Orderd]]*_xlfn.XLOOKUP(Food_Orders[[#This Row],[Food_ID]],Food_Catalog[[#All],[Food_ID]],Food_Catalog[[#All],[Price_Per_Unit]],0,0)</f>
        <v>30000</v>
      </c>
      <c r="H1852" cm="1">
        <f t="array" ref="H1852">Food_Orders[[#This Row],[Quantity_Orderd]]*_xlfn.XLOOKUP(Food_Orders[[#This Row],[Food_ID]],Food_Catalog[[#All],[Food_ID]],Food_Catalog[[#All],[Client_Price_Per_Unit]],0,0)</f>
        <v>36000</v>
      </c>
      <c r="I1852">
        <f>Food_Orders[[#This Row],[Client_Price]]-Food_Orders[[#This Row],[Cost]]</f>
        <v>6000</v>
      </c>
    </row>
    <row r="1853" spans="1:9" x14ac:dyDescent="0.25">
      <c r="A1853">
        <v>80</v>
      </c>
      <c r="B1853" t="s">
        <v>92</v>
      </c>
      <c r="C1853" t="s">
        <v>83</v>
      </c>
      <c r="D1853" t="s">
        <v>93</v>
      </c>
      <c r="E1853" t="s">
        <v>85</v>
      </c>
      <c r="F1853" cm="1">
        <f t="array" ref="F1853">_xlfn.XLOOKUP(Food_Orders[[#This Row],[Event_No]],Event_Master[[#All],[Event_No]],Event_Master[[#All],[Guest_Count]],,0)</f>
        <v>1000</v>
      </c>
      <c r="G1853" cm="1">
        <f t="array" ref="G1853">Food_Orders[[#This Row],[Quantity_Orderd]]*_xlfn.XLOOKUP(Food_Orders[[#This Row],[Food_ID]],Food_Catalog[[#All],[Food_ID]],Food_Catalog[[#All],[Price_Per_Unit]],0,0)</f>
        <v>15000</v>
      </c>
      <c r="H1853" cm="1">
        <f t="array" ref="H1853">Food_Orders[[#This Row],[Quantity_Orderd]]*_xlfn.XLOOKUP(Food_Orders[[#This Row],[Food_ID]],Food_Catalog[[#All],[Food_ID]],Food_Catalog[[#All],[Client_Price_Per_Unit]],0,0)</f>
        <v>18000</v>
      </c>
      <c r="I1853">
        <f>Food_Orders[[#This Row],[Client_Price]]-Food_Orders[[#This Row],[Cost]]</f>
        <v>3000</v>
      </c>
    </row>
    <row r="1854" spans="1:9" x14ac:dyDescent="0.25">
      <c r="A1854">
        <v>80</v>
      </c>
      <c r="B1854" t="s">
        <v>98</v>
      </c>
      <c r="C1854" t="s">
        <v>83</v>
      </c>
      <c r="D1854" t="s">
        <v>99</v>
      </c>
      <c r="E1854" t="s">
        <v>85</v>
      </c>
      <c r="F1854" cm="1">
        <f t="array" ref="F1854">_xlfn.XLOOKUP(Food_Orders[[#This Row],[Event_No]],Event_Master[[#All],[Event_No]],Event_Master[[#All],[Guest_Count]],,0)</f>
        <v>1000</v>
      </c>
      <c r="G1854" cm="1">
        <f t="array" ref="G1854">Food_Orders[[#This Row],[Quantity_Orderd]]*_xlfn.XLOOKUP(Food_Orders[[#This Row],[Food_ID]],Food_Catalog[[#All],[Food_ID]],Food_Catalog[[#All],[Price_Per_Unit]],0,0)</f>
        <v>15000</v>
      </c>
      <c r="H1854" cm="1">
        <f t="array" ref="H1854">Food_Orders[[#This Row],[Quantity_Orderd]]*_xlfn.XLOOKUP(Food_Orders[[#This Row],[Food_ID]],Food_Catalog[[#All],[Food_ID]],Food_Catalog[[#All],[Client_Price_Per_Unit]],0,0)</f>
        <v>18000</v>
      </c>
      <c r="I1854">
        <f>Food_Orders[[#This Row],[Client_Price]]-Food_Orders[[#This Row],[Cost]]</f>
        <v>3000</v>
      </c>
    </row>
    <row r="1855" spans="1:9" x14ac:dyDescent="0.25">
      <c r="A1855">
        <v>80</v>
      </c>
      <c r="B1855" t="s">
        <v>104</v>
      </c>
      <c r="C1855" t="s">
        <v>105</v>
      </c>
      <c r="D1855" t="s">
        <v>106</v>
      </c>
      <c r="E1855" t="s">
        <v>107</v>
      </c>
      <c r="F1855" cm="1">
        <f t="array" ref="F1855">_xlfn.XLOOKUP(Food_Orders[[#This Row],[Event_No]],Event_Master[[#All],[Event_No]],Event_Master[[#All],[Guest_Count]],,0)</f>
        <v>1000</v>
      </c>
      <c r="G1855" cm="1">
        <f t="array" ref="G1855">Food_Orders[[#This Row],[Quantity_Orderd]]*_xlfn.XLOOKUP(Food_Orders[[#This Row],[Food_ID]],Food_Catalog[[#All],[Food_ID]],Food_Catalog[[#All],[Price_Per_Unit]],0,0)</f>
        <v>10000</v>
      </c>
      <c r="H1855" cm="1">
        <f t="array" ref="H1855">Food_Orders[[#This Row],[Quantity_Orderd]]*_xlfn.XLOOKUP(Food_Orders[[#This Row],[Food_ID]],Food_Catalog[[#All],[Food_ID]],Food_Catalog[[#All],[Client_Price_Per_Unit]],0,0)</f>
        <v>12000</v>
      </c>
      <c r="I1855">
        <f>Food_Orders[[#This Row],[Client_Price]]-Food_Orders[[#This Row],[Cost]]</f>
        <v>2000</v>
      </c>
    </row>
    <row r="1856" spans="1:9" x14ac:dyDescent="0.25">
      <c r="A1856">
        <v>80</v>
      </c>
      <c r="B1856" t="s">
        <v>108</v>
      </c>
      <c r="C1856" t="s">
        <v>105</v>
      </c>
      <c r="D1856" t="s">
        <v>109</v>
      </c>
      <c r="E1856" t="s">
        <v>107</v>
      </c>
      <c r="F1856" cm="1">
        <f t="array" ref="F1856">_xlfn.XLOOKUP(Food_Orders[[#This Row],[Event_No]],Event_Master[[#All],[Event_No]],Event_Master[[#All],[Guest_Count]],,0)</f>
        <v>1000</v>
      </c>
      <c r="G1856" cm="1">
        <f t="array" ref="G1856">Food_Orders[[#This Row],[Quantity_Orderd]]*_xlfn.XLOOKUP(Food_Orders[[#This Row],[Food_ID]],Food_Catalog[[#All],[Food_ID]],Food_Catalog[[#All],[Price_Per_Unit]],0,0)</f>
        <v>15000</v>
      </c>
      <c r="H1856" cm="1">
        <f t="array" ref="H1856">Food_Orders[[#This Row],[Quantity_Orderd]]*_xlfn.XLOOKUP(Food_Orders[[#This Row],[Food_ID]],Food_Catalog[[#All],[Food_ID]],Food_Catalog[[#All],[Client_Price_Per_Unit]],0,0)</f>
        <v>18000</v>
      </c>
      <c r="I1856">
        <f>Food_Orders[[#This Row],[Client_Price]]-Food_Orders[[#This Row],[Cost]]</f>
        <v>3000</v>
      </c>
    </row>
    <row r="1857" spans="1:9" x14ac:dyDescent="0.25">
      <c r="A1857">
        <v>80</v>
      </c>
      <c r="B1857" t="s">
        <v>118</v>
      </c>
      <c r="C1857" t="s">
        <v>119</v>
      </c>
      <c r="D1857" t="s">
        <v>120</v>
      </c>
      <c r="E1857" t="s">
        <v>112</v>
      </c>
      <c r="F1857" cm="1">
        <f t="array" ref="F1857">_xlfn.XLOOKUP(Food_Orders[[#This Row],[Event_No]],Event_Master[[#All],[Event_No]],Event_Master[[#All],[Guest_Count]],,0)</f>
        <v>1000</v>
      </c>
      <c r="G1857" cm="1">
        <f t="array" ref="G1857">Food_Orders[[#This Row],[Quantity_Orderd]]*_xlfn.XLOOKUP(Food_Orders[[#This Row],[Food_ID]],Food_Catalog[[#All],[Food_ID]],Food_Catalog[[#All],[Price_Per_Unit]],0,0)</f>
        <v>10000</v>
      </c>
      <c r="H1857" cm="1">
        <f t="array" ref="H1857">Food_Orders[[#This Row],[Quantity_Orderd]]*_xlfn.XLOOKUP(Food_Orders[[#This Row],[Food_ID]],Food_Catalog[[#All],[Food_ID]],Food_Catalog[[#All],[Client_Price_Per_Unit]],0,0)</f>
        <v>12000</v>
      </c>
      <c r="I1857">
        <f>Food_Orders[[#This Row],[Client_Price]]-Food_Orders[[#This Row],[Cost]]</f>
        <v>2000</v>
      </c>
    </row>
    <row r="1858" spans="1:9" x14ac:dyDescent="0.25">
      <c r="A1858">
        <v>80</v>
      </c>
      <c r="B1858" t="s">
        <v>129</v>
      </c>
      <c r="C1858" t="s">
        <v>119</v>
      </c>
      <c r="D1858" t="s">
        <v>130</v>
      </c>
      <c r="E1858" t="s">
        <v>112</v>
      </c>
      <c r="F1858" cm="1">
        <f t="array" ref="F1858">_xlfn.XLOOKUP(Food_Orders[[#This Row],[Event_No]],Event_Master[[#All],[Event_No]],Event_Master[[#All],[Guest_Count]],,0)</f>
        <v>1000</v>
      </c>
      <c r="G1858" cm="1">
        <f t="array" ref="G1858">Food_Orders[[#This Row],[Quantity_Orderd]]*_xlfn.XLOOKUP(Food_Orders[[#This Row],[Food_ID]],Food_Catalog[[#All],[Food_ID]],Food_Catalog[[#All],[Price_Per_Unit]],0,0)</f>
        <v>10000</v>
      </c>
      <c r="H1858" cm="1">
        <f t="array" ref="H1858">Food_Orders[[#This Row],[Quantity_Orderd]]*_xlfn.XLOOKUP(Food_Orders[[#This Row],[Food_ID]],Food_Catalog[[#All],[Food_ID]],Food_Catalog[[#All],[Client_Price_Per_Unit]],0,0)</f>
        <v>12000</v>
      </c>
      <c r="I1858">
        <f>Food_Orders[[#This Row],[Client_Price]]-Food_Orders[[#This Row],[Cost]]</f>
        <v>2000</v>
      </c>
    </row>
    <row r="1859" spans="1:9" x14ac:dyDescent="0.25">
      <c r="A1859">
        <v>80</v>
      </c>
      <c r="B1859" t="s">
        <v>124</v>
      </c>
      <c r="C1859" t="s">
        <v>119</v>
      </c>
      <c r="D1859" t="s">
        <v>125</v>
      </c>
      <c r="E1859" t="s">
        <v>126</v>
      </c>
      <c r="F1859" cm="1">
        <f t="array" ref="F1859">_xlfn.XLOOKUP(Food_Orders[[#This Row],[Event_No]],Event_Master[[#All],[Event_No]],Event_Master[[#All],[Guest_Count]],,0)</f>
        <v>1000</v>
      </c>
      <c r="G1859" cm="1">
        <f t="array" ref="G1859">Food_Orders[[#This Row],[Quantity_Orderd]]*_xlfn.XLOOKUP(Food_Orders[[#This Row],[Food_ID]],Food_Catalog[[#All],[Food_ID]],Food_Catalog[[#All],[Price_Per_Unit]],0,0)</f>
        <v>20000</v>
      </c>
      <c r="H1859" cm="1">
        <f t="array" ref="H1859">Food_Orders[[#This Row],[Quantity_Orderd]]*_xlfn.XLOOKUP(Food_Orders[[#This Row],[Food_ID]],Food_Catalog[[#All],[Food_ID]],Food_Catalog[[#All],[Client_Price_Per_Unit]],0,0)</f>
        <v>24000</v>
      </c>
      <c r="I1859">
        <f>Food_Orders[[#This Row],[Client_Price]]-Food_Orders[[#This Row],[Cost]]</f>
        <v>4000</v>
      </c>
    </row>
    <row r="1860" spans="1:9" x14ac:dyDescent="0.25">
      <c r="A1860">
        <v>80</v>
      </c>
      <c r="B1860" t="s">
        <v>127</v>
      </c>
      <c r="C1860" t="s">
        <v>119</v>
      </c>
      <c r="D1860" t="s">
        <v>128</v>
      </c>
      <c r="E1860" t="s">
        <v>107</v>
      </c>
      <c r="F1860" cm="1">
        <f t="array" ref="F1860">_xlfn.XLOOKUP(Food_Orders[[#This Row],[Event_No]],Event_Master[[#All],[Event_No]],Event_Master[[#All],[Guest_Count]],,0)</f>
        <v>1000</v>
      </c>
      <c r="G1860" cm="1">
        <f t="array" ref="G1860">Food_Orders[[#This Row],[Quantity_Orderd]]*_xlfn.XLOOKUP(Food_Orders[[#This Row],[Food_ID]],Food_Catalog[[#All],[Food_ID]],Food_Catalog[[#All],[Price_Per_Unit]],0,0)</f>
        <v>20000</v>
      </c>
      <c r="H1860" cm="1">
        <f t="array" ref="H1860">Food_Orders[[#This Row],[Quantity_Orderd]]*_xlfn.XLOOKUP(Food_Orders[[#This Row],[Food_ID]],Food_Catalog[[#All],[Food_ID]],Food_Catalog[[#All],[Client_Price_Per_Unit]],0,0)</f>
        <v>24000</v>
      </c>
      <c r="I1860">
        <f>Food_Orders[[#This Row],[Client_Price]]-Food_Orders[[#This Row],[Cost]]</f>
        <v>4000</v>
      </c>
    </row>
    <row r="1861" spans="1:9" x14ac:dyDescent="0.25">
      <c r="A1861">
        <v>81</v>
      </c>
      <c r="B1861" t="s">
        <v>60</v>
      </c>
      <c r="C1861" t="s">
        <v>61</v>
      </c>
      <c r="D1861" t="s">
        <v>62</v>
      </c>
      <c r="E1861" t="s">
        <v>10</v>
      </c>
      <c r="F1861" cm="1">
        <f t="array" ref="F1861">_xlfn.XLOOKUP(Food_Orders[[#This Row],[Event_No]],Event_Master[[#All],[Event_No]],Event_Master[[#All],[Guest_Count]],,0)</f>
        <v>1200</v>
      </c>
      <c r="G1861" cm="1">
        <f t="array" ref="G1861">Food_Orders[[#This Row],[Quantity_Orderd]]*_xlfn.XLOOKUP(Food_Orders[[#This Row],[Food_ID]],Food_Catalog[[#All],[Food_ID]],Food_Catalog[[#All],[Price_Per_Unit]],0,0)</f>
        <v>24000</v>
      </c>
      <c r="H1861" cm="1">
        <f t="array" ref="H1861">Food_Orders[[#This Row],[Quantity_Orderd]]*_xlfn.XLOOKUP(Food_Orders[[#This Row],[Food_ID]],Food_Catalog[[#All],[Food_ID]],Food_Catalog[[#All],[Client_Price_Per_Unit]],0,0)</f>
        <v>28800</v>
      </c>
      <c r="I1861">
        <f>Food_Orders[[#This Row],[Client_Price]]-Food_Orders[[#This Row],[Cost]]</f>
        <v>4800</v>
      </c>
    </row>
    <row r="1862" spans="1:9" x14ac:dyDescent="0.25">
      <c r="A1862">
        <v>81</v>
      </c>
      <c r="B1862" t="s">
        <v>63</v>
      </c>
      <c r="C1862" t="s">
        <v>61</v>
      </c>
      <c r="D1862" t="s">
        <v>64</v>
      </c>
      <c r="E1862" t="s">
        <v>10</v>
      </c>
      <c r="F1862" cm="1">
        <f t="array" ref="F1862">_xlfn.XLOOKUP(Food_Orders[[#This Row],[Event_No]],Event_Master[[#All],[Event_No]],Event_Master[[#All],[Guest_Count]],,0)</f>
        <v>1200</v>
      </c>
      <c r="G1862" cm="1">
        <f t="array" ref="G1862">Food_Orders[[#This Row],[Quantity_Orderd]]*_xlfn.XLOOKUP(Food_Orders[[#This Row],[Food_ID]],Food_Catalog[[#All],[Food_ID]],Food_Catalog[[#All],[Price_Per_Unit]],0,0)</f>
        <v>36000</v>
      </c>
      <c r="H1862" cm="1">
        <f t="array" ref="H1862">Food_Orders[[#This Row],[Quantity_Orderd]]*_xlfn.XLOOKUP(Food_Orders[[#This Row],[Food_ID]],Food_Catalog[[#All],[Food_ID]],Food_Catalog[[#All],[Client_Price_Per_Unit]],0,0)</f>
        <v>43200</v>
      </c>
      <c r="I1862">
        <f>Food_Orders[[#This Row],[Client_Price]]-Food_Orders[[#This Row],[Cost]]</f>
        <v>7200</v>
      </c>
    </row>
    <row r="1863" spans="1:9" x14ac:dyDescent="0.25">
      <c r="A1863">
        <v>81</v>
      </c>
      <c r="B1863" t="s">
        <v>71</v>
      </c>
      <c r="C1863" t="s">
        <v>61</v>
      </c>
      <c r="D1863" t="s">
        <v>72</v>
      </c>
      <c r="E1863" t="s">
        <v>10</v>
      </c>
      <c r="F1863" cm="1">
        <f t="array" ref="F1863">_xlfn.XLOOKUP(Food_Orders[[#This Row],[Event_No]],Event_Master[[#All],[Event_No]],Event_Master[[#All],[Guest_Count]],,0)</f>
        <v>1200</v>
      </c>
      <c r="G1863" cm="1">
        <f t="array" ref="G1863">Food_Orders[[#This Row],[Quantity_Orderd]]*_xlfn.XLOOKUP(Food_Orders[[#This Row],[Food_ID]],Food_Catalog[[#All],[Food_ID]],Food_Catalog[[#All],[Price_Per_Unit]],0,0)</f>
        <v>30000</v>
      </c>
      <c r="H1863" cm="1">
        <f t="array" ref="H1863">Food_Orders[[#This Row],[Quantity_Orderd]]*_xlfn.XLOOKUP(Food_Orders[[#This Row],[Food_ID]],Food_Catalog[[#All],[Food_ID]],Food_Catalog[[#All],[Client_Price_Per_Unit]],0,0)</f>
        <v>36000</v>
      </c>
      <c r="I1863">
        <f>Food_Orders[[#This Row],[Client_Price]]-Food_Orders[[#This Row],[Cost]]</f>
        <v>6000</v>
      </c>
    </row>
    <row r="1864" spans="1:9" x14ac:dyDescent="0.25">
      <c r="A1864">
        <v>81</v>
      </c>
      <c r="B1864" t="s">
        <v>80</v>
      </c>
      <c r="C1864" t="s">
        <v>61</v>
      </c>
      <c r="D1864" t="s">
        <v>81</v>
      </c>
      <c r="E1864" t="s">
        <v>10</v>
      </c>
      <c r="F1864" cm="1">
        <f t="array" ref="F1864">_xlfn.XLOOKUP(Food_Orders[[#This Row],[Event_No]],Event_Master[[#All],[Event_No]],Event_Master[[#All],[Guest_Count]],,0)</f>
        <v>1200</v>
      </c>
      <c r="G1864" cm="1">
        <f t="array" ref="G1864">Food_Orders[[#This Row],[Quantity_Orderd]]*_xlfn.XLOOKUP(Food_Orders[[#This Row],[Food_ID]],Food_Catalog[[#All],[Food_ID]],Food_Catalog[[#All],[Price_Per_Unit]],0,0)</f>
        <v>36000</v>
      </c>
      <c r="H1864" cm="1">
        <f t="array" ref="H1864">Food_Orders[[#This Row],[Quantity_Orderd]]*_xlfn.XLOOKUP(Food_Orders[[#This Row],[Food_ID]],Food_Catalog[[#All],[Food_ID]],Food_Catalog[[#All],[Client_Price_Per_Unit]],0,0)</f>
        <v>43200</v>
      </c>
      <c r="I1864">
        <f>Food_Orders[[#This Row],[Client_Price]]-Food_Orders[[#This Row],[Cost]]</f>
        <v>7200</v>
      </c>
    </row>
    <row r="1865" spans="1:9" x14ac:dyDescent="0.25">
      <c r="A1865">
        <v>81</v>
      </c>
      <c r="B1865" t="s">
        <v>73</v>
      </c>
      <c r="C1865" t="s">
        <v>61</v>
      </c>
      <c r="D1865" t="s">
        <v>74</v>
      </c>
      <c r="E1865" t="s">
        <v>10</v>
      </c>
      <c r="F1865" cm="1">
        <f t="array" ref="F1865">_xlfn.XLOOKUP(Food_Orders[[#This Row],[Event_No]],Event_Master[[#All],[Event_No]],Event_Master[[#All],[Guest_Count]],,0)</f>
        <v>1200</v>
      </c>
      <c r="G1865" cm="1">
        <f t="array" ref="G1865">Food_Orders[[#This Row],[Quantity_Orderd]]*_xlfn.XLOOKUP(Food_Orders[[#This Row],[Food_ID]],Food_Catalog[[#All],[Food_ID]],Food_Catalog[[#All],[Price_Per_Unit]],0,0)</f>
        <v>48000</v>
      </c>
      <c r="H1865" cm="1">
        <f t="array" ref="H1865">Food_Orders[[#This Row],[Quantity_Orderd]]*_xlfn.XLOOKUP(Food_Orders[[#This Row],[Food_ID]],Food_Catalog[[#All],[Food_ID]],Food_Catalog[[#All],[Client_Price_Per_Unit]],0,0)</f>
        <v>57600</v>
      </c>
      <c r="I1865">
        <f>Food_Orders[[#This Row],[Client_Price]]-Food_Orders[[#This Row],[Cost]]</f>
        <v>9600</v>
      </c>
    </row>
    <row r="1866" spans="1:9" x14ac:dyDescent="0.25">
      <c r="A1866">
        <v>81</v>
      </c>
      <c r="B1866" t="s">
        <v>75</v>
      </c>
      <c r="C1866" t="s">
        <v>61</v>
      </c>
      <c r="D1866" t="s">
        <v>76</v>
      </c>
      <c r="E1866" t="s">
        <v>10</v>
      </c>
      <c r="F1866" cm="1">
        <f t="array" ref="F1866">_xlfn.XLOOKUP(Food_Orders[[#This Row],[Event_No]],Event_Master[[#All],[Event_No]],Event_Master[[#All],[Guest_Count]],,0)</f>
        <v>1200</v>
      </c>
      <c r="G1866" cm="1">
        <f t="array" ref="G1866">Food_Orders[[#This Row],[Quantity_Orderd]]*_xlfn.XLOOKUP(Food_Orders[[#This Row],[Food_ID]],Food_Catalog[[#All],[Food_ID]],Food_Catalog[[#All],[Price_Per_Unit]],0,0)</f>
        <v>48000</v>
      </c>
      <c r="H1866" cm="1">
        <f t="array" ref="H1866">Food_Orders[[#This Row],[Quantity_Orderd]]*_xlfn.XLOOKUP(Food_Orders[[#This Row],[Food_ID]],Food_Catalog[[#All],[Food_ID]],Food_Catalog[[#All],[Client_Price_Per_Unit]],0,0)</f>
        <v>57600</v>
      </c>
      <c r="I1866">
        <f>Food_Orders[[#This Row],[Client_Price]]-Food_Orders[[#This Row],[Cost]]</f>
        <v>9600</v>
      </c>
    </row>
    <row r="1867" spans="1:9" x14ac:dyDescent="0.25">
      <c r="A1867">
        <v>81</v>
      </c>
      <c r="B1867" t="s">
        <v>69</v>
      </c>
      <c r="C1867" t="s">
        <v>61</v>
      </c>
      <c r="D1867" t="s">
        <v>70</v>
      </c>
      <c r="E1867" t="s">
        <v>10</v>
      </c>
      <c r="F1867" cm="1">
        <f t="array" ref="F1867">_xlfn.XLOOKUP(Food_Orders[[#This Row],[Event_No]],Event_Master[[#All],[Event_No]],Event_Master[[#All],[Guest_Count]],,0)</f>
        <v>1200</v>
      </c>
      <c r="G1867" cm="1">
        <f t="array" ref="G1867">Food_Orders[[#This Row],[Quantity_Orderd]]*_xlfn.XLOOKUP(Food_Orders[[#This Row],[Food_ID]],Food_Catalog[[#All],[Food_ID]],Food_Catalog[[#All],[Price_Per_Unit]],0,0)</f>
        <v>60000</v>
      </c>
      <c r="H1867" cm="1">
        <f t="array" ref="H1867">Food_Orders[[#This Row],[Quantity_Orderd]]*_xlfn.XLOOKUP(Food_Orders[[#This Row],[Food_ID]],Food_Catalog[[#All],[Food_ID]],Food_Catalog[[#All],[Client_Price_Per_Unit]],0,0)</f>
        <v>72000</v>
      </c>
      <c r="I1867">
        <f>Food_Orders[[#This Row],[Client_Price]]-Food_Orders[[#This Row],[Cost]]</f>
        <v>12000</v>
      </c>
    </row>
    <row r="1868" spans="1:9" x14ac:dyDescent="0.25">
      <c r="A1868">
        <v>81</v>
      </c>
      <c r="B1868" t="s">
        <v>67</v>
      </c>
      <c r="C1868" t="s">
        <v>61</v>
      </c>
      <c r="D1868" t="s">
        <v>68</v>
      </c>
      <c r="E1868" t="s">
        <v>10</v>
      </c>
      <c r="F1868" cm="1">
        <f t="array" ref="F1868">_xlfn.XLOOKUP(Food_Orders[[#This Row],[Event_No]],Event_Master[[#All],[Event_No]],Event_Master[[#All],[Guest_Count]],,0)</f>
        <v>1200</v>
      </c>
      <c r="G1868" cm="1">
        <f t="array" ref="G1868">Food_Orders[[#This Row],[Quantity_Orderd]]*_xlfn.XLOOKUP(Food_Orders[[#This Row],[Food_ID]],Food_Catalog[[#All],[Food_ID]],Food_Catalog[[#All],[Price_Per_Unit]],0,0)</f>
        <v>36000</v>
      </c>
      <c r="H1868" cm="1">
        <f t="array" ref="H1868">Food_Orders[[#This Row],[Quantity_Orderd]]*_xlfn.XLOOKUP(Food_Orders[[#This Row],[Food_ID]],Food_Catalog[[#All],[Food_ID]],Food_Catalog[[#All],[Client_Price_Per_Unit]],0,0)</f>
        <v>43200</v>
      </c>
      <c r="I1868">
        <f>Food_Orders[[#This Row],[Client_Price]]-Food_Orders[[#This Row],[Cost]]</f>
        <v>7200</v>
      </c>
    </row>
    <row r="1869" spans="1:9" x14ac:dyDescent="0.25">
      <c r="A1869">
        <v>81</v>
      </c>
      <c r="B1869" t="s">
        <v>77</v>
      </c>
      <c r="C1869" t="s">
        <v>61</v>
      </c>
      <c r="D1869" t="s">
        <v>78</v>
      </c>
      <c r="E1869" t="s">
        <v>79</v>
      </c>
      <c r="F1869" cm="1">
        <f t="array" ref="F1869">_xlfn.XLOOKUP(Food_Orders[[#This Row],[Event_No]],Event_Master[[#All],[Event_No]],Event_Master[[#All],[Guest_Count]],,0)</f>
        <v>1200</v>
      </c>
      <c r="G1869" cm="1">
        <f t="array" ref="G1869">Food_Orders[[#This Row],[Quantity_Orderd]]*_xlfn.XLOOKUP(Food_Orders[[#This Row],[Food_ID]],Food_Catalog[[#All],[Food_ID]],Food_Catalog[[#All],[Price_Per_Unit]],0,0)</f>
        <v>42000</v>
      </c>
      <c r="H1869" cm="1">
        <f t="array" ref="H1869">Food_Orders[[#This Row],[Quantity_Orderd]]*_xlfn.XLOOKUP(Food_Orders[[#This Row],[Food_ID]],Food_Catalog[[#All],[Food_ID]],Food_Catalog[[#All],[Client_Price_Per_Unit]],0,0)</f>
        <v>50400</v>
      </c>
      <c r="I1869">
        <f>Food_Orders[[#This Row],[Client_Price]]-Food_Orders[[#This Row],[Cost]]</f>
        <v>8400</v>
      </c>
    </row>
    <row r="1870" spans="1:9" x14ac:dyDescent="0.25">
      <c r="A1870">
        <v>81</v>
      </c>
      <c r="B1870" t="s">
        <v>7</v>
      </c>
      <c r="C1870" t="s">
        <v>8</v>
      </c>
      <c r="D1870" t="s">
        <v>9</v>
      </c>
      <c r="E1870" t="s">
        <v>10</v>
      </c>
      <c r="F1870" cm="1">
        <f t="array" ref="F1870">_xlfn.XLOOKUP(Food_Orders[[#This Row],[Event_No]],Event_Master[[#All],[Event_No]],Event_Master[[#All],[Guest_Count]],,0)</f>
        <v>1200</v>
      </c>
      <c r="G1870" cm="1">
        <f t="array" ref="G1870">Food_Orders[[#This Row],[Quantity_Orderd]]*_xlfn.XLOOKUP(Food_Orders[[#This Row],[Food_ID]],Food_Catalog[[#All],[Food_ID]],Food_Catalog[[#All],[Price_Per_Unit]],0,0)</f>
        <v>30000</v>
      </c>
      <c r="H1870" cm="1">
        <f t="array" ref="H1870">Food_Orders[[#This Row],[Quantity_Orderd]]*_xlfn.XLOOKUP(Food_Orders[[#This Row],[Food_ID]],Food_Catalog[[#All],[Food_ID]],Food_Catalog[[#All],[Client_Price_Per_Unit]],0,0)</f>
        <v>36000</v>
      </c>
      <c r="I1870">
        <f>Food_Orders[[#This Row],[Client_Price]]-Food_Orders[[#This Row],[Cost]]</f>
        <v>6000</v>
      </c>
    </row>
    <row r="1871" spans="1:9" x14ac:dyDescent="0.25">
      <c r="A1871">
        <v>81</v>
      </c>
      <c r="B1871" t="s">
        <v>13</v>
      </c>
      <c r="C1871" t="s">
        <v>8</v>
      </c>
      <c r="D1871" t="s">
        <v>14</v>
      </c>
      <c r="E1871" t="s">
        <v>10</v>
      </c>
      <c r="F1871" cm="1">
        <f t="array" ref="F1871">_xlfn.XLOOKUP(Food_Orders[[#This Row],[Event_No]],Event_Master[[#All],[Event_No]],Event_Master[[#All],[Guest_Count]],,0)</f>
        <v>1200</v>
      </c>
      <c r="G1871" cm="1">
        <f t="array" ref="G1871">Food_Orders[[#This Row],[Quantity_Orderd]]*_xlfn.XLOOKUP(Food_Orders[[#This Row],[Food_ID]],Food_Catalog[[#All],[Food_ID]],Food_Catalog[[#All],[Price_Per_Unit]],0,0)</f>
        <v>42000</v>
      </c>
      <c r="H1871" cm="1">
        <f t="array" ref="H1871">Food_Orders[[#This Row],[Quantity_Orderd]]*_xlfn.XLOOKUP(Food_Orders[[#This Row],[Food_ID]],Food_Catalog[[#All],[Food_ID]],Food_Catalog[[#All],[Client_Price_Per_Unit]],0,0)</f>
        <v>50400</v>
      </c>
      <c r="I1871">
        <f>Food_Orders[[#This Row],[Client_Price]]-Food_Orders[[#This Row],[Cost]]</f>
        <v>8400</v>
      </c>
    </row>
    <row r="1872" spans="1:9" x14ac:dyDescent="0.25">
      <c r="A1872">
        <v>81</v>
      </c>
      <c r="B1872" t="s">
        <v>35</v>
      </c>
      <c r="C1872" t="s">
        <v>8</v>
      </c>
      <c r="D1872" t="s">
        <v>36</v>
      </c>
      <c r="E1872" t="s">
        <v>10</v>
      </c>
      <c r="F1872" cm="1">
        <f t="array" ref="F1872">_xlfn.XLOOKUP(Food_Orders[[#This Row],[Event_No]],Event_Master[[#All],[Event_No]],Event_Master[[#All],[Guest_Count]],,0)</f>
        <v>1200</v>
      </c>
      <c r="G1872" cm="1">
        <f t="array" ref="G1872">Food_Orders[[#This Row],[Quantity_Orderd]]*_xlfn.XLOOKUP(Food_Orders[[#This Row],[Food_ID]],Food_Catalog[[#All],[Food_ID]],Food_Catalog[[#All],[Price_Per_Unit]],0,0)</f>
        <v>36000</v>
      </c>
      <c r="H1872" cm="1">
        <f t="array" ref="H1872">Food_Orders[[#This Row],[Quantity_Orderd]]*_xlfn.XLOOKUP(Food_Orders[[#This Row],[Food_ID]],Food_Catalog[[#All],[Food_ID]],Food_Catalog[[#All],[Client_Price_Per_Unit]],0,0)</f>
        <v>43200</v>
      </c>
      <c r="I1872">
        <f>Food_Orders[[#This Row],[Client_Price]]-Food_Orders[[#This Row],[Cost]]</f>
        <v>7200</v>
      </c>
    </row>
    <row r="1873" spans="1:9" x14ac:dyDescent="0.25">
      <c r="A1873">
        <v>81</v>
      </c>
      <c r="B1873" t="s">
        <v>27</v>
      </c>
      <c r="C1873" t="s">
        <v>8</v>
      </c>
      <c r="D1873" t="s">
        <v>28</v>
      </c>
      <c r="E1873" t="s">
        <v>10</v>
      </c>
      <c r="F1873" cm="1">
        <f t="array" ref="F1873">_xlfn.XLOOKUP(Food_Orders[[#This Row],[Event_No]],Event_Master[[#All],[Event_No]],Event_Master[[#All],[Guest_Count]],,0)</f>
        <v>1200</v>
      </c>
      <c r="G1873" cm="1">
        <f t="array" ref="G1873">Food_Orders[[#This Row],[Quantity_Orderd]]*_xlfn.XLOOKUP(Food_Orders[[#This Row],[Food_ID]],Food_Catalog[[#All],[Food_ID]],Food_Catalog[[#All],[Price_Per_Unit]],0,0)</f>
        <v>48000</v>
      </c>
      <c r="H1873" cm="1">
        <f t="array" ref="H1873">Food_Orders[[#This Row],[Quantity_Orderd]]*_xlfn.XLOOKUP(Food_Orders[[#This Row],[Food_ID]],Food_Catalog[[#All],[Food_ID]],Food_Catalog[[#All],[Client_Price_Per_Unit]],0,0)</f>
        <v>57600</v>
      </c>
      <c r="I1873">
        <f>Food_Orders[[#This Row],[Client_Price]]-Food_Orders[[#This Row],[Cost]]</f>
        <v>9600</v>
      </c>
    </row>
    <row r="1874" spans="1:9" x14ac:dyDescent="0.25">
      <c r="A1874">
        <v>81</v>
      </c>
      <c r="B1874" t="s">
        <v>31</v>
      </c>
      <c r="C1874" t="s">
        <v>8</v>
      </c>
      <c r="D1874" t="s">
        <v>32</v>
      </c>
      <c r="E1874" t="s">
        <v>10</v>
      </c>
      <c r="F1874" cm="1">
        <f t="array" ref="F1874">_xlfn.XLOOKUP(Food_Orders[[#This Row],[Event_No]],Event_Master[[#All],[Event_No]],Event_Master[[#All],[Guest_Count]],,0)</f>
        <v>1200</v>
      </c>
      <c r="G1874" cm="1">
        <f t="array" ref="G1874">Food_Orders[[#This Row],[Quantity_Orderd]]*_xlfn.XLOOKUP(Food_Orders[[#This Row],[Food_ID]],Food_Catalog[[#All],[Food_ID]],Food_Catalog[[#All],[Price_Per_Unit]],0,0)</f>
        <v>36000</v>
      </c>
      <c r="H1874" cm="1">
        <f t="array" ref="H1874">Food_Orders[[#This Row],[Quantity_Orderd]]*_xlfn.XLOOKUP(Food_Orders[[#This Row],[Food_ID]],Food_Catalog[[#All],[Food_ID]],Food_Catalog[[#All],[Client_Price_Per_Unit]],0,0)</f>
        <v>43200</v>
      </c>
      <c r="I1874">
        <f>Food_Orders[[#This Row],[Client_Price]]-Food_Orders[[#This Row],[Cost]]</f>
        <v>7200</v>
      </c>
    </row>
    <row r="1875" spans="1:9" x14ac:dyDescent="0.25">
      <c r="A1875">
        <v>81</v>
      </c>
      <c r="B1875" t="s">
        <v>33</v>
      </c>
      <c r="C1875" t="s">
        <v>8</v>
      </c>
      <c r="D1875" t="s">
        <v>34</v>
      </c>
      <c r="E1875" t="s">
        <v>10</v>
      </c>
      <c r="F1875" cm="1">
        <f t="array" ref="F1875">_xlfn.XLOOKUP(Food_Orders[[#This Row],[Event_No]],Event_Master[[#All],[Event_No]],Event_Master[[#All],[Guest_Count]],,0)</f>
        <v>1200</v>
      </c>
      <c r="G1875" cm="1">
        <f t="array" ref="G1875">Food_Orders[[#This Row],[Quantity_Orderd]]*_xlfn.XLOOKUP(Food_Orders[[#This Row],[Food_ID]],Food_Catalog[[#All],[Food_ID]],Food_Catalog[[#All],[Price_Per_Unit]],0,0)</f>
        <v>36000</v>
      </c>
      <c r="H1875" cm="1">
        <f t="array" ref="H1875">Food_Orders[[#This Row],[Quantity_Orderd]]*_xlfn.XLOOKUP(Food_Orders[[#This Row],[Food_ID]],Food_Catalog[[#All],[Food_ID]],Food_Catalog[[#All],[Client_Price_Per_Unit]],0,0)</f>
        <v>43200</v>
      </c>
      <c r="I1875">
        <f>Food_Orders[[#This Row],[Client_Price]]-Food_Orders[[#This Row],[Cost]]</f>
        <v>7200</v>
      </c>
    </row>
    <row r="1876" spans="1:9" x14ac:dyDescent="0.25">
      <c r="A1876">
        <v>81</v>
      </c>
      <c r="B1876" t="s">
        <v>17</v>
      </c>
      <c r="C1876" t="s">
        <v>8</v>
      </c>
      <c r="D1876" t="s">
        <v>18</v>
      </c>
      <c r="E1876" t="s">
        <v>10</v>
      </c>
      <c r="F1876" cm="1">
        <f t="array" ref="F1876">_xlfn.XLOOKUP(Food_Orders[[#This Row],[Event_No]],Event_Master[[#All],[Event_No]],Event_Master[[#All],[Guest_Count]],,0)</f>
        <v>1200</v>
      </c>
      <c r="G1876" cm="1">
        <f t="array" ref="G1876">Food_Orders[[#This Row],[Quantity_Orderd]]*_xlfn.XLOOKUP(Food_Orders[[#This Row],[Food_ID]],Food_Catalog[[#All],[Food_ID]],Food_Catalog[[#All],[Price_Per_Unit]],0,0)</f>
        <v>48000</v>
      </c>
      <c r="H1876" cm="1">
        <f t="array" ref="H1876">Food_Orders[[#This Row],[Quantity_Orderd]]*_xlfn.XLOOKUP(Food_Orders[[#This Row],[Food_ID]],Food_Catalog[[#All],[Food_ID]],Food_Catalog[[#All],[Client_Price_Per_Unit]],0,0)</f>
        <v>57600</v>
      </c>
      <c r="I1876">
        <f>Food_Orders[[#This Row],[Client_Price]]-Food_Orders[[#This Row],[Cost]]</f>
        <v>9600</v>
      </c>
    </row>
    <row r="1877" spans="1:9" x14ac:dyDescent="0.25">
      <c r="A1877">
        <v>81</v>
      </c>
      <c r="B1877" t="s">
        <v>29</v>
      </c>
      <c r="C1877" t="s">
        <v>8</v>
      </c>
      <c r="D1877" t="s">
        <v>30</v>
      </c>
      <c r="E1877" t="s">
        <v>10</v>
      </c>
      <c r="F1877" cm="1">
        <f t="array" ref="F1877">_xlfn.XLOOKUP(Food_Orders[[#This Row],[Event_No]],Event_Master[[#All],[Event_No]],Event_Master[[#All],[Guest_Count]],,0)</f>
        <v>1200</v>
      </c>
      <c r="G1877" cm="1">
        <f t="array" ref="G1877">Food_Orders[[#This Row],[Quantity_Orderd]]*_xlfn.XLOOKUP(Food_Orders[[#This Row],[Food_ID]],Food_Catalog[[#All],[Food_ID]],Food_Catalog[[#All],[Price_Per_Unit]],0,0)</f>
        <v>36000</v>
      </c>
      <c r="H1877" cm="1">
        <f t="array" ref="H1877">Food_Orders[[#This Row],[Quantity_Orderd]]*_xlfn.XLOOKUP(Food_Orders[[#This Row],[Food_ID]],Food_Catalog[[#All],[Food_ID]],Food_Catalog[[#All],[Client_Price_Per_Unit]],0,0)</f>
        <v>43200</v>
      </c>
      <c r="I1877">
        <f>Food_Orders[[#This Row],[Client_Price]]-Food_Orders[[#This Row],[Cost]]</f>
        <v>7200</v>
      </c>
    </row>
    <row r="1878" spans="1:9" x14ac:dyDescent="0.25">
      <c r="A1878">
        <v>81</v>
      </c>
      <c r="B1878" t="s">
        <v>37</v>
      </c>
      <c r="C1878" t="s">
        <v>8</v>
      </c>
      <c r="D1878" t="s">
        <v>38</v>
      </c>
      <c r="E1878" t="s">
        <v>10</v>
      </c>
      <c r="F1878" cm="1">
        <f t="array" ref="F1878">_xlfn.XLOOKUP(Food_Orders[[#This Row],[Event_No]],Event_Master[[#All],[Event_No]],Event_Master[[#All],[Guest_Count]],,0)</f>
        <v>1200</v>
      </c>
      <c r="G1878" cm="1">
        <f t="array" ref="G1878">Food_Orders[[#This Row],[Quantity_Orderd]]*_xlfn.XLOOKUP(Food_Orders[[#This Row],[Food_ID]],Food_Catalog[[#All],[Food_ID]],Food_Catalog[[#All],[Price_Per_Unit]],0,0)</f>
        <v>30000</v>
      </c>
      <c r="H1878" cm="1">
        <f t="array" ref="H1878">Food_Orders[[#This Row],[Quantity_Orderd]]*_xlfn.XLOOKUP(Food_Orders[[#This Row],[Food_ID]],Food_Catalog[[#All],[Food_ID]],Food_Catalog[[#All],[Client_Price_Per_Unit]],0,0)</f>
        <v>36000</v>
      </c>
      <c r="I1878">
        <f>Food_Orders[[#This Row],[Client_Price]]-Food_Orders[[#This Row],[Cost]]</f>
        <v>6000</v>
      </c>
    </row>
    <row r="1879" spans="1:9" x14ac:dyDescent="0.25">
      <c r="A1879">
        <v>81</v>
      </c>
      <c r="B1879" t="s">
        <v>82</v>
      </c>
      <c r="C1879" t="s">
        <v>83</v>
      </c>
      <c r="D1879" t="s">
        <v>84</v>
      </c>
      <c r="E1879" t="s">
        <v>85</v>
      </c>
      <c r="F1879" cm="1">
        <f t="array" ref="F1879">_xlfn.XLOOKUP(Food_Orders[[#This Row],[Event_No]],Event_Master[[#All],[Event_No]],Event_Master[[#All],[Guest_Count]],,0)</f>
        <v>1200</v>
      </c>
      <c r="G1879" cm="1">
        <f t="array" ref="G1879">Food_Orders[[#This Row],[Quantity_Orderd]]*_xlfn.XLOOKUP(Food_Orders[[#This Row],[Food_ID]],Food_Catalog[[#All],[Food_ID]],Food_Catalog[[#All],[Price_Per_Unit]],0,0)</f>
        <v>24000</v>
      </c>
      <c r="H1879" cm="1">
        <f t="array" ref="H1879">Food_Orders[[#This Row],[Quantity_Orderd]]*_xlfn.XLOOKUP(Food_Orders[[#This Row],[Food_ID]],Food_Catalog[[#All],[Food_ID]],Food_Catalog[[#All],[Client_Price_Per_Unit]],0,0)</f>
        <v>28800</v>
      </c>
      <c r="I1879">
        <f>Food_Orders[[#This Row],[Client_Price]]-Food_Orders[[#This Row],[Cost]]</f>
        <v>4800</v>
      </c>
    </row>
    <row r="1880" spans="1:9" x14ac:dyDescent="0.25">
      <c r="A1880">
        <v>81</v>
      </c>
      <c r="B1880" t="s">
        <v>86</v>
      </c>
      <c r="C1880" t="s">
        <v>83</v>
      </c>
      <c r="D1880" t="s">
        <v>87</v>
      </c>
      <c r="E1880" t="s">
        <v>85</v>
      </c>
      <c r="F1880" cm="1">
        <f t="array" ref="F1880">_xlfn.XLOOKUP(Food_Orders[[#This Row],[Event_No]],Event_Master[[#All],[Event_No]],Event_Master[[#All],[Guest_Count]],,0)</f>
        <v>1200</v>
      </c>
      <c r="G1880" cm="1">
        <f t="array" ref="G1880">Food_Orders[[#This Row],[Quantity_Orderd]]*_xlfn.XLOOKUP(Food_Orders[[#This Row],[Food_ID]],Food_Catalog[[#All],[Food_ID]],Food_Catalog[[#All],[Price_Per_Unit]],0,0)</f>
        <v>24000</v>
      </c>
      <c r="H1880" cm="1">
        <f t="array" ref="H1880">Food_Orders[[#This Row],[Quantity_Orderd]]*_xlfn.XLOOKUP(Food_Orders[[#This Row],[Food_ID]],Food_Catalog[[#All],[Food_ID]],Food_Catalog[[#All],[Client_Price_Per_Unit]],0,0)</f>
        <v>28800</v>
      </c>
      <c r="I1880">
        <f>Food_Orders[[#This Row],[Client_Price]]-Food_Orders[[#This Row],[Cost]]</f>
        <v>4800</v>
      </c>
    </row>
    <row r="1881" spans="1:9" x14ac:dyDescent="0.25">
      <c r="A1881">
        <v>81</v>
      </c>
      <c r="B1881" t="s">
        <v>96</v>
      </c>
      <c r="C1881" t="s">
        <v>83</v>
      </c>
      <c r="D1881" t="s">
        <v>97</v>
      </c>
      <c r="E1881" t="s">
        <v>79</v>
      </c>
      <c r="F1881" cm="1">
        <f t="array" ref="F1881">_xlfn.XLOOKUP(Food_Orders[[#This Row],[Event_No]],Event_Master[[#All],[Event_No]],Event_Master[[#All],[Guest_Count]],,0)</f>
        <v>1200</v>
      </c>
      <c r="G1881" cm="1">
        <f t="array" ref="G1881">Food_Orders[[#This Row],[Quantity_Orderd]]*_xlfn.XLOOKUP(Food_Orders[[#This Row],[Food_ID]],Food_Catalog[[#All],[Food_ID]],Food_Catalog[[#All],[Price_Per_Unit]],0,0)</f>
        <v>36000</v>
      </c>
      <c r="H1881" cm="1">
        <f t="array" ref="H1881">Food_Orders[[#This Row],[Quantity_Orderd]]*_xlfn.XLOOKUP(Food_Orders[[#This Row],[Food_ID]],Food_Catalog[[#All],[Food_ID]],Food_Catalog[[#All],[Client_Price_Per_Unit]],0,0)</f>
        <v>43200</v>
      </c>
      <c r="I1881">
        <f>Food_Orders[[#This Row],[Client_Price]]-Food_Orders[[#This Row],[Cost]]</f>
        <v>7200</v>
      </c>
    </row>
    <row r="1882" spans="1:9" x14ac:dyDescent="0.25">
      <c r="A1882">
        <v>81</v>
      </c>
      <c r="B1882" t="s">
        <v>88</v>
      </c>
      <c r="C1882" t="s">
        <v>83</v>
      </c>
      <c r="D1882" t="s">
        <v>89</v>
      </c>
      <c r="E1882" t="s">
        <v>85</v>
      </c>
      <c r="F1882" cm="1">
        <f t="array" ref="F1882">_xlfn.XLOOKUP(Food_Orders[[#This Row],[Event_No]],Event_Master[[#All],[Event_No]],Event_Master[[#All],[Guest_Count]],,0)</f>
        <v>1200</v>
      </c>
      <c r="G1882" cm="1">
        <f t="array" ref="G1882">Food_Orders[[#This Row],[Quantity_Orderd]]*_xlfn.XLOOKUP(Food_Orders[[#This Row],[Food_ID]],Food_Catalog[[#All],[Food_ID]],Food_Catalog[[#All],[Price_Per_Unit]],0,0)</f>
        <v>18000</v>
      </c>
      <c r="H1882" cm="1">
        <f t="array" ref="H1882">Food_Orders[[#This Row],[Quantity_Orderd]]*_xlfn.XLOOKUP(Food_Orders[[#This Row],[Food_ID]],Food_Catalog[[#All],[Food_ID]],Food_Catalog[[#All],[Client_Price_Per_Unit]],0,0)</f>
        <v>21600</v>
      </c>
      <c r="I1882">
        <f>Food_Orders[[#This Row],[Client_Price]]-Food_Orders[[#This Row],[Cost]]</f>
        <v>3600</v>
      </c>
    </row>
    <row r="1883" spans="1:9" x14ac:dyDescent="0.25">
      <c r="A1883">
        <v>81</v>
      </c>
      <c r="B1883" t="s">
        <v>92</v>
      </c>
      <c r="C1883" t="s">
        <v>83</v>
      </c>
      <c r="D1883" t="s">
        <v>93</v>
      </c>
      <c r="E1883" t="s">
        <v>85</v>
      </c>
      <c r="F1883" cm="1">
        <f t="array" ref="F1883">_xlfn.XLOOKUP(Food_Orders[[#This Row],[Event_No]],Event_Master[[#All],[Event_No]],Event_Master[[#All],[Guest_Count]],,0)</f>
        <v>1200</v>
      </c>
      <c r="G1883" cm="1">
        <f t="array" ref="G1883">Food_Orders[[#This Row],[Quantity_Orderd]]*_xlfn.XLOOKUP(Food_Orders[[#This Row],[Food_ID]],Food_Catalog[[#All],[Food_ID]],Food_Catalog[[#All],[Price_Per_Unit]],0,0)</f>
        <v>18000</v>
      </c>
      <c r="H1883" cm="1">
        <f t="array" ref="H1883">Food_Orders[[#This Row],[Quantity_Orderd]]*_xlfn.XLOOKUP(Food_Orders[[#This Row],[Food_ID]],Food_Catalog[[#All],[Food_ID]],Food_Catalog[[#All],[Client_Price_Per_Unit]],0,0)</f>
        <v>21600</v>
      </c>
      <c r="I1883">
        <f>Food_Orders[[#This Row],[Client_Price]]-Food_Orders[[#This Row],[Cost]]</f>
        <v>3600</v>
      </c>
    </row>
    <row r="1884" spans="1:9" x14ac:dyDescent="0.25">
      <c r="A1884">
        <v>81</v>
      </c>
      <c r="B1884" t="s">
        <v>98</v>
      </c>
      <c r="C1884" t="s">
        <v>83</v>
      </c>
      <c r="D1884" t="s">
        <v>99</v>
      </c>
      <c r="E1884" t="s">
        <v>85</v>
      </c>
      <c r="F1884" cm="1">
        <f t="array" ref="F1884">_xlfn.XLOOKUP(Food_Orders[[#This Row],[Event_No]],Event_Master[[#All],[Event_No]],Event_Master[[#All],[Guest_Count]],,0)</f>
        <v>1200</v>
      </c>
      <c r="G1884" cm="1">
        <f t="array" ref="G1884">Food_Orders[[#This Row],[Quantity_Orderd]]*_xlfn.XLOOKUP(Food_Orders[[#This Row],[Food_ID]],Food_Catalog[[#All],[Food_ID]],Food_Catalog[[#All],[Price_Per_Unit]],0,0)</f>
        <v>18000</v>
      </c>
      <c r="H1884" cm="1">
        <f t="array" ref="H1884">Food_Orders[[#This Row],[Quantity_Orderd]]*_xlfn.XLOOKUP(Food_Orders[[#This Row],[Food_ID]],Food_Catalog[[#All],[Food_ID]],Food_Catalog[[#All],[Client_Price_Per_Unit]],0,0)</f>
        <v>21600</v>
      </c>
      <c r="I1884">
        <f>Food_Orders[[#This Row],[Client_Price]]-Food_Orders[[#This Row],[Cost]]</f>
        <v>3600</v>
      </c>
    </row>
    <row r="1885" spans="1:9" x14ac:dyDescent="0.25">
      <c r="A1885">
        <v>81</v>
      </c>
      <c r="B1885" t="s">
        <v>100</v>
      </c>
      <c r="C1885" t="s">
        <v>83</v>
      </c>
      <c r="D1885" t="s">
        <v>101</v>
      </c>
      <c r="E1885" t="s">
        <v>79</v>
      </c>
      <c r="F1885" cm="1">
        <f t="array" ref="F1885">_xlfn.XLOOKUP(Food_Orders[[#This Row],[Event_No]],Event_Master[[#All],[Event_No]],Event_Master[[#All],[Guest_Count]],,0)</f>
        <v>1200</v>
      </c>
      <c r="G1885" cm="1">
        <f t="array" ref="G1885">Food_Orders[[#This Row],[Quantity_Orderd]]*_xlfn.XLOOKUP(Food_Orders[[#This Row],[Food_ID]],Food_Catalog[[#All],[Food_ID]],Food_Catalog[[#All],[Price_Per_Unit]],0,0)</f>
        <v>42000</v>
      </c>
      <c r="H1885" cm="1">
        <f t="array" ref="H1885">Food_Orders[[#This Row],[Quantity_Orderd]]*_xlfn.XLOOKUP(Food_Orders[[#This Row],[Food_ID]],Food_Catalog[[#All],[Food_ID]],Food_Catalog[[#All],[Client_Price_Per_Unit]],0,0)</f>
        <v>50400</v>
      </c>
      <c r="I1885">
        <f>Food_Orders[[#This Row],[Client_Price]]-Food_Orders[[#This Row],[Cost]]</f>
        <v>8400</v>
      </c>
    </row>
    <row r="1886" spans="1:9" x14ac:dyDescent="0.25">
      <c r="A1886">
        <v>81</v>
      </c>
      <c r="B1886" t="s">
        <v>104</v>
      </c>
      <c r="C1886" t="s">
        <v>105</v>
      </c>
      <c r="D1886" t="s">
        <v>106</v>
      </c>
      <c r="E1886" t="s">
        <v>107</v>
      </c>
      <c r="F1886" cm="1">
        <f t="array" ref="F1886">_xlfn.XLOOKUP(Food_Orders[[#This Row],[Event_No]],Event_Master[[#All],[Event_No]],Event_Master[[#All],[Guest_Count]],,0)</f>
        <v>1200</v>
      </c>
      <c r="G1886" cm="1">
        <f t="array" ref="G1886">Food_Orders[[#This Row],[Quantity_Orderd]]*_xlfn.XLOOKUP(Food_Orders[[#This Row],[Food_ID]],Food_Catalog[[#All],[Food_ID]],Food_Catalog[[#All],[Price_Per_Unit]],0,0)</f>
        <v>12000</v>
      </c>
      <c r="H1886" cm="1">
        <f t="array" ref="H1886">Food_Orders[[#This Row],[Quantity_Orderd]]*_xlfn.XLOOKUP(Food_Orders[[#This Row],[Food_ID]],Food_Catalog[[#All],[Food_ID]],Food_Catalog[[#All],[Client_Price_Per_Unit]],0,0)</f>
        <v>14400</v>
      </c>
      <c r="I1886">
        <f>Food_Orders[[#This Row],[Client_Price]]-Food_Orders[[#This Row],[Cost]]</f>
        <v>2400</v>
      </c>
    </row>
    <row r="1887" spans="1:9" x14ac:dyDescent="0.25">
      <c r="A1887">
        <v>81</v>
      </c>
      <c r="B1887" t="s">
        <v>108</v>
      </c>
      <c r="C1887" t="s">
        <v>105</v>
      </c>
      <c r="D1887" t="s">
        <v>109</v>
      </c>
      <c r="E1887" t="s">
        <v>107</v>
      </c>
      <c r="F1887" cm="1">
        <f t="array" ref="F1887">_xlfn.XLOOKUP(Food_Orders[[#This Row],[Event_No]],Event_Master[[#All],[Event_No]],Event_Master[[#All],[Guest_Count]],,0)</f>
        <v>1200</v>
      </c>
      <c r="G1887" cm="1">
        <f t="array" ref="G1887">Food_Orders[[#This Row],[Quantity_Orderd]]*_xlfn.XLOOKUP(Food_Orders[[#This Row],[Food_ID]],Food_Catalog[[#All],[Food_ID]],Food_Catalog[[#All],[Price_Per_Unit]],0,0)</f>
        <v>18000</v>
      </c>
      <c r="H1887" cm="1">
        <f t="array" ref="H1887">Food_Orders[[#This Row],[Quantity_Orderd]]*_xlfn.XLOOKUP(Food_Orders[[#This Row],[Food_ID]],Food_Catalog[[#All],[Food_ID]],Food_Catalog[[#All],[Client_Price_Per_Unit]],0,0)</f>
        <v>21600</v>
      </c>
      <c r="I1887">
        <f>Food_Orders[[#This Row],[Client_Price]]-Food_Orders[[#This Row],[Cost]]</f>
        <v>3600</v>
      </c>
    </row>
    <row r="1888" spans="1:9" x14ac:dyDescent="0.25">
      <c r="A1888">
        <v>81</v>
      </c>
      <c r="B1888" t="s">
        <v>118</v>
      </c>
      <c r="C1888" t="s">
        <v>119</v>
      </c>
      <c r="D1888" t="s">
        <v>120</v>
      </c>
      <c r="E1888" t="s">
        <v>112</v>
      </c>
      <c r="F1888" cm="1">
        <f t="array" ref="F1888">_xlfn.XLOOKUP(Food_Orders[[#This Row],[Event_No]],Event_Master[[#All],[Event_No]],Event_Master[[#All],[Guest_Count]],,0)</f>
        <v>1200</v>
      </c>
      <c r="G1888" cm="1">
        <f t="array" ref="G1888">Food_Orders[[#This Row],[Quantity_Orderd]]*_xlfn.XLOOKUP(Food_Orders[[#This Row],[Food_ID]],Food_Catalog[[#All],[Food_ID]],Food_Catalog[[#All],[Price_Per_Unit]],0,0)</f>
        <v>12000</v>
      </c>
      <c r="H1888" cm="1">
        <f t="array" ref="H1888">Food_Orders[[#This Row],[Quantity_Orderd]]*_xlfn.XLOOKUP(Food_Orders[[#This Row],[Food_ID]],Food_Catalog[[#All],[Food_ID]],Food_Catalog[[#All],[Client_Price_Per_Unit]],0,0)</f>
        <v>14400</v>
      </c>
      <c r="I1888">
        <f>Food_Orders[[#This Row],[Client_Price]]-Food_Orders[[#This Row],[Cost]]</f>
        <v>2400</v>
      </c>
    </row>
    <row r="1889" spans="1:9" x14ac:dyDescent="0.25">
      <c r="A1889">
        <v>81</v>
      </c>
      <c r="B1889" t="s">
        <v>129</v>
      </c>
      <c r="C1889" t="s">
        <v>119</v>
      </c>
      <c r="D1889" t="s">
        <v>130</v>
      </c>
      <c r="E1889" t="s">
        <v>112</v>
      </c>
      <c r="F1889" cm="1">
        <f t="array" ref="F1889">_xlfn.XLOOKUP(Food_Orders[[#This Row],[Event_No]],Event_Master[[#All],[Event_No]],Event_Master[[#All],[Guest_Count]],,0)</f>
        <v>1200</v>
      </c>
      <c r="G1889" cm="1">
        <f t="array" ref="G1889">Food_Orders[[#This Row],[Quantity_Orderd]]*_xlfn.XLOOKUP(Food_Orders[[#This Row],[Food_ID]],Food_Catalog[[#All],[Food_ID]],Food_Catalog[[#All],[Price_Per_Unit]],0,0)</f>
        <v>12000</v>
      </c>
      <c r="H1889" cm="1">
        <f t="array" ref="H1889">Food_Orders[[#This Row],[Quantity_Orderd]]*_xlfn.XLOOKUP(Food_Orders[[#This Row],[Food_ID]],Food_Catalog[[#All],[Food_ID]],Food_Catalog[[#All],[Client_Price_Per_Unit]],0,0)</f>
        <v>14400</v>
      </c>
      <c r="I1889">
        <f>Food_Orders[[#This Row],[Client_Price]]-Food_Orders[[#This Row],[Cost]]</f>
        <v>2400</v>
      </c>
    </row>
    <row r="1890" spans="1:9" x14ac:dyDescent="0.25">
      <c r="A1890">
        <v>81</v>
      </c>
      <c r="B1890" t="s">
        <v>127</v>
      </c>
      <c r="C1890" t="s">
        <v>119</v>
      </c>
      <c r="D1890" t="s">
        <v>128</v>
      </c>
      <c r="E1890" t="s">
        <v>107</v>
      </c>
      <c r="F1890" cm="1">
        <f t="array" ref="F1890">_xlfn.XLOOKUP(Food_Orders[[#This Row],[Event_No]],Event_Master[[#All],[Event_No]],Event_Master[[#All],[Guest_Count]],,0)</f>
        <v>1200</v>
      </c>
      <c r="G1890" cm="1">
        <f t="array" ref="G1890">Food_Orders[[#This Row],[Quantity_Orderd]]*_xlfn.XLOOKUP(Food_Orders[[#This Row],[Food_ID]],Food_Catalog[[#All],[Food_ID]],Food_Catalog[[#All],[Price_Per_Unit]],0,0)</f>
        <v>24000</v>
      </c>
      <c r="H1890" cm="1">
        <f t="array" ref="H1890">Food_Orders[[#This Row],[Quantity_Orderd]]*_xlfn.XLOOKUP(Food_Orders[[#This Row],[Food_ID]],Food_Catalog[[#All],[Food_ID]],Food_Catalog[[#All],[Client_Price_Per_Unit]],0,0)</f>
        <v>28800</v>
      </c>
      <c r="I1890">
        <f>Food_Orders[[#This Row],[Client_Price]]-Food_Orders[[#This Row],[Cost]]</f>
        <v>4800</v>
      </c>
    </row>
    <row r="1891" spans="1:9" x14ac:dyDescent="0.25">
      <c r="A1891">
        <v>81</v>
      </c>
      <c r="B1891" t="s">
        <v>124</v>
      </c>
      <c r="C1891" t="s">
        <v>119</v>
      </c>
      <c r="D1891" t="s">
        <v>125</v>
      </c>
      <c r="E1891" t="s">
        <v>126</v>
      </c>
      <c r="F1891" cm="1">
        <f t="array" ref="F1891">_xlfn.XLOOKUP(Food_Orders[[#This Row],[Event_No]],Event_Master[[#All],[Event_No]],Event_Master[[#All],[Guest_Count]],,0)</f>
        <v>1200</v>
      </c>
      <c r="G1891" cm="1">
        <f t="array" ref="G1891">Food_Orders[[#This Row],[Quantity_Orderd]]*_xlfn.XLOOKUP(Food_Orders[[#This Row],[Food_ID]],Food_Catalog[[#All],[Food_ID]],Food_Catalog[[#All],[Price_Per_Unit]],0,0)</f>
        <v>24000</v>
      </c>
      <c r="H1891" cm="1">
        <f t="array" ref="H1891">Food_Orders[[#This Row],[Quantity_Orderd]]*_xlfn.XLOOKUP(Food_Orders[[#This Row],[Food_ID]],Food_Catalog[[#All],[Food_ID]],Food_Catalog[[#All],[Client_Price_Per_Unit]],0,0)</f>
        <v>28800</v>
      </c>
      <c r="I1891">
        <f>Food_Orders[[#This Row],[Client_Price]]-Food_Orders[[#This Row],[Cost]]</f>
        <v>4800</v>
      </c>
    </row>
    <row r="1892" spans="1:9" x14ac:dyDescent="0.25">
      <c r="A1892">
        <v>82</v>
      </c>
      <c r="B1892" t="s">
        <v>60</v>
      </c>
      <c r="C1892" t="s">
        <v>61</v>
      </c>
      <c r="D1892" t="s">
        <v>62</v>
      </c>
      <c r="E1892" t="s">
        <v>10</v>
      </c>
      <c r="F1892" cm="1">
        <f t="array" ref="F1892">_xlfn.XLOOKUP(Food_Orders[[#This Row],[Event_No]],Event_Master[[#All],[Event_No]],Event_Master[[#All],[Guest_Count]],,0)</f>
        <v>850</v>
      </c>
      <c r="G1892" cm="1">
        <f t="array" ref="G1892">Food_Orders[[#This Row],[Quantity_Orderd]]*_xlfn.XLOOKUP(Food_Orders[[#This Row],[Food_ID]],Food_Catalog[[#All],[Food_ID]],Food_Catalog[[#All],[Price_Per_Unit]],0,0)</f>
        <v>17000</v>
      </c>
      <c r="H1892" cm="1">
        <f t="array" ref="H1892">Food_Orders[[#This Row],[Quantity_Orderd]]*_xlfn.XLOOKUP(Food_Orders[[#This Row],[Food_ID]],Food_Catalog[[#All],[Food_ID]],Food_Catalog[[#All],[Client_Price_Per_Unit]],0,0)</f>
        <v>20400</v>
      </c>
      <c r="I1892">
        <f>Food_Orders[[#This Row],[Client_Price]]-Food_Orders[[#This Row],[Cost]]</f>
        <v>3400</v>
      </c>
    </row>
    <row r="1893" spans="1:9" x14ac:dyDescent="0.25">
      <c r="A1893">
        <v>82</v>
      </c>
      <c r="B1893" t="s">
        <v>73</v>
      </c>
      <c r="C1893" t="s">
        <v>61</v>
      </c>
      <c r="D1893" t="s">
        <v>74</v>
      </c>
      <c r="E1893" t="s">
        <v>10</v>
      </c>
      <c r="F1893" cm="1">
        <f t="array" ref="F1893">_xlfn.XLOOKUP(Food_Orders[[#This Row],[Event_No]],Event_Master[[#All],[Event_No]],Event_Master[[#All],[Guest_Count]],,0)</f>
        <v>850</v>
      </c>
      <c r="G1893" cm="1">
        <f t="array" ref="G1893">Food_Orders[[#This Row],[Quantity_Orderd]]*_xlfn.XLOOKUP(Food_Orders[[#This Row],[Food_ID]],Food_Catalog[[#All],[Food_ID]],Food_Catalog[[#All],[Price_Per_Unit]],0,0)</f>
        <v>34000</v>
      </c>
      <c r="H1893" cm="1">
        <f t="array" ref="H1893">Food_Orders[[#This Row],[Quantity_Orderd]]*_xlfn.XLOOKUP(Food_Orders[[#This Row],[Food_ID]],Food_Catalog[[#All],[Food_ID]],Food_Catalog[[#All],[Client_Price_Per_Unit]],0,0)</f>
        <v>40800</v>
      </c>
      <c r="I1893">
        <f>Food_Orders[[#This Row],[Client_Price]]-Food_Orders[[#This Row],[Cost]]</f>
        <v>6800</v>
      </c>
    </row>
    <row r="1894" spans="1:9" x14ac:dyDescent="0.25">
      <c r="A1894">
        <v>82</v>
      </c>
      <c r="B1894" t="s">
        <v>75</v>
      </c>
      <c r="C1894" t="s">
        <v>61</v>
      </c>
      <c r="D1894" t="s">
        <v>76</v>
      </c>
      <c r="E1894" t="s">
        <v>10</v>
      </c>
      <c r="F1894" cm="1">
        <f t="array" ref="F1894">_xlfn.XLOOKUP(Food_Orders[[#This Row],[Event_No]],Event_Master[[#All],[Event_No]],Event_Master[[#All],[Guest_Count]],,0)</f>
        <v>850</v>
      </c>
      <c r="G1894" cm="1">
        <f t="array" ref="G1894">Food_Orders[[#This Row],[Quantity_Orderd]]*_xlfn.XLOOKUP(Food_Orders[[#This Row],[Food_ID]],Food_Catalog[[#All],[Food_ID]],Food_Catalog[[#All],[Price_Per_Unit]],0,0)</f>
        <v>34000</v>
      </c>
      <c r="H1894" cm="1">
        <f t="array" ref="H1894">Food_Orders[[#This Row],[Quantity_Orderd]]*_xlfn.XLOOKUP(Food_Orders[[#This Row],[Food_ID]],Food_Catalog[[#All],[Food_ID]],Food_Catalog[[#All],[Client_Price_Per_Unit]],0,0)</f>
        <v>40800</v>
      </c>
      <c r="I1894">
        <f>Food_Orders[[#This Row],[Client_Price]]-Food_Orders[[#This Row],[Cost]]</f>
        <v>6800</v>
      </c>
    </row>
    <row r="1895" spans="1:9" x14ac:dyDescent="0.25">
      <c r="A1895">
        <v>82</v>
      </c>
      <c r="B1895" t="s">
        <v>69</v>
      </c>
      <c r="C1895" t="s">
        <v>61</v>
      </c>
      <c r="D1895" t="s">
        <v>70</v>
      </c>
      <c r="E1895" t="s">
        <v>10</v>
      </c>
      <c r="F1895" cm="1">
        <f t="array" ref="F1895">_xlfn.XLOOKUP(Food_Orders[[#This Row],[Event_No]],Event_Master[[#All],[Event_No]],Event_Master[[#All],[Guest_Count]],,0)</f>
        <v>850</v>
      </c>
      <c r="G1895" cm="1">
        <f t="array" ref="G1895">Food_Orders[[#This Row],[Quantity_Orderd]]*_xlfn.XLOOKUP(Food_Orders[[#This Row],[Food_ID]],Food_Catalog[[#All],[Food_ID]],Food_Catalog[[#All],[Price_Per_Unit]],0,0)</f>
        <v>42500</v>
      </c>
      <c r="H1895" cm="1">
        <f t="array" ref="H1895">Food_Orders[[#This Row],[Quantity_Orderd]]*_xlfn.XLOOKUP(Food_Orders[[#This Row],[Food_ID]],Food_Catalog[[#All],[Food_ID]],Food_Catalog[[#All],[Client_Price_Per_Unit]],0,0)</f>
        <v>51000</v>
      </c>
      <c r="I1895">
        <f>Food_Orders[[#This Row],[Client_Price]]-Food_Orders[[#This Row],[Cost]]</f>
        <v>8500</v>
      </c>
    </row>
    <row r="1896" spans="1:9" x14ac:dyDescent="0.25">
      <c r="A1896">
        <v>82</v>
      </c>
      <c r="B1896" t="s">
        <v>58</v>
      </c>
      <c r="C1896" t="s">
        <v>40</v>
      </c>
      <c r="D1896" t="s">
        <v>59</v>
      </c>
      <c r="E1896" t="s">
        <v>10</v>
      </c>
      <c r="F1896" cm="1">
        <f t="array" ref="F1896">_xlfn.XLOOKUP(Food_Orders[[#This Row],[Event_No]],Event_Master[[#All],[Event_No]],Event_Master[[#All],[Guest_Count]],,0)</f>
        <v>850</v>
      </c>
      <c r="G1896" cm="1">
        <f t="array" ref="G1896">Food_Orders[[#This Row],[Quantity_Orderd]]*_xlfn.XLOOKUP(Food_Orders[[#This Row],[Food_ID]],Food_Catalog[[#All],[Food_ID]],Food_Catalog[[#All],[Price_Per_Unit]],0,0)</f>
        <v>76500</v>
      </c>
      <c r="H1896" cm="1">
        <f t="array" ref="H1896">Food_Orders[[#This Row],[Quantity_Orderd]]*_xlfn.XLOOKUP(Food_Orders[[#This Row],[Food_ID]],Food_Catalog[[#All],[Food_ID]],Food_Catalog[[#All],[Client_Price_Per_Unit]],0,0)</f>
        <v>91800</v>
      </c>
      <c r="I1896">
        <f>Food_Orders[[#This Row],[Client_Price]]-Food_Orders[[#This Row],[Cost]]</f>
        <v>15300</v>
      </c>
    </row>
    <row r="1897" spans="1:9" x14ac:dyDescent="0.25">
      <c r="A1897">
        <v>82</v>
      </c>
      <c r="B1897" t="s">
        <v>39</v>
      </c>
      <c r="C1897" t="s">
        <v>40</v>
      </c>
      <c r="D1897" t="s">
        <v>41</v>
      </c>
      <c r="E1897" t="s">
        <v>10</v>
      </c>
      <c r="F1897" cm="1">
        <f t="array" ref="F1897">_xlfn.XLOOKUP(Food_Orders[[#This Row],[Event_No]],Event_Master[[#All],[Event_No]],Event_Master[[#All],[Guest_Count]],,0)</f>
        <v>850</v>
      </c>
      <c r="G1897" cm="1">
        <f t="array" ref="G1897">Food_Orders[[#This Row],[Quantity_Orderd]]*_xlfn.XLOOKUP(Food_Orders[[#This Row],[Food_ID]],Food_Catalog[[#All],[Food_ID]],Food_Catalog[[#All],[Price_Per_Unit]],0,0)</f>
        <v>51000</v>
      </c>
      <c r="H1897" cm="1">
        <f t="array" ref="H1897">Food_Orders[[#This Row],[Quantity_Orderd]]*_xlfn.XLOOKUP(Food_Orders[[#This Row],[Food_ID]],Food_Catalog[[#All],[Food_ID]],Food_Catalog[[#All],[Client_Price_Per_Unit]],0,0)</f>
        <v>61200</v>
      </c>
      <c r="I1897">
        <f>Food_Orders[[#This Row],[Client_Price]]-Food_Orders[[#This Row],[Cost]]</f>
        <v>10200</v>
      </c>
    </row>
    <row r="1898" spans="1:9" x14ac:dyDescent="0.25">
      <c r="A1898">
        <v>82</v>
      </c>
      <c r="B1898" t="s">
        <v>42</v>
      </c>
      <c r="C1898" t="s">
        <v>40</v>
      </c>
      <c r="D1898" t="s">
        <v>43</v>
      </c>
      <c r="E1898" t="s">
        <v>10</v>
      </c>
      <c r="F1898" cm="1">
        <f t="array" ref="F1898">_xlfn.XLOOKUP(Food_Orders[[#This Row],[Event_No]],Event_Master[[#All],[Event_No]],Event_Master[[#All],[Guest_Count]],,0)</f>
        <v>850</v>
      </c>
      <c r="G1898" cm="1">
        <f t="array" ref="G1898">Food_Orders[[#This Row],[Quantity_Orderd]]*_xlfn.XLOOKUP(Food_Orders[[#This Row],[Food_ID]],Food_Catalog[[#All],[Food_ID]],Food_Catalog[[#All],[Price_Per_Unit]],0,0)</f>
        <v>59500</v>
      </c>
      <c r="H1898" cm="1">
        <f t="array" ref="H1898">Food_Orders[[#This Row],[Quantity_Orderd]]*_xlfn.XLOOKUP(Food_Orders[[#This Row],[Food_ID]],Food_Catalog[[#All],[Food_ID]],Food_Catalog[[#All],[Client_Price_Per_Unit]],0,0)</f>
        <v>71400</v>
      </c>
      <c r="I1898">
        <f>Food_Orders[[#This Row],[Client_Price]]-Food_Orders[[#This Row],[Cost]]</f>
        <v>11900</v>
      </c>
    </row>
    <row r="1899" spans="1:9" x14ac:dyDescent="0.25">
      <c r="A1899">
        <v>82</v>
      </c>
      <c r="B1899" t="s">
        <v>46</v>
      </c>
      <c r="C1899" t="s">
        <v>40</v>
      </c>
      <c r="D1899" t="s">
        <v>47</v>
      </c>
      <c r="E1899" t="s">
        <v>10</v>
      </c>
      <c r="F1899" cm="1">
        <f t="array" ref="F1899">_xlfn.XLOOKUP(Food_Orders[[#This Row],[Event_No]],Event_Master[[#All],[Event_No]],Event_Master[[#All],[Guest_Count]],,0)</f>
        <v>850</v>
      </c>
      <c r="G1899" cm="1">
        <f t="array" ref="G1899">Food_Orders[[#This Row],[Quantity_Orderd]]*_xlfn.XLOOKUP(Food_Orders[[#This Row],[Food_ID]],Food_Catalog[[#All],[Food_ID]],Food_Catalog[[#All],[Price_Per_Unit]],0,0)</f>
        <v>76500</v>
      </c>
      <c r="H1899" cm="1">
        <f t="array" ref="H1899">Food_Orders[[#This Row],[Quantity_Orderd]]*_xlfn.XLOOKUP(Food_Orders[[#This Row],[Food_ID]],Food_Catalog[[#All],[Food_ID]],Food_Catalog[[#All],[Client_Price_Per_Unit]],0,0)</f>
        <v>91800</v>
      </c>
      <c r="I1899">
        <f>Food_Orders[[#This Row],[Client_Price]]-Food_Orders[[#This Row],[Cost]]</f>
        <v>15300</v>
      </c>
    </row>
    <row r="1900" spans="1:9" x14ac:dyDescent="0.25">
      <c r="A1900">
        <v>82</v>
      </c>
      <c r="B1900" t="s">
        <v>48</v>
      </c>
      <c r="C1900" t="s">
        <v>40</v>
      </c>
      <c r="D1900" t="s">
        <v>49</v>
      </c>
      <c r="E1900" t="s">
        <v>10</v>
      </c>
      <c r="F1900" cm="1">
        <f t="array" ref="F1900">_xlfn.XLOOKUP(Food_Orders[[#This Row],[Event_No]],Event_Master[[#All],[Event_No]],Event_Master[[#All],[Guest_Count]],,0)</f>
        <v>850</v>
      </c>
      <c r="G1900" cm="1">
        <f t="array" ref="G1900">Food_Orders[[#This Row],[Quantity_Orderd]]*_xlfn.XLOOKUP(Food_Orders[[#This Row],[Food_ID]],Food_Catalog[[#All],[Food_ID]],Food_Catalog[[#All],[Price_Per_Unit]],0,0)</f>
        <v>85000</v>
      </c>
      <c r="H1900" cm="1">
        <f t="array" ref="H1900">Food_Orders[[#This Row],[Quantity_Orderd]]*_xlfn.XLOOKUP(Food_Orders[[#This Row],[Food_ID]],Food_Catalog[[#All],[Food_ID]],Food_Catalog[[#All],[Client_Price_Per_Unit]],0,0)</f>
        <v>102000</v>
      </c>
      <c r="I1900">
        <f>Food_Orders[[#This Row],[Client_Price]]-Food_Orders[[#This Row],[Cost]]</f>
        <v>17000</v>
      </c>
    </row>
    <row r="1901" spans="1:9" x14ac:dyDescent="0.25">
      <c r="A1901">
        <v>82</v>
      </c>
      <c r="B1901" t="s">
        <v>50</v>
      </c>
      <c r="C1901" t="s">
        <v>40</v>
      </c>
      <c r="D1901" t="s">
        <v>51</v>
      </c>
      <c r="E1901" t="s">
        <v>10</v>
      </c>
      <c r="F1901" cm="1">
        <f t="array" ref="F1901">_xlfn.XLOOKUP(Food_Orders[[#This Row],[Event_No]],Event_Master[[#All],[Event_No]],Event_Master[[#All],[Guest_Count]],,0)</f>
        <v>850</v>
      </c>
      <c r="G1901" cm="1">
        <f t="array" ref="G1901">Food_Orders[[#This Row],[Quantity_Orderd]]*_xlfn.XLOOKUP(Food_Orders[[#This Row],[Food_ID]],Food_Catalog[[#All],[Food_ID]],Food_Catalog[[#All],[Price_Per_Unit]],0,0)</f>
        <v>68000</v>
      </c>
      <c r="H1901" cm="1">
        <f t="array" ref="H1901">Food_Orders[[#This Row],[Quantity_Orderd]]*_xlfn.XLOOKUP(Food_Orders[[#This Row],[Food_ID]],Food_Catalog[[#All],[Food_ID]],Food_Catalog[[#All],[Client_Price_Per_Unit]],0,0)</f>
        <v>81600</v>
      </c>
      <c r="I1901">
        <f>Food_Orders[[#This Row],[Client_Price]]-Food_Orders[[#This Row],[Cost]]</f>
        <v>13600</v>
      </c>
    </row>
    <row r="1902" spans="1:9" x14ac:dyDescent="0.25">
      <c r="A1902">
        <v>82</v>
      </c>
      <c r="B1902" t="s">
        <v>52</v>
      </c>
      <c r="C1902" t="s">
        <v>40</v>
      </c>
      <c r="D1902" t="s">
        <v>53</v>
      </c>
      <c r="E1902" t="s">
        <v>10</v>
      </c>
      <c r="F1902" cm="1">
        <f t="array" ref="F1902">_xlfn.XLOOKUP(Food_Orders[[#This Row],[Event_No]],Event_Master[[#All],[Event_No]],Event_Master[[#All],[Guest_Count]],,0)</f>
        <v>850</v>
      </c>
      <c r="G1902" cm="1">
        <f t="array" ref="G1902">Food_Orders[[#This Row],[Quantity_Orderd]]*_xlfn.XLOOKUP(Food_Orders[[#This Row],[Food_ID]],Food_Catalog[[#All],[Food_ID]],Food_Catalog[[#All],[Price_Per_Unit]],0,0)</f>
        <v>85000</v>
      </c>
      <c r="H1902" cm="1">
        <f t="array" ref="H1902">Food_Orders[[#This Row],[Quantity_Orderd]]*_xlfn.XLOOKUP(Food_Orders[[#This Row],[Food_ID]],Food_Catalog[[#All],[Food_ID]],Food_Catalog[[#All],[Client_Price_Per_Unit]],0,0)</f>
        <v>102000</v>
      </c>
      <c r="I1902">
        <f>Food_Orders[[#This Row],[Client_Price]]-Food_Orders[[#This Row],[Cost]]</f>
        <v>17000</v>
      </c>
    </row>
    <row r="1903" spans="1:9" x14ac:dyDescent="0.25">
      <c r="A1903">
        <v>82</v>
      </c>
      <c r="B1903" t="s">
        <v>77</v>
      </c>
      <c r="C1903" t="s">
        <v>61</v>
      </c>
      <c r="D1903" t="s">
        <v>78</v>
      </c>
      <c r="E1903" t="s">
        <v>79</v>
      </c>
      <c r="F1903" cm="1">
        <f t="array" ref="F1903">_xlfn.XLOOKUP(Food_Orders[[#This Row],[Event_No]],Event_Master[[#All],[Event_No]],Event_Master[[#All],[Guest_Count]],,0)</f>
        <v>850</v>
      </c>
      <c r="G1903" cm="1">
        <f t="array" ref="G1903">Food_Orders[[#This Row],[Quantity_Orderd]]*_xlfn.XLOOKUP(Food_Orders[[#This Row],[Food_ID]],Food_Catalog[[#All],[Food_ID]],Food_Catalog[[#All],[Price_Per_Unit]],0,0)</f>
        <v>29750</v>
      </c>
      <c r="H1903" cm="1">
        <f t="array" ref="H1903">Food_Orders[[#This Row],[Quantity_Orderd]]*_xlfn.XLOOKUP(Food_Orders[[#This Row],[Food_ID]],Food_Catalog[[#All],[Food_ID]],Food_Catalog[[#All],[Client_Price_Per_Unit]],0,0)</f>
        <v>35700</v>
      </c>
      <c r="I1903">
        <f>Food_Orders[[#This Row],[Client_Price]]-Food_Orders[[#This Row],[Cost]]</f>
        <v>5950</v>
      </c>
    </row>
    <row r="1904" spans="1:9" x14ac:dyDescent="0.25">
      <c r="A1904">
        <v>82</v>
      </c>
      <c r="B1904" t="s">
        <v>63</v>
      </c>
      <c r="C1904" t="s">
        <v>61</v>
      </c>
      <c r="D1904" t="s">
        <v>64</v>
      </c>
      <c r="E1904" t="s">
        <v>10</v>
      </c>
      <c r="F1904" cm="1">
        <f t="array" ref="F1904">_xlfn.XLOOKUP(Food_Orders[[#This Row],[Event_No]],Event_Master[[#All],[Event_No]],Event_Master[[#All],[Guest_Count]],,0)</f>
        <v>850</v>
      </c>
      <c r="G1904" cm="1">
        <f t="array" ref="G1904">Food_Orders[[#This Row],[Quantity_Orderd]]*_xlfn.XLOOKUP(Food_Orders[[#This Row],[Food_ID]],Food_Catalog[[#All],[Food_ID]],Food_Catalog[[#All],[Price_Per_Unit]],0,0)</f>
        <v>25500</v>
      </c>
      <c r="H1904" cm="1">
        <f t="array" ref="H1904">Food_Orders[[#This Row],[Quantity_Orderd]]*_xlfn.XLOOKUP(Food_Orders[[#This Row],[Food_ID]],Food_Catalog[[#All],[Food_ID]],Food_Catalog[[#All],[Client_Price_Per_Unit]],0,0)</f>
        <v>30600</v>
      </c>
      <c r="I1904">
        <f>Food_Orders[[#This Row],[Client_Price]]-Food_Orders[[#This Row],[Cost]]</f>
        <v>5100</v>
      </c>
    </row>
    <row r="1905" spans="1:9" x14ac:dyDescent="0.25">
      <c r="A1905">
        <v>82</v>
      </c>
      <c r="B1905" t="s">
        <v>71</v>
      </c>
      <c r="C1905" t="s">
        <v>61</v>
      </c>
      <c r="D1905" t="s">
        <v>72</v>
      </c>
      <c r="E1905" t="s">
        <v>10</v>
      </c>
      <c r="F1905" cm="1">
        <f t="array" ref="F1905">_xlfn.XLOOKUP(Food_Orders[[#This Row],[Event_No]],Event_Master[[#All],[Event_No]],Event_Master[[#All],[Guest_Count]],,0)</f>
        <v>850</v>
      </c>
      <c r="G1905" cm="1">
        <f t="array" ref="G1905">Food_Orders[[#This Row],[Quantity_Orderd]]*_xlfn.XLOOKUP(Food_Orders[[#This Row],[Food_ID]],Food_Catalog[[#All],[Food_ID]],Food_Catalog[[#All],[Price_Per_Unit]],0,0)</f>
        <v>21250</v>
      </c>
      <c r="H1905" cm="1">
        <f t="array" ref="H1905">Food_Orders[[#This Row],[Quantity_Orderd]]*_xlfn.XLOOKUP(Food_Orders[[#This Row],[Food_ID]],Food_Catalog[[#All],[Food_ID]],Food_Catalog[[#All],[Client_Price_Per_Unit]],0,0)</f>
        <v>25500</v>
      </c>
      <c r="I1905">
        <f>Food_Orders[[#This Row],[Client_Price]]-Food_Orders[[#This Row],[Cost]]</f>
        <v>4250</v>
      </c>
    </row>
    <row r="1906" spans="1:9" x14ac:dyDescent="0.25">
      <c r="A1906">
        <v>82</v>
      </c>
      <c r="B1906" t="s">
        <v>7</v>
      </c>
      <c r="C1906" t="s">
        <v>8</v>
      </c>
      <c r="D1906" t="s">
        <v>9</v>
      </c>
      <c r="E1906" t="s">
        <v>10</v>
      </c>
      <c r="F1906" cm="1">
        <f t="array" ref="F1906">_xlfn.XLOOKUP(Food_Orders[[#This Row],[Event_No]],Event_Master[[#All],[Event_No]],Event_Master[[#All],[Guest_Count]],,0)</f>
        <v>850</v>
      </c>
      <c r="G1906" cm="1">
        <f t="array" ref="G1906">Food_Orders[[#This Row],[Quantity_Orderd]]*_xlfn.XLOOKUP(Food_Orders[[#This Row],[Food_ID]],Food_Catalog[[#All],[Food_ID]],Food_Catalog[[#All],[Price_Per_Unit]],0,0)</f>
        <v>21250</v>
      </c>
      <c r="H1906" cm="1">
        <f t="array" ref="H1906">Food_Orders[[#This Row],[Quantity_Orderd]]*_xlfn.XLOOKUP(Food_Orders[[#This Row],[Food_ID]],Food_Catalog[[#All],[Food_ID]],Food_Catalog[[#All],[Client_Price_Per_Unit]],0,0)</f>
        <v>25500</v>
      </c>
      <c r="I1906">
        <f>Food_Orders[[#This Row],[Client_Price]]-Food_Orders[[#This Row],[Cost]]</f>
        <v>4250</v>
      </c>
    </row>
    <row r="1907" spans="1:9" x14ac:dyDescent="0.25">
      <c r="A1907">
        <v>82</v>
      </c>
      <c r="B1907" t="s">
        <v>27</v>
      </c>
      <c r="C1907" t="s">
        <v>8</v>
      </c>
      <c r="D1907" t="s">
        <v>28</v>
      </c>
      <c r="E1907" t="s">
        <v>10</v>
      </c>
      <c r="F1907" cm="1">
        <f t="array" ref="F1907">_xlfn.XLOOKUP(Food_Orders[[#This Row],[Event_No]],Event_Master[[#All],[Event_No]],Event_Master[[#All],[Guest_Count]],,0)</f>
        <v>850</v>
      </c>
      <c r="G1907" cm="1">
        <f t="array" ref="G1907">Food_Orders[[#This Row],[Quantity_Orderd]]*_xlfn.XLOOKUP(Food_Orders[[#This Row],[Food_ID]],Food_Catalog[[#All],[Food_ID]],Food_Catalog[[#All],[Price_Per_Unit]],0,0)</f>
        <v>34000</v>
      </c>
      <c r="H1907" cm="1">
        <f t="array" ref="H1907">Food_Orders[[#This Row],[Quantity_Orderd]]*_xlfn.XLOOKUP(Food_Orders[[#This Row],[Food_ID]],Food_Catalog[[#All],[Food_ID]],Food_Catalog[[#All],[Client_Price_Per_Unit]],0,0)</f>
        <v>40800</v>
      </c>
      <c r="I1907">
        <f>Food_Orders[[#This Row],[Client_Price]]-Food_Orders[[#This Row],[Cost]]</f>
        <v>6800</v>
      </c>
    </row>
    <row r="1908" spans="1:9" x14ac:dyDescent="0.25">
      <c r="A1908">
        <v>82</v>
      </c>
      <c r="B1908" t="s">
        <v>29</v>
      </c>
      <c r="C1908" t="s">
        <v>8</v>
      </c>
      <c r="D1908" t="s">
        <v>30</v>
      </c>
      <c r="E1908" t="s">
        <v>10</v>
      </c>
      <c r="F1908" cm="1">
        <f t="array" ref="F1908">_xlfn.XLOOKUP(Food_Orders[[#This Row],[Event_No]],Event_Master[[#All],[Event_No]],Event_Master[[#All],[Guest_Count]],,0)</f>
        <v>850</v>
      </c>
      <c r="G1908" cm="1">
        <f t="array" ref="G1908">Food_Orders[[#This Row],[Quantity_Orderd]]*_xlfn.XLOOKUP(Food_Orders[[#This Row],[Food_ID]],Food_Catalog[[#All],[Food_ID]],Food_Catalog[[#All],[Price_Per_Unit]],0,0)</f>
        <v>25500</v>
      </c>
      <c r="H1908" cm="1">
        <f t="array" ref="H1908">Food_Orders[[#This Row],[Quantity_Orderd]]*_xlfn.XLOOKUP(Food_Orders[[#This Row],[Food_ID]],Food_Catalog[[#All],[Food_ID]],Food_Catalog[[#All],[Client_Price_Per_Unit]],0,0)</f>
        <v>30600</v>
      </c>
      <c r="I1908">
        <f>Food_Orders[[#This Row],[Client_Price]]-Food_Orders[[#This Row],[Cost]]</f>
        <v>5100</v>
      </c>
    </row>
    <row r="1909" spans="1:9" x14ac:dyDescent="0.25">
      <c r="A1909">
        <v>82</v>
      </c>
      <c r="B1909" t="s">
        <v>37</v>
      </c>
      <c r="C1909" t="s">
        <v>8</v>
      </c>
      <c r="D1909" t="s">
        <v>38</v>
      </c>
      <c r="E1909" t="s">
        <v>10</v>
      </c>
      <c r="F1909" cm="1">
        <f t="array" ref="F1909">_xlfn.XLOOKUP(Food_Orders[[#This Row],[Event_No]],Event_Master[[#All],[Event_No]],Event_Master[[#All],[Guest_Count]],,0)</f>
        <v>850</v>
      </c>
      <c r="G1909" cm="1">
        <f t="array" ref="G1909">Food_Orders[[#This Row],[Quantity_Orderd]]*_xlfn.XLOOKUP(Food_Orders[[#This Row],[Food_ID]],Food_Catalog[[#All],[Food_ID]],Food_Catalog[[#All],[Price_Per_Unit]],0,0)</f>
        <v>21250</v>
      </c>
      <c r="H1909" cm="1">
        <f t="array" ref="H1909">Food_Orders[[#This Row],[Quantity_Orderd]]*_xlfn.XLOOKUP(Food_Orders[[#This Row],[Food_ID]],Food_Catalog[[#All],[Food_ID]],Food_Catalog[[#All],[Client_Price_Per_Unit]],0,0)</f>
        <v>25500</v>
      </c>
      <c r="I1909">
        <f>Food_Orders[[#This Row],[Client_Price]]-Food_Orders[[#This Row],[Cost]]</f>
        <v>4250</v>
      </c>
    </row>
    <row r="1910" spans="1:9" x14ac:dyDescent="0.25">
      <c r="A1910">
        <v>82</v>
      </c>
      <c r="B1910" t="s">
        <v>82</v>
      </c>
      <c r="C1910" t="s">
        <v>83</v>
      </c>
      <c r="D1910" t="s">
        <v>84</v>
      </c>
      <c r="E1910" t="s">
        <v>85</v>
      </c>
      <c r="F1910" cm="1">
        <f t="array" ref="F1910">_xlfn.XLOOKUP(Food_Orders[[#This Row],[Event_No]],Event_Master[[#All],[Event_No]],Event_Master[[#All],[Guest_Count]],,0)</f>
        <v>850</v>
      </c>
      <c r="G1910" cm="1">
        <f t="array" ref="G1910">Food_Orders[[#This Row],[Quantity_Orderd]]*_xlfn.XLOOKUP(Food_Orders[[#This Row],[Food_ID]],Food_Catalog[[#All],[Food_ID]],Food_Catalog[[#All],[Price_Per_Unit]],0,0)</f>
        <v>17000</v>
      </c>
      <c r="H1910" cm="1">
        <f t="array" ref="H1910">Food_Orders[[#This Row],[Quantity_Orderd]]*_xlfn.XLOOKUP(Food_Orders[[#This Row],[Food_ID]],Food_Catalog[[#All],[Food_ID]],Food_Catalog[[#All],[Client_Price_Per_Unit]],0,0)</f>
        <v>20400</v>
      </c>
      <c r="I1910">
        <f>Food_Orders[[#This Row],[Client_Price]]-Food_Orders[[#This Row],[Cost]]</f>
        <v>3400</v>
      </c>
    </row>
    <row r="1911" spans="1:9" x14ac:dyDescent="0.25">
      <c r="A1911">
        <v>82</v>
      </c>
      <c r="B1911" t="s">
        <v>86</v>
      </c>
      <c r="C1911" t="s">
        <v>83</v>
      </c>
      <c r="D1911" t="s">
        <v>87</v>
      </c>
      <c r="E1911" t="s">
        <v>85</v>
      </c>
      <c r="F1911" cm="1">
        <f t="array" ref="F1911">_xlfn.XLOOKUP(Food_Orders[[#This Row],[Event_No]],Event_Master[[#All],[Event_No]],Event_Master[[#All],[Guest_Count]],,0)</f>
        <v>850</v>
      </c>
      <c r="G1911" cm="1">
        <f t="array" ref="G1911">Food_Orders[[#This Row],[Quantity_Orderd]]*_xlfn.XLOOKUP(Food_Orders[[#This Row],[Food_ID]],Food_Catalog[[#All],[Food_ID]],Food_Catalog[[#All],[Price_Per_Unit]],0,0)</f>
        <v>17000</v>
      </c>
      <c r="H1911" cm="1">
        <f t="array" ref="H1911">Food_Orders[[#This Row],[Quantity_Orderd]]*_xlfn.XLOOKUP(Food_Orders[[#This Row],[Food_ID]],Food_Catalog[[#All],[Food_ID]],Food_Catalog[[#All],[Client_Price_Per_Unit]],0,0)</f>
        <v>20400</v>
      </c>
      <c r="I1911">
        <f>Food_Orders[[#This Row],[Client_Price]]-Food_Orders[[#This Row],[Cost]]</f>
        <v>3400</v>
      </c>
    </row>
    <row r="1912" spans="1:9" x14ac:dyDescent="0.25">
      <c r="A1912">
        <v>82</v>
      </c>
      <c r="B1912" t="s">
        <v>96</v>
      </c>
      <c r="C1912" t="s">
        <v>83</v>
      </c>
      <c r="D1912" t="s">
        <v>97</v>
      </c>
      <c r="E1912" t="s">
        <v>79</v>
      </c>
      <c r="F1912" cm="1">
        <f t="array" ref="F1912">_xlfn.XLOOKUP(Food_Orders[[#This Row],[Event_No]],Event_Master[[#All],[Event_No]],Event_Master[[#All],[Guest_Count]],,0)</f>
        <v>850</v>
      </c>
      <c r="G1912" cm="1">
        <f t="array" ref="G1912">Food_Orders[[#This Row],[Quantity_Orderd]]*_xlfn.XLOOKUP(Food_Orders[[#This Row],[Food_ID]],Food_Catalog[[#All],[Food_ID]],Food_Catalog[[#All],[Price_Per_Unit]],0,0)</f>
        <v>25500</v>
      </c>
      <c r="H1912" cm="1">
        <f t="array" ref="H1912">Food_Orders[[#This Row],[Quantity_Orderd]]*_xlfn.XLOOKUP(Food_Orders[[#This Row],[Food_ID]],Food_Catalog[[#All],[Food_ID]],Food_Catalog[[#All],[Client_Price_Per_Unit]],0,0)</f>
        <v>30600</v>
      </c>
      <c r="I1912">
        <f>Food_Orders[[#This Row],[Client_Price]]-Food_Orders[[#This Row],[Cost]]</f>
        <v>5100</v>
      </c>
    </row>
    <row r="1913" spans="1:9" x14ac:dyDescent="0.25">
      <c r="A1913">
        <v>82</v>
      </c>
      <c r="B1913" t="s">
        <v>88</v>
      </c>
      <c r="C1913" t="s">
        <v>83</v>
      </c>
      <c r="D1913" t="s">
        <v>89</v>
      </c>
      <c r="E1913" t="s">
        <v>85</v>
      </c>
      <c r="F1913" cm="1">
        <f t="array" ref="F1913">_xlfn.XLOOKUP(Food_Orders[[#This Row],[Event_No]],Event_Master[[#All],[Event_No]],Event_Master[[#All],[Guest_Count]],,0)</f>
        <v>850</v>
      </c>
      <c r="G1913" cm="1">
        <f t="array" ref="G1913">Food_Orders[[#This Row],[Quantity_Orderd]]*_xlfn.XLOOKUP(Food_Orders[[#This Row],[Food_ID]],Food_Catalog[[#All],[Food_ID]],Food_Catalog[[#All],[Price_Per_Unit]],0,0)</f>
        <v>12750</v>
      </c>
      <c r="H1913" cm="1">
        <f t="array" ref="H1913">Food_Orders[[#This Row],[Quantity_Orderd]]*_xlfn.XLOOKUP(Food_Orders[[#This Row],[Food_ID]],Food_Catalog[[#All],[Food_ID]],Food_Catalog[[#All],[Client_Price_Per_Unit]],0,0)</f>
        <v>15300</v>
      </c>
      <c r="I1913">
        <f>Food_Orders[[#This Row],[Client_Price]]-Food_Orders[[#This Row],[Cost]]</f>
        <v>2550</v>
      </c>
    </row>
    <row r="1914" spans="1:9" x14ac:dyDescent="0.25">
      <c r="A1914">
        <v>82</v>
      </c>
      <c r="B1914" t="s">
        <v>92</v>
      </c>
      <c r="C1914" t="s">
        <v>83</v>
      </c>
      <c r="D1914" t="s">
        <v>93</v>
      </c>
      <c r="E1914" t="s">
        <v>85</v>
      </c>
      <c r="F1914" cm="1">
        <f t="array" ref="F1914">_xlfn.XLOOKUP(Food_Orders[[#This Row],[Event_No]],Event_Master[[#All],[Event_No]],Event_Master[[#All],[Guest_Count]],,0)</f>
        <v>850</v>
      </c>
      <c r="G1914" cm="1">
        <f t="array" ref="G1914">Food_Orders[[#This Row],[Quantity_Orderd]]*_xlfn.XLOOKUP(Food_Orders[[#This Row],[Food_ID]],Food_Catalog[[#All],[Food_ID]],Food_Catalog[[#All],[Price_Per_Unit]],0,0)</f>
        <v>12750</v>
      </c>
      <c r="H1914" cm="1">
        <f t="array" ref="H1914">Food_Orders[[#This Row],[Quantity_Orderd]]*_xlfn.XLOOKUP(Food_Orders[[#This Row],[Food_ID]],Food_Catalog[[#All],[Food_ID]],Food_Catalog[[#All],[Client_Price_Per_Unit]],0,0)</f>
        <v>15300</v>
      </c>
      <c r="I1914">
        <f>Food_Orders[[#This Row],[Client_Price]]-Food_Orders[[#This Row],[Cost]]</f>
        <v>2550</v>
      </c>
    </row>
    <row r="1915" spans="1:9" x14ac:dyDescent="0.25">
      <c r="A1915">
        <v>82</v>
      </c>
      <c r="B1915" t="s">
        <v>98</v>
      </c>
      <c r="C1915" t="s">
        <v>83</v>
      </c>
      <c r="D1915" t="s">
        <v>99</v>
      </c>
      <c r="E1915" t="s">
        <v>85</v>
      </c>
      <c r="F1915" cm="1">
        <f t="array" ref="F1915">_xlfn.XLOOKUP(Food_Orders[[#This Row],[Event_No]],Event_Master[[#All],[Event_No]],Event_Master[[#All],[Guest_Count]],,0)</f>
        <v>850</v>
      </c>
      <c r="G1915" cm="1">
        <f t="array" ref="G1915">Food_Orders[[#This Row],[Quantity_Orderd]]*_xlfn.XLOOKUP(Food_Orders[[#This Row],[Food_ID]],Food_Catalog[[#All],[Food_ID]],Food_Catalog[[#All],[Price_Per_Unit]],0,0)</f>
        <v>12750</v>
      </c>
      <c r="H1915" cm="1">
        <f t="array" ref="H1915">Food_Orders[[#This Row],[Quantity_Orderd]]*_xlfn.XLOOKUP(Food_Orders[[#This Row],[Food_ID]],Food_Catalog[[#All],[Food_ID]],Food_Catalog[[#All],[Client_Price_Per_Unit]],0,0)</f>
        <v>15300</v>
      </c>
      <c r="I1915">
        <f>Food_Orders[[#This Row],[Client_Price]]-Food_Orders[[#This Row],[Cost]]</f>
        <v>2550</v>
      </c>
    </row>
    <row r="1916" spans="1:9" x14ac:dyDescent="0.25">
      <c r="A1916">
        <v>82</v>
      </c>
      <c r="B1916" t="s">
        <v>100</v>
      </c>
      <c r="C1916" t="s">
        <v>83</v>
      </c>
      <c r="D1916" t="s">
        <v>101</v>
      </c>
      <c r="E1916" t="s">
        <v>79</v>
      </c>
      <c r="F1916" cm="1">
        <f t="array" ref="F1916">_xlfn.XLOOKUP(Food_Orders[[#This Row],[Event_No]],Event_Master[[#All],[Event_No]],Event_Master[[#All],[Guest_Count]],,0)</f>
        <v>850</v>
      </c>
      <c r="G1916" cm="1">
        <f t="array" ref="G1916">Food_Orders[[#This Row],[Quantity_Orderd]]*_xlfn.XLOOKUP(Food_Orders[[#This Row],[Food_ID]],Food_Catalog[[#All],[Food_ID]],Food_Catalog[[#All],[Price_Per_Unit]],0,0)</f>
        <v>29750</v>
      </c>
      <c r="H1916" cm="1">
        <f t="array" ref="H1916">Food_Orders[[#This Row],[Quantity_Orderd]]*_xlfn.XLOOKUP(Food_Orders[[#This Row],[Food_ID]],Food_Catalog[[#All],[Food_ID]],Food_Catalog[[#All],[Client_Price_Per_Unit]],0,0)</f>
        <v>35700</v>
      </c>
      <c r="I1916">
        <f>Food_Orders[[#This Row],[Client_Price]]-Food_Orders[[#This Row],[Cost]]</f>
        <v>5950</v>
      </c>
    </row>
    <row r="1917" spans="1:9" x14ac:dyDescent="0.25">
      <c r="A1917">
        <v>82</v>
      </c>
      <c r="B1917" t="s">
        <v>104</v>
      </c>
      <c r="C1917" t="s">
        <v>105</v>
      </c>
      <c r="D1917" t="s">
        <v>106</v>
      </c>
      <c r="E1917" t="s">
        <v>107</v>
      </c>
      <c r="F1917" cm="1">
        <f t="array" ref="F1917">_xlfn.XLOOKUP(Food_Orders[[#This Row],[Event_No]],Event_Master[[#All],[Event_No]],Event_Master[[#All],[Guest_Count]],,0)</f>
        <v>850</v>
      </c>
      <c r="G1917" cm="1">
        <f t="array" ref="G1917">Food_Orders[[#This Row],[Quantity_Orderd]]*_xlfn.XLOOKUP(Food_Orders[[#This Row],[Food_ID]],Food_Catalog[[#All],[Food_ID]],Food_Catalog[[#All],[Price_Per_Unit]],0,0)</f>
        <v>8500</v>
      </c>
      <c r="H1917" cm="1">
        <f t="array" ref="H1917">Food_Orders[[#This Row],[Quantity_Orderd]]*_xlfn.XLOOKUP(Food_Orders[[#This Row],[Food_ID]],Food_Catalog[[#All],[Food_ID]],Food_Catalog[[#All],[Client_Price_Per_Unit]],0,0)</f>
        <v>10200</v>
      </c>
      <c r="I1917">
        <f>Food_Orders[[#This Row],[Client_Price]]-Food_Orders[[#This Row],[Cost]]</f>
        <v>1700</v>
      </c>
    </row>
    <row r="1918" spans="1:9" x14ac:dyDescent="0.25">
      <c r="A1918">
        <v>82</v>
      </c>
      <c r="B1918" t="s">
        <v>108</v>
      </c>
      <c r="C1918" t="s">
        <v>105</v>
      </c>
      <c r="D1918" t="s">
        <v>109</v>
      </c>
      <c r="E1918" t="s">
        <v>107</v>
      </c>
      <c r="F1918" cm="1">
        <f t="array" ref="F1918">_xlfn.XLOOKUP(Food_Orders[[#This Row],[Event_No]],Event_Master[[#All],[Event_No]],Event_Master[[#All],[Guest_Count]],,0)</f>
        <v>850</v>
      </c>
      <c r="G1918" cm="1">
        <f t="array" ref="G1918">Food_Orders[[#This Row],[Quantity_Orderd]]*_xlfn.XLOOKUP(Food_Orders[[#This Row],[Food_ID]],Food_Catalog[[#All],[Food_ID]],Food_Catalog[[#All],[Price_Per_Unit]],0,0)</f>
        <v>12750</v>
      </c>
      <c r="H1918" cm="1">
        <f t="array" ref="H1918">Food_Orders[[#This Row],[Quantity_Orderd]]*_xlfn.XLOOKUP(Food_Orders[[#This Row],[Food_ID]],Food_Catalog[[#All],[Food_ID]],Food_Catalog[[#All],[Client_Price_Per_Unit]],0,0)</f>
        <v>15300</v>
      </c>
      <c r="I1918">
        <f>Food_Orders[[#This Row],[Client_Price]]-Food_Orders[[#This Row],[Cost]]</f>
        <v>2550</v>
      </c>
    </row>
    <row r="1919" spans="1:9" x14ac:dyDescent="0.25">
      <c r="A1919">
        <v>82</v>
      </c>
      <c r="B1919" t="s">
        <v>118</v>
      </c>
      <c r="C1919" t="s">
        <v>119</v>
      </c>
      <c r="D1919" t="s">
        <v>120</v>
      </c>
      <c r="E1919" t="s">
        <v>112</v>
      </c>
      <c r="F1919" cm="1">
        <f t="array" ref="F1919">_xlfn.XLOOKUP(Food_Orders[[#This Row],[Event_No]],Event_Master[[#All],[Event_No]],Event_Master[[#All],[Guest_Count]],,0)</f>
        <v>850</v>
      </c>
      <c r="G1919" cm="1">
        <f t="array" ref="G1919">Food_Orders[[#This Row],[Quantity_Orderd]]*_xlfn.XLOOKUP(Food_Orders[[#This Row],[Food_ID]],Food_Catalog[[#All],[Food_ID]],Food_Catalog[[#All],[Price_Per_Unit]],0,0)</f>
        <v>8500</v>
      </c>
      <c r="H1919" cm="1">
        <f t="array" ref="H1919">Food_Orders[[#This Row],[Quantity_Orderd]]*_xlfn.XLOOKUP(Food_Orders[[#This Row],[Food_ID]],Food_Catalog[[#All],[Food_ID]],Food_Catalog[[#All],[Client_Price_Per_Unit]],0,0)</f>
        <v>10200</v>
      </c>
      <c r="I1919">
        <f>Food_Orders[[#This Row],[Client_Price]]-Food_Orders[[#This Row],[Cost]]</f>
        <v>1700</v>
      </c>
    </row>
    <row r="1920" spans="1:9" x14ac:dyDescent="0.25">
      <c r="A1920">
        <v>82</v>
      </c>
      <c r="B1920" t="s">
        <v>129</v>
      </c>
      <c r="C1920" t="s">
        <v>119</v>
      </c>
      <c r="D1920" t="s">
        <v>130</v>
      </c>
      <c r="E1920" t="s">
        <v>112</v>
      </c>
      <c r="F1920" cm="1">
        <f t="array" ref="F1920">_xlfn.XLOOKUP(Food_Orders[[#This Row],[Event_No]],Event_Master[[#All],[Event_No]],Event_Master[[#All],[Guest_Count]],,0)</f>
        <v>850</v>
      </c>
      <c r="G1920" cm="1">
        <f t="array" ref="G1920">Food_Orders[[#This Row],[Quantity_Orderd]]*_xlfn.XLOOKUP(Food_Orders[[#This Row],[Food_ID]],Food_Catalog[[#All],[Food_ID]],Food_Catalog[[#All],[Price_Per_Unit]],0,0)</f>
        <v>8500</v>
      </c>
      <c r="H1920" cm="1">
        <f t="array" ref="H1920">Food_Orders[[#This Row],[Quantity_Orderd]]*_xlfn.XLOOKUP(Food_Orders[[#This Row],[Food_ID]],Food_Catalog[[#All],[Food_ID]],Food_Catalog[[#All],[Client_Price_Per_Unit]],0,0)</f>
        <v>10200</v>
      </c>
      <c r="I1920">
        <f>Food_Orders[[#This Row],[Client_Price]]-Food_Orders[[#This Row],[Cost]]</f>
        <v>1700</v>
      </c>
    </row>
    <row r="1921" spans="1:9" x14ac:dyDescent="0.25">
      <c r="A1921">
        <v>82</v>
      </c>
      <c r="B1921" t="s">
        <v>127</v>
      </c>
      <c r="C1921" t="s">
        <v>119</v>
      </c>
      <c r="D1921" t="s">
        <v>128</v>
      </c>
      <c r="E1921" t="s">
        <v>107</v>
      </c>
      <c r="F1921" cm="1">
        <f t="array" ref="F1921">_xlfn.XLOOKUP(Food_Orders[[#This Row],[Event_No]],Event_Master[[#All],[Event_No]],Event_Master[[#All],[Guest_Count]],,0)</f>
        <v>850</v>
      </c>
      <c r="G1921" cm="1">
        <f t="array" ref="G1921">Food_Orders[[#This Row],[Quantity_Orderd]]*_xlfn.XLOOKUP(Food_Orders[[#This Row],[Food_ID]],Food_Catalog[[#All],[Food_ID]],Food_Catalog[[#All],[Price_Per_Unit]],0,0)</f>
        <v>17000</v>
      </c>
      <c r="H1921" cm="1">
        <f t="array" ref="H1921">Food_Orders[[#This Row],[Quantity_Orderd]]*_xlfn.XLOOKUP(Food_Orders[[#This Row],[Food_ID]],Food_Catalog[[#All],[Food_ID]],Food_Catalog[[#All],[Client_Price_Per_Unit]],0,0)</f>
        <v>20400</v>
      </c>
      <c r="I1921">
        <f>Food_Orders[[#This Row],[Client_Price]]-Food_Orders[[#This Row],[Cost]]</f>
        <v>3400</v>
      </c>
    </row>
    <row r="1922" spans="1:9" x14ac:dyDescent="0.25">
      <c r="A1922">
        <v>82</v>
      </c>
      <c r="B1922" t="s">
        <v>124</v>
      </c>
      <c r="C1922" t="s">
        <v>119</v>
      </c>
      <c r="D1922" t="s">
        <v>125</v>
      </c>
      <c r="E1922" t="s">
        <v>126</v>
      </c>
      <c r="F1922" cm="1">
        <f t="array" ref="F1922">_xlfn.XLOOKUP(Food_Orders[[#This Row],[Event_No]],Event_Master[[#All],[Event_No]],Event_Master[[#All],[Guest_Count]],,0)</f>
        <v>850</v>
      </c>
      <c r="G1922" cm="1">
        <f t="array" ref="G1922">Food_Orders[[#This Row],[Quantity_Orderd]]*_xlfn.XLOOKUP(Food_Orders[[#This Row],[Food_ID]],Food_Catalog[[#All],[Food_ID]],Food_Catalog[[#All],[Price_Per_Unit]],0,0)</f>
        <v>17000</v>
      </c>
      <c r="H1922" cm="1">
        <f t="array" ref="H1922">Food_Orders[[#This Row],[Quantity_Orderd]]*_xlfn.XLOOKUP(Food_Orders[[#This Row],[Food_ID]],Food_Catalog[[#All],[Food_ID]],Food_Catalog[[#All],[Client_Price_Per_Unit]],0,0)</f>
        <v>20400</v>
      </c>
      <c r="I1922">
        <f>Food_Orders[[#This Row],[Client_Price]]-Food_Orders[[#This Row],[Cost]]</f>
        <v>3400</v>
      </c>
    </row>
    <row r="1923" spans="1:9" x14ac:dyDescent="0.25">
      <c r="A1923">
        <v>83</v>
      </c>
      <c r="B1923" t="s">
        <v>73</v>
      </c>
      <c r="C1923" t="s">
        <v>61</v>
      </c>
      <c r="D1923" t="s">
        <v>74</v>
      </c>
      <c r="E1923" t="s">
        <v>10</v>
      </c>
      <c r="F1923" cm="1">
        <f t="array" ref="F1923">_xlfn.XLOOKUP(Food_Orders[[#This Row],[Event_No]],Event_Master[[#All],[Event_No]],Event_Master[[#All],[Guest_Count]],,0)</f>
        <v>500</v>
      </c>
      <c r="G1923" cm="1">
        <f t="array" ref="G1923">Food_Orders[[#This Row],[Quantity_Orderd]]*_xlfn.XLOOKUP(Food_Orders[[#This Row],[Food_ID]],Food_Catalog[[#All],[Food_ID]],Food_Catalog[[#All],[Price_Per_Unit]],0,0)</f>
        <v>20000</v>
      </c>
      <c r="H1923" cm="1">
        <f t="array" ref="H1923">Food_Orders[[#This Row],[Quantity_Orderd]]*_xlfn.XLOOKUP(Food_Orders[[#This Row],[Food_ID]],Food_Catalog[[#All],[Food_ID]],Food_Catalog[[#All],[Client_Price_Per_Unit]],0,0)</f>
        <v>24000</v>
      </c>
      <c r="I1923">
        <f>Food_Orders[[#This Row],[Client_Price]]-Food_Orders[[#This Row],[Cost]]</f>
        <v>4000</v>
      </c>
    </row>
    <row r="1924" spans="1:9" x14ac:dyDescent="0.25">
      <c r="A1924">
        <v>83</v>
      </c>
      <c r="B1924" t="s">
        <v>75</v>
      </c>
      <c r="C1924" t="s">
        <v>61</v>
      </c>
      <c r="D1924" t="s">
        <v>76</v>
      </c>
      <c r="E1924" t="s">
        <v>10</v>
      </c>
      <c r="F1924" cm="1">
        <f t="array" ref="F1924">_xlfn.XLOOKUP(Food_Orders[[#This Row],[Event_No]],Event_Master[[#All],[Event_No]],Event_Master[[#All],[Guest_Count]],,0)</f>
        <v>500</v>
      </c>
      <c r="G1924" cm="1">
        <f t="array" ref="G1924">Food_Orders[[#This Row],[Quantity_Orderd]]*_xlfn.XLOOKUP(Food_Orders[[#This Row],[Food_ID]],Food_Catalog[[#All],[Food_ID]],Food_Catalog[[#All],[Price_Per_Unit]],0,0)</f>
        <v>20000</v>
      </c>
      <c r="H1924" cm="1">
        <f t="array" ref="H1924">Food_Orders[[#This Row],[Quantity_Orderd]]*_xlfn.XLOOKUP(Food_Orders[[#This Row],[Food_ID]],Food_Catalog[[#All],[Food_ID]],Food_Catalog[[#All],[Client_Price_Per_Unit]],0,0)</f>
        <v>24000</v>
      </c>
      <c r="I1924">
        <f>Food_Orders[[#This Row],[Client_Price]]-Food_Orders[[#This Row],[Cost]]</f>
        <v>4000</v>
      </c>
    </row>
    <row r="1925" spans="1:9" x14ac:dyDescent="0.25">
      <c r="A1925">
        <v>83</v>
      </c>
      <c r="B1925" t="s">
        <v>69</v>
      </c>
      <c r="C1925" t="s">
        <v>61</v>
      </c>
      <c r="D1925" t="s">
        <v>70</v>
      </c>
      <c r="E1925" t="s">
        <v>10</v>
      </c>
      <c r="F1925" cm="1">
        <f t="array" ref="F1925">_xlfn.XLOOKUP(Food_Orders[[#This Row],[Event_No]],Event_Master[[#All],[Event_No]],Event_Master[[#All],[Guest_Count]],,0)</f>
        <v>500</v>
      </c>
      <c r="G1925" cm="1">
        <f t="array" ref="G1925">Food_Orders[[#This Row],[Quantity_Orderd]]*_xlfn.XLOOKUP(Food_Orders[[#This Row],[Food_ID]],Food_Catalog[[#All],[Food_ID]],Food_Catalog[[#All],[Price_Per_Unit]],0,0)</f>
        <v>25000</v>
      </c>
      <c r="H1925" cm="1">
        <f t="array" ref="H1925">Food_Orders[[#This Row],[Quantity_Orderd]]*_xlfn.XLOOKUP(Food_Orders[[#This Row],[Food_ID]],Food_Catalog[[#All],[Food_ID]],Food_Catalog[[#All],[Client_Price_Per_Unit]],0,0)</f>
        <v>30000</v>
      </c>
      <c r="I1925">
        <f>Food_Orders[[#This Row],[Client_Price]]-Food_Orders[[#This Row],[Cost]]</f>
        <v>5000</v>
      </c>
    </row>
    <row r="1926" spans="1:9" x14ac:dyDescent="0.25">
      <c r="A1926">
        <v>83</v>
      </c>
      <c r="B1926" t="s">
        <v>58</v>
      </c>
      <c r="C1926" t="s">
        <v>40</v>
      </c>
      <c r="D1926" t="s">
        <v>59</v>
      </c>
      <c r="E1926" t="s">
        <v>10</v>
      </c>
      <c r="F1926" cm="1">
        <f t="array" ref="F1926">_xlfn.XLOOKUP(Food_Orders[[#This Row],[Event_No]],Event_Master[[#All],[Event_No]],Event_Master[[#All],[Guest_Count]],,0)</f>
        <v>500</v>
      </c>
      <c r="G1926" cm="1">
        <f t="array" ref="G1926">Food_Orders[[#This Row],[Quantity_Orderd]]*_xlfn.XLOOKUP(Food_Orders[[#This Row],[Food_ID]],Food_Catalog[[#All],[Food_ID]],Food_Catalog[[#All],[Price_Per_Unit]],0,0)</f>
        <v>45000</v>
      </c>
      <c r="H1926" cm="1">
        <f t="array" ref="H1926">Food_Orders[[#This Row],[Quantity_Orderd]]*_xlfn.XLOOKUP(Food_Orders[[#This Row],[Food_ID]],Food_Catalog[[#All],[Food_ID]],Food_Catalog[[#All],[Client_Price_Per_Unit]],0,0)</f>
        <v>54000</v>
      </c>
      <c r="I1926">
        <f>Food_Orders[[#This Row],[Client_Price]]-Food_Orders[[#This Row],[Cost]]</f>
        <v>9000</v>
      </c>
    </row>
    <row r="1927" spans="1:9" x14ac:dyDescent="0.25">
      <c r="A1927">
        <v>83</v>
      </c>
      <c r="B1927" t="s">
        <v>39</v>
      </c>
      <c r="C1927" t="s">
        <v>40</v>
      </c>
      <c r="D1927" t="s">
        <v>41</v>
      </c>
      <c r="E1927" t="s">
        <v>10</v>
      </c>
      <c r="F1927" cm="1">
        <f t="array" ref="F1927">_xlfn.XLOOKUP(Food_Orders[[#This Row],[Event_No]],Event_Master[[#All],[Event_No]],Event_Master[[#All],[Guest_Count]],,0)</f>
        <v>500</v>
      </c>
      <c r="G1927" cm="1">
        <f t="array" ref="G1927">Food_Orders[[#This Row],[Quantity_Orderd]]*_xlfn.XLOOKUP(Food_Orders[[#This Row],[Food_ID]],Food_Catalog[[#All],[Food_ID]],Food_Catalog[[#All],[Price_Per_Unit]],0,0)</f>
        <v>30000</v>
      </c>
      <c r="H1927" cm="1">
        <f t="array" ref="H1927">Food_Orders[[#This Row],[Quantity_Orderd]]*_xlfn.XLOOKUP(Food_Orders[[#This Row],[Food_ID]],Food_Catalog[[#All],[Food_ID]],Food_Catalog[[#All],[Client_Price_Per_Unit]],0,0)</f>
        <v>36000</v>
      </c>
      <c r="I1927">
        <f>Food_Orders[[#This Row],[Client_Price]]-Food_Orders[[#This Row],[Cost]]</f>
        <v>6000</v>
      </c>
    </row>
    <row r="1928" spans="1:9" x14ac:dyDescent="0.25">
      <c r="A1928">
        <v>83</v>
      </c>
      <c r="B1928" t="s">
        <v>42</v>
      </c>
      <c r="C1928" t="s">
        <v>40</v>
      </c>
      <c r="D1928" t="s">
        <v>43</v>
      </c>
      <c r="E1928" t="s">
        <v>10</v>
      </c>
      <c r="F1928" cm="1">
        <f t="array" ref="F1928">_xlfn.XLOOKUP(Food_Orders[[#This Row],[Event_No]],Event_Master[[#All],[Event_No]],Event_Master[[#All],[Guest_Count]],,0)</f>
        <v>500</v>
      </c>
      <c r="G1928" cm="1">
        <f t="array" ref="G1928">Food_Orders[[#This Row],[Quantity_Orderd]]*_xlfn.XLOOKUP(Food_Orders[[#This Row],[Food_ID]],Food_Catalog[[#All],[Food_ID]],Food_Catalog[[#All],[Price_Per_Unit]],0,0)</f>
        <v>35000</v>
      </c>
      <c r="H1928" cm="1">
        <f t="array" ref="H1928">Food_Orders[[#This Row],[Quantity_Orderd]]*_xlfn.XLOOKUP(Food_Orders[[#This Row],[Food_ID]],Food_Catalog[[#All],[Food_ID]],Food_Catalog[[#All],[Client_Price_Per_Unit]],0,0)</f>
        <v>42000</v>
      </c>
      <c r="I1928">
        <f>Food_Orders[[#This Row],[Client_Price]]-Food_Orders[[#This Row],[Cost]]</f>
        <v>7000</v>
      </c>
    </row>
    <row r="1929" spans="1:9" x14ac:dyDescent="0.25">
      <c r="A1929">
        <v>83</v>
      </c>
      <c r="B1929" t="s">
        <v>46</v>
      </c>
      <c r="C1929" t="s">
        <v>40</v>
      </c>
      <c r="D1929" t="s">
        <v>47</v>
      </c>
      <c r="E1929" t="s">
        <v>10</v>
      </c>
      <c r="F1929" cm="1">
        <f t="array" ref="F1929">_xlfn.XLOOKUP(Food_Orders[[#This Row],[Event_No]],Event_Master[[#All],[Event_No]],Event_Master[[#All],[Guest_Count]],,0)</f>
        <v>500</v>
      </c>
      <c r="G1929" cm="1">
        <f t="array" ref="G1929">Food_Orders[[#This Row],[Quantity_Orderd]]*_xlfn.XLOOKUP(Food_Orders[[#This Row],[Food_ID]],Food_Catalog[[#All],[Food_ID]],Food_Catalog[[#All],[Price_Per_Unit]],0,0)</f>
        <v>45000</v>
      </c>
      <c r="H1929" cm="1">
        <f t="array" ref="H1929">Food_Orders[[#This Row],[Quantity_Orderd]]*_xlfn.XLOOKUP(Food_Orders[[#This Row],[Food_ID]],Food_Catalog[[#All],[Food_ID]],Food_Catalog[[#All],[Client_Price_Per_Unit]],0,0)</f>
        <v>54000</v>
      </c>
      <c r="I1929">
        <f>Food_Orders[[#This Row],[Client_Price]]-Food_Orders[[#This Row],[Cost]]</f>
        <v>9000</v>
      </c>
    </row>
    <row r="1930" spans="1:9" x14ac:dyDescent="0.25">
      <c r="A1930">
        <v>83</v>
      </c>
      <c r="B1930" t="s">
        <v>50</v>
      </c>
      <c r="C1930" t="s">
        <v>40</v>
      </c>
      <c r="D1930" t="s">
        <v>51</v>
      </c>
      <c r="E1930" t="s">
        <v>10</v>
      </c>
      <c r="F1930" cm="1">
        <f t="array" ref="F1930">_xlfn.XLOOKUP(Food_Orders[[#This Row],[Event_No]],Event_Master[[#All],[Event_No]],Event_Master[[#All],[Guest_Count]],,0)</f>
        <v>500</v>
      </c>
      <c r="G1930" cm="1">
        <f t="array" ref="G1930">Food_Orders[[#This Row],[Quantity_Orderd]]*_xlfn.XLOOKUP(Food_Orders[[#This Row],[Food_ID]],Food_Catalog[[#All],[Food_ID]],Food_Catalog[[#All],[Price_Per_Unit]],0,0)</f>
        <v>40000</v>
      </c>
      <c r="H1930" cm="1">
        <f t="array" ref="H1930">Food_Orders[[#This Row],[Quantity_Orderd]]*_xlfn.XLOOKUP(Food_Orders[[#This Row],[Food_ID]],Food_Catalog[[#All],[Food_ID]],Food_Catalog[[#All],[Client_Price_Per_Unit]],0,0)</f>
        <v>48000</v>
      </c>
      <c r="I1930">
        <f>Food_Orders[[#This Row],[Client_Price]]-Food_Orders[[#This Row],[Cost]]</f>
        <v>8000</v>
      </c>
    </row>
    <row r="1931" spans="1:9" x14ac:dyDescent="0.25">
      <c r="A1931">
        <v>83</v>
      </c>
      <c r="B1931" t="s">
        <v>52</v>
      </c>
      <c r="C1931" t="s">
        <v>40</v>
      </c>
      <c r="D1931" t="s">
        <v>53</v>
      </c>
      <c r="E1931" t="s">
        <v>10</v>
      </c>
      <c r="F1931" cm="1">
        <f t="array" ref="F1931">_xlfn.XLOOKUP(Food_Orders[[#This Row],[Event_No]],Event_Master[[#All],[Event_No]],Event_Master[[#All],[Guest_Count]],,0)</f>
        <v>500</v>
      </c>
      <c r="G1931" cm="1">
        <f t="array" ref="G1931">Food_Orders[[#This Row],[Quantity_Orderd]]*_xlfn.XLOOKUP(Food_Orders[[#This Row],[Food_ID]],Food_Catalog[[#All],[Food_ID]],Food_Catalog[[#All],[Price_Per_Unit]],0,0)</f>
        <v>50000</v>
      </c>
      <c r="H1931" cm="1">
        <f t="array" ref="H1931">Food_Orders[[#This Row],[Quantity_Orderd]]*_xlfn.XLOOKUP(Food_Orders[[#This Row],[Food_ID]],Food_Catalog[[#All],[Food_ID]],Food_Catalog[[#All],[Client_Price_Per_Unit]],0,0)</f>
        <v>60000</v>
      </c>
      <c r="I1931">
        <f>Food_Orders[[#This Row],[Client_Price]]-Food_Orders[[#This Row],[Cost]]</f>
        <v>10000</v>
      </c>
    </row>
    <row r="1932" spans="1:9" x14ac:dyDescent="0.25">
      <c r="A1932">
        <v>83</v>
      </c>
      <c r="B1932" t="s">
        <v>27</v>
      </c>
      <c r="C1932" t="s">
        <v>8</v>
      </c>
      <c r="D1932" t="s">
        <v>28</v>
      </c>
      <c r="E1932" t="s">
        <v>10</v>
      </c>
      <c r="F1932" cm="1">
        <f t="array" ref="F1932">_xlfn.XLOOKUP(Food_Orders[[#This Row],[Event_No]],Event_Master[[#All],[Event_No]],Event_Master[[#All],[Guest_Count]],,0)</f>
        <v>500</v>
      </c>
      <c r="G1932" cm="1">
        <f t="array" ref="G1932">Food_Orders[[#This Row],[Quantity_Orderd]]*_xlfn.XLOOKUP(Food_Orders[[#This Row],[Food_ID]],Food_Catalog[[#All],[Food_ID]],Food_Catalog[[#All],[Price_Per_Unit]],0,0)</f>
        <v>20000</v>
      </c>
      <c r="H1932" cm="1">
        <f t="array" ref="H1932">Food_Orders[[#This Row],[Quantity_Orderd]]*_xlfn.XLOOKUP(Food_Orders[[#This Row],[Food_ID]],Food_Catalog[[#All],[Food_ID]],Food_Catalog[[#All],[Client_Price_Per_Unit]],0,0)</f>
        <v>24000</v>
      </c>
      <c r="I1932">
        <f>Food_Orders[[#This Row],[Client_Price]]-Food_Orders[[#This Row],[Cost]]</f>
        <v>4000</v>
      </c>
    </row>
    <row r="1933" spans="1:9" x14ac:dyDescent="0.25">
      <c r="A1933">
        <v>83</v>
      </c>
      <c r="B1933" t="s">
        <v>17</v>
      </c>
      <c r="C1933" t="s">
        <v>8</v>
      </c>
      <c r="D1933" t="s">
        <v>18</v>
      </c>
      <c r="E1933" t="s">
        <v>10</v>
      </c>
      <c r="F1933" cm="1">
        <f t="array" ref="F1933">_xlfn.XLOOKUP(Food_Orders[[#This Row],[Event_No]],Event_Master[[#All],[Event_No]],Event_Master[[#All],[Guest_Count]],,0)</f>
        <v>500</v>
      </c>
      <c r="G1933" cm="1">
        <f t="array" ref="G1933">Food_Orders[[#This Row],[Quantity_Orderd]]*_xlfn.XLOOKUP(Food_Orders[[#This Row],[Food_ID]],Food_Catalog[[#All],[Food_ID]],Food_Catalog[[#All],[Price_Per_Unit]],0,0)</f>
        <v>20000</v>
      </c>
      <c r="H1933" cm="1">
        <f t="array" ref="H1933">Food_Orders[[#This Row],[Quantity_Orderd]]*_xlfn.XLOOKUP(Food_Orders[[#This Row],[Food_ID]],Food_Catalog[[#All],[Food_ID]],Food_Catalog[[#All],[Client_Price_Per_Unit]],0,0)</f>
        <v>24000</v>
      </c>
      <c r="I1933">
        <f>Food_Orders[[#This Row],[Client_Price]]-Food_Orders[[#This Row],[Cost]]</f>
        <v>4000</v>
      </c>
    </row>
    <row r="1934" spans="1:9" x14ac:dyDescent="0.25">
      <c r="A1934">
        <v>83</v>
      </c>
      <c r="B1934" t="s">
        <v>29</v>
      </c>
      <c r="C1934" t="s">
        <v>8</v>
      </c>
      <c r="D1934" t="s">
        <v>30</v>
      </c>
      <c r="E1934" t="s">
        <v>10</v>
      </c>
      <c r="F1934" cm="1">
        <f t="array" ref="F1934">_xlfn.XLOOKUP(Food_Orders[[#This Row],[Event_No]],Event_Master[[#All],[Event_No]],Event_Master[[#All],[Guest_Count]],,0)</f>
        <v>500</v>
      </c>
      <c r="G1934" cm="1">
        <f t="array" ref="G1934">Food_Orders[[#This Row],[Quantity_Orderd]]*_xlfn.XLOOKUP(Food_Orders[[#This Row],[Food_ID]],Food_Catalog[[#All],[Food_ID]],Food_Catalog[[#All],[Price_Per_Unit]],0,0)</f>
        <v>15000</v>
      </c>
      <c r="H1934" cm="1">
        <f t="array" ref="H1934">Food_Orders[[#This Row],[Quantity_Orderd]]*_xlfn.XLOOKUP(Food_Orders[[#This Row],[Food_ID]],Food_Catalog[[#All],[Food_ID]],Food_Catalog[[#All],[Client_Price_Per_Unit]],0,0)</f>
        <v>18000</v>
      </c>
      <c r="I1934">
        <f>Food_Orders[[#This Row],[Client_Price]]-Food_Orders[[#This Row],[Cost]]</f>
        <v>3000</v>
      </c>
    </row>
    <row r="1935" spans="1:9" x14ac:dyDescent="0.25">
      <c r="A1935">
        <v>83</v>
      </c>
      <c r="B1935" t="s">
        <v>82</v>
      </c>
      <c r="C1935" t="s">
        <v>83</v>
      </c>
      <c r="D1935" t="s">
        <v>84</v>
      </c>
      <c r="E1935" t="s">
        <v>85</v>
      </c>
      <c r="F1935" cm="1">
        <f t="array" ref="F1935">_xlfn.XLOOKUP(Food_Orders[[#This Row],[Event_No]],Event_Master[[#All],[Event_No]],Event_Master[[#All],[Guest_Count]],,0)</f>
        <v>500</v>
      </c>
      <c r="G1935" cm="1">
        <f t="array" ref="G1935">Food_Orders[[#This Row],[Quantity_Orderd]]*_xlfn.XLOOKUP(Food_Orders[[#This Row],[Food_ID]],Food_Catalog[[#All],[Food_ID]],Food_Catalog[[#All],[Price_Per_Unit]],0,0)</f>
        <v>10000</v>
      </c>
      <c r="H1935" cm="1">
        <f t="array" ref="H1935">Food_Orders[[#This Row],[Quantity_Orderd]]*_xlfn.XLOOKUP(Food_Orders[[#This Row],[Food_ID]],Food_Catalog[[#All],[Food_ID]],Food_Catalog[[#All],[Client_Price_Per_Unit]],0,0)</f>
        <v>12000</v>
      </c>
      <c r="I1935">
        <f>Food_Orders[[#This Row],[Client_Price]]-Food_Orders[[#This Row],[Cost]]</f>
        <v>2000</v>
      </c>
    </row>
    <row r="1936" spans="1:9" x14ac:dyDescent="0.25">
      <c r="A1936">
        <v>83</v>
      </c>
      <c r="B1936" t="s">
        <v>86</v>
      </c>
      <c r="C1936" t="s">
        <v>83</v>
      </c>
      <c r="D1936" t="s">
        <v>87</v>
      </c>
      <c r="E1936" t="s">
        <v>85</v>
      </c>
      <c r="F1936" cm="1">
        <f t="array" ref="F1936">_xlfn.XLOOKUP(Food_Orders[[#This Row],[Event_No]],Event_Master[[#All],[Event_No]],Event_Master[[#All],[Guest_Count]],,0)</f>
        <v>500</v>
      </c>
      <c r="G1936" cm="1">
        <f t="array" ref="G1936">Food_Orders[[#This Row],[Quantity_Orderd]]*_xlfn.XLOOKUP(Food_Orders[[#This Row],[Food_ID]],Food_Catalog[[#All],[Food_ID]],Food_Catalog[[#All],[Price_Per_Unit]],0,0)</f>
        <v>10000</v>
      </c>
      <c r="H1936" cm="1">
        <f t="array" ref="H1936">Food_Orders[[#This Row],[Quantity_Orderd]]*_xlfn.XLOOKUP(Food_Orders[[#This Row],[Food_ID]],Food_Catalog[[#All],[Food_ID]],Food_Catalog[[#All],[Client_Price_Per_Unit]],0,0)</f>
        <v>12000</v>
      </c>
      <c r="I1936">
        <f>Food_Orders[[#This Row],[Client_Price]]-Food_Orders[[#This Row],[Cost]]</f>
        <v>2000</v>
      </c>
    </row>
    <row r="1937" spans="1:9" x14ac:dyDescent="0.25">
      <c r="A1937">
        <v>83</v>
      </c>
      <c r="B1937" t="s">
        <v>96</v>
      </c>
      <c r="C1937" t="s">
        <v>83</v>
      </c>
      <c r="D1937" t="s">
        <v>97</v>
      </c>
      <c r="E1937" t="s">
        <v>79</v>
      </c>
      <c r="F1937" cm="1">
        <f t="array" ref="F1937">_xlfn.XLOOKUP(Food_Orders[[#This Row],[Event_No]],Event_Master[[#All],[Event_No]],Event_Master[[#All],[Guest_Count]],,0)</f>
        <v>500</v>
      </c>
      <c r="G1937" cm="1">
        <f t="array" ref="G1937">Food_Orders[[#This Row],[Quantity_Orderd]]*_xlfn.XLOOKUP(Food_Orders[[#This Row],[Food_ID]],Food_Catalog[[#All],[Food_ID]],Food_Catalog[[#All],[Price_Per_Unit]],0,0)</f>
        <v>15000</v>
      </c>
      <c r="H1937" cm="1">
        <f t="array" ref="H1937">Food_Orders[[#This Row],[Quantity_Orderd]]*_xlfn.XLOOKUP(Food_Orders[[#This Row],[Food_ID]],Food_Catalog[[#All],[Food_ID]],Food_Catalog[[#All],[Client_Price_Per_Unit]],0,0)</f>
        <v>18000</v>
      </c>
      <c r="I1937">
        <f>Food_Orders[[#This Row],[Client_Price]]-Food_Orders[[#This Row],[Cost]]</f>
        <v>3000</v>
      </c>
    </row>
    <row r="1938" spans="1:9" x14ac:dyDescent="0.25">
      <c r="A1938">
        <v>83</v>
      </c>
      <c r="B1938" t="s">
        <v>100</v>
      </c>
      <c r="C1938" t="s">
        <v>83</v>
      </c>
      <c r="D1938" t="s">
        <v>101</v>
      </c>
      <c r="E1938" t="s">
        <v>79</v>
      </c>
      <c r="F1938" cm="1">
        <f t="array" ref="F1938">_xlfn.XLOOKUP(Food_Orders[[#This Row],[Event_No]],Event_Master[[#All],[Event_No]],Event_Master[[#All],[Guest_Count]],,0)</f>
        <v>500</v>
      </c>
      <c r="G1938" cm="1">
        <f t="array" ref="G1938">Food_Orders[[#This Row],[Quantity_Orderd]]*_xlfn.XLOOKUP(Food_Orders[[#This Row],[Food_ID]],Food_Catalog[[#All],[Food_ID]],Food_Catalog[[#All],[Price_Per_Unit]],0,0)</f>
        <v>17500</v>
      </c>
      <c r="H1938" cm="1">
        <f t="array" ref="H1938">Food_Orders[[#This Row],[Quantity_Orderd]]*_xlfn.XLOOKUP(Food_Orders[[#This Row],[Food_ID]],Food_Catalog[[#All],[Food_ID]],Food_Catalog[[#All],[Client_Price_Per_Unit]],0,0)</f>
        <v>21000</v>
      </c>
      <c r="I1938">
        <f>Food_Orders[[#This Row],[Client_Price]]-Food_Orders[[#This Row],[Cost]]</f>
        <v>3500</v>
      </c>
    </row>
    <row r="1939" spans="1:9" x14ac:dyDescent="0.25">
      <c r="A1939">
        <v>83</v>
      </c>
      <c r="B1939" t="s">
        <v>92</v>
      </c>
      <c r="C1939" t="s">
        <v>83</v>
      </c>
      <c r="D1939" t="s">
        <v>93</v>
      </c>
      <c r="E1939" t="s">
        <v>85</v>
      </c>
      <c r="F1939" cm="1">
        <f t="array" ref="F1939">_xlfn.XLOOKUP(Food_Orders[[#This Row],[Event_No]],Event_Master[[#All],[Event_No]],Event_Master[[#All],[Guest_Count]],,0)</f>
        <v>500</v>
      </c>
      <c r="G1939" cm="1">
        <f t="array" ref="G1939">Food_Orders[[#This Row],[Quantity_Orderd]]*_xlfn.XLOOKUP(Food_Orders[[#This Row],[Food_ID]],Food_Catalog[[#All],[Food_ID]],Food_Catalog[[#All],[Price_Per_Unit]],0,0)</f>
        <v>7500</v>
      </c>
      <c r="H1939" cm="1">
        <f t="array" ref="H1939">Food_Orders[[#This Row],[Quantity_Orderd]]*_xlfn.XLOOKUP(Food_Orders[[#This Row],[Food_ID]],Food_Catalog[[#All],[Food_ID]],Food_Catalog[[#All],[Client_Price_Per_Unit]],0,0)</f>
        <v>9000</v>
      </c>
      <c r="I1939">
        <f>Food_Orders[[#This Row],[Client_Price]]-Food_Orders[[#This Row],[Cost]]</f>
        <v>1500</v>
      </c>
    </row>
    <row r="1940" spans="1:9" x14ac:dyDescent="0.25">
      <c r="A1940">
        <v>83</v>
      </c>
      <c r="B1940" t="s">
        <v>98</v>
      </c>
      <c r="C1940" t="s">
        <v>83</v>
      </c>
      <c r="D1940" t="s">
        <v>99</v>
      </c>
      <c r="E1940" t="s">
        <v>85</v>
      </c>
      <c r="F1940" cm="1">
        <f t="array" ref="F1940">_xlfn.XLOOKUP(Food_Orders[[#This Row],[Event_No]],Event_Master[[#All],[Event_No]],Event_Master[[#All],[Guest_Count]],,0)</f>
        <v>500</v>
      </c>
      <c r="G1940" cm="1">
        <f t="array" ref="G1940">Food_Orders[[#This Row],[Quantity_Orderd]]*_xlfn.XLOOKUP(Food_Orders[[#This Row],[Food_ID]],Food_Catalog[[#All],[Food_ID]],Food_Catalog[[#All],[Price_Per_Unit]],0,0)</f>
        <v>7500</v>
      </c>
      <c r="H1940" cm="1">
        <f t="array" ref="H1940">Food_Orders[[#This Row],[Quantity_Orderd]]*_xlfn.XLOOKUP(Food_Orders[[#This Row],[Food_ID]],Food_Catalog[[#All],[Food_ID]],Food_Catalog[[#All],[Client_Price_Per_Unit]],0,0)</f>
        <v>9000</v>
      </c>
      <c r="I1940">
        <f>Food_Orders[[#This Row],[Client_Price]]-Food_Orders[[#This Row],[Cost]]</f>
        <v>1500</v>
      </c>
    </row>
    <row r="1941" spans="1:9" x14ac:dyDescent="0.25">
      <c r="A1941">
        <v>83</v>
      </c>
      <c r="B1941" t="s">
        <v>108</v>
      </c>
      <c r="C1941" t="s">
        <v>105</v>
      </c>
      <c r="D1941" t="s">
        <v>109</v>
      </c>
      <c r="E1941" t="s">
        <v>107</v>
      </c>
      <c r="F1941" cm="1">
        <f t="array" ref="F1941">_xlfn.XLOOKUP(Food_Orders[[#This Row],[Event_No]],Event_Master[[#All],[Event_No]],Event_Master[[#All],[Guest_Count]],,0)</f>
        <v>500</v>
      </c>
      <c r="G1941" cm="1">
        <f t="array" ref="G1941">Food_Orders[[#This Row],[Quantity_Orderd]]*_xlfn.XLOOKUP(Food_Orders[[#This Row],[Food_ID]],Food_Catalog[[#All],[Food_ID]],Food_Catalog[[#All],[Price_Per_Unit]],0,0)</f>
        <v>7500</v>
      </c>
      <c r="H1941" cm="1">
        <f t="array" ref="H1941">Food_Orders[[#This Row],[Quantity_Orderd]]*_xlfn.XLOOKUP(Food_Orders[[#This Row],[Food_ID]],Food_Catalog[[#All],[Food_ID]],Food_Catalog[[#All],[Client_Price_Per_Unit]],0,0)</f>
        <v>9000</v>
      </c>
      <c r="I1941">
        <f>Food_Orders[[#This Row],[Client_Price]]-Food_Orders[[#This Row],[Cost]]</f>
        <v>1500</v>
      </c>
    </row>
    <row r="1942" spans="1:9" x14ac:dyDescent="0.25">
      <c r="A1942">
        <v>83</v>
      </c>
      <c r="B1942" t="s">
        <v>118</v>
      </c>
      <c r="C1942" t="s">
        <v>119</v>
      </c>
      <c r="D1942" t="s">
        <v>120</v>
      </c>
      <c r="E1942" t="s">
        <v>112</v>
      </c>
      <c r="F1942" cm="1">
        <f t="array" ref="F1942">_xlfn.XLOOKUP(Food_Orders[[#This Row],[Event_No]],Event_Master[[#All],[Event_No]],Event_Master[[#All],[Guest_Count]],,0)</f>
        <v>500</v>
      </c>
      <c r="G1942" cm="1">
        <f t="array" ref="G1942">Food_Orders[[#This Row],[Quantity_Orderd]]*_xlfn.XLOOKUP(Food_Orders[[#This Row],[Food_ID]],Food_Catalog[[#All],[Food_ID]],Food_Catalog[[#All],[Price_Per_Unit]],0,0)</f>
        <v>5000</v>
      </c>
      <c r="H1942" cm="1">
        <f t="array" ref="H1942">Food_Orders[[#This Row],[Quantity_Orderd]]*_xlfn.XLOOKUP(Food_Orders[[#This Row],[Food_ID]],Food_Catalog[[#All],[Food_ID]],Food_Catalog[[#All],[Client_Price_Per_Unit]],0,0)</f>
        <v>6000</v>
      </c>
      <c r="I1942">
        <f>Food_Orders[[#This Row],[Client_Price]]-Food_Orders[[#This Row],[Cost]]</f>
        <v>1000</v>
      </c>
    </row>
    <row r="1943" spans="1:9" x14ac:dyDescent="0.25">
      <c r="A1943">
        <v>83</v>
      </c>
      <c r="B1943" t="s">
        <v>129</v>
      </c>
      <c r="C1943" t="s">
        <v>119</v>
      </c>
      <c r="D1943" t="s">
        <v>130</v>
      </c>
      <c r="E1943" t="s">
        <v>112</v>
      </c>
      <c r="F1943" cm="1">
        <f t="array" ref="F1943">_xlfn.XLOOKUP(Food_Orders[[#This Row],[Event_No]],Event_Master[[#All],[Event_No]],Event_Master[[#All],[Guest_Count]],,0)</f>
        <v>500</v>
      </c>
      <c r="G1943" cm="1">
        <f t="array" ref="G1943">Food_Orders[[#This Row],[Quantity_Orderd]]*_xlfn.XLOOKUP(Food_Orders[[#This Row],[Food_ID]],Food_Catalog[[#All],[Food_ID]],Food_Catalog[[#All],[Price_Per_Unit]],0,0)</f>
        <v>5000</v>
      </c>
      <c r="H1943" cm="1">
        <f t="array" ref="H1943">Food_Orders[[#This Row],[Quantity_Orderd]]*_xlfn.XLOOKUP(Food_Orders[[#This Row],[Food_ID]],Food_Catalog[[#All],[Food_ID]],Food_Catalog[[#All],[Client_Price_Per_Unit]],0,0)</f>
        <v>6000</v>
      </c>
      <c r="I1943">
        <f>Food_Orders[[#This Row],[Client_Price]]-Food_Orders[[#This Row],[Cost]]</f>
        <v>1000</v>
      </c>
    </row>
    <row r="1944" spans="1:9" x14ac:dyDescent="0.25">
      <c r="A1944">
        <v>83</v>
      </c>
      <c r="B1944" t="s">
        <v>127</v>
      </c>
      <c r="C1944" t="s">
        <v>119</v>
      </c>
      <c r="D1944" t="s">
        <v>128</v>
      </c>
      <c r="E1944" t="s">
        <v>107</v>
      </c>
      <c r="F1944" cm="1">
        <f t="array" ref="F1944">_xlfn.XLOOKUP(Food_Orders[[#This Row],[Event_No]],Event_Master[[#All],[Event_No]],Event_Master[[#All],[Guest_Count]],,0)</f>
        <v>500</v>
      </c>
      <c r="G1944" cm="1">
        <f t="array" ref="G1944">Food_Orders[[#This Row],[Quantity_Orderd]]*_xlfn.XLOOKUP(Food_Orders[[#This Row],[Food_ID]],Food_Catalog[[#All],[Food_ID]],Food_Catalog[[#All],[Price_Per_Unit]],0,0)</f>
        <v>10000</v>
      </c>
      <c r="H1944" cm="1">
        <f t="array" ref="H1944">Food_Orders[[#This Row],[Quantity_Orderd]]*_xlfn.XLOOKUP(Food_Orders[[#This Row],[Food_ID]],Food_Catalog[[#All],[Food_ID]],Food_Catalog[[#All],[Client_Price_Per_Unit]],0,0)</f>
        <v>12000</v>
      </c>
      <c r="I1944">
        <f>Food_Orders[[#This Row],[Client_Price]]-Food_Orders[[#This Row],[Cost]]</f>
        <v>2000</v>
      </c>
    </row>
    <row r="1945" spans="1:9" x14ac:dyDescent="0.25">
      <c r="A1945">
        <v>83</v>
      </c>
      <c r="B1945" t="s">
        <v>124</v>
      </c>
      <c r="C1945" t="s">
        <v>119</v>
      </c>
      <c r="D1945" t="s">
        <v>125</v>
      </c>
      <c r="E1945" t="s">
        <v>126</v>
      </c>
      <c r="F1945" cm="1">
        <f t="array" ref="F1945">_xlfn.XLOOKUP(Food_Orders[[#This Row],[Event_No]],Event_Master[[#All],[Event_No]],Event_Master[[#All],[Guest_Count]],,0)</f>
        <v>500</v>
      </c>
      <c r="G1945" cm="1">
        <f t="array" ref="G1945">Food_Orders[[#This Row],[Quantity_Orderd]]*_xlfn.XLOOKUP(Food_Orders[[#This Row],[Food_ID]],Food_Catalog[[#All],[Food_ID]],Food_Catalog[[#All],[Price_Per_Unit]],0,0)</f>
        <v>10000</v>
      </c>
      <c r="H1945" cm="1">
        <f t="array" ref="H1945">Food_Orders[[#This Row],[Quantity_Orderd]]*_xlfn.XLOOKUP(Food_Orders[[#This Row],[Food_ID]],Food_Catalog[[#All],[Food_ID]],Food_Catalog[[#All],[Client_Price_Per_Unit]],0,0)</f>
        <v>12000</v>
      </c>
      <c r="I1945">
        <f>Food_Orders[[#This Row],[Client_Price]]-Food_Orders[[#This Row],[Cost]]</f>
        <v>2000</v>
      </c>
    </row>
    <row r="1946" spans="1:9" x14ac:dyDescent="0.25">
      <c r="A1946">
        <v>83</v>
      </c>
      <c r="B1946" t="s">
        <v>121</v>
      </c>
      <c r="C1946" t="s">
        <v>119</v>
      </c>
      <c r="D1946" t="s">
        <v>122</v>
      </c>
      <c r="E1946" t="s">
        <v>123</v>
      </c>
      <c r="F1946" cm="1">
        <f t="array" ref="F1946">_xlfn.XLOOKUP(Food_Orders[[#This Row],[Event_No]],Event_Master[[#All],[Event_No]],Event_Master[[#All],[Guest_Count]],,0)</f>
        <v>500</v>
      </c>
      <c r="G1946" cm="1">
        <f t="array" ref="G1946">Food_Orders[[#This Row],[Quantity_Orderd]]*_xlfn.XLOOKUP(Food_Orders[[#This Row],[Food_ID]],Food_Catalog[[#All],[Food_ID]],Food_Catalog[[#All],[Price_Per_Unit]],0,0)</f>
        <v>5000</v>
      </c>
      <c r="H1946" cm="1">
        <f t="array" ref="H1946">Food_Orders[[#This Row],[Quantity_Orderd]]*_xlfn.XLOOKUP(Food_Orders[[#This Row],[Food_ID]],Food_Catalog[[#All],[Food_ID]],Food_Catalog[[#All],[Client_Price_Per_Unit]],0,0)</f>
        <v>6000</v>
      </c>
      <c r="I1946">
        <f>Food_Orders[[#This Row],[Client_Price]]-Food_Orders[[#This Row],[Cost]]</f>
        <v>1000</v>
      </c>
    </row>
    <row r="1947" spans="1:9" x14ac:dyDescent="0.25">
      <c r="A1947">
        <v>84</v>
      </c>
      <c r="B1947" t="s">
        <v>60</v>
      </c>
      <c r="C1947" t="s">
        <v>61</v>
      </c>
      <c r="D1947" t="s">
        <v>62</v>
      </c>
      <c r="E1947" t="s">
        <v>10</v>
      </c>
      <c r="F1947" cm="1">
        <f t="array" ref="F1947">_xlfn.XLOOKUP(Food_Orders[[#This Row],[Event_No]],Event_Master[[#All],[Event_No]],Event_Master[[#All],[Guest_Count]],,0)</f>
        <v>750</v>
      </c>
      <c r="G1947" cm="1">
        <f t="array" ref="G1947">Food_Orders[[#This Row],[Quantity_Orderd]]*_xlfn.XLOOKUP(Food_Orders[[#This Row],[Food_ID]],Food_Catalog[[#All],[Food_ID]],Food_Catalog[[#All],[Price_Per_Unit]],0,0)</f>
        <v>15000</v>
      </c>
      <c r="H1947" cm="1">
        <f t="array" ref="H1947">Food_Orders[[#This Row],[Quantity_Orderd]]*_xlfn.XLOOKUP(Food_Orders[[#This Row],[Food_ID]],Food_Catalog[[#All],[Food_ID]],Food_Catalog[[#All],[Client_Price_Per_Unit]],0,0)</f>
        <v>18000</v>
      </c>
      <c r="I1947">
        <f>Food_Orders[[#This Row],[Client_Price]]-Food_Orders[[#This Row],[Cost]]</f>
        <v>3000</v>
      </c>
    </row>
    <row r="1948" spans="1:9" x14ac:dyDescent="0.25">
      <c r="A1948">
        <v>84</v>
      </c>
      <c r="B1948" t="s">
        <v>63</v>
      </c>
      <c r="C1948" t="s">
        <v>61</v>
      </c>
      <c r="D1948" t="s">
        <v>64</v>
      </c>
      <c r="E1948" t="s">
        <v>10</v>
      </c>
      <c r="F1948" cm="1">
        <f t="array" ref="F1948">_xlfn.XLOOKUP(Food_Orders[[#This Row],[Event_No]],Event_Master[[#All],[Event_No]],Event_Master[[#All],[Guest_Count]],,0)</f>
        <v>750</v>
      </c>
      <c r="G1948" cm="1">
        <f t="array" ref="G1948">Food_Orders[[#This Row],[Quantity_Orderd]]*_xlfn.XLOOKUP(Food_Orders[[#This Row],[Food_ID]],Food_Catalog[[#All],[Food_ID]],Food_Catalog[[#All],[Price_Per_Unit]],0,0)</f>
        <v>22500</v>
      </c>
      <c r="H1948" cm="1">
        <f t="array" ref="H1948">Food_Orders[[#This Row],[Quantity_Orderd]]*_xlfn.XLOOKUP(Food_Orders[[#This Row],[Food_ID]],Food_Catalog[[#All],[Food_ID]],Food_Catalog[[#All],[Client_Price_Per_Unit]],0,0)</f>
        <v>27000</v>
      </c>
      <c r="I1948">
        <f>Food_Orders[[#This Row],[Client_Price]]-Food_Orders[[#This Row],[Cost]]</f>
        <v>4500</v>
      </c>
    </row>
    <row r="1949" spans="1:9" x14ac:dyDescent="0.25">
      <c r="A1949">
        <v>84</v>
      </c>
      <c r="B1949" t="s">
        <v>71</v>
      </c>
      <c r="C1949" t="s">
        <v>61</v>
      </c>
      <c r="D1949" t="s">
        <v>72</v>
      </c>
      <c r="E1949" t="s">
        <v>10</v>
      </c>
      <c r="F1949" cm="1">
        <f t="array" ref="F1949">_xlfn.XLOOKUP(Food_Orders[[#This Row],[Event_No]],Event_Master[[#All],[Event_No]],Event_Master[[#All],[Guest_Count]],,0)</f>
        <v>750</v>
      </c>
      <c r="G1949" cm="1">
        <f t="array" ref="G1949">Food_Orders[[#This Row],[Quantity_Orderd]]*_xlfn.XLOOKUP(Food_Orders[[#This Row],[Food_ID]],Food_Catalog[[#All],[Food_ID]],Food_Catalog[[#All],[Price_Per_Unit]],0,0)</f>
        <v>18750</v>
      </c>
      <c r="H1949" cm="1">
        <f t="array" ref="H1949">Food_Orders[[#This Row],[Quantity_Orderd]]*_xlfn.XLOOKUP(Food_Orders[[#This Row],[Food_ID]],Food_Catalog[[#All],[Food_ID]],Food_Catalog[[#All],[Client_Price_Per_Unit]],0,0)</f>
        <v>22500</v>
      </c>
      <c r="I1949">
        <f>Food_Orders[[#This Row],[Client_Price]]-Food_Orders[[#This Row],[Cost]]</f>
        <v>3750</v>
      </c>
    </row>
    <row r="1950" spans="1:9" x14ac:dyDescent="0.25">
      <c r="A1950">
        <v>84</v>
      </c>
      <c r="B1950" t="s">
        <v>80</v>
      </c>
      <c r="C1950" t="s">
        <v>61</v>
      </c>
      <c r="D1950" t="s">
        <v>81</v>
      </c>
      <c r="E1950" t="s">
        <v>10</v>
      </c>
      <c r="F1950" cm="1">
        <f t="array" ref="F1950">_xlfn.XLOOKUP(Food_Orders[[#This Row],[Event_No]],Event_Master[[#All],[Event_No]],Event_Master[[#All],[Guest_Count]],,0)</f>
        <v>750</v>
      </c>
      <c r="G1950" cm="1">
        <f t="array" ref="G1950">Food_Orders[[#This Row],[Quantity_Orderd]]*_xlfn.XLOOKUP(Food_Orders[[#This Row],[Food_ID]],Food_Catalog[[#All],[Food_ID]],Food_Catalog[[#All],[Price_Per_Unit]],0,0)</f>
        <v>22500</v>
      </c>
      <c r="H1950" cm="1">
        <f t="array" ref="H1950">Food_Orders[[#This Row],[Quantity_Orderd]]*_xlfn.XLOOKUP(Food_Orders[[#This Row],[Food_ID]],Food_Catalog[[#All],[Food_ID]],Food_Catalog[[#All],[Client_Price_Per_Unit]],0,0)</f>
        <v>27000</v>
      </c>
      <c r="I1950">
        <f>Food_Orders[[#This Row],[Client_Price]]-Food_Orders[[#This Row],[Cost]]</f>
        <v>4500</v>
      </c>
    </row>
    <row r="1951" spans="1:9" x14ac:dyDescent="0.25">
      <c r="A1951">
        <v>84</v>
      </c>
      <c r="B1951" t="s">
        <v>73</v>
      </c>
      <c r="C1951" t="s">
        <v>61</v>
      </c>
      <c r="D1951" t="s">
        <v>74</v>
      </c>
      <c r="E1951" t="s">
        <v>10</v>
      </c>
      <c r="F1951" cm="1">
        <f t="array" ref="F1951">_xlfn.XLOOKUP(Food_Orders[[#This Row],[Event_No]],Event_Master[[#All],[Event_No]],Event_Master[[#All],[Guest_Count]],,0)</f>
        <v>750</v>
      </c>
      <c r="G1951" cm="1">
        <f t="array" ref="G1951">Food_Orders[[#This Row],[Quantity_Orderd]]*_xlfn.XLOOKUP(Food_Orders[[#This Row],[Food_ID]],Food_Catalog[[#All],[Food_ID]],Food_Catalog[[#All],[Price_Per_Unit]],0,0)</f>
        <v>30000</v>
      </c>
      <c r="H1951" cm="1">
        <f t="array" ref="H1951">Food_Orders[[#This Row],[Quantity_Orderd]]*_xlfn.XLOOKUP(Food_Orders[[#This Row],[Food_ID]],Food_Catalog[[#All],[Food_ID]],Food_Catalog[[#All],[Client_Price_Per_Unit]],0,0)</f>
        <v>36000</v>
      </c>
      <c r="I1951">
        <f>Food_Orders[[#This Row],[Client_Price]]-Food_Orders[[#This Row],[Cost]]</f>
        <v>6000</v>
      </c>
    </row>
    <row r="1952" spans="1:9" x14ac:dyDescent="0.25">
      <c r="A1952">
        <v>84</v>
      </c>
      <c r="B1952" t="s">
        <v>75</v>
      </c>
      <c r="C1952" t="s">
        <v>61</v>
      </c>
      <c r="D1952" t="s">
        <v>76</v>
      </c>
      <c r="E1952" t="s">
        <v>10</v>
      </c>
      <c r="F1952" cm="1">
        <f t="array" ref="F1952">_xlfn.XLOOKUP(Food_Orders[[#This Row],[Event_No]],Event_Master[[#All],[Event_No]],Event_Master[[#All],[Guest_Count]],,0)</f>
        <v>750</v>
      </c>
      <c r="G1952" cm="1">
        <f t="array" ref="G1952">Food_Orders[[#This Row],[Quantity_Orderd]]*_xlfn.XLOOKUP(Food_Orders[[#This Row],[Food_ID]],Food_Catalog[[#All],[Food_ID]],Food_Catalog[[#All],[Price_Per_Unit]],0,0)</f>
        <v>30000</v>
      </c>
      <c r="H1952" cm="1">
        <f t="array" ref="H1952">Food_Orders[[#This Row],[Quantity_Orderd]]*_xlfn.XLOOKUP(Food_Orders[[#This Row],[Food_ID]],Food_Catalog[[#All],[Food_ID]],Food_Catalog[[#All],[Client_Price_Per_Unit]],0,0)</f>
        <v>36000</v>
      </c>
      <c r="I1952">
        <f>Food_Orders[[#This Row],[Client_Price]]-Food_Orders[[#This Row],[Cost]]</f>
        <v>6000</v>
      </c>
    </row>
    <row r="1953" spans="1:9" x14ac:dyDescent="0.25">
      <c r="A1953">
        <v>84</v>
      </c>
      <c r="B1953" t="s">
        <v>69</v>
      </c>
      <c r="C1953" t="s">
        <v>61</v>
      </c>
      <c r="D1953" t="s">
        <v>70</v>
      </c>
      <c r="E1953" t="s">
        <v>10</v>
      </c>
      <c r="F1953" cm="1">
        <f t="array" ref="F1953">_xlfn.XLOOKUP(Food_Orders[[#This Row],[Event_No]],Event_Master[[#All],[Event_No]],Event_Master[[#All],[Guest_Count]],,0)</f>
        <v>750</v>
      </c>
      <c r="G1953" cm="1">
        <f t="array" ref="G1953">Food_Orders[[#This Row],[Quantity_Orderd]]*_xlfn.XLOOKUP(Food_Orders[[#This Row],[Food_ID]],Food_Catalog[[#All],[Food_ID]],Food_Catalog[[#All],[Price_Per_Unit]],0,0)</f>
        <v>37500</v>
      </c>
      <c r="H1953" cm="1">
        <f t="array" ref="H1953">Food_Orders[[#This Row],[Quantity_Orderd]]*_xlfn.XLOOKUP(Food_Orders[[#This Row],[Food_ID]],Food_Catalog[[#All],[Food_ID]],Food_Catalog[[#All],[Client_Price_Per_Unit]],0,0)</f>
        <v>45000</v>
      </c>
      <c r="I1953">
        <f>Food_Orders[[#This Row],[Client_Price]]-Food_Orders[[#This Row],[Cost]]</f>
        <v>7500</v>
      </c>
    </row>
    <row r="1954" spans="1:9" x14ac:dyDescent="0.25">
      <c r="A1954">
        <v>84</v>
      </c>
      <c r="B1954" t="s">
        <v>77</v>
      </c>
      <c r="C1954" t="s">
        <v>61</v>
      </c>
      <c r="D1954" t="s">
        <v>78</v>
      </c>
      <c r="E1954" t="s">
        <v>79</v>
      </c>
      <c r="F1954" cm="1">
        <f t="array" ref="F1954">_xlfn.XLOOKUP(Food_Orders[[#This Row],[Event_No]],Event_Master[[#All],[Event_No]],Event_Master[[#All],[Guest_Count]],,0)</f>
        <v>750</v>
      </c>
      <c r="G1954" cm="1">
        <f t="array" ref="G1954">Food_Orders[[#This Row],[Quantity_Orderd]]*_xlfn.XLOOKUP(Food_Orders[[#This Row],[Food_ID]],Food_Catalog[[#All],[Food_ID]],Food_Catalog[[#All],[Price_Per_Unit]],0,0)</f>
        <v>26250</v>
      </c>
      <c r="H1954" cm="1">
        <f t="array" ref="H1954">Food_Orders[[#This Row],[Quantity_Orderd]]*_xlfn.XLOOKUP(Food_Orders[[#This Row],[Food_ID]],Food_Catalog[[#All],[Food_ID]],Food_Catalog[[#All],[Client_Price_Per_Unit]],0,0)</f>
        <v>31500</v>
      </c>
      <c r="I1954">
        <f>Food_Orders[[#This Row],[Client_Price]]-Food_Orders[[#This Row],[Cost]]</f>
        <v>5250</v>
      </c>
    </row>
    <row r="1955" spans="1:9" x14ac:dyDescent="0.25">
      <c r="A1955">
        <v>84</v>
      </c>
      <c r="B1955" t="s">
        <v>7</v>
      </c>
      <c r="C1955" t="s">
        <v>8</v>
      </c>
      <c r="D1955" t="s">
        <v>9</v>
      </c>
      <c r="E1955" t="s">
        <v>10</v>
      </c>
      <c r="F1955" cm="1">
        <f t="array" ref="F1955">_xlfn.XLOOKUP(Food_Orders[[#This Row],[Event_No]],Event_Master[[#All],[Event_No]],Event_Master[[#All],[Guest_Count]],,0)</f>
        <v>750</v>
      </c>
      <c r="G1955" cm="1">
        <f t="array" ref="G1955">Food_Orders[[#This Row],[Quantity_Orderd]]*_xlfn.XLOOKUP(Food_Orders[[#This Row],[Food_ID]],Food_Catalog[[#All],[Food_ID]],Food_Catalog[[#All],[Price_Per_Unit]],0,0)</f>
        <v>18750</v>
      </c>
      <c r="H1955" cm="1">
        <f t="array" ref="H1955">Food_Orders[[#This Row],[Quantity_Orderd]]*_xlfn.XLOOKUP(Food_Orders[[#This Row],[Food_ID]],Food_Catalog[[#All],[Food_ID]],Food_Catalog[[#All],[Client_Price_Per_Unit]],0,0)</f>
        <v>22500</v>
      </c>
      <c r="I1955">
        <f>Food_Orders[[#This Row],[Client_Price]]-Food_Orders[[#This Row],[Cost]]</f>
        <v>3750</v>
      </c>
    </row>
    <row r="1956" spans="1:9" x14ac:dyDescent="0.25">
      <c r="A1956">
        <v>84</v>
      </c>
      <c r="B1956" t="s">
        <v>13</v>
      </c>
      <c r="C1956" t="s">
        <v>8</v>
      </c>
      <c r="D1956" t="s">
        <v>14</v>
      </c>
      <c r="E1956" t="s">
        <v>10</v>
      </c>
      <c r="F1956" cm="1">
        <f t="array" ref="F1956">_xlfn.XLOOKUP(Food_Orders[[#This Row],[Event_No]],Event_Master[[#All],[Event_No]],Event_Master[[#All],[Guest_Count]],,0)</f>
        <v>750</v>
      </c>
      <c r="G1956" cm="1">
        <f t="array" ref="G1956">Food_Orders[[#This Row],[Quantity_Orderd]]*_xlfn.XLOOKUP(Food_Orders[[#This Row],[Food_ID]],Food_Catalog[[#All],[Food_ID]],Food_Catalog[[#All],[Price_Per_Unit]],0,0)</f>
        <v>26250</v>
      </c>
      <c r="H1956" cm="1">
        <f t="array" ref="H1956">Food_Orders[[#This Row],[Quantity_Orderd]]*_xlfn.XLOOKUP(Food_Orders[[#This Row],[Food_ID]],Food_Catalog[[#All],[Food_ID]],Food_Catalog[[#All],[Client_Price_Per_Unit]],0,0)</f>
        <v>31500</v>
      </c>
      <c r="I1956">
        <f>Food_Orders[[#This Row],[Client_Price]]-Food_Orders[[#This Row],[Cost]]</f>
        <v>5250</v>
      </c>
    </row>
    <row r="1957" spans="1:9" x14ac:dyDescent="0.25">
      <c r="A1957">
        <v>84</v>
      </c>
      <c r="B1957" t="s">
        <v>35</v>
      </c>
      <c r="C1957" t="s">
        <v>8</v>
      </c>
      <c r="D1957" t="s">
        <v>36</v>
      </c>
      <c r="E1957" t="s">
        <v>10</v>
      </c>
      <c r="F1957" cm="1">
        <f t="array" ref="F1957">_xlfn.XLOOKUP(Food_Orders[[#This Row],[Event_No]],Event_Master[[#All],[Event_No]],Event_Master[[#All],[Guest_Count]],,0)</f>
        <v>750</v>
      </c>
      <c r="G1957" cm="1">
        <f t="array" ref="G1957">Food_Orders[[#This Row],[Quantity_Orderd]]*_xlfn.XLOOKUP(Food_Orders[[#This Row],[Food_ID]],Food_Catalog[[#All],[Food_ID]],Food_Catalog[[#All],[Price_Per_Unit]],0,0)</f>
        <v>22500</v>
      </c>
      <c r="H1957" cm="1">
        <f t="array" ref="H1957">Food_Orders[[#This Row],[Quantity_Orderd]]*_xlfn.XLOOKUP(Food_Orders[[#This Row],[Food_ID]],Food_Catalog[[#All],[Food_ID]],Food_Catalog[[#All],[Client_Price_Per_Unit]],0,0)</f>
        <v>27000</v>
      </c>
      <c r="I1957">
        <f>Food_Orders[[#This Row],[Client_Price]]-Food_Orders[[#This Row],[Cost]]</f>
        <v>4500</v>
      </c>
    </row>
    <row r="1958" spans="1:9" x14ac:dyDescent="0.25">
      <c r="A1958">
        <v>84</v>
      </c>
      <c r="B1958" t="s">
        <v>27</v>
      </c>
      <c r="C1958" t="s">
        <v>8</v>
      </c>
      <c r="D1958" t="s">
        <v>28</v>
      </c>
      <c r="E1958" t="s">
        <v>10</v>
      </c>
      <c r="F1958" cm="1">
        <f t="array" ref="F1958">_xlfn.XLOOKUP(Food_Orders[[#This Row],[Event_No]],Event_Master[[#All],[Event_No]],Event_Master[[#All],[Guest_Count]],,0)</f>
        <v>750</v>
      </c>
      <c r="G1958" cm="1">
        <f t="array" ref="G1958">Food_Orders[[#This Row],[Quantity_Orderd]]*_xlfn.XLOOKUP(Food_Orders[[#This Row],[Food_ID]],Food_Catalog[[#All],[Food_ID]],Food_Catalog[[#All],[Price_Per_Unit]],0,0)</f>
        <v>30000</v>
      </c>
      <c r="H1958" cm="1">
        <f t="array" ref="H1958">Food_Orders[[#This Row],[Quantity_Orderd]]*_xlfn.XLOOKUP(Food_Orders[[#This Row],[Food_ID]],Food_Catalog[[#All],[Food_ID]],Food_Catalog[[#All],[Client_Price_Per_Unit]],0,0)</f>
        <v>36000</v>
      </c>
      <c r="I1958">
        <f>Food_Orders[[#This Row],[Client_Price]]-Food_Orders[[#This Row],[Cost]]</f>
        <v>6000</v>
      </c>
    </row>
    <row r="1959" spans="1:9" x14ac:dyDescent="0.25">
      <c r="A1959">
        <v>84</v>
      </c>
      <c r="B1959" t="s">
        <v>31</v>
      </c>
      <c r="C1959" t="s">
        <v>8</v>
      </c>
      <c r="D1959" t="s">
        <v>32</v>
      </c>
      <c r="E1959" t="s">
        <v>10</v>
      </c>
      <c r="F1959" cm="1">
        <f t="array" ref="F1959">_xlfn.XLOOKUP(Food_Orders[[#This Row],[Event_No]],Event_Master[[#All],[Event_No]],Event_Master[[#All],[Guest_Count]],,0)</f>
        <v>750</v>
      </c>
      <c r="G1959" cm="1">
        <f t="array" ref="G1959">Food_Orders[[#This Row],[Quantity_Orderd]]*_xlfn.XLOOKUP(Food_Orders[[#This Row],[Food_ID]],Food_Catalog[[#All],[Food_ID]],Food_Catalog[[#All],[Price_Per_Unit]],0,0)</f>
        <v>22500</v>
      </c>
      <c r="H1959" cm="1">
        <f t="array" ref="H1959">Food_Orders[[#This Row],[Quantity_Orderd]]*_xlfn.XLOOKUP(Food_Orders[[#This Row],[Food_ID]],Food_Catalog[[#All],[Food_ID]],Food_Catalog[[#All],[Client_Price_Per_Unit]],0,0)</f>
        <v>27000</v>
      </c>
      <c r="I1959">
        <f>Food_Orders[[#This Row],[Client_Price]]-Food_Orders[[#This Row],[Cost]]</f>
        <v>4500</v>
      </c>
    </row>
    <row r="1960" spans="1:9" x14ac:dyDescent="0.25">
      <c r="A1960">
        <v>84</v>
      </c>
      <c r="B1960" t="s">
        <v>33</v>
      </c>
      <c r="C1960" t="s">
        <v>8</v>
      </c>
      <c r="D1960" t="s">
        <v>34</v>
      </c>
      <c r="E1960" t="s">
        <v>10</v>
      </c>
      <c r="F1960" cm="1">
        <f t="array" ref="F1960">_xlfn.XLOOKUP(Food_Orders[[#This Row],[Event_No]],Event_Master[[#All],[Event_No]],Event_Master[[#All],[Guest_Count]],,0)</f>
        <v>750</v>
      </c>
      <c r="G1960" cm="1">
        <f t="array" ref="G1960">Food_Orders[[#This Row],[Quantity_Orderd]]*_xlfn.XLOOKUP(Food_Orders[[#This Row],[Food_ID]],Food_Catalog[[#All],[Food_ID]],Food_Catalog[[#All],[Price_Per_Unit]],0,0)</f>
        <v>22500</v>
      </c>
      <c r="H1960" cm="1">
        <f t="array" ref="H1960">Food_Orders[[#This Row],[Quantity_Orderd]]*_xlfn.XLOOKUP(Food_Orders[[#This Row],[Food_ID]],Food_Catalog[[#All],[Food_ID]],Food_Catalog[[#All],[Client_Price_Per_Unit]],0,0)</f>
        <v>27000</v>
      </c>
      <c r="I1960">
        <f>Food_Orders[[#This Row],[Client_Price]]-Food_Orders[[#This Row],[Cost]]</f>
        <v>4500</v>
      </c>
    </row>
    <row r="1961" spans="1:9" x14ac:dyDescent="0.25">
      <c r="A1961">
        <v>84</v>
      </c>
      <c r="B1961" t="s">
        <v>17</v>
      </c>
      <c r="C1961" t="s">
        <v>8</v>
      </c>
      <c r="D1961" t="s">
        <v>18</v>
      </c>
      <c r="E1961" t="s">
        <v>10</v>
      </c>
      <c r="F1961" cm="1">
        <f t="array" ref="F1961">_xlfn.XLOOKUP(Food_Orders[[#This Row],[Event_No]],Event_Master[[#All],[Event_No]],Event_Master[[#All],[Guest_Count]],,0)</f>
        <v>750</v>
      </c>
      <c r="G1961" cm="1">
        <f t="array" ref="G1961">Food_Orders[[#This Row],[Quantity_Orderd]]*_xlfn.XLOOKUP(Food_Orders[[#This Row],[Food_ID]],Food_Catalog[[#All],[Food_ID]],Food_Catalog[[#All],[Price_Per_Unit]],0,0)</f>
        <v>30000</v>
      </c>
      <c r="H1961" cm="1">
        <f t="array" ref="H1961">Food_Orders[[#This Row],[Quantity_Orderd]]*_xlfn.XLOOKUP(Food_Orders[[#This Row],[Food_ID]],Food_Catalog[[#All],[Food_ID]],Food_Catalog[[#All],[Client_Price_Per_Unit]],0,0)</f>
        <v>36000</v>
      </c>
      <c r="I1961">
        <f>Food_Orders[[#This Row],[Client_Price]]-Food_Orders[[#This Row],[Cost]]</f>
        <v>6000</v>
      </c>
    </row>
    <row r="1962" spans="1:9" x14ac:dyDescent="0.25">
      <c r="A1962">
        <v>84</v>
      </c>
      <c r="B1962" t="s">
        <v>29</v>
      </c>
      <c r="C1962" t="s">
        <v>8</v>
      </c>
      <c r="D1962" t="s">
        <v>30</v>
      </c>
      <c r="E1962" t="s">
        <v>10</v>
      </c>
      <c r="F1962" cm="1">
        <f t="array" ref="F1962">_xlfn.XLOOKUP(Food_Orders[[#This Row],[Event_No]],Event_Master[[#All],[Event_No]],Event_Master[[#All],[Guest_Count]],,0)</f>
        <v>750</v>
      </c>
      <c r="G1962" cm="1">
        <f t="array" ref="G1962">Food_Orders[[#This Row],[Quantity_Orderd]]*_xlfn.XLOOKUP(Food_Orders[[#This Row],[Food_ID]],Food_Catalog[[#All],[Food_ID]],Food_Catalog[[#All],[Price_Per_Unit]],0,0)</f>
        <v>22500</v>
      </c>
      <c r="H1962" cm="1">
        <f t="array" ref="H1962">Food_Orders[[#This Row],[Quantity_Orderd]]*_xlfn.XLOOKUP(Food_Orders[[#This Row],[Food_ID]],Food_Catalog[[#All],[Food_ID]],Food_Catalog[[#All],[Client_Price_Per_Unit]],0,0)</f>
        <v>27000</v>
      </c>
      <c r="I1962">
        <f>Food_Orders[[#This Row],[Client_Price]]-Food_Orders[[#This Row],[Cost]]</f>
        <v>4500</v>
      </c>
    </row>
    <row r="1963" spans="1:9" x14ac:dyDescent="0.25">
      <c r="A1963">
        <v>84</v>
      </c>
      <c r="B1963" t="s">
        <v>37</v>
      </c>
      <c r="C1963" t="s">
        <v>8</v>
      </c>
      <c r="D1963" t="s">
        <v>38</v>
      </c>
      <c r="E1963" t="s">
        <v>10</v>
      </c>
      <c r="F1963" cm="1">
        <f t="array" ref="F1963">_xlfn.XLOOKUP(Food_Orders[[#This Row],[Event_No]],Event_Master[[#All],[Event_No]],Event_Master[[#All],[Guest_Count]],,0)</f>
        <v>750</v>
      </c>
      <c r="G1963" cm="1">
        <f t="array" ref="G1963">Food_Orders[[#This Row],[Quantity_Orderd]]*_xlfn.XLOOKUP(Food_Orders[[#This Row],[Food_ID]],Food_Catalog[[#All],[Food_ID]],Food_Catalog[[#All],[Price_Per_Unit]],0,0)</f>
        <v>18750</v>
      </c>
      <c r="H1963" cm="1">
        <f t="array" ref="H1963">Food_Orders[[#This Row],[Quantity_Orderd]]*_xlfn.XLOOKUP(Food_Orders[[#This Row],[Food_ID]],Food_Catalog[[#All],[Food_ID]],Food_Catalog[[#All],[Client_Price_Per_Unit]],0,0)</f>
        <v>22500</v>
      </c>
      <c r="I1963">
        <f>Food_Orders[[#This Row],[Client_Price]]-Food_Orders[[#This Row],[Cost]]</f>
        <v>3750</v>
      </c>
    </row>
    <row r="1964" spans="1:9" x14ac:dyDescent="0.25">
      <c r="A1964">
        <v>84</v>
      </c>
      <c r="B1964" t="s">
        <v>82</v>
      </c>
      <c r="C1964" t="s">
        <v>83</v>
      </c>
      <c r="D1964" t="s">
        <v>84</v>
      </c>
      <c r="E1964" t="s">
        <v>85</v>
      </c>
      <c r="F1964" cm="1">
        <f t="array" ref="F1964">_xlfn.XLOOKUP(Food_Orders[[#This Row],[Event_No]],Event_Master[[#All],[Event_No]],Event_Master[[#All],[Guest_Count]],,0)</f>
        <v>750</v>
      </c>
      <c r="G1964" cm="1">
        <f t="array" ref="G1964">Food_Orders[[#This Row],[Quantity_Orderd]]*_xlfn.XLOOKUP(Food_Orders[[#This Row],[Food_ID]],Food_Catalog[[#All],[Food_ID]],Food_Catalog[[#All],[Price_Per_Unit]],0,0)</f>
        <v>15000</v>
      </c>
      <c r="H1964" cm="1">
        <f t="array" ref="H1964">Food_Orders[[#This Row],[Quantity_Orderd]]*_xlfn.XLOOKUP(Food_Orders[[#This Row],[Food_ID]],Food_Catalog[[#All],[Food_ID]],Food_Catalog[[#All],[Client_Price_Per_Unit]],0,0)</f>
        <v>18000</v>
      </c>
      <c r="I1964">
        <f>Food_Orders[[#This Row],[Client_Price]]-Food_Orders[[#This Row],[Cost]]</f>
        <v>3000</v>
      </c>
    </row>
    <row r="1965" spans="1:9" x14ac:dyDescent="0.25">
      <c r="A1965">
        <v>84</v>
      </c>
      <c r="B1965" t="s">
        <v>86</v>
      </c>
      <c r="C1965" t="s">
        <v>83</v>
      </c>
      <c r="D1965" t="s">
        <v>87</v>
      </c>
      <c r="E1965" t="s">
        <v>85</v>
      </c>
      <c r="F1965" cm="1">
        <f t="array" ref="F1965">_xlfn.XLOOKUP(Food_Orders[[#This Row],[Event_No]],Event_Master[[#All],[Event_No]],Event_Master[[#All],[Guest_Count]],,0)</f>
        <v>750</v>
      </c>
      <c r="G1965" cm="1">
        <f t="array" ref="G1965">Food_Orders[[#This Row],[Quantity_Orderd]]*_xlfn.XLOOKUP(Food_Orders[[#This Row],[Food_ID]],Food_Catalog[[#All],[Food_ID]],Food_Catalog[[#All],[Price_Per_Unit]],0,0)</f>
        <v>15000</v>
      </c>
      <c r="H1965" cm="1">
        <f t="array" ref="H1965">Food_Orders[[#This Row],[Quantity_Orderd]]*_xlfn.XLOOKUP(Food_Orders[[#This Row],[Food_ID]],Food_Catalog[[#All],[Food_ID]],Food_Catalog[[#All],[Client_Price_Per_Unit]],0,0)</f>
        <v>18000</v>
      </c>
      <c r="I1965">
        <f>Food_Orders[[#This Row],[Client_Price]]-Food_Orders[[#This Row],[Cost]]</f>
        <v>3000</v>
      </c>
    </row>
    <row r="1966" spans="1:9" x14ac:dyDescent="0.25">
      <c r="A1966">
        <v>84</v>
      </c>
      <c r="B1966" t="s">
        <v>96</v>
      </c>
      <c r="C1966" t="s">
        <v>83</v>
      </c>
      <c r="D1966" t="s">
        <v>97</v>
      </c>
      <c r="E1966" t="s">
        <v>79</v>
      </c>
      <c r="F1966" cm="1">
        <f t="array" ref="F1966">_xlfn.XLOOKUP(Food_Orders[[#This Row],[Event_No]],Event_Master[[#All],[Event_No]],Event_Master[[#All],[Guest_Count]],,0)</f>
        <v>750</v>
      </c>
      <c r="G1966" cm="1">
        <f t="array" ref="G1966">Food_Orders[[#This Row],[Quantity_Orderd]]*_xlfn.XLOOKUP(Food_Orders[[#This Row],[Food_ID]],Food_Catalog[[#All],[Food_ID]],Food_Catalog[[#All],[Price_Per_Unit]],0,0)</f>
        <v>22500</v>
      </c>
      <c r="H1966" cm="1">
        <f t="array" ref="H1966">Food_Orders[[#This Row],[Quantity_Orderd]]*_xlfn.XLOOKUP(Food_Orders[[#This Row],[Food_ID]],Food_Catalog[[#All],[Food_ID]],Food_Catalog[[#All],[Client_Price_Per_Unit]],0,0)</f>
        <v>27000</v>
      </c>
      <c r="I1966">
        <f>Food_Orders[[#This Row],[Client_Price]]-Food_Orders[[#This Row],[Cost]]</f>
        <v>4500</v>
      </c>
    </row>
    <row r="1967" spans="1:9" x14ac:dyDescent="0.25">
      <c r="A1967">
        <v>84</v>
      </c>
      <c r="B1967" t="s">
        <v>88</v>
      </c>
      <c r="C1967" t="s">
        <v>83</v>
      </c>
      <c r="D1967" t="s">
        <v>89</v>
      </c>
      <c r="E1967" t="s">
        <v>85</v>
      </c>
      <c r="F1967" cm="1">
        <f t="array" ref="F1967">_xlfn.XLOOKUP(Food_Orders[[#This Row],[Event_No]],Event_Master[[#All],[Event_No]],Event_Master[[#All],[Guest_Count]],,0)</f>
        <v>750</v>
      </c>
      <c r="G1967" cm="1">
        <f t="array" ref="G1967">Food_Orders[[#This Row],[Quantity_Orderd]]*_xlfn.XLOOKUP(Food_Orders[[#This Row],[Food_ID]],Food_Catalog[[#All],[Food_ID]],Food_Catalog[[#All],[Price_Per_Unit]],0,0)</f>
        <v>11250</v>
      </c>
      <c r="H1967" cm="1">
        <f t="array" ref="H1967">Food_Orders[[#This Row],[Quantity_Orderd]]*_xlfn.XLOOKUP(Food_Orders[[#This Row],[Food_ID]],Food_Catalog[[#All],[Food_ID]],Food_Catalog[[#All],[Client_Price_Per_Unit]],0,0)</f>
        <v>13500</v>
      </c>
      <c r="I1967">
        <f>Food_Orders[[#This Row],[Client_Price]]-Food_Orders[[#This Row],[Cost]]</f>
        <v>2250</v>
      </c>
    </row>
    <row r="1968" spans="1:9" x14ac:dyDescent="0.25">
      <c r="A1968">
        <v>84</v>
      </c>
      <c r="B1968" t="s">
        <v>92</v>
      </c>
      <c r="C1968" t="s">
        <v>83</v>
      </c>
      <c r="D1968" t="s">
        <v>93</v>
      </c>
      <c r="E1968" t="s">
        <v>85</v>
      </c>
      <c r="F1968" cm="1">
        <f t="array" ref="F1968">_xlfn.XLOOKUP(Food_Orders[[#This Row],[Event_No]],Event_Master[[#All],[Event_No]],Event_Master[[#All],[Guest_Count]],,0)</f>
        <v>750</v>
      </c>
      <c r="G1968" cm="1">
        <f t="array" ref="G1968">Food_Orders[[#This Row],[Quantity_Orderd]]*_xlfn.XLOOKUP(Food_Orders[[#This Row],[Food_ID]],Food_Catalog[[#All],[Food_ID]],Food_Catalog[[#All],[Price_Per_Unit]],0,0)</f>
        <v>11250</v>
      </c>
      <c r="H1968" cm="1">
        <f t="array" ref="H1968">Food_Orders[[#This Row],[Quantity_Orderd]]*_xlfn.XLOOKUP(Food_Orders[[#This Row],[Food_ID]],Food_Catalog[[#All],[Food_ID]],Food_Catalog[[#All],[Client_Price_Per_Unit]],0,0)</f>
        <v>13500</v>
      </c>
      <c r="I1968">
        <f>Food_Orders[[#This Row],[Client_Price]]-Food_Orders[[#This Row],[Cost]]</f>
        <v>2250</v>
      </c>
    </row>
    <row r="1969" spans="1:9" x14ac:dyDescent="0.25">
      <c r="A1969">
        <v>84</v>
      </c>
      <c r="B1969" t="s">
        <v>98</v>
      </c>
      <c r="C1969" t="s">
        <v>83</v>
      </c>
      <c r="D1969" t="s">
        <v>99</v>
      </c>
      <c r="E1969" t="s">
        <v>85</v>
      </c>
      <c r="F1969" cm="1">
        <f t="array" ref="F1969">_xlfn.XLOOKUP(Food_Orders[[#This Row],[Event_No]],Event_Master[[#All],[Event_No]],Event_Master[[#All],[Guest_Count]],,0)</f>
        <v>750</v>
      </c>
      <c r="G1969" cm="1">
        <f t="array" ref="G1969">Food_Orders[[#This Row],[Quantity_Orderd]]*_xlfn.XLOOKUP(Food_Orders[[#This Row],[Food_ID]],Food_Catalog[[#All],[Food_ID]],Food_Catalog[[#All],[Price_Per_Unit]],0,0)</f>
        <v>11250</v>
      </c>
      <c r="H1969" cm="1">
        <f t="array" ref="H1969">Food_Orders[[#This Row],[Quantity_Orderd]]*_xlfn.XLOOKUP(Food_Orders[[#This Row],[Food_ID]],Food_Catalog[[#All],[Food_ID]],Food_Catalog[[#All],[Client_Price_Per_Unit]],0,0)</f>
        <v>13500</v>
      </c>
      <c r="I1969">
        <f>Food_Orders[[#This Row],[Client_Price]]-Food_Orders[[#This Row],[Cost]]</f>
        <v>2250</v>
      </c>
    </row>
    <row r="1970" spans="1:9" x14ac:dyDescent="0.25">
      <c r="A1970">
        <v>84</v>
      </c>
      <c r="B1970" t="s">
        <v>104</v>
      </c>
      <c r="C1970" t="s">
        <v>105</v>
      </c>
      <c r="D1970" t="s">
        <v>106</v>
      </c>
      <c r="E1970" t="s">
        <v>107</v>
      </c>
      <c r="F1970" cm="1">
        <f t="array" ref="F1970">_xlfn.XLOOKUP(Food_Orders[[#This Row],[Event_No]],Event_Master[[#All],[Event_No]],Event_Master[[#All],[Guest_Count]],,0)</f>
        <v>750</v>
      </c>
      <c r="G1970" cm="1">
        <f t="array" ref="G1970">Food_Orders[[#This Row],[Quantity_Orderd]]*_xlfn.XLOOKUP(Food_Orders[[#This Row],[Food_ID]],Food_Catalog[[#All],[Food_ID]],Food_Catalog[[#All],[Price_Per_Unit]],0,0)</f>
        <v>7500</v>
      </c>
      <c r="H1970" cm="1">
        <f t="array" ref="H1970">Food_Orders[[#This Row],[Quantity_Orderd]]*_xlfn.XLOOKUP(Food_Orders[[#This Row],[Food_ID]],Food_Catalog[[#All],[Food_ID]],Food_Catalog[[#All],[Client_Price_Per_Unit]],0,0)</f>
        <v>9000</v>
      </c>
      <c r="I1970">
        <f>Food_Orders[[#This Row],[Client_Price]]-Food_Orders[[#This Row],[Cost]]</f>
        <v>1500</v>
      </c>
    </row>
    <row r="1971" spans="1:9" x14ac:dyDescent="0.25">
      <c r="A1971">
        <v>84</v>
      </c>
      <c r="B1971" t="s">
        <v>108</v>
      </c>
      <c r="C1971" t="s">
        <v>105</v>
      </c>
      <c r="D1971" t="s">
        <v>109</v>
      </c>
      <c r="E1971" t="s">
        <v>107</v>
      </c>
      <c r="F1971" cm="1">
        <f t="array" ref="F1971">_xlfn.XLOOKUP(Food_Orders[[#This Row],[Event_No]],Event_Master[[#All],[Event_No]],Event_Master[[#All],[Guest_Count]],,0)</f>
        <v>750</v>
      </c>
      <c r="G1971" cm="1">
        <f t="array" ref="G1971">Food_Orders[[#This Row],[Quantity_Orderd]]*_xlfn.XLOOKUP(Food_Orders[[#This Row],[Food_ID]],Food_Catalog[[#All],[Food_ID]],Food_Catalog[[#All],[Price_Per_Unit]],0,0)</f>
        <v>11250</v>
      </c>
      <c r="H1971" cm="1">
        <f t="array" ref="H1971">Food_Orders[[#This Row],[Quantity_Orderd]]*_xlfn.XLOOKUP(Food_Orders[[#This Row],[Food_ID]],Food_Catalog[[#All],[Food_ID]],Food_Catalog[[#All],[Client_Price_Per_Unit]],0,0)</f>
        <v>13500</v>
      </c>
      <c r="I1971">
        <f>Food_Orders[[#This Row],[Client_Price]]-Food_Orders[[#This Row],[Cost]]</f>
        <v>2250</v>
      </c>
    </row>
    <row r="1972" spans="1:9" x14ac:dyDescent="0.25">
      <c r="A1972">
        <v>84</v>
      </c>
      <c r="B1972" t="s">
        <v>118</v>
      </c>
      <c r="C1972" t="s">
        <v>119</v>
      </c>
      <c r="D1972" t="s">
        <v>120</v>
      </c>
      <c r="E1972" t="s">
        <v>112</v>
      </c>
      <c r="F1972" cm="1">
        <f t="array" ref="F1972">_xlfn.XLOOKUP(Food_Orders[[#This Row],[Event_No]],Event_Master[[#All],[Event_No]],Event_Master[[#All],[Guest_Count]],,0)</f>
        <v>750</v>
      </c>
      <c r="G1972" cm="1">
        <f t="array" ref="G1972">Food_Orders[[#This Row],[Quantity_Orderd]]*_xlfn.XLOOKUP(Food_Orders[[#This Row],[Food_ID]],Food_Catalog[[#All],[Food_ID]],Food_Catalog[[#All],[Price_Per_Unit]],0,0)</f>
        <v>7500</v>
      </c>
      <c r="H1972" cm="1">
        <f t="array" ref="H1972">Food_Orders[[#This Row],[Quantity_Orderd]]*_xlfn.XLOOKUP(Food_Orders[[#This Row],[Food_ID]],Food_Catalog[[#All],[Food_ID]],Food_Catalog[[#All],[Client_Price_Per_Unit]],0,0)</f>
        <v>9000</v>
      </c>
      <c r="I1972">
        <f>Food_Orders[[#This Row],[Client_Price]]-Food_Orders[[#This Row],[Cost]]</f>
        <v>1500</v>
      </c>
    </row>
    <row r="1973" spans="1:9" x14ac:dyDescent="0.25">
      <c r="A1973">
        <v>84</v>
      </c>
      <c r="B1973" t="s">
        <v>129</v>
      </c>
      <c r="C1973" t="s">
        <v>119</v>
      </c>
      <c r="D1973" t="s">
        <v>130</v>
      </c>
      <c r="E1973" t="s">
        <v>112</v>
      </c>
      <c r="F1973" cm="1">
        <f t="array" ref="F1973">_xlfn.XLOOKUP(Food_Orders[[#This Row],[Event_No]],Event_Master[[#All],[Event_No]],Event_Master[[#All],[Guest_Count]],,0)</f>
        <v>750</v>
      </c>
      <c r="G1973" cm="1">
        <f t="array" ref="G1973">Food_Orders[[#This Row],[Quantity_Orderd]]*_xlfn.XLOOKUP(Food_Orders[[#This Row],[Food_ID]],Food_Catalog[[#All],[Food_ID]],Food_Catalog[[#All],[Price_Per_Unit]],0,0)</f>
        <v>7500</v>
      </c>
      <c r="H1973" cm="1">
        <f t="array" ref="H1973">Food_Orders[[#This Row],[Quantity_Orderd]]*_xlfn.XLOOKUP(Food_Orders[[#This Row],[Food_ID]],Food_Catalog[[#All],[Food_ID]],Food_Catalog[[#All],[Client_Price_Per_Unit]],0,0)</f>
        <v>9000</v>
      </c>
      <c r="I1973">
        <f>Food_Orders[[#This Row],[Client_Price]]-Food_Orders[[#This Row],[Cost]]</f>
        <v>1500</v>
      </c>
    </row>
    <row r="1974" spans="1:9" x14ac:dyDescent="0.25">
      <c r="A1974">
        <v>84</v>
      </c>
      <c r="B1974" t="s">
        <v>127</v>
      </c>
      <c r="C1974" t="s">
        <v>119</v>
      </c>
      <c r="D1974" t="s">
        <v>128</v>
      </c>
      <c r="E1974" t="s">
        <v>107</v>
      </c>
      <c r="F1974" cm="1">
        <f t="array" ref="F1974">_xlfn.XLOOKUP(Food_Orders[[#This Row],[Event_No]],Event_Master[[#All],[Event_No]],Event_Master[[#All],[Guest_Count]],,0)</f>
        <v>750</v>
      </c>
      <c r="G1974" cm="1">
        <f t="array" ref="G1974">Food_Orders[[#This Row],[Quantity_Orderd]]*_xlfn.XLOOKUP(Food_Orders[[#This Row],[Food_ID]],Food_Catalog[[#All],[Food_ID]],Food_Catalog[[#All],[Price_Per_Unit]],0,0)</f>
        <v>15000</v>
      </c>
      <c r="H1974" cm="1">
        <f t="array" ref="H1974">Food_Orders[[#This Row],[Quantity_Orderd]]*_xlfn.XLOOKUP(Food_Orders[[#This Row],[Food_ID]],Food_Catalog[[#All],[Food_ID]],Food_Catalog[[#All],[Client_Price_Per_Unit]],0,0)</f>
        <v>18000</v>
      </c>
      <c r="I1974">
        <f>Food_Orders[[#This Row],[Client_Price]]-Food_Orders[[#This Row],[Cost]]</f>
        <v>3000</v>
      </c>
    </row>
    <row r="1975" spans="1:9" x14ac:dyDescent="0.25">
      <c r="A1975">
        <v>85</v>
      </c>
      <c r="B1975" t="s">
        <v>63</v>
      </c>
      <c r="C1975" t="s">
        <v>61</v>
      </c>
      <c r="D1975" t="s">
        <v>64</v>
      </c>
      <c r="E1975" t="s">
        <v>10</v>
      </c>
      <c r="F1975" cm="1">
        <f t="array" ref="F1975">_xlfn.XLOOKUP(Food_Orders[[#This Row],[Event_No]],Event_Master[[#All],[Event_No]],Event_Master[[#All],[Guest_Count]],,0)</f>
        <v>600</v>
      </c>
      <c r="G1975" cm="1">
        <f t="array" ref="G1975">Food_Orders[[#This Row],[Quantity_Orderd]]*_xlfn.XLOOKUP(Food_Orders[[#This Row],[Food_ID]],Food_Catalog[[#All],[Food_ID]],Food_Catalog[[#All],[Price_Per_Unit]],0,0)</f>
        <v>18000</v>
      </c>
      <c r="H1975" cm="1">
        <f t="array" ref="H1975">Food_Orders[[#This Row],[Quantity_Orderd]]*_xlfn.XLOOKUP(Food_Orders[[#This Row],[Food_ID]],Food_Catalog[[#All],[Food_ID]],Food_Catalog[[#All],[Client_Price_Per_Unit]],0,0)</f>
        <v>21600</v>
      </c>
      <c r="I1975">
        <f>Food_Orders[[#This Row],[Client_Price]]-Food_Orders[[#This Row],[Cost]]</f>
        <v>3600</v>
      </c>
    </row>
    <row r="1976" spans="1:9" x14ac:dyDescent="0.25">
      <c r="A1976">
        <v>85</v>
      </c>
      <c r="B1976" t="s">
        <v>71</v>
      </c>
      <c r="C1976" t="s">
        <v>61</v>
      </c>
      <c r="D1976" t="s">
        <v>72</v>
      </c>
      <c r="E1976" t="s">
        <v>10</v>
      </c>
      <c r="F1976" cm="1">
        <f t="array" ref="F1976">_xlfn.XLOOKUP(Food_Orders[[#This Row],[Event_No]],Event_Master[[#All],[Event_No]],Event_Master[[#All],[Guest_Count]],,0)</f>
        <v>600</v>
      </c>
      <c r="G1976" cm="1">
        <f t="array" ref="G1976">Food_Orders[[#This Row],[Quantity_Orderd]]*_xlfn.XLOOKUP(Food_Orders[[#This Row],[Food_ID]],Food_Catalog[[#All],[Food_ID]],Food_Catalog[[#All],[Price_Per_Unit]],0,0)</f>
        <v>15000</v>
      </c>
      <c r="H1976" cm="1">
        <f t="array" ref="H1976">Food_Orders[[#This Row],[Quantity_Orderd]]*_xlfn.XLOOKUP(Food_Orders[[#This Row],[Food_ID]],Food_Catalog[[#All],[Food_ID]],Food_Catalog[[#All],[Client_Price_Per_Unit]],0,0)</f>
        <v>18000</v>
      </c>
      <c r="I1976">
        <f>Food_Orders[[#This Row],[Client_Price]]-Food_Orders[[#This Row],[Cost]]</f>
        <v>3000</v>
      </c>
    </row>
    <row r="1977" spans="1:9" x14ac:dyDescent="0.25">
      <c r="A1977">
        <v>85</v>
      </c>
      <c r="B1977" t="s">
        <v>77</v>
      </c>
      <c r="C1977" t="s">
        <v>61</v>
      </c>
      <c r="D1977" t="s">
        <v>78</v>
      </c>
      <c r="E1977" t="s">
        <v>79</v>
      </c>
      <c r="F1977" cm="1">
        <f t="array" ref="F1977">_xlfn.XLOOKUP(Food_Orders[[#This Row],[Event_No]],Event_Master[[#All],[Event_No]],Event_Master[[#All],[Guest_Count]],,0)</f>
        <v>600</v>
      </c>
      <c r="G1977" cm="1">
        <f t="array" ref="G1977">Food_Orders[[#This Row],[Quantity_Orderd]]*_xlfn.XLOOKUP(Food_Orders[[#This Row],[Food_ID]],Food_Catalog[[#All],[Food_ID]],Food_Catalog[[#All],[Price_Per_Unit]],0,0)</f>
        <v>21000</v>
      </c>
      <c r="H1977" cm="1">
        <f t="array" ref="H1977">Food_Orders[[#This Row],[Quantity_Orderd]]*_xlfn.XLOOKUP(Food_Orders[[#This Row],[Food_ID]],Food_Catalog[[#All],[Food_ID]],Food_Catalog[[#All],[Client_Price_Per_Unit]],0,0)</f>
        <v>25200</v>
      </c>
      <c r="I1977">
        <f>Food_Orders[[#This Row],[Client_Price]]-Food_Orders[[#This Row],[Cost]]</f>
        <v>4200</v>
      </c>
    </row>
    <row r="1978" spans="1:9" x14ac:dyDescent="0.25">
      <c r="A1978">
        <v>85</v>
      </c>
      <c r="B1978" t="s">
        <v>7</v>
      </c>
      <c r="C1978" t="s">
        <v>8</v>
      </c>
      <c r="D1978" t="s">
        <v>9</v>
      </c>
      <c r="E1978" t="s">
        <v>10</v>
      </c>
      <c r="F1978" cm="1">
        <f t="array" ref="F1978">_xlfn.XLOOKUP(Food_Orders[[#This Row],[Event_No]],Event_Master[[#All],[Event_No]],Event_Master[[#All],[Guest_Count]],,0)</f>
        <v>600</v>
      </c>
      <c r="G1978" cm="1">
        <f t="array" ref="G1978">Food_Orders[[#This Row],[Quantity_Orderd]]*_xlfn.XLOOKUP(Food_Orders[[#This Row],[Food_ID]],Food_Catalog[[#All],[Food_ID]],Food_Catalog[[#All],[Price_Per_Unit]],0,0)</f>
        <v>15000</v>
      </c>
      <c r="H1978" cm="1">
        <f t="array" ref="H1978">Food_Orders[[#This Row],[Quantity_Orderd]]*_xlfn.XLOOKUP(Food_Orders[[#This Row],[Food_ID]],Food_Catalog[[#All],[Food_ID]],Food_Catalog[[#All],[Client_Price_Per_Unit]],0,0)</f>
        <v>18000</v>
      </c>
      <c r="I1978">
        <f>Food_Orders[[#This Row],[Client_Price]]-Food_Orders[[#This Row],[Cost]]</f>
        <v>3000</v>
      </c>
    </row>
    <row r="1979" spans="1:9" x14ac:dyDescent="0.25">
      <c r="A1979">
        <v>85</v>
      </c>
      <c r="B1979" t="s">
        <v>13</v>
      </c>
      <c r="C1979" t="s">
        <v>8</v>
      </c>
      <c r="D1979" t="s">
        <v>14</v>
      </c>
      <c r="E1979" t="s">
        <v>10</v>
      </c>
      <c r="F1979" cm="1">
        <f t="array" ref="F1979">_xlfn.XLOOKUP(Food_Orders[[#This Row],[Event_No]],Event_Master[[#All],[Event_No]],Event_Master[[#All],[Guest_Count]],,0)</f>
        <v>600</v>
      </c>
      <c r="G1979" cm="1">
        <f t="array" ref="G1979">Food_Orders[[#This Row],[Quantity_Orderd]]*_xlfn.XLOOKUP(Food_Orders[[#This Row],[Food_ID]],Food_Catalog[[#All],[Food_ID]],Food_Catalog[[#All],[Price_Per_Unit]],0,0)</f>
        <v>21000</v>
      </c>
      <c r="H1979" cm="1">
        <f t="array" ref="H1979">Food_Orders[[#This Row],[Quantity_Orderd]]*_xlfn.XLOOKUP(Food_Orders[[#This Row],[Food_ID]],Food_Catalog[[#All],[Food_ID]],Food_Catalog[[#All],[Client_Price_Per_Unit]],0,0)</f>
        <v>25200</v>
      </c>
      <c r="I1979">
        <f>Food_Orders[[#This Row],[Client_Price]]-Food_Orders[[#This Row],[Cost]]</f>
        <v>4200</v>
      </c>
    </row>
    <row r="1980" spans="1:9" x14ac:dyDescent="0.25">
      <c r="A1980">
        <v>85</v>
      </c>
      <c r="B1980" t="s">
        <v>31</v>
      </c>
      <c r="C1980" t="s">
        <v>8</v>
      </c>
      <c r="D1980" t="s">
        <v>32</v>
      </c>
      <c r="E1980" t="s">
        <v>10</v>
      </c>
      <c r="F1980" cm="1">
        <f t="array" ref="F1980">_xlfn.XLOOKUP(Food_Orders[[#This Row],[Event_No]],Event_Master[[#All],[Event_No]],Event_Master[[#All],[Guest_Count]],,0)</f>
        <v>600</v>
      </c>
      <c r="G1980" cm="1">
        <f t="array" ref="G1980">Food_Orders[[#This Row],[Quantity_Orderd]]*_xlfn.XLOOKUP(Food_Orders[[#This Row],[Food_ID]],Food_Catalog[[#All],[Food_ID]],Food_Catalog[[#All],[Price_Per_Unit]],0,0)</f>
        <v>18000</v>
      </c>
      <c r="H1980" cm="1">
        <f t="array" ref="H1980">Food_Orders[[#This Row],[Quantity_Orderd]]*_xlfn.XLOOKUP(Food_Orders[[#This Row],[Food_ID]],Food_Catalog[[#All],[Food_ID]],Food_Catalog[[#All],[Client_Price_Per_Unit]],0,0)</f>
        <v>21600</v>
      </c>
      <c r="I1980">
        <f>Food_Orders[[#This Row],[Client_Price]]-Food_Orders[[#This Row],[Cost]]</f>
        <v>3600</v>
      </c>
    </row>
    <row r="1981" spans="1:9" x14ac:dyDescent="0.25">
      <c r="A1981">
        <v>85</v>
      </c>
      <c r="B1981" t="s">
        <v>29</v>
      </c>
      <c r="C1981" t="s">
        <v>8</v>
      </c>
      <c r="D1981" t="s">
        <v>30</v>
      </c>
      <c r="E1981" t="s">
        <v>10</v>
      </c>
      <c r="F1981" cm="1">
        <f t="array" ref="F1981">_xlfn.XLOOKUP(Food_Orders[[#This Row],[Event_No]],Event_Master[[#All],[Event_No]],Event_Master[[#All],[Guest_Count]],,0)</f>
        <v>600</v>
      </c>
      <c r="G1981" cm="1">
        <f t="array" ref="G1981">Food_Orders[[#This Row],[Quantity_Orderd]]*_xlfn.XLOOKUP(Food_Orders[[#This Row],[Food_ID]],Food_Catalog[[#All],[Food_ID]],Food_Catalog[[#All],[Price_Per_Unit]],0,0)</f>
        <v>18000</v>
      </c>
      <c r="H1981" cm="1">
        <f t="array" ref="H1981">Food_Orders[[#This Row],[Quantity_Orderd]]*_xlfn.XLOOKUP(Food_Orders[[#This Row],[Food_ID]],Food_Catalog[[#All],[Food_ID]],Food_Catalog[[#All],[Client_Price_Per_Unit]],0,0)</f>
        <v>21600</v>
      </c>
      <c r="I1981">
        <f>Food_Orders[[#This Row],[Client_Price]]-Food_Orders[[#This Row],[Cost]]</f>
        <v>3600</v>
      </c>
    </row>
    <row r="1982" spans="1:9" x14ac:dyDescent="0.25">
      <c r="A1982">
        <v>85</v>
      </c>
      <c r="B1982" t="s">
        <v>37</v>
      </c>
      <c r="C1982" t="s">
        <v>8</v>
      </c>
      <c r="D1982" t="s">
        <v>38</v>
      </c>
      <c r="E1982" t="s">
        <v>10</v>
      </c>
      <c r="F1982" cm="1">
        <f t="array" ref="F1982">_xlfn.XLOOKUP(Food_Orders[[#This Row],[Event_No]],Event_Master[[#All],[Event_No]],Event_Master[[#All],[Guest_Count]],,0)</f>
        <v>600</v>
      </c>
      <c r="G1982" cm="1">
        <f t="array" ref="G1982">Food_Orders[[#This Row],[Quantity_Orderd]]*_xlfn.XLOOKUP(Food_Orders[[#This Row],[Food_ID]],Food_Catalog[[#All],[Food_ID]],Food_Catalog[[#All],[Price_Per_Unit]],0,0)</f>
        <v>15000</v>
      </c>
      <c r="H1982" cm="1">
        <f t="array" ref="H1982">Food_Orders[[#This Row],[Quantity_Orderd]]*_xlfn.XLOOKUP(Food_Orders[[#This Row],[Food_ID]],Food_Catalog[[#All],[Food_ID]],Food_Catalog[[#All],[Client_Price_Per_Unit]],0,0)</f>
        <v>18000</v>
      </c>
      <c r="I1982">
        <f>Food_Orders[[#This Row],[Client_Price]]-Food_Orders[[#This Row],[Cost]]</f>
        <v>3000</v>
      </c>
    </row>
    <row r="1983" spans="1:9" x14ac:dyDescent="0.25">
      <c r="A1983">
        <v>85</v>
      </c>
      <c r="B1983" t="s">
        <v>82</v>
      </c>
      <c r="C1983" t="s">
        <v>83</v>
      </c>
      <c r="D1983" t="s">
        <v>84</v>
      </c>
      <c r="E1983" t="s">
        <v>85</v>
      </c>
      <c r="F1983" cm="1">
        <f t="array" ref="F1983">_xlfn.XLOOKUP(Food_Orders[[#This Row],[Event_No]],Event_Master[[#All],[Event_No]],Event_Master[[#All],[Guest_Count]],,0)</f>
        <v>600</v>
      </c>
      <c r="G1983" cm="1">
        <f t="array" ref="G1983">Food_Orders[[#This Row],[Quantity_Orderd]]*_xlfn.XLOOKUP(Food_Orders[[#This Row],[Food_ID]],Food_Catalog[[#All],[Food_ID]],Food_Catalog[[#All],[Price_Per_Unit]],0,0)</f>
        <v>12000</v>
      </c>
      <c r="H1983" cm="1">
        <f t="array" ref="H1983">Food_Orders[[#This Row],[Quantity_Orderd]]*_xlfn.XLOOKUP(Food_Orders[[#This Row],[Food_ID]],Food_Catalog[[#All],[Food_ID]],Food_Catalog[[#All],[Client_Price_Per_Unit]],0,0)</f>
        <v>14400</v>
      </c>
      <c r="I1983">
        <f>Food_Orders[[#This Row],[Client_Price]]-Food_Orders[[#This Row],[Cost]]</f>
        <v>2400</v>
      </c>
    </row>
    <row r="1984" spans="1:9" x14ac:dyDescent="0.25">
      <c r="A1984">
        <v>85</v>
      </c>
      <c r="B1984" t="s">
        <v>86</v>
      </c>
      <c r="C1984" t="s">
        <v>83</v>
      </c>
      <c r="D1984" t="s">
        <v>87</v>
      </c>
      <c r="E1984" t="s">
        <v>85</v>
      </c>
      <c r="F1984" cm="1">
        <f t="array" ref="F1984">_xlfn.XLOOKUP(Food_Orders[[#This Row],[Event_No]],Event_Master[[#All],[Event_No]],Event_Master[[#All],[Guest_Count]],,0)</f>
        <v>600</v>
      </c>
      <c r="G1984" cm="1">
        <f t="array" ref="G1984">Food_Orders[[#This Row],[Quantity_Orderd]]*_xlfn.XLOOKUP(Food_Orders[[#This Row],[Food_ID]],Food_Catalog[[#All],[Food_ID]],Food_Catalog[[#All],[Price_Per_Unit]],0,0)</f>
        <v>12000</v>
      </c>
      <c r="H1984" cm="1">
        <f t="array" ref="H1984">Food_Orders[[#This Row],[Quantity_Orderd]]*_xlfn.XLOOKUP(Food_Orders[[#This Row],[Food_ID]],Food_Catalog[[#All],[Food_ID]],Food_Catalog[[#All],[Client_Price_Per_Unit]],0,0)</f>
        <v>14400</v>
      </c>
      <c r="I1984">
        <f>Food_Orders[[#This Row],[Client_Price]]-Food_Orders[[#This Row],[Cost]]</f>
        <v>2400</v>
      </c>
    </row>
    <row r="1985" spans="1:9" x14ac:dyDescent="0.25">
      <c r="A1985">
        <v>85</v>
      </c>
      <c r="B1985" t="s">
        <v>96</v>
      </c>
      <c r="C1985" t="s">
        <v>83</v>
      </c>
      <c r="D1985" t="s">
        <v>97</v>
      </c>
      <c r="E1985" t="s">
        <v>79</v>
      </c>
      <c r="F1985" cm="1">
        <f t="array" ref="F1985">_xlfn.XLOOKUP(Food_Orders[[#This Row],[Event_No]],Event_Master[[#All],[Event_No]],Event_Master[[#All],[Guest_Count]],,0)</f>
        <v>600</v>
      </c>
      <c r="G1985" cm="1">
        <f t="array" ref="G1985">Food_Orders[[#This Row],[Quantity_Orderd]]*_xlfn.XLOOKUP(Food_Orders[[#This Row],[Food_ID]],Food_Catalog[[#All],[Food_ID]],Food_Catalog[[#All],[Price_Per_Unit]],0,0)</f>
        <v>18000</v>
      </c>
      <c r="H1985" cm="1">
        <f t="array" ref="H1985">Food_Orders[[#This Row],[Quantity_Orderd]]*_xlfn.XLOOKUP(Food_Orders[[#This Row],[Food_ID]],Food_Catalog[[#All],[Food_ID]],Food_Catalog[[#All],[Client_Price_Per_Unit]],0,0)</f>
        <v>21600</v>
      </c>
      <c r="I1985">
        <f>Food_Orders[[#This Row],[Client_Price]]-Food_Orders[[#This Row],[Cost]]</f>
        <v>3600</v>
      </c>
    </row>
    <row r="1986" spans="1:9" x14ac:dyDescent="0.25">
      <c r="A1986">
        <v>85</v>
      </c>
      <c r="B1986" t="s">
        <v>88</v>
      </c>
      <c r="C1986" t="s">
        <v>83</v>
      </c>
      <c r="D1986" t="s">
        <v>89</v>
      </c>
      <c r="E1986" t="s">
        <v>85</v>
      </c>
      <c r="F1986" cm="1">
        <f t="array" ref="F1986">_xlfn.XLOOKUP(Food_Orders[[#This Row],[Event_No]],Event_Master[[#All],[Event_No]],Event_Master[[#All],[Guest_Count]],,0)</f>
        <v>600</v>
      </c>
      <c r="G1986" cm="1">
        <f t="array" ref="G1986">Food_Orders[[#This Row],[Quantity_Orderd]]*_xlfn.XLOOKUP(Food_Orders[[#This Row],[Food_ID]],Food_Catalog[[#All],[Food_ID]],Food_Catalog[[#All],[Price_Per_Unit]],0,0)</f>
        <v>9000</v>
      </c>
      <c r="H1986" cm="1">
        <f t="array" ref="H1986">Food_Orders[[#This Row],[Quantity_Orderd]]*_xlfn.XLOOKUP(Food_Orders[[#This Row],[Food_ID]],Food_Catalog[[#All],[Food_ID]],Food_Catalog[[#All],[Client_Price_Per_Unit]],0,0)</f>
        <v>10800</v>
      </c>
      <c r="I1986">
        <f>Food_Orders[[#This Row],[Client_Price]]-Food_Orders[[#This Row],[Cost]]</f>
        <v>1800</v>
      </c>
    </row>
    <row r="1987" spans="1:9" x14ac:dyDescent="0.25">
      <c r="A1987">
        <v>85</v>
      </c>
      <c r="B1987" t="s">
        <v>118</v>
      </c>
      <c r="C1987" t="s">
        <v>119</v>
      </c>
      <c r="D1987" t="s">
        <v>120</v>
      </c>
      <c r="E1987" t="s">
        <v>112</v>
      </c>
      <c r="F1987" cm="1">
        <f t="array" ref="F1987">_xlfn.XLOOKUP(Food_Orders[[#This Row],[Event_No]],Event_Master[[#All],[Event_No]],Event_Master[[#All],[Guest_Count]],,0)</f>
        <v>600</v>
      </c>
      <c r="G1987" cm="1">
        <f t="array" ref="G1987">Food_Orders[[#This Row],[Quantity_Orderd]]*_xlfn.XLOOKUP(Food_Orders[[#This Row],[Food_ID]],Food_Catalog[[#All],[Food_ID]],Food_Catalog[[#All],[Price_Per_Unit]],0,0)</f>
        <v>6000</v>
      </c>
      <c r="H1987" cm="1">
        <f t="array" ref="H1987">Food_Orders[[#This Row],[Quantity_Orderd]]*_xlfn.XLOOKUP(Food_Orders[[#This Row],[Food_ID]],Food_Catalog[[#All],[Food_ID]],Food_Catalog[[#All],[Client_Price_Per_Unit]],0,0)</f>
        <v>7200</v>
      </c>
      <c r="I1987">
        <f>Food_Orders[[#This Row],[Client_Price]]-Food_Orders[[#This Row],[Cost]]</f>
        <v>1200</v>
      </c>
    </row>
    <row r="1988" spans="1:9" x14ac:dyDescent="0.25">
      <c r="A1988">
        <v>85</v>
      </c>
      <c r="B1988" t="s">
        <v>104</v>
      </c>
      <c r="C1988" t="s">
        <v>105</v>
      </c>
      <c r="D1988" t="s">
        <v>106</v>
      </c>
      <c r="E1988" t="s">
        <v>107</v>
      </c>
      <c r="F1988" cm="1">
        <f t="array" ref="F1988">_xlfn.XLOOKUP(Food_Orders[[#This Row],[Event_No]],Event_Master[[#All],[Event_No]],Event_Master[[#All],[Guest_Count]],,0)</f>
        <v>600</v>
      </c>
      <c r="G1988" cm="1">
        <f t="array" ref="G1988">Food_Orders[[#This Row],[Quantity_Orderd]]*_xlfn.XLOOKUP(Food_Orders[[#This Row],[Food_ID]],Food_Catalog[[#All],[Food_ID]],Food_Catalog[[#All],[Price_Per_Unit]],0,0)</f>
        <v>6000</v>
      </c>
      <c r="H1988" cm="1">
        <f t="array" ref="H1988">Food_Orders[[#This Row],[Quantity_Orderd]]*_xlfn.XLOOKUP(Food_Orders[[#This Row],[Food_ID]],Food_Catalog[[#All],[Food_ID]],Food_Catalog[[#All],[Client_Price_Per_Unit]],0,0)</f>
        <v>7200</v>
      </c>
      <c r="I1988">
        <f>Food_Orders[[#This Row],[Client_Price]]-Food_Orders[[#This Row],[Cost]]</f>
        <v>1200</v>
      </c>
    </row>
    <row r="1989" spans="1:9" x14ac:dyDescent="0.25">
      <c r="A1989">
        <v>86</v>
      </c>
      <c r="B1989" t="s">
        <v>118</v>
      </c>
      <c r="C1989" t="s">
        <v>119</v>
      </c>
      <c r="D1989" t="s">
        <v>120</v>
      </c>
      <c r="E1989" t="s">
        <v>112</v>
      </c>
      <c r="F1989" cm="1">
        <f t="array" ref="F1989">_xlfn.XLOOKUP(Food_Orders[[#This Row],[Event_No]],Event_Master[[#All],[Event_No]],Event_Master[[#All],[Guest_Count]],,0)</f>
        <v>400</v>
      </c>
      <c r="G1989" cm="1">
        <f t="array" ref="G1989">Food_Orders[[#This Row],[Quantity_Orderd]]*_xlfn.XLOOKUP(Food_Orders[[#This Row],[Food_ID]],Food_Catalog[[#All],[Food_ID]],Food_Catalog[[#All],[Price_Per_Unit]],0,0)</f>
        <v>4000</v>
      </c>
      <c r="H1989" cm="1">
        <f t="array" ref="H1989">Food_Orders[[#This Row],[Quantity_Orderd]]*_xlfn.XLOOKUP(Food_Orders[[#This Row],[Food_ID]],Food_Catalog[[#All],[Food_ID]],Food_Catalog[[#All],[Client_Price_Per_Unit]],0,0)</f>
        <v>4800</v>
      </c>
      <c r="I1989">
        <f>Food_Orders[[#This Row],[Client_Price]]-Food_Orders[[#This Row],[Cost]]</f>
        <v>800</v>
      </c>
    </row>
    <row r="1990" spans="1:9" x14ac:dyDescent="0.25">
      <c r="A1990">
        <v>86</v>
      </c>
      <c r="B1990" t="s">
        <v>129</v>
      </c>
      <c r="C1990" t="s">
        <v>119</v>
      </c>
      <c r="D1990" t="s">
        <v>130</v>
      </c>
      <c r="E1990" t="s">
        <v>112</v>
      </c>
      <c r="F1990" cm="1">
        <f t="array" ref="F1990">_xlfn.XLOOKUP(Food_Orders[[#This Row],[Event_No]],Event_Master[[#All],[Event_No]],Event_Master[[#All],[Guest_Count]],,0)</f>
        <v>400</v>
      </c>
      <c r="G1990" cm="1">
        <f t="array" ref="G1990">Food_Orders[[#This Row],[Quantity_Orderd]]*_xlfn.XLOOKUP(Food_Orders[[#This Row],[Food_ID]],Food_Catalog[[#All],[Food_ID]],Food_Catalog[[#All],[Price_Per_Unit]],0,0)</f>
        <v>4000</v>
      </c>
      <c r="H1990" cm="1">
        <f t="array" ref="H1990">Food_Orders[[#This Row],[Quantity_Orderd]]*_xlfn.XLOOKUP(Food_Orders[[#This Row],[Food_ID]],Food_Catalog[[#All],[Food_ID]],Food_Catalog[[#All],[Client_Price_Per_Unit]],0,0)</f>
        <v>4800</v>
      </c>
      <c r="I1990">
        <f>Food_Orders[[#This Row],[Client_Price]]-Food_Orders[[#This Row],[Cost]]</f>
        <v>800</v>
      </c>
    </row>
    <row r="1991" spans="1:9" x14ac:dyDescent="0.25">
      <c r="A1991">
        <v>86</v>
      </c>
      <c r="B1991" t="s">
        <v>104</v>
      </c>
      <c r="C1991" t="s">
        <v>105</v>
      </c>
      <c r="D1991" t="s">
        <v>106</v>
      </c>
      <c r="E1991" t="s">
        <v>107</v>
      </c>
      <c r="F1991" cm="1">
        <f t="array" ref="F1991">_xlfn.XLOOKUP(Food_Orders[[#This Row],[Event_No]],Event_Master[[#All],[Event_No]],Event_Master[[#All],[Guest_Count]],,0)</f>
        <v>400</v>
      </c>
      <c r="G1991" cm="1">
        <f t="array" ref="G1991">Food_Orders[[#This Row],[Quantity_Orderd]]*_xlfn.XLOOKUP(Food_Orders[[#This Row],[Food_ID]],Food_Catalog[[#All],[Food_ID]],Food_Catalog[[#All],[Price_Per_Unit]],0,0)</f>
        <v>4000</v>
      </c>
      <c r="H1991" cm="1">
        <f t="array" ref="H1991">Food_Orders[[#This Row],[Quantity_Orderd]]*_xlfn.XLOOKUP(Food_Orders[[#This Row],[Food_ID]],Food_Catalog[[#All],[Food_ID]],Food_Catalog[[#All],[Client_Price_Per_Unit]],0,0)</f>
        <v>4800</v>
      </c>
      <c r="I1991">
        <f>Food_Orders[[#This Row],[Client_Price]]-Food_Orders[[#This Row],[Cost]]</f>
        <v>800</v>
      </c>
    </row>
    <row r="1992" spans="1:9" x14ac:dyDescent="0.25">
      <c r="A1992">
        <v>86</v>
      </c>
      <c r="B1992" t="s">
        <v>108</v>
      </c>
      <c r="C1992" t="s">
        <v>105</v>
      </c>
      <c r="D1992" t="s">
        <v>109</v>
      </c>
      <c r="E1992" t="s">
        <v>107</v>
      </c>
      <c r="F1992" cm="1">
        <f t="array" ref="F1992">_xlfn.XLOOKUP(Food_Orders[[#This Row],[Event_No]],Event_Master[[#All],[Event_No]],Event_Master[[#All],[Guest_Count]],,0)</f>
        <v>400</v>
      </c>
      <c r="G1992" cm="1">
        <f t="array" ref="G1992">Food_Orders[[#This Row],[Quantity_Orderd]]*_xlfn.XLOOKUP(Food_Orders[[#This Row],[Food_ID]],Food_Catalog[[#All],[Food_ID]],Food_Catalog[[#All],[Price_Per_Unit]],0,0)</f>
        <v>6000</v>
      </c>
      <c r="H1992" cm="1">
        <f t="array" ref="H1992">Food_Orders[[#This Row],[Quantity_Orderd]]*_xlfn.XLOOKUP(Food_Orders[[#This Row],[Food_ID]],Food_Catalog[[#All],[Food_ID]],Food_Catalog[[#All],[Client_Price_Per_Unit]],0,0)</f>
        <v>7200</v>
      </c>
      <c r="I1992">
        <f>Food_Orders[[#This Row],[Client_Price]]-Food_Orders[[#This Row],[Cost]]</f>
        <v>1200</v>
      </c>
    </row>
    <row r="1993" spans="1:9" x14ac:dyDescent="0.25">
      <c r="A1993">
        <v>86</v>
      </c>
      <c r="B1993" t="s">
        <v>127</v>
      </c>
      <c r="C1993" t="s">
        <v>119</v>
      </c>
      <c r="D1993" t="s">
        <v>128</v>
      </c>
      <c r="E1993" t="s">
        <v>107</v>
      </c>
      <c r="F1993" cm="1">
        <f t="array" ref="F1993">_xlfn.XLOOKUP(Food_Orders[[#This Row],[Event_No]],Event_Master[[#All],[Event_No]],Event_Master[[#All],[Guest_Count]],,0)</f>
        <v>400</v>
      </c>
      <c r="G1993" cm="1">
        <f t="array" ref="G1993">Food_Orders[[#This Row],[Quantity_Orderd]]*_xlfn.XLOOKUP(Food_Orders[[#This Row],[Food_ID]],Food_Catalog[[#All],[Food_ID]],Food_Catalog[[#All],[Price_Per_Unit]],0,0)</f>
        <v>8000</v>
      </c>
      <c r="H1993" cm="1">
        <f t="array" ref="H1993">Food_Orders[[#This Row],[Quantity_Orderd]]*_xlfn.XLOOKUP(Food_Orders[[#This Row],[Food_ID]],Food_Catalog[[#All],[Food_ID]],Food_Catalog[[#All],[Client_Price_Per_Unit]],0,0)</f>
        <v>9600</v>
      </c>
      <c r="I1993">
        <f>Food_Orders[[#This Row],[Client_Price]]-Food_Orders[[#This Row],[Cost]]</f>
        <v>1600</v>
      </c>
    </row>
    <row r="1994" spans="1:9" x14ac:dyDescent="0.25">
      <c r="A1994">
        <v>86</v>
      </c>
      <c r="B1994" t="s">
        <v>121</v>
      </c>
      <c r="C1994" t="s">
        <v>119</v>
      </c>
      <c r="D1994" t="s">
        <v>122</v>
      </c>
      <c r="E1994" t="s">
        <v>123</v>
      </c>
      <c r="F1994" cm="1">
        <f t="array" ref="F1994">_xlfn.XLOOKUP(Food_Orders[[#This Row],[Event_No]],Event_Master[[#All],[Event_No]],Event_Master[[#All],[Guest_Count]],,0)</f>
        <v>400</v>
      </c>
      <c r="G1994" cm="1">
        <f t="array" ref="G1994">Food_Orders[[#This Row],[Quantity_Orderd]]*_xlfn.XLOOKUP(Food_Orders[[#This Row],[Food_ID]],Food_Catalog[[#All],[Food_ID]],Food_Catalog[[#All],[Price_Per_Unit]],0,0)</f>
        <v>4000</v>
      </c>
      <c r="H1994" cm="1">
        <f t="array" ref="H1994">Food_Orders[[#This Row],[Quantity_Orderd]]*_xlfn.XLOOKUP(Food_Orders[[#This Row],[Food_ID]],Food_Catalog[[#All],[Food_ID]],Food_Catalog[[#All],[Client_Price_Per_Unit]],0,0)</f>
        <v>4800</v>
      </c>
      <c r="I1994">
        <f>Food_Orders[[#This Row],[Client_Price]]-Food_Orders[[#This Row],[Cost]]</f>
        <v>800</v>
      </c>
    </row>
    <row r="1995" spans="1:9" x14ac:dyDescent="0.25">
      <c r="A1995">
        <v>86</v>
      </c>
      <c r="B1995" t="s">
        <v>124</v>
      </c>
      <c r="C1995" t="s">
        <v>119</v>
      </c>
      <c r="D1995" t="s">
        <v>125</v>
      </c>
      <c r="E1995" t="s">
        <v>126</v>
      </c>
      <c r="F1995" cm="1">
        <f t="array" ref="F1995">_xlfn.XLOOKUP(Food_Orders[[#This Row],[Event_No]],Event_Master[[#All],[Event_No]],Event_Master[[#All],[Guest_Count]],,0)</f>
        <v>400</v>
      </c>
      <c r="G1995" cm="1">
        <f t="array" ref="G1995">Food_Orders[[#This Row],[Quantity_Orderd]]*_xlfn.XLOOKUP(Food_Orders[[#This Row],[Food_ID]],Food_Catalog[[#All],[Food_ID]],Food_Catalog[[#All],[Price_Per_Unit]],0,0)</f>
        <v>8000</v>
      </c>
      <c r="H1995" cm="1">
        <f t="array" ref="H1995">Food_Orders[[#This Row],[Quantity_Orderd]]*_xlfn.XLOOKUP(Food_Orders[[#This Row],[Food_ID]],Food_Catalog[[#All],[Food_ID]],Food_Catalog[[#All],[Client_Price_Per_Unit]],0,0)</f>
        <v>9600</v>
      </c>
      <c r="I1995">
        <f>Food_Orders[[#This Row],[Client_Price]]-Food_Orders[[#This Row],[Cost]]</f>
        <v>1600</v>
      </c>
    </row>
    <row r="1996" spans="1:9" x14ac:dyDescent="0.25">
      <c r="A1996">
        <v>86</v>
      </c>
      <c r="B1996" t="s">
        <v>63</v>
      </c>
      <c r="C1996" t="s">
        <v>61</v>
      </c>
      <c r="D1996" t="s">
        <v>64</v>
      </c>
      <c r="E1996" t="s">
        <v>10</v>
      </c>
      <c r="F1996" cm="1">
        <f t="array" ref="F1996">_xlfn.XLOOKUP(Food_Orders[[#This Row],[Event_No]],Event_Master[[#All],[Event_No]],Event_Master[[#All],[Guest_Count]],,0)</f>
        <v>400</v>
      </c>
      <c r="G1996" cm="1">
        <f t="array" ref="G1996">Food_Orders[[#This Row],[Quantity_Orderd]]*_xlfn.XLOOKUP(Food_Orders[[#This Row],[Food_ID]],Food_Catalog[[#All],[Food_ID]],Food_Catalog[[#All],[Price_Per_Unit]],0,0)</f>
        <v>12000</v>
      </c>
      <c r="H1996" cm="1">
        <f t="array" ref="H1996">Food_Orders[[#This Row],[Quantity_Orderd]]*_xlfn.XLOOKUP(Food_Orders[[#This Row],[Food_ID]],Food_Catalog[[#All],[Food_ID]],Food_Catalog[[#All],[Client_Price_Per_Unit]],0,0)</f>
        <v>14400</v>
      </c>
      <c r="I1996">
        <f>Food_Orders[[#This Row],[Client_Price]]-Food_Orders[[#This Row],[Cost]]</f>
        <v>2400</v>
      </c>
    </row>
    <row r="1997" spans="1:9" x14ac:dyDescent="0.25">
      <c r="A1997">
        <v>86</v>
      </c>
      <c r="B1997" t="s">
        <v>71</v>
      </c>
      <c r="C1997" t="s">
        <v>61</v>
      </c>
      <c r="D1997" t="s">
        <v>72</v>
      </c>
      <c r="E1997" t="s">
        <v>10</v>
      </c>
      <c r="F1997" cm="1">
        <f t="array" ref="F1997">_xlfn.XLOOKUP(Food_Orders[[#This Row],[Event_No]],Event_Master[[#All],[Event_No]],Event_Master[[#All],[Guest_Count]],,0)</f>
        <v>400</v>
      </c>
      <c r="G1997" cm="1">
        <f t="array" ref="G1997">Food_Orders[[#This Row],[Quantity_Orderd]]*_xlfn.XLOOKUP(Food_Orders[[#This Row],[Food_ID]],Food_Catalog[[#All],[Food_ID]],Food_Catalog[[#All],[Price_Per_Unit]],0,0)</f>
        <v>10000</v>
      </c>
      <c r="H1997" cm="1">
        <f t="array" ref="H1997">Food_Orders[[#This Row],[Quantity_Orderd]]*_xlfn.XLOOKUP(Food_Orders[[#This Row],[Food_ID]],Food_Catalog[[#All],[Food_ID]],Food_Catalog[[#All],[Client_Price_Per_Unit]],0,0)</f>
        <v>12000</v>
      </c>
      <c r="I1997">
        <f>Food_Orders[[#This Row],[Client_Price]]-Food_Orders[[#This Row],[Cost]]</f>
        <v>2000</v>
      </c>
    </row>
    <row r="1998" spans="1:9" x14ac:dyDescent="0.25">
      <c r="A1998">
        <v>86</v>
      </c>
      <c r="B1998" t="s">
        <v>29</v>
      </c>
      <c r="C1998" t="s">
        <v>8</v>
      </c>
      <c r="D1998" t="s">
        <v>30</v>
      </c>
      <c r="E1998" t="s">
        <v>10</v>
      </c>
      <c r="F1998" cm="1">
        <f t="array" ref="F1998">_xlfn.XLOOKUP(Food_Orders[[#This Row],[Event_No]],Event_Master[[#All],[Event_No]],Event_Master[[#All],[Guest_Count]],,0)</f>
        <v>400</v>
      </c>
      <c r="G1998" cm="1">
        <f t="array" ref="G1998">Food_Orders[[#This Row],[Quantity_Orderd]]*_xlfn.XLOOKUP(Food_Orders[[#This Row],[Food_ID]],Food_Catalog[[#All],[Food_ID]],Food_Catalog[[#All],[Price_Per_Unit]],0,0)</f>
        <v>12000</v>
      </c>
      <c r="H1998" cm="1">
        <f t="array" ref="H1998">Food_Orders[[#This Row],[Quantity_Orderd]]*_xlfn.XLOOKUP(Food_Orders[[#This Row],[Food_ID]],Food_Catalog[[#All],[Food_ID]],Food_Catalog[[#All],[Client_Price_Per_Unit]],0,0)</f>
        <v>14400</v>
      </c>
      <c r="I1998">
        <f>Food_Orders[[#This Row],[Client_Price]]-Food_Orders[[#This Row],[Cost]]</f>
        <v>2400</v>
      </c>
    </row>
    <row r="1999" spans="1:9" x14ac:dyDescent="0.25">
      <c r="A1999">
        <v>86</v>
      </c>
      <c r="B1999" t="s">
        <v>37</v>
      </c>
      <c r="C1999" t="s">
        <v>8</v>
      </c>
      <c r="D1999" t="s">
        <v>38</v>
      </c>
      <c r="E1999" t="s">
        <v>10</v>
      </c>
      <c r="F1999" cm="1">
        <f t="array" ref="F1999">_xlfn.XLOOKUP(Food_Orders[[#This Row],[Event_No]],Event_Master[[#All],[Event_No]],Event_Master[[#All],[Guest_Count]],,0)</f>
        <v>400</v>
      </c>
      <c r="G1999" cm="1">
        <f t="array" ref="G1999">Food_Orders[[#This Row],[Quantity_Orderd]]*_xlfn.XLOOKUP(Food_Orders[[#This Row],[Food_ID]],Food_Catalog[[#All],[Food_ID]],Food_Catalog[[#All],[Price_Per_Unit]],0,0)</f>
        <v>10000</v>
      </c>
      <c r="H1999" cm="1">
        <f t="array" ref="H1999">Food_Orders[[#This Row],[Quantity_Orderd]]*_xlfn.XLOOKUP(Food_Orders[[#This Row],[Food_ID]],Food_Catalog[[#All],[Food_ID]],Food_Catalog[[#All],[Client_Price_Per_Unit]],0,0)</f>
        <v>12000</v>
      </c>
      <c r="I1999">
        <f>Food_Orders[[#This Row],[Client_Price]]-Food_Orders[[#This Row],[Cost]]</f>
        <v>2000</v>
      </c>
    </row>
    <row r="2000" spans="1:9" x14ac:dyDescent="0.25">
      <c r="A2000">
        <v>86</v>
      </c>
      <c r="B2000" t="s">
        <v>82</v>
      </c>
      <c r="C2000" t="s">
        <v>83</v>
      </c>
      <c r="D2000" t="s">
        <v>84</v>
      </c>
      <c r="E2000" t="s">
        <v>85</v>
      </c>
      <c r="F2000" cm="1">
        <f t="array" ref="F2000">_xlfn.XLOOKUP(Food_Orders[[#This Row],[Event_No]],Event_Master[[#All],[Event_No]],Event_Master[[#All],[Guest_Count]],,0)</f>
        <v>400</v>
      </c>
      <c r="G2000" cm="1">
        <f t="array" ref="G2000">Food_Orders[[#This Row],[Quantity_Orderd]]*_xlfn.XLOOKUP(Food_Orders[[#This Row],[Food_ID]],Food_Catalog[[#All],[Food_ID]],Food_Catalog[[#All],[Price_Per_Unit]],0,0)</f>
        <v>8000</v>
      </c>
      <c r="H2000" cm="1">
        <f t="array" ref="H2000">Food_Orders[[#This Row],[Quantity_Orderd]]*_xlfn.XLOOKUP(Food_Orders[[#This Row],[Food_ID]],Food_Catalog[[#All],[Food_ID]],Food_Catalog[[#All],[Client_Price_Per_Unit]],0,0)</f>
        <v>9600</v>
      </c>
      <c r="I2000">
        <f>Food_Orders[[#This Row],[Client_Price]]-Food_Orders[[#This Row],[Cost]]</f>
        <v>1600</v>
      </c>
    </row>
    <row r="2001" spans="1:9" x14ac:dyDescent="0.25">
      <c r="A2001">
        <v>86</v>
      </c>
      <c r="B2001" t="s">
        <v>96</v>
      </c>
      <c r="C2001" t="s">
        <v>83</v>
      </c>
      <c r="D2001" t="s">
        <v>97</v>
      </c>
      <c r="E2001" t="s">
        <v>79</v>
      </c>
      <c r="F2001" cm="1">
        <f t="array" ref="F2001">_xlfn.XLOOKUP(Food_Orders[[#This Row],[Event_No]],Event_Master[[#All],[Event_No]],Event_Master[[#All],[Guest_Count]],,0)</f>
        <v>400</v>
      </c>
      <c r="G2001" cm="1">
        <f t="array" ref="G2001">Food_Orders[[#This Row],[Quantity_Orderd]]*_xlfn.XLOOKUP(Food_Orders[[#This Row],[Food_ID]],Food_Catalog[[#All],[Food_ID]],Food_Catalog[[#All],[Price_Per_Unit]],0,0)</f>
        <v>12000</v>
      </c>
      <c r="H2001" cm="1">
        <f t="array" ref="H2001">Food_Orders[[#This Row],[Quantity_Orderd]]*_xlfn.XLOOKUP(Food_Orders[[#This Row],[Food_ID]],Food_Catalog[[#All],[Food_ID]],Food_Catalog[[#All],[Client_Price_Per_Unit]],0,0)</f>
        <v>14400</v>
      </c>
      <c r="I2001">
        <f>Food_Orders[[#This Row],[Client_Price]]-Food_Orders[[#This Row],[Cost]]</f>
        <v>2400</v>
      </c>
    </row>
    <row r="2002" spans="1:9" x14ac:dyDescent="0.25">
      <c r="A2002">
        <v>87</v>
      </c>
      <c r="B2002" t="s">
        <v>118</v>
      </c>
      <c r="C2002" t="s">
        <v>119</v>
      </c>
      <c r="D2002" t="s">
        <v>120</v>
      </c>
      <c r="E2002" t="s">
        <v>112</v>
      </c>
      <c r="F2002" cm="1">
        <f t="array" ref="F2002">_xlfn.XLOOKUP(Food_Orders[[#This Row],[Event_No]],Event_Master[[#All],[Event_No]],Event_Master[[#All],[Guest_Count]],,0)</f>
        <v>300</v>
      </c>
      <c r="G2002" cm="1">
        <f t="array" ref="G2002">Food_Orders[[#This Row],[Quantity_Orderd]]*_xlfn.XLOOKUP(Food_Orders[[#This Row],[Food_ID]],Food_Catalog[[#All],[Food_ID]],Food_Catalog[[#All],[Price_Per_Unit]],0,0)</f>
        <v>3000</v>
      </c>
      <c r="H2002" cm="1">
        <f t="array" ref="H2002">Food_Orders[[#This Row],[Quantity_Orderd]]*_xlfn.XLOOKUP(Food_Orders[[#This Row],[Food_ID]],Food_Catalog[[#All],[Food_ID]],Food_Catalog[[#All],[Client_Price_Per_Unit]],0,0)</f>
        <v>3600</v>
      </c>
      <c r="I2002">
        <f>Food_Orders[[#This Row],[Client_Price]]-Food_Orders[[#This Row],[Cost]]</f>
        <v>600</v>
      </c>
    </row>
    <row r="2003" spans="1:9" x14ac:dyDescent="0.25">
      <c r="A2003">
        <v>87</v>
      </c>
      <c r="B2003" t="s">
        <v>129</v>
      </c>
      <c r="C2003" t="s">
        <v>119</v>
      </c>
      <c r="D2003" t="s">
        <v>130</v>
      </c>
      <c r="E2003" t="s">
        <v>112</v>
      </c>
      <c r="F2003" cm="1">
        <f t="array" ref="F2003">_xlfn.XLOOKUP(Food_Orders[[#This Row],[Event_No]],Event_Master[[#All],[Event_No]],Event_Master[[#All],[Guest_Count]],,0)</f>
        <v>300</v>
      </c>
      <c r="G2003" cm="1">
        <f t="array" ref="G2003">Food_Orders[[#This Row],[Quantity_Orderd]]*_xlfn.XLOOKUP(Food_Orders[[#This Row],[Food_ID]],Food_Catalog[[#All],[Food_ID]],Food_Catalog[[#All],[Price_Per_Unit]],0,0)</f>
        <v>3000</v>
      </c>
      <c r="H2003" cm="1">
        <f t="array" ref="H2003">Food_Orders[[#This Row],[Quantity_Orderd]]*_xlfn.XLOOKUP(Food_Orders[[#This Row],[Food_ID]],Food_Catalog[[#All],[Food_ID]],Food_Catalog[[#All],[Client_Price_Per_Unit]],0,0)</f>
        <v>3600</v>
      </c>
      <c r="I2003">
        <f>Food_Orders[[#This Row],[Client_Price]]-Food_Orders[[#This Row],[Cost]]</f>
        <v>600</v>
      </c>
    </row>
    <row r="2004" spans="1:9" x14ac:dyDescent="0.25">
      <c r="A2004">
        <v>87</v>
      </c>
      <c r="B2004" t="s">
        <v>104</v>
      </c>
      <c r="C2004" t="s">
        <v>105</v>
      </c>
      <c r="D2004" t="s">
        <v>106</v>
      </c>
      <c r="E2004" t="s">
        <v>107</v>
      </c>
      <c r="F2004" cm="1">
        <f t="array" ref="F2004">_xlfn.XLOOKUP(Food_Orders[[#This Row],[Event_No]],Event_Master[[#All],[Event_No]],Event_Master[[#All],[Guest_Count]],,0)</f>
        <v>300</v>
      </c>
      <c r="G2004" cm="1">
        <f t="array" ref="G2004">Food_Orders[[#This Row],[Quantity_Orderd]]*_xlfn.XLOOKUP(Food_Orders[[#This Row],[Food_ID]],Food_Catalog[[#All],[Food_ID]],Food_Catalog[[#All],[Price_Per_Unit]],0,0)</f>
        <v>3000</v>
      </c>
      <c r="H2004" cm="1">
        <f t="array" ref="H2004">Food_Orders[[#This Row],[Quantity_Orderd]]*_xlfn.XLOOKUP(Food_Orders[[#This Row],[Food_ID]],Food_Catalog[[#All],[Food_ID]],Food_Catalog[[#All],[Client_Price_Per_Unit]],0,0)</f>
        <v>3600</v>
      </c>
      <c r="I2004">
        <f>Food_Orders[[#This Row],[Client_Price]]-Food_Orders[[#This Row],[Cost]]</f>
        <v>600</v>
      </c>
    </row>
    <row r="2005" spans="1:9" x14ac:dyDescent="0.25">
      <c r="A2005">
        <v>87</v>
      </c>
      <c r="B2005" t="s">
        <v>108</v>
      </c>
      <c r="C2005" t="s">
        <v>105</v>
      </c>
      <c r="D2005" t="s">
        <v>109</v>
      </c>
      <c r="E2005" t="s">
        <v>107</v>
      </c>
      <c r="F2005" cm="1">
        <f t="array" ref="F2005">_xlfn.XLOOKUP(Food_Orders[[#This Row],[Event_No]],Event_Master[[#All],[Event_No]],Event_Master[[#All],[Guest_Count]],,0)</f>
        <v>300</v>
      </c>
      <c r="G2005" cm="1">
        <f t="array" ref="G2005">Food_Orders[[#This Row],[Quantity_Orderd]]*_xlfn.XLOOKUP(Food_Orders[[#This Row],[Food_ID]],Food_Catalog[[#All],[Food_ID]],Food_Catalog[[#All],[Price_Per_Unit]],0,0)</f>
        <v>4500</v>
      </c>
      <c r="H2005" cm="1">
        <f t="array" ref="H2005">Food_Orders[[#This Row],[Quantity_Orderd]]*_xlfn.XLOOKUP(Food_Orders[[#This Row],[Food_ID]],Food_Catalog[[#All],[Food_ID]],Food_Catalog[[#All],[Client_Price_Per_Unit]],0,0)</f>
        <v>5400</v>
      </c>
      <c r="I2005">
        <f>Food_Orders[[#This Row],[Client_Price]]-Food_Orders[[#This Row],[Cost]]</f>
        <v>900</v>
      </c>
    </row>
    <row r="2006" spans="1:9" x14ac:dyDescent="0.25">
      <c r="A2006">
        <v>87</v>
      </c>
      <c r="B2006" t="s">
        <v>127</v>
      </c>
      <c r="C2006" t="s">
        <v>119</v>
      </c>
      <c r="D2006" t="s">
        <v>128</v>
      </c>
      <c r="E2006" t="s">
        <v>107</v>
      </c>
      <c r="F2006" cm="1">
        <f t="array" ref="F2006">_xlfn.XLOOKUP(Food_Orders[[#This Row],[Event_No]],Event_Master[[#All],[Event_No]],Event_Master[[#All],[Guest_Count]],,0)</f>
        <v>300</v>
      </c>
      <c r="G2006" cm="1">
        <f t="array" ref="G2006">Food_Orders[[#This Row],[Quantity_Orderd]]*_xlfn.XLOOKUP(Food_Orders[[#This Row],[Food_ID]],Food_Catalog[[#All],[Food_ID]],Food_Catalog[[#All],[Price_Per_Unit]],0,0)</f>
        <v>6000</v>
      </c>
      <c r="H2006" cm="1">
        <f t="array" ref="H2006">Food_Orders[[#This Row],[Quantity_Orderd]]*_xlfn.XLOOKUP(Food_Orders[[#This Row],[Food_ID]],Food_Catalog[[#All],[Food_ID]],Food_Catalog[[#All],[Client_Price_Per_Unit]],0,0)</f>
        <v>7200</v>
      </c>
      <c r="I2006">
        <f>Food_Orders[[#This Row],[Client_Price]]-Food_Orders[[#This Row],[Cost]]</f>
        <v>1200</v>
      </c>
    </row>
    <row r="2007" spans="1:9" x14ac:dyDescent="0.25">
      <c r="A2007">
        <v>87</v>
      </c>
      <c r="B2007" t="s">
        <v>121</v>
      </c>
      <c r="C2007" t="s">
        <v>119</v>
      </c>
      <c r="D2007" t="s">
        <v>122</v>
      </c>
      <c r="E2007" t="s">
        <v>123</v>
      </c>
      <c r="F2007" cm="1">
        <f t="array" ref="F2007">_xlfn.XLOOKUP(Food_Orders[[#This Row],[Event_No]],Event_Master[[#All],[Event_No]],Event_Master[[#All],[Guest_Count]],,0)</f>
        <v>300</v>
      </c>
      <c r="G2007" cm="1">
        <f t="array" ref="G2007">Food_Orders[[#This Row],[Quantity_Orderd]]*_xlfn.XLOOKUP(Food_Orders[[#This Row],[Food_ID]],Food_Catalog[[#All],[Food_ID]],Food_Catalog[[#All],[Price_Per_Unit]],0,0)</f>
        <v>3000</v>
      </c>
      <c r="H2007" cm="1">
        <f t="array" ref="H2007">Food_Orders[[#This Row],[Quantity_Orderd]]*_xlfn.XLOOKUP(Food_Orders[[#This Row],[Food_ID]],Food_Catalog[[#All],[Food_ID]],Food_Catalog[[#All],[Client_Price_Per_Unit]],0,0)</f>
        <v>3600</v>
      </c>
      <c r="I2007">
        <f>Food_Orders[[#This Row],[Client_Price]]-Food_Orders[[#This Row],[Cost]]</f>
        <v>600</v>
      </c>
    </row>
    <row r="2008" spans="1:9" x14ac:dyDescent="0.25">
      <c r="A2008">
        <v>87</v>
      </c>
      <c r="B2008" t="s">
        <v>124</v>
      </c>
      <c r="C2008" t="s">
        <v>119</v>
      </c>
      <c r="D2008" t="s">
        <v>125</v>
      </c>
      <c r="E2008" t="s">
        <v>126</v>
      </c>
      <c r="F2008" cm="1">
        <f t="array" ref="F2008">_xlfn.XLOOKUP(Food_Orders[[#This Row],[Event_No]],Event_Master[[#All],[Event_No]],Event_Master[[#All],[Guest_Count]],,0)</f>
        <v>300</v>
      </c>
      <c r="G2008" cm="1">
        <f t="array" ref="G2008">Food_Orders[[#This Row],[Quantity_Orderd]]*_xlfn.XLOOKUP(Food_Orders[[#This Row],[Food_ID]],Food_Catalog[[#All],[Food_ID]],Food_Catalog[[#All],[Price_Per_Unit]],0,0)</f>
        <v>6000</v>
      </c>
      <c r="H2008" cm="1">
        <f t="array" ref="H2008">Food_Orders[[#This Row],[Quantity_Orderd]]*_xlfn.XLOOKUP(Food_Orders[[#This Row],[Food_ID]],Food_Catalog[[#All],[Food_ID]],Food_Catalog[[#All],[Client_Price_Per_Unit]],0,0)</f>
        <v>7200</v>
      </c>
      <c r="I2008">
        <f>Food_Orders[[#This Row],[Client_Price]]-Food_Orders[[#This Row],[Cost]]</f>
        <v>1200</v>
      </c>
    </row>
    <row r="2009" spans="1:9" x14ac:dyDescent="0.25">
      <c r="A2009">
        <v>87</v>
      </c>
      <c r="B2009" t="s">
        <v>63</v>
      </c>
      <c r="C2009" t="s">
        <v>61</v>
      </c>
      <c r="D2009" t="s">
        <v>64</v>
      </c>
      <c r="E2009" t="s">
        <v>10</v>
      </c>
      <c r="F2009" cm="1">
        <f t="array" ref="F2009">_xlfn.XLOOKUP(Food_Orders[[#This Row],[Event_No]],Event_Master[[#All],[Event_No]],Event_Master[[#All],[Guest_Count]],,0)</f>
        <v>300</v>
      </c>
      <c r="G2009" cm="1">
        <f t="array" ref="G2009">Food_Orders[[#This Row],[Quantity_Orderd]]*_xlfn.XLOOKUP(Food_Orders[[#This Row],[Food_ID]],Food_Catalog[[#All],[Food_ID]],Food_Catalog[[#All],[Price_Per_Unit]],0,0)</f>
        <v>9000</v>
      </c>
      <c r="H2009" cm="1">
        <f t="array" ref="H2009">Food_Orders[[#This Row],[Quantity_Orderd]]*_xlfn.XLOOKUP(Food_Orders[[#This Row],[Food_ID]],Food_Catalog[[#All],[Food_ID]],Food_Catalog[[#All],[Client_Price_Per_Unit]],0,0)</f>
        <v>10800</v>
      </c>
      <c r="I2009">
        <f>Food_Orders[[#This Row],[Client_Price]]-Food_Orders[[#This Row],[Cost]]</f>
        <v>1800</v>
      </c>
    </row>
    <row r="2010" spans="1:9" x14ac:dyDescent="0.25">
      <c r="A2010">
        <v>87</v>
      </c>
      <c r="B2010" t="s">
        <v>71</v>
      </c>
      <c r="C2010" t="s">
        <v>61</v>
      </c>
      <c r="D2010" t="s">
        <v>72</v>
      </c>
      <c r="E2010" t="s">
        <v>10</v>
      </c>
      <c r="F2010" cm="1">
        <f t="array" ref="F2010">_xlfn.XLOOKUP(Food_Orders[[#This Row],[Event_No]],Event_Master[[#All],[Event_No]],Event_Master[[#All],[Guest_Count]],,0)</f>
        <v>300</v>
      </c>
      <c r="G2010" cm="1">
        <f t="array" ref="G2010">Food_Orders[[#This Row],[Quantity_Orderd]]*_xlfn.XLOOKUP(Food_Orders[[#This Row],[Food_ID]],Food_Catalog[[#All],[Food_ID]],Food_Catalog[[#All],[Price_Per_Unit]],0,0)</f>
        <v>7500</v>
      </c>
      <c r="H2010" cm="1">
        <f t="array" ref="H2010">Food_Orders[[#This Row],[Quantity_Orderd]]*_xlfn.XLOOKUP(Food_Orders[[#This Row],[Food_ID]],Food_Catalog[[#All],[Food_ID]],Food_Catalog[[#All],[Client_Price_Per_Unit]],0,0)</f>
        <v>9000</v>
      </c>
      <c r="I2010">
        <f>Food_Orders[[#This Row],[Client_Price]]-Food_Orders[[#This Row],[Cost]]</f>
        <v>1500</v>
      </c>
    </row>
    <row r="2011" spans="1:9" x14ac:dyDescent="0.25">
      <c r="A2011">
        <v>87</v>
      </c>
      <c r="B2011" t="s">
        <v>29</v>
      </c>
      <c r="C2011" t="s">
        <v>8</v>
      </c>
      <c r="D2011" t="s">
        <v>30</v>
      </c>
      <c r="E2011" t="s">
        <v>10</v>
      </c>
      <c r="F2011" cm="1">
        <f t="array" ref="F2011">_xlfn.XLOOKUP(Food_Orders[[#This Row],[Event_No]],Event_Master[[#All],[Event_No]],Event_Master[[#All],[Guest_Count]],,0)</f>
        <v>300</v>
      </c>
      <c r="G2011" cm="1">
        <f t="array" ref="G2011">Food_Orders[[#This Row],[Quantity_Orderd]]*_xlfn.XLOOKUP(Food_Orders[[#This Row],[Food_ID]],Food_Catalog[[#All],[Food_ID]],Food_Catalog[[#All],[Price_Per_Unit]],0,0)</f>
        <v>9000</v>
      </c>
      <c r="H2011" cm="1">
        <f t="array" ref="H2011">Food_Orders[[#This Row],[Quantity_Orderd]]*_xlfn.XLOOKUP(Food_Orders[[#This Row],[Food_ID]],Food_Catalog[[#All],[Food_ID]],Food_Catalog[[#All],[Client_Price_Per_Unit]],0,0)</f>
        <v>10800</v>
      </c>
      <c r="I2011">
        <f>Food_Orders[[#This Row],[Client_Price]]-Food_Orders[[#This Row],[Cost]]</f>
        <v>1800</v>
      </c>
    </row>
    <row r="2012" spans="1:9" x14ac:dyDescent="0.25">
      <c r="A2012">
        <v>87</v>
      </c>
      <c r="B2012" t="s">
        <v>37</v>
      </c>
      <c r="C2012" t="s">
        <v>8</v>
      </c>
      <c r="D2012" t="s">
        <v>38</v>
      </c>
      <c r="E2012" t="s">
        <v>10</v>
      </c>
      <c r="F2012" cm="1">
        <f t="array" ref="F2012">_xlfn.XLOOKUP(Food_Orders[[#This Row],[Event_No]],Event_Master[[#All],[Event_No]],Event_Master[[#All],[Guest_Count]],,0)</f>
        <v>300</v>
      </c>
      <c r="G2012" cm="1">
        <f t="array" ref="G2012">Food_Orders[[#This Row],[Quantity_Orderd]]*_xlfn.XLOOKUP(Food_Orders[[#This Row],[Food_ID]],Food_Catalog[[#All],[Food_ID]],Food_Catalog[[#All],[Price_Per_Unit]],0,0)</f>
        <v>7500</v>
      </c>
      <c r="H2012" cm="1">
        <f t="array" ref="H2012">Food_Orders[[#This Row],[Quantity_Orderd]]*_xlfn.XLOOKUP(Food_Orders[[#This Row],[Food_ID]],Food_Catalog[[#All],[Food_ID]],Food_Catalog[[#All],[Client_Price_Per_Unit]],0,0)</f>
        <v>9000</v>
      </c>
      <c r="I2012">
        <f>Food_Orders[[#This Row],[Client_Price]]-Food_Orders[[#This Row],[Cost]]</f>
        <v>1500</v>
      </c>
    </row>
    <row r="2013" spans="1:9" x14ac:dyDescent="0.25">
      <c r="A2013">
        <v>87</v>
      </c>
      <c r="B2013" t="s">
        <v>82</v>
      </c>
      <c r="C2013" t="s">
        <v>83</v>
      </c>
      <c r="D2013" t="s">
        <v>84</v>
      </c>
      <c r="E2013" t="s">
        <v>85</v>
      </c>
      <c r="F2013" cm="1">
        <f t="array" ref="F2013">_xlfn.XLOOKUP(Food_Orders[[#This Row],[Event_No]],Event_Master[[#All],[Event_No]],Event_Master[[#All],[Guest_Count]],,0)</f>
        <v>300</v>
      </c>
      <c r="G2013" cm="1">
        <f t="array" ref="G2013">Food_Orders[[#This Row],[Quantity_Orderd]]*_xlfn.XLOOKUP(Food_Orders[[#This Row],[Food_ID]],Food_Catalog[[#All],[Food_ID]],Food_Catalog[[#All],[Price_Per_Unit]],0,0)</f>
        <v>6000</v>
      </c>
      <c r="H2013" cm="1">
        <f t="array" ref="H2013">Food_Orders[[#This Row],[Quantity_Orderd]]*_xlfn.XLOOKUP(Food_Orders[[#This Row],[Food_ID]],Food_Catalog[[#All],[Food_ID]],Food_Catalog[[#All],[Client_Price_Per_Unit]],0,0)</f>
        <v>7200</v>
      </c>
      <c r="I2013">
        <f>Food_Orders[[#This Row],[Client_Price]]-Food_Orders[[#This Row],[Cost]]</f>
        <v>1200</v>
      </c>
    </row>
    <row r="2014" spans="1:9" x14ac:dyDescent="0.25">
      <c r="A2014">
        <v>87</v>
      </c>
      <c r="B2014" t="s">
        <v>96</v>
      </c>
      <c r="C2014" t="s">
        <v>83</v>
      </c>
      <c r="D2014" t="s">
        <v>97</v>
      </c>
      <c r="E2014" t="s">
        <v>79</v>
      </c>
      <c r="F2014" cm="1">
        <f t="array" ref="F2014">_xlfn.XLOOKUP(Food_Orders[[#This Row],[Event_No]],Event_Master[[#All],[Event_No]],Event_Master[[#All],[Guest_Count]],,0)</f>
        <v>300</v>
      </c>
      <c r="G2014" cm="1">
        <f t="array" ref="G2014">Food_Orders[[#This Row],[Quantity_Orderd]]*_xlfn.XLOOKUP(Food_Orders[[#This Row],[Food_ID]],Food_Catalog[[#All],[Food_ID]],Food_Catalog[[#All],[Price_Per_Unit]],0,0)</f>
        <v>9000</v>
      </c>
      <c r="H2014" cm="1">
        <f t="array" ref="H2014">Food_Orders[[#This Row],[Quantity_Orderd]]*_xlfn.XLOOKUP(Food_Orders[[#This Row],[Food_ID]],Food_Catalog[[#All],[Food_ID]],Food_Catalog[[#All],[Client_Price_Per_Unit]],0,0)</f>
        <v>10800</v>
      </c>
      <c r="I2014">
        <f>Food_Orders[[#This Row],[Client_Price]]-Food_Orders[[#This Row],[Cost]]</f>
        <v>1800</v>
      </c>
    </row>
    <row r="2015" spans="1:9" x14ac:dyDescent="0.25">
      <c r="A2015">
        <v>88</v>
      </c>
      <c r="B2015" t="s">
        <v>118</v>
      </c>
      <c r="C2015" t="s">
        <v>119</v>
      </c>
      <c r="D2015" t="s">
        <v>120</v>
      </c>
      <c r="E2015" t="s">
        <v>112</v>
      </c>
      <c r="F2015" cm="1">
        <f t="array" ref="F2015">_xlfn.XLOOKUP(Food_Orders[[#This Row],[Event_No]],Event_Master[[#All],[Event_No]],Event_Master[[#All],[Guest_Count]],,0)</f>
        <v>350</v>
      </c>
      <c r="G2015" cm="1">
        <f t="array" ref="G2015">Food_Orders[[#This Row],[Quantity_Orderd]]*_xlfn.XLOOKUP(Food_Orders[[#This Row],[Food_ID]],Food_Catalog[[#All],[Food_ID]],Food_Catalog[[#All],[Price_Per_Unit]],0,0)</f>
        <v>3500</v>
      </c>
      <c r="H2015" cm="1">
        <f t="array" ref="H2015">Food_Orders[[#This Row],[Quantity_Orderd]]*_xlfn.XLOOKUP(Food_Orders[[#This Row],[Food_ID]],Food_Catalog[[#All],[Food_ID]],Food_Catalog[[#All],[Client_Price_Per_Unit]],0,0)</f>
        <v>4200</v>
      </c>
      <c r="I2015">
        <f>Food_Orders[[#This Row],[Client_Price]]-Food_Orders[[#This Row],[Cost]]</f>
        <v>700</v>
      </c>
    </row>
    <row r="2016" spans="1:9" x14ac:dyDescent="0.25">
      <c r="A2016">
        <v>88</v>
      </c>
      <c r="B2016" t="s">
        <v>129</v>
      </c>
      <c r="C2016" t="s">
        <v>119</v>
      </c>
      <c r="D2016" t="s">
        <v>130</v>
      </c>
      <c r="E2016" t="s">
        <v>112</v>
      </c>
      <c r="F2016" cm="1">
        <f t="array" ref="F2016">_xlfn.XLOOKUP(Food_Orders[[#This Row],[Event_No]],Event_Master[[#All],[Event_No]],Event_Master[[#All],[Guest_Count]],,0)</f>
        <v>350</v>
      </c>
      <c r="G2016" cm="1">
        <f t="array" ref="G2016">Food_Orders[[#This Row],[Quantity_Orderd]]*_xlfn.XLOOKUP(Food_Orders[[#This Row],[Food_ID]],Food_Catalog[[#All],[Food_ID]],Food_Catalog[[#All],[Price_Per_Unit]],0,0)</f>
        <v>3500</v>
      </c>
      <c r="H2016" cm="1">
        <f t="array" ref="H2016">Food_Orders[[#This Row],[Quantity_Orderd]]*_xlfn.XLOOKUP(Food_Orders[[#This Row],[Food_ID]],Food_Catalog[[#All],[Food_ID]],Food_Catalog[[#All],[Client_Price_Per_Unit]],0,0)</f>
        <v>4200</v>
      </c>
      <c r="I2016">
        <f>Food_Orders[[#This Row],[Client_Price]]-Food_Orders[[#This Row],[Cost]]</f>
        <v>700</v>
      </c>
    </row>
    <row r="2017" spans="1:9" x14ac:dyDescent="0.25">
      <c r="A2017">
        <v>88</v>
      </c>
      <c r="B2017" t="s">
        <v>104</v>
      </c>
      <c r="C2017" t="s">
        <v>105</v>
      </c>
      <c r="D2017" t="s">
        <v>106</v>
      </c>
      <c r="E2017" t="s">
        <v>107</v>
      </c>
      <c r="F2017" cm="1">
        <f t="array" ref="F2017">_xlfn.XLOOKUP(Food_Orders[[#This Row],[Event_No]],Event_Master[[#All],[Event_No]],Event_Master[[#All],[Guest_Count]],,0)</f>
        <v>350</v>
      </c>
      <c r="G2017" cm="1">
        <f t="array" ref="G2017">Food_Orders[[#This Row],[Quantity_Orderd]]*_xlfn.XLOOKUP(Food_Orders[[#This Row],[Food_ID]],Food_Catalog[[#All],[Food_ID]],Food_Catalog[[#All],[Price_Per_Unit]],0,0)</f>
        <v>3500</v>
      </c>
      <c r="H2017" cm="1">
        <f t="array" ref="H2017">Food_Orders[[#This Row],[Quantity_Orderd]]*_xlfn.XLOOKUP(Food_Orders[[#This Row],[Food_ID]],Food_Catalog[[#All],[Food_ID]],Food_Catalog[[#All],[Client_Price_Per_Unit]],0,0)</f>
        <v>4200</v>
      </c>
      <c r="I2017">
        <f>Food_Orders[[#This Row],[Client_Price]]-Food_Orders[[#This Row],[Cost]]</f>
        <v>700</v>
      </c>
    </row>
    <row r="2018" spans="1:9" x14ac:dyDescent="0.25">
      <c r="A2018">
        <v>88</v>
      </c>
      <c r="B2018" t="s">
        <v>108</v>
      </c>
      <c r="C2018" t="s">
        <v>105</v>
      </c>
      <c r="D2018" t="s">
        <v>109</v>
      </c>
      <c r="E2018" t="s">
        <v>107</v>
      </c>
      <c r="F2018" cm="1">
        <f t="array" ref="F2018">_xlfn.XLOOKUP(Food_Orders[[#This Row],[Event_No]],Event_Master[[#All],[Event_No]],Event_Master[[#All],[Guest_Count]],,0)</f>
        <v>350</v>
      </c>
      <c r="G2018" cm="1">
        <f t="array" ref="G2018">Food_Orders[[#This Row],[Quantity_Orderd]]*_xlfn.XLOOKUP(Food_Orders[[#This Row],[Food_ID]],Food_Catalog[[#All],[Food_ID]],Food_Catalog[[#All],[Price_Per_Unit]],0,0)</f>
        <v>5250</v>
      </c>
      <c r="H2018" cm="1">
        <f t="array" ref="H2018">Food_Orders[[#This Row],[Quantity_Orderd]]*_xlfn.XLOOKUP(Food_Orders[[#This Row],[Food_ID]],Food_Catalog[[#All],[Food_ID]],Food_Catalog[[#All],[Client_Price_Per_Unit]],0,0)</f>
        <v>6300</v>
      </c>
      <c r="I2018">
        <f>Food_Orders[[#This Row],[Client_Price]]-Food_Orders[[#This Row],[Cost]]</f>
        <v>1050</v>
      </c>
    </row>
    <row r="2019" spans="1:9" x14ac:dyDescent="0.25">
      <c r="A2019">
        <v>88</v>
      </c>
      <c r="B2019" t="s">
        <v>124</v>
      </c>
      <c r="C2019" t="s">
        <v>119</v>
      </c>
      <c r="D2019" t="s">
        <v>125</v>
      </c>
      <c r="E2019" t="s">
        <v>126</v>
      </c>
      <c r="F2019" cm="1">
        <f t="array" ref="F2019">_xlfn.XLOOKUP(Food_Orders[[#This Row],[Event_No]],Event_Master[[#All],[Event_No]],Event_Master[[#All],[Guest_Count]],,0)</f>
        <v>350</v>
      </c>
      <c r="G2019" cm="1">
        <f t="array" ref="G2019">Food_Orders[[#This Row],[Quantity_Orderd]]*_xlfn.XLOOKUP(Food_Orders[[#This Row],[Food_ID]],Food_Catalog[[#All],[Food_ID]],Food_Catalog[[#All],[Price_Per_Unit]],0,0)</f>
        <v>7000</v>
      </c>
      <c r="H2019" cm="1">
        <f t="array" ref="H2019">Food_Orders[[#This Row],[Quantity_Orderd]]*_xlfn.XLOOKUP(Food_Orders[[#This Row],[Food_ID]],Food_Catalog[[#All],[Food_ID]],Food_Catalog[[#All],[Client_Price_Per_Unit]],0,0)</f>
        <v>8400</v>
      </c>
      <c r="I2019">
        <f>Food_Orders[[#This Row],[Client_Price]]-Food_Orders[[#This Row],[Cost]]</f>
        <v>1400</v>
      </c>
    </row>
    <row r="2020" spans="1:9" x14ac:dyDescent="0.25">
      <c r="A2020">
        <v>88</v>
      </c>
      <c r="B2020" t="s">
        <v>121</v>
      </c>
      <c r="C2020" t="s">
        <v>119</v>
      </c>
      <c r="D2020" t="s">
        <v>122</v>
      </c>
      <c r="E2020" t="s">
        <v>123</v>
      </c>
      <c r="F2020" cm="1">
        <f t="array" ref="F2020">_xlfn.XLOOKUP(Food_Orders[[#This Row],[Event_No]],Event_Master[[#All],[Event_No]],Event_Master[[#All],[Guest_Count]],,0)</f>
        <v>350</v>
      </c>
      <c r="G2020" cm="1">
        <f t="array" ref="G2020">Food_Orders[[#This Row],[Quantity_Orderd]]*_xlfn.XLOOKUP(Food_Orders[[#This Row],[Food_ID]],Food_Catalog[[#All],[Food_ID]],Food_Catalog[[#All],[Price_Per_Unit]],0,0)</f>
        <v>3500</v>
      </c>
      <c r="H2020" cm="1">
        <f t="array" ref="H2020">Food_Orders[[#This Row],[Quantity_Orderd]]*_xlfn.XLOOKUP(Food_Orders[[#This Row],[Food_ID]],Food_Catalog[[#All],[Food_ID]],Food_Catalog[[#All],[Client_Price_Per_Unit]],0,0)</f>
        <v>4200</v>
      </c>
      <c r="I2020">
        <f>Food_Orders[[#This Row],[Client_Price]]-Food_Orders[[#This Row],[Cost]]</f>
        <v>700</v>
      </c>
    </row>
    <row r="2021" spans="1:9" x14ac:dyDescent="0.25">
      <c r="A2021">
        <v>88</v>
      </c>
      <c r="B2021" t="s">
        <v>127</v>
      </c>
      <c r="C2021" t="s">
        <v>119</v>
      </c>
      <c r="D2021" t="s">
        <v>128</v>
      </c>
      <c r="E2021" t="s">
        <v>107</v>
      </c>
      <c r="F2021" cm="1">
        <f t="array" ref="F2021">_xlfn.XLOOKUP(Food_Orders[[#This Row],[Event_No]],Event_Master[[#All],[Event_No]],Event_Master[[#All],[Guest_Count]],,0)</f>
        <v>350</v>
      </c>
      <c r="G2021" cm="1">
        <f t="array" ref="G2021">Food_Orders[[#This Row],[Quantity_Orderd]]*_xlfn.XLOOKUP(Food_Orders[[#This Row],[Food_ID]],Food_Catalog[[#All],[Food_ID]],Food_Catalog[[#All],[Price_Per_Unit]],0,0)</f>
        <v>7000</v>
      </c>
      <c r="H2021" cm="1">
        <f t="array" ref="H2021">Food_Orders[[#This Row],[Quantity_Orderd]]*_xlfn.XLOOKUP(Food_Orders[[#This Row],[Food_ID]],Food_Catalog[[#All],[Food_ID]],Food_Catalog[[#All],[Client_Price_Per_Unit]],0,0)</f>
        <v>8400</v>
      </c>
      <c r="I2021">
        <f>Food_Orders[[#This Row],[Client_Price]]-Food_Orders[[#This Row],[Cost]]</f>
        <v>1400</v>
      </c>
    </row>
    <row r="2022" spans="1:9" x14ac:dyDescent="0.25">
      <c r="A2022">
        <v>88</v>
      </c>
      <c r="B2022" t="s">
        <v>63</v>
      </c>
      <c r="C2022" t="s">
        <v>61</v>
      </c>
      <c r="D2022" t="s">
        <v>64</v>
      </c>
      <c r="E2022" t="s">
        <v>10</v>
      </c>
      <c r="F2022" cm="1">
        <f t="array" ref="F2022">_xlfn.XLOOKUP(Food_Orders[[#This Row],[Event_No]],Event_Master[[#All],[Event_No]],Event_Master[[#All],[Guest_Count]],,0)</f>
        <v>350</v>
      </c>
      <c r="G2022" cm="1">
        <f t="array" ref="G2022">Food_Orders[[#This Row],[Quantity_Orderd]]*_xlfn.XLOOKUP(Food_Orders[[#This Row],[Food_ID]],Food_Catalog[[#All],[Food_ID]],Food_Catalog[[#All],[Price_Per_Unit]],0,0)</f>
        <v>10500</v>
      </c>
      <c r="H2022" cm="1">
        <f t="array" ref="H2022">Food_Orders[[#This Row],[Quantity_Orderd]]*_xlfn.XLOOKUP(Food_Orders[[#This Row],[Food_ID]],Food_Catalog[[#All],[Food_ID]],Food_Catalog[[#All],[Client_Price_Per_Unit]],0,0)</f>
        <v>12600</v>
      </c>
      <c r="I2022">
        <f>Food_Orders[[#This Row],[Client_Price]]-Food_Orders[[#This Row],[Cost]]</f>
        <v>2100</v>
      </c>
    </row>
    <row r="2023" spans="1:9" x14ac:dyDescent="0.25">
      <c r="A2023">
        <v>88</v>
      </c>
      <c r="B2023" t="s">
        <v>71</v>
      </c>
      <c r="C2023" t="s">
        <v>61</v>
      </c>
      <c r="D2023" t="s">
        <v>72</v>
      </c>
      <c r="E2023" t="s">
        <v>10</v>
      </c>
      <c r="F2023" cm="1">
        <f t="array" ref="F2023">_xlfn.XLOOKUP(Food_Orders[[#This Row],[Event_No]],Event_Master[[#All],[Event_No]],Event_Master[[#All],[Guest_Count]],,0)</f>
        <v>350</v>
      </c>
      <c r="G2023" cm="1">
        <f t="array" ref="G2023">Food_Orders[[#This Row],[Quantity_Orderd]]*_xlfn.XLOOKUP(Food_Orders[[#This Row],[Food_ID]],Food_Catalog[[#All],[Food_ID]],Food_Catalog[[#All],[Price_Per_Unit]],0,0)</f>
        <v>8750</v>
      </c>
      <c r="H2023" cm="1">
        <f t="array" ref="H2023">Food_Orders[[#This Row],[Quantity_Orderd]]*_xlfn.XLOOKUP(Food_Orders[[#This Row],[Food_ID]],Food_Catalog[[#All],[Food_ID]],Food_Catalog[[#All],[Client_Price_Per_Unit]],0,0)</f>
        <v>10500</v>
      </c>
      <c r="I2023">
        <f>Food_Orders[[#This Row],[Client_Price]]-Food_Orders[[#This Row],[Cost]]</f>
        <v>1750</v>
      </c>
    </row>
    <row r="2024" spans="1:9" x14ac:dyDescent="0.25">
      <c r="A2024">
        <v>88</v>
      </c>
      <c r="B2024" t="s">
        <v>29</v>
      </c>
      <c r="C2024" t="s">
        <v>8</v>
      </c>
      <c r="D2024" t="s">
        <v>30</v>
      </c>
      <c r="E2024" t="s">
        <v>10</v>
      </c>
      <c r="F2024" cm="1">
        <f t="array" ref="F2024">_xlfn.XLOOKUP(Food_Orders[[#This Row],[Event_No]],Event_Master[[#All],[Event_No]],Event_Master[[#All],[Guest_Count]],,0)</f>
        <v>350</v>
      </c>
      <c r="G2024" cm="1">
        <f t="array" ref="G2024">Food_Orders[[#This Row],[Quantity_Orderd]]*_xlfn.XLOOKUP(Food_Orders[[#This Row],[Food_ID]],Food_Catalog[[#All],[Food_ID]],Food_Catalog[[#All],[Price_Per_Unit]],0,0)</f>
        <v>10500</v>
      </c>
      <c r="H2024" cm="1">
        <f t="array" ref="H2024">Food_Orders[[#This Row],[Quantity_Orderd]]*_xlfn.XLOOKUP(Food_Orders[[#This Row],[Food_ID]],Food_Catalog[[#All],[Food_ID]],Food_Catalog[[#All],[Client_Price_Per_Unit]],0,0)</f>
        <v>12600</v>
      </c>
      <c r="I2024">
        <f>Food_Orders[[#This Row],[Client_Price]]-Food_Orders[[#This Row],[Cost]]</f>
        <v>2100</v>
      </c>
    </row>
    <row r="2025" spans="1:9" x14ac:dyDescent="0.25">
      <c r="A2025">
        <v>88</v>
      </c>
      <c r="B2025" t="s">
        <v>37</v>
      </c>
      <c r="C2025" t="s">
        <v>8</v>
      </c>
      <c r="D2025" t="s">
        <v>38</v>
      </c>
      <c r="E2025" t="s">
        <v>10</v>
      </c>
      <c r="F2025" cm="1">
        <f t="array" ref="F2025">_xlfn.XLOOKUP(Food_Orders[[#This Row],[Event_No]],Event_Master[[#All],[Event_No]],Event_Master[[#All],[Guest_Count]],,0)</f>
        <v>350</v>
      </c>
      <c r="G2025" cm="1">
        <f t="array" ref="G2025">Food_Orders[[#This Row],[Quantity_Orderd]]*_xlfn.XLOOKUP(Food_Orders[[#This Row],[Food_ID]],Food_Catalog[[#All],[Food_ID]],Food_Catalog[[#All],[Price_Per_Unit]],0,0)</f>
        <v>8750</v>
      </c>
      <c r="H2025" cm="1">
        <f t="array" ref="H2025">Food_Orders[[#This Row],[Quantity_Orderd]]*_xlfn.XLOOKUP(Food_Orders[[#This Row],[Food_ID]],Food_Catalog[[#All],[Food_ID]],Food_Catalog[[#All],[Client_Price_Per_Unit]],0,0)</f>
        <v>10500</v>
      </c>
      <c r="I2025">
        <f>Food_Orders[[#This Row],[Client_Price]]-Food_Orders[[#This Row],[Cost]]</f>
        <v>1750</v>
      </c>
    </row>
    <row r="2026" spans="1:9" x14ac:dyDescent="0.25">
      <c r="A2026">
        <v>88</v>
      </c>
      <c r="B2026" t="s">
        <v>82</v>
      </c>
      <c r="C2026" t="s">
        <v>83</v>
      </c>
      <c r="D2026" t="s">
        <v>84</v>
      </c>
      <c r="E2026" t="s">
        <v>85</v>
      </c>
      <c r="F2026" cm="1">
        <f t="array" ref="F2026">_xlfn.XLOOKUP(Food_Orders[[#This Row],[Event_No]],Event_Master[[#All],[Event_No]],Event_Master[[#All],[Guest_Count]],,0)</f>
        <v>350</v>
      </c>
      <c r="G2026" cm="1">
        <f t="array" ref="G2026">Food_Orders[[#This Row],[Quantity_Orderd]]*_xlfn.XLOOKUP(Food_Orders[[#This Row],[Food_ID]],Food_Catalog[[#All],[Food_ID]],Food_Catalog[[#All],[Price_Per_Unit]],0,0)</f>
        <v>7000</v>
      </c>
      <c r="H2026" cm="1">
        <f t="array" ref="H2026">Food_Orders[[#This Row],[Quantity_Orderd]]*_xlfn.XLOOKUP(Food_Orders[[#This Row],[Food_ID]],Food_Catalog[[#All],[Food_ID]],Food_Catalog[[#All],[Client_Price_Per_Unit]],0,0)</f>
        <v>8400</v>
      </c>
      <c r="I2026">
        <f>Food_Orders[[#This Row],[Client_Price]]-Food_Orders[[#This Row],[Cost]]</f>
        <v>1400</v>
      </c>
    </row>
    <row r="2027" spans="1:9" x14ac:dyDescent="0.25">
      <c r="A2027">
        <v>88</v>
      </c>
      <c r="B2027" t="s">
        <v>96</v>
      </c>
      <c r="C2027" t="s">
        <v>83</v>
      </c>
      <c r="D2027" t="s">
        <v>97</v>
      </c>
      <c r="E2027" t="s">
        <v>79</v>
      </c>
      <c r="F2027" cm="1">
        <f t="array" ref="F2027">_xlfn.XLOOKUP(Food_Orders[[#This Row],[Event_No]],Event_Master[[#All],[Event_No]],Event_Master[[#All],[Guest_Count]],,0)</f>
        <v>350</v>
      </c>
      <c r="G2027" cm="1">
        <f t="array" ref="G2027">Food_Orders[[#This Row],[Quantity_Orderd]]*_xlfn.XLOOKUP(Food_Orders[[#This Row],[Food_ID]],Food_Catalog[[#All],[Food_ID]],Food_Catalog[[#All],[Price_Per_Unit]],0,0)</f>
        <v>10500</v>
      </c>
      <c r="H2027" cm="1">
        <f t="array" ref="H2027">Food_Orders[[#This Row],[Quantity_Orderd]]*_xlfn.XLOOKUP(Food_Orders[[#This Row],[Food_ID]],Food_Catalog[[#All],[Food_ID]],Food_Catalog[[#All],[Client_Price_Per_Unit]],0,0)</f>
        <v>12600</v>
      </c>
      <c r="I2027">
        <f>Food_Orders[[#This Row],[Client_Price]]-Food_Orders[[#This Row],[Cost]]</f>
        <v>2100</v>
      </c>
    </row>
    <row r="2028" spans="1:9" x14ac:dyDescent="0.25">
      <c r="A2028">
        <v>88</v>
      </c>
      <c r="B2028" t="s">
        <v>92</v>
      </c>
      <c r="C2028" t="s">
        <v>83</v>
      </c>
      <c r="D2028" t="s">
        <v>93</v>
      </c>
      <c r="E2028" t="s">
        <v>85</v>
      </c>
      <c r="F2028" cm="1">
        <f t="array" ref="F2028">_xlfn.XLOOKUP(Food_Orders[[#This Row],[Event_No]],Event_Master[[#All],[Event_No]],Event_Master[[#All],[Guest_Count]],,0)</f>
        <v>350</v>
      </c>
      <c r="G2028" cm="1">
        <f t="array" ref="G2028">Food_Orders[[#This Row],[Quantity_Orderd]]*_xlfn.XLOOKUP(Food_Orders[[#This Row],[Food_ID]],Food_Catalog[[#All],[Food_ID]],Food_Catalog[[#All],[Price_Per_Unit]],0,0)</f>
        <v>5250</v>
      </c>
      <c r="H2028" cm="1">
        <f t="array" ref="H2028">Food_Orders[[#This Row],[Quantity_Orderd]]*_xlfn.XLOOKUP(Food_Orders[[#This Row],[Food_ID]],Food_Catalog[[#All],[Food_ID]],Food_Catalog[[#All],[Client_Price_Per_Unit]],0,0)</f>
        <v>6300</v>
      </c>
      <c r="I2028">
        <f>Food_Orders[[#This Row],[Client_Price]]-Food_Orders[[#This Row],[Cost]]</f>
        <v>1050</v>
      </c>
    </row>
    <row r="2029" spans="1:9" x14ac:dyDescent="0.25">
      <c r="A2029">
        <v>89</v>
      </c>
      <c r="B2029" t="s">
        <v>60</v>
      </c>
      <c r="C2029" t="s">
        <v>61</v>
      </c>
      <c r="D2029" t="s">
        <v>62</v>
      </c>
      <c r="E2029" t="s">
        <v>10</v>
      </c>
      <c r="F2029" cm="1">
        <f t="array" ref="F2029">_xlfn.XLOOKUP(Food_Orders[[#This Row],[Event_No]],Event_Master[[#All],[Event_No]],Event_Master[[#All],[Guest_Count]],,0)</f>
        <v>600</v>
      </c>
      <c r="G2029" cm="1">
        <f t="array" ref="G2029">Food_Orders[[#This Row],[Quantity_Orderd]]*_xlfn.XLOOKUP(Food_Orders[[#This Row],[Food_ID]],Food_Catalog[[#All],[Food_ID]],Food_Catalog[[#All],[Price_Per_Unit]],0,0)</f>
        <v>12000</v>
      </c>
      <c r="H2029" cm="1">
        <f t="array" ref="H2029">Food_Orders[[#This Row],[Quantity_Orderd]]*_xlfn.XLOOKUP(Food_Orders[[#This Row],[Food_ID]],Food_Catalog[[#All],[Food_ID]],Food_Catalog[[#All],[Client_Price_Per_Unit]],0,0)</f>
        <v>14400</v>
      </c>
      <c r="I2029">
        <f>Food_Orders[[#This Row],[Client_Price]]-Food_Orders[[#This Row],[Cost]]</f>
        <v>2400</v>
      </c>
    </row>
    <row r="2030" spans="1:9" x14ac:dyDescent="0.25">
      <c r="A2030">
        <v>89</v>
      </c>
      <c r="B2030" t="s">
        <v>63</v>
      </c>
      <c r="C2030" t="s">
        <v>61</v>
      </c>
      <c r="D2030" t="s">
        <v>64</v>
      </c>
      <c r="E2030" t="s">
        <v>10</v>
      </c>
      <c r="F2030" cm="1">
        <f t="array" ref="F2030">_xlfn.XLOOKUP(Food_Orders[[#This Row],[Event_No]],Event_Master[[#All],[Event_No]],Event_Master[[#All],[Guest_Count]],,0)</f>
        <v>600</v>
      </c>
      <c r="G2030" cm="1">
        <f t="array" ref="G2030">Food_Orders[[#This Row],[Quantity_Orderd]]*_xlfn.XLOOKUP(Food_Orders[[#This Row],[Food_ID]],Food_Catalog[[#All],[Food_ID]],Food_Catalog[[#All],[Price_Per_Unit]],0,0)</f>
        <v>18000</v>
      </c>
      <c r="H2030" cm="1">
        <f t="array" ref="H2030">Food_Orders[[#This Row],[Quantity_Orderd]]*_xlfn.XLOOKUP(Food_Orders[[#This Row],[Food_ID]],Food_Catalog[[#All],[Food_ID]],Food_Catalog[[#All],[Client_Price_Per_Unit]],0,0)</f>
        <v>21600</v>
      </c>
      <c r="I2030">
        <f>Food_Orders[[#This Row],[Client_Price]]-Food_Orders[[#This Row],[Cost]]</f>
        <v>3600</v>
      </c>
    </row>
    <row r="2031" spans="1:9" x14ac:dyDescent="0.25">
      <c r="A2031">
        <v>89</v>
      </c>
      <c r="B2031" t="s">
        <v>71</v>
      </c>
      <c r="C2031" t="s">
        <v>61</v>
      </c>
      <c r="D2031" t="s">
        <v>72</v>
      </c>
      <c r="E2031" t="s">
        <v>10</v>
      </c>
      <c r="F2031" cm="1">
        <f t="array" ref="F2031">_xlfn.XLOOKUP(Food_Orders[[#This Row],[Event_No]],Event_Master[[#All],[Event_No]],Event_Master[[#All],[Guest_Count]],,0)</f>
        <v>600</v>
      </c>
      <c r="G2031" cm="1">
        <f t="array" ref="G2031">Food_Orders[[#This Row],[Quantity_Orderd]]*_xlfn.XLOOKUP(Food_Orders[[#This Row],[Food_ID]],Food_Catalog[[#All],[Food_ID]],Food_Catalog[[#All],[Price_Per_Unit]],0,0)</f>
        <v>15000</v>
      </c>
      <c r="H2031" cm="1">
        <f t="array" ref="H2031">Food_Orders[[#This Row],[Quantity_Orderd]]*_xlfn.XLOOKUP(Food_Orders[[#This Row],[Food_ID]],Food_Catalog[[#All],[Food_ID]],Food_Catalog[[#All],[Client_Price_Per_Unit]],0,0)</f>
        <v>18000</v>
      </c>
      <c r="I2031">
        <f>Food_Orders[[#This Row],[Client_Price]]-Food_Orders[[#This Row],[Cost]]</f>
        <v>3000</v>
      </c>
    </row>
    <row r="2032" spans="1:9" x14ac:dyDescent="0.25">
      <c r="A2032">
        <v>89</v>
      </c>
      <c r="B2032" t="s">
        <v>80</v>
      </c>
      <c r="C2032" t="s">
        <v>61</v>
      </c>
      <c r="D2032" t="s">
        <v>81</v>
      </c>
      <c r="E2032" t="s">
        <v>10</v>
      </c>
      <c r="F2032" cm="1">
        <f t="array" ref="F2032">_xlfn.XLOOKUP(Food_Orders[[#This Row],[Event_No]],Event_Master[[#All],[Event_No]],Event_Master[[#All],[Guest_Count]],,0)</f>
        <v>600</v>
      </c>
      <c r="G2032" cm="1">
        <f t="array" ref="G2032">Food_Orders[[#This Row],[Quantity_Orderd]]*_xlfn.XLOOKUP(Food_Orders[[#This Row],[Food_ID]],Food_Catalog[[#All],[Food_ID]],Food_Catalog[[#All],[Price_Per_Unit]],0,0)</f>
        <v>18000</v>
      </c>
      <c r="H2032" cm="1">
        <f t="array" ref="H2032">Food_Orders[[#This Row],[Quantity_Orderd]]*_xlfn.XLOOKUP(Food_Orders[[#This Row],[Food_ID]],Food_Catalog[[#All],[Food_ID]],Food_Catalog[[#All],[Client_Price_Per_Unit]],0,0)</f>
        <v>21600</v>
      </c>
      <c r="I2032">
        <f>Food_Orders[[#This Row],[Client_Price]]-Food_Orders[[#This Row],[Cost]]</f>
        <v>3600</v>
      </c>
    </row>
    <row r="2033" spans="1:9" x14ac:dyDescent="0.25">
      <c r="A2033">
        <v>89</v>
      </c>
      <c r="B2033" t="s">
        <v>73</v>
      </c>
      <c r="C2033" t="s">
        <v>61</v>
      </c>
      <c r="D2033" t="s">
        <v>74</v>
      </c>
      <c r="E2033" t="s">
        <v>10</v>
      </c>
      <c r="F2033" cm="1">
        <f t="array" ref="F2033">_xlfn.XLOOKUP(Food_Orders[[#This Row],[Event_No]],Event_Master[[#All],[Event_No]],Event_Master[[#All],[Guest_Count]],,0)</f>
        <v>600</v>
      </c>
      <c r="G2033" cm="1">
        <f t="array" ref="G2033">Food_Orders[[#This Row],[Quantity_Orderd]]*_xlfn.XLOOKUP(Food_Orders[[#This Row],[Food_ID]],Food_Catalog[[#All],[Food_ID]],Food_Catalog[[#All],[Price_Per_Unit]],0,0)</f>
        <v>24000</v>
      </c>
      <c r="H2033" cm="1">
        <f t="array" ref="H2033">Food_Orders[[#This Row],[Quantity_Orderd]]*_xlfn.XLOOKUP(Food_Orders[[#This Row],[Food_ID]],Food_Catalog[[#All],[Food_ID]],Food_Catalog[[#All],[Client_Price_Per_Unit]],0,0)</f>
        <v>28800</v>
      </c>
      <c r="I2033">
        <f>Food_Orders[[#This Row],[Client_Price]]-Food_Orders[[#This Row],[Cost]]</f>
        <v>4800</v>
      </c>
    </row>
    <row r="2034" spans="1:9" x14ac:dyDescent="0.25">
      <c r="A2034">
        <v>89</v>
      </c>
      <c r="B2034" t="s">
        <v>75</v>
      </c>
      <c r="C2034" t="s">
        <v>61</v>
      </c>
      <c r="D2034" t="s">
        <v>76</v>
      </c>
      <c r="E2034" t="s">
        <v>10</v>
      </c>
      <c r="F2034" cm="1">
        <f t="array" ref="F2034">_xlfn.XLOOKUP(Food_Orders[[#This Row],[Event_No]],Event_Master[[#All],[Event_No]],Event_Master[[#All],[Guest_Count]],,0)</f>
        <v>600</v>
      </c>
      <c r="G2034" cm="1">
        <f t="array" ref="G2034">Food_Orders[[#This Row],[Quantity_Orderd]]*_xlfn.XLOOKUP(Food_Orders[[#This Row],[Food_ID]],Food_Catalog[[#All],[Food_ID]],Food_Catalog[[#All],[Price_Per_Unit]],0,0)</f>
        <v>24000</v>
      </c>
      <c r="H2034" cm="1">
        <f t="array" ref="H2034">Food_Orders[[#This Row],[Quantity_Orderd]]*_xlfn.XLOOKUP(Food_Orders[[#This Row],[Food_ID]],Food_Catalog[[#All],[Food_ID]],Food_Catalog[[#All],[Client_Price_Per_Unit]],0,0)</f>
        <v>28800</v>
      </c>
      <c r="I2034">
        <f>Food_Orders[[#This Row],[Client_Price]]-Food_Orders[[#This Row],[Cost]]</f>
        <v>4800</v>
      </c>
    </row>
    <row r="2035" spans="1:9" x14ac:dyDescent="0.25">
      <c r="A2035">
        <v>89</v>
      </c>
      <c r="B2035" t="s">
        <v>69</v>
      </c>
      <c r="C2035" t="s">
        <v>61</v>
      </c>
      <c r="D2035" t="s">
        <v>70</v>
      </c>
      <c r="E2035" t="s">
        <v>10</v>
      </c>
      <c r="F2035" cm="1">
        <f t="array" ref="F2035">_xlfn.XLOOKUP(Food_Orders[[#This Row],[Event_No]],Event_Master[[#All],[Event_No]],Event_Master[[#All],[Guest_Count]],,0)</f>
        <v>600</v>
      </c>
      <c r="G2035" cm="1">
        <f t="array" ref="G2035">Food_Orders[[#This Row],[Quantity_Orderd]]*_xlfn.XLOOKUP(Food_Orders[[#This Row],[Food_ID]],Food_Catalog[[#All],[Food_ID]],Food_Catalog[[#All],[Price_Per_Unit]],0,0)</f>
        <v>30000</v>
      </c>
      <c r="H2035" cm="1">
        <f t="array" ref="H2035">Food_Orders[[#This Row],[Quantity_Orderd]]*_xlfn.XLOOKUP(Food_Orders[[#This Row],[Food_ID]],Food_Catalog[[#All],[Food_ID]],Food_Catalog[[#All],[Client_Price_Per_Unit]],0,0)</f>
        <v>36000</v>
      </c>
      <c r="I2035">
        <f>Food_Orders[[#This Row],[Client_Price]]-Food_Orders[[#This Row],[Cost]]</f>
        <v>6000</v>
      </c>
    </row>
    <row r="2036" spans="1:9" x14ac:dyDescent="0.25">
      <c r="A2036">
        <v>89</v>
      </c>
      <c r="B2036" t="s">
        <v>67</v>
      </c>
      <c r="C2036" t="s">
        <v>61</v>
      </c>
      <c r="D2036" t="s">
        <v>68</v>
      </c>
      <c r="E2036" t="s">
        <v>10</v>
      </c>
      <c r="F2036" cm="1">
        <f t="array" ref="F2036">_xlfn.XLOOKUP(Food_Orders[[#This Row],[Event_No]],Event_Master[[#All],[Event_No]],Event_Master[[#All],[Guest_Count]],,0)</f>
        <v>600</v>
      </c>
      <c r="G2036" cm="1">
        <f t="array" ref="G2036">Food_Orders[[#This Row],[Quantity_Orderd]]*_xlfn.XLOOKUP(Food_Orders[[#This Row],[Food_ID]],Food_Catalog[[#All],[Food_ID]],Food_Catalog[[#All],[Price_Per_Unit]],0,0)</f>
        <v>18000</v>
      </c>
      <c r="H2036" cm="1">
        <f t="array" ref="H2036">Food_Orders[[#This Row],[Quantity_Orderd]]*_xlfn.XLOOKUP(Food_Orders[[#This Row],[Food_ID]],Food_Catalog[[#All],[Food_ID]],Food_Catalog[[#All],[Client_Price_Per_Unit]],0,0)</f>
        <v>21600</v>
      </c>
      <c r="I2036">
        <f>Food_Orders[[#This Row],[Client_Price]]-Food_Orders[[#This Row],[Cost]]</f>
        <v>3600</v>
      </c>
    </row>
    <row r="2037" spans="1:9" x14ac:dyDescent="0.25">
      <c r="A2037">
        <v>89</v>
      </c>
      <c r="B2037" t="s">
        <v>77</v>
      </c>
      <c r="C2037" t="s">
        <v>61</v>
      </c>
      <c r="D2037" t="s">
        <v>78</v>
      </c>
      <c r="E2037" t="s">
        <v>79</v>
      </c>
      <c r="F2037" cm="1">
        <f t="array" ref="F2037">_xlfn.XLOOKUP(Food_Orders[[#This Row],[Event_No]],Event_Master[[#All],[Event_No]],Event_Master[[#All],[Guest_Count]],,0)</f>
        <v>600</v>
      </c>
      <c r="G2037" cm="1">
        <f t="array" ref="G2037">Food_Orders[[#This Row],[Quantity_Orderd]]*_xlfn.XLOOKUP(Food_Orders[[#This Row],[Food_ID]],Food_Catalog[[#All],[Food_ID]],Food_Catalog[[#All],[Price_Per_Unit]],0,0)</f>
        <v>21000</v>
      </c>
      <c r="H2037" cm="1">
        <f t="array" ref="H2037">Food_Orders[[#This Row],[Quantity_Orderd]]*_xlfn.XLOOKUP(Food_Orders[[#This Row],[Food_ID]],Food_Catalog[[#All],[Food_ID]],Food_Catalog[[#All],[Client_Price_Per_Unit]],0,0)</f>
        <v>25200</v>
      </c>
      <c r="I2037">
        <f>Food_Orders[[#This Row],[Client_Price]]-Food_Orders[[#This Row],[Cost]]</f>
        <v>4200</v>
      </c>
    </row>
    <row r="2038" spans="1:9" x14ac:dyDescent="0.25">
      <c r="A2038">
        <v>89</v>
      </c>
      <c r="B2038" t="s">
        <v>7</v>
      </c>
      <c r="C2038" t="s">
        <v>8</v>
      </c>
      <c r="D2038" t="s">
        <v>9</v>
      </c>
      <c r="E2038" t="s">
        <v>10</v>
      </c>
      <c r="F2038" cm="1">
        <f t="array" ref="F2038">_xlfn.XLOOKUP(Food_Orders[[#This Row],[Event_No]],Event_Master[[#All],[Event_No]],Event_Master[[#All],[Guest_Count]],,0)</f>
        <v>600</v>
      </c>
      <c r="G2038" cm="1">
        <f t="array" ref="G2038">Food_Orders[[#This Row],[Quantity_Orderd]]*_xlfn.XLOOKUP(Food_Orders[[#This Row],[Food_ID]],Food_Catalog[[#All],[Food_ID]],Food_Catalog[[#All],[Price_Per_Unit]],0,0)</f>
        <v>15000</v>
      </c>
      <c r="H2038" cm="1">
        <f t="array" ref="H2038">Food_Orders[[#This Row],[Quantity_Orderd]]*_xlfn.XLOOKUP(Food_Orders[[#This Row],[Food_ID]],Food_Catalog[[#All],[Food_ID]],Food_Catalog[[#All],[Client_Price_Per_Unit]],0,0)</f>
        <v>18000</v>
      </c>
      <c r="I2038">
        <f>Food_Orders[[#This Row],[Client_Price]]-Food_Orders[[#This Row],[Cost]]</f>
        <v>3000</v>
      </c>
    </row>
    <row r="2039" spans="1:9" x14ac:dyDescent="0.25">
      <c r="A2039">
        <v>89</v>
      </c>
      <c r="B2039" t="s">
        <v>13</v>
      </c>
      <c r="C2039" t="s">
        <v>8</v>
      </c>
      <c r="D2039" t="s">
        <v>14</v>
      </c>
      <c r="E2039" t="s">
        <v>10</v>
      </c>
      <c r="F2039" cm="1">
        <f t="array" ref="F2039">_xlfn.XLOOKUP(Food_Orders[[#This Row],[Event_No]],Event_Master[[#All],[Event_No]],Event_Master[[#All],[Guest_Count]],,0)</f>
        <v>600</v>
      </c>
      <c r="G2039" cm="1">
        <f t="array" ref="G2039">Food_Orders[[#This Row],[Quantity_Orderd]]*_xlfn.XLOOKUP(Food_Orders[[#This Row],[Food_ID]],Food_Catalog[[#All],[Food_ID]],Food_Catalog[[#All],[Price_Per_Unit]],0,0)</f>
        <v>21000</v>
      </c>
      <c r="H2039" cm="1">
        <f t="array" ref="H2039">Food_Orders[[#This Row],[Quantity_Orderd]]*_xlfn.XLOOKUP(Food_Orders[[#This Row],[Food_ID]],Food_Catalog[[#All],[Food_ID]],Food_Catalog[[#All],[Client_Price_Per_Unit]],0,0)</f>
        <v>25200</v>
      </c>
      <c r="I2039">
        <f>Food_Orders[[#This Row],[Client_Price]]-Food_Orders[[#This Row],[Cost]]</f>
        <v>4200</v>
      </c>
    </row>
    <row r="2040" spans="1:9" x14ac:dyDescent="0.25">
      <c r="A2040">
        <v>89</v>
      </c>
      <c r="B2040" t="s">
        <v>25</v>
      </c>
      <c r="C2040" t="s">
        <v>8</v>
      </c>
      <c r="D2040" t="s">
        <v>26</v>
      </c>
      <c r="E2040" t="s">
        <v>10</v>
      </c>
      <c r="F2040" cm="1">
        <f t="array" ref="F2040">_xlfn.XLOOKUP(Food_Orders[[#This Row],[Event_No]],Event_Master[[#All],[Event_No]],Event_Master[[#All],[Guest_Count]],,0)</f>
        <v>600</v>
      </c>
      <c r="G2040" cm="1">
        <f t="array" ref="G2040">Food_Orders[[#This Row],[Quantity_Orderd]]*_xlfn.XLOOKUP(Food_Orders[[#This Row],[Food_ID]],Food_Catalog[[#All],[Food_ID]],Food_Catalog[[#All],[Price_Per_Unit]],0,0)</f>
        <v>18000</v>
      </c>
      <c r="H2040" cm="1">
        <f t="array" ref="H2040">Food_Orders[[#This Row],[Quantity_Orderd]]*_xlfn.XLOOKUP(Food_Orders[[#This Row],[Food_ID]],Food_Catalog[[#All],[Food_ID]],Food_Catalog[[#All],[Client_Price_Per_Unit]],0,0)</f>
        <v>21600</v>
      </c>
      <c r="I2040">
        <f>Food_Orders[[#This Row],[Client_Price]]-Food_Orders[[#This Row],[Cost]]</f>
        <v>3600</v>
      </c>
    </row>
    <row r="2041" spans="1:9" x14ac:dyDescent="0.25">
      <c r="A2041">
        <v>89</v>
      </c>
      <c r="B2041" t="s">
        <v>15</v>
      </c>
      <c r="C2041" t="s">
        <v>8</v>
      </c>
      <c r="D2041" t="s">
        <v>16</v>
      </c>
      <c r="E2041" t="s">
        <v>10</v>
      </c>
      <c r="F2041" cm="1">
        <f t="array" ref="F2041">_xlfn.XLOOKUP(Food_Orders[[#This Row],[Event_No]],Event_Master[[#All],[Event_No]],Event_Master[[#All],[Guest_Count]],,0)</f>
        <v>600</v>
      </c>
      <c r="G2041" cm="1">
        <f t="array" ref="G2041">Food_Orders[[#This Row],[Quantity_Orderd]]*_xlfn.XLOOKUP(Food_Orders[[#This Row],[Food_ID]],Food_Catalog[[#All],[Food_ID]],Food_Catalog[[#All],[Price_Per_Unit]],0,0)</f>
        <v>18000</v>
      </c>
      <c r="H2041" cm="1">
        <f t="array" ref="H2041">Food_Orders[[#This Row],[Quantity_Orderd]]*_xlfn.XLOOKUP(Food_Orders[[#This Row],[Food_ID]],Food_Catalog[[#All],[Food_ID]],Food_Catalog[[#All],[Client_Price_Per_Unit]],0,0)</f>
        <v>21600</v>
      </c>
      <c r="I2041">
        <f>Food_Orders[[#This Row],[Client_Price]]-Food_Orders[[#This Row],[Cost]]</f>
        <v>3600</v>
      </c>
    </row>
    <row r="2042" spans="1:9" x14ac:dyDescent="0.25">
      <c r="A2042">
        <v>89</v>
      </c>
      <c r="B2042" t="s">
        <v>35</v>
      </c>
      <c r="C2042" t="s">
        <v>8</v>
      </c>
      <c r="D2042" t="s">
        <v>36</v>
      </c>
      <c r="E2042" t="s">
        <v>10</v>
      </c>
      <c r="F2042" cm="1">
        <f t="array" ref="F2042">_xlfn.XLOOKUP(Food_Orders[[#This Row],[Event_No]],Event_Master[[#All],[Event_No]],Event_Master[[#All],[Guest_Count]],,0)</f>
        <v>600</v>
      </c>
      <c r="G2042" cm="1">
        <f t="array" ref="G2042">Food_Orders[[#This Row],[Quantity_Orderd]]*_xlfn.XLOOKUP(Food_Orders[[#This Row],[Food_ID]],Food_Catalog[[#All],[Food_ID]],Food_Catalog[[#All],[Price_Per_Unit]],0,0)</f>
        <v>18000</v>
      </c>
      <c r="H2042" cm="1">
        <f t="array" ref="H2042">Food_Orders[[#This Row],[Quantity_Orderd]]*_xlfn.XLOOKUP(Food_Orders[[#This Row],[Food_ID]],Food_Catalog[[#All],[Food_ID]],Food_Catalog[[#All],[Client_Price_Per_Unit]],0,0)</f>
        <v>21600</v>
      </c>
      <c r="I2042">
        <f>Food_Orders[[#This Row],[Client_Price]]-Food_Orders[[#This Row],[Cost]]</f>
        <v>3600</v>
      </c>
    </row>
    <row r="2043" spans="1:9" x14ac:dyDescent="0.25">
      <c r="A2043">
        <v>89</v>
      </c>
      <c r="B2043" t="s">
        <v>27</v>
      </c>
      <c r="C2043" t="s">
        <v>8</v>
      </c>
      <c r="D2043" t="s">
        <v>28</v>
      </c>
      <c r="E2043" t="s">
        <v>10</v>
      </c>
      <c r="F2043" cm="1">
        <f t="array" ref="F2043">_xlfn.XLOOKUP(Food_Orders[[#This Row],[Event_No]],Event_Master[[#All],[Event_No]],Event_Master[[#All],[Guest_Count]],,0)</f>
        <v>600</v>
      </c>
      <c r="G2043" cm="1">
        <f t="array" ref="G2043">Food_Orders[[#This Row],[Quantity_Orderd]]*_xlfn.XLOOKUP(Food_Orders[[#This Row],[Food_ID]],Food_Catalog[[#All],[Food_ID]],Food_Catalog[[#All],[Price_Per_Unit]],0,0)</f>
        <v>24000</v>
      </c>
      <c r="H2043" cm="1">
        <f t="array" ref="H2043">Food_Orders[[#This Row],[Quantity_Orderd]]*_xlfn.XLOOKUP(Food_Orders[[#This Row],[Food_ID]],Food_Catalog[[#All],[Food_ID]],Food_Catalog[[#All],[Client_Price_Per_Unit]],0,0)</f>
        <v>28800</v>
      </c>
      <c r="I2043">
        <f>Food_Orders[[#This Row],[Client_Price]]-Food_Orders[[#This Row],[Cost]]</f>
        <v>4800</v>
      </c>
    </row>
    <row r="2044" spans="1:9" x14ac:dyDescent="0.25">
      <c r="A2044">
        <v>89</v>
      </c>
      <c r="B2044" t="s">
        <v>31</v>
      </c>
      <c r="C2044" t="s">
        <v>8</v>
      </c>
      <c r="D2044" t="s">
        <v>32</v>
      </c>
      <c r="E2044" t="s">
        <v>10</v>
      </c>
      <c r="F2044" cm="1">
        <f t="array" ref="F2044">_xlfn.XLOOKUP(Food_Orders[[#This Row],[Event_No]],Event_Master[[#All],[Event_No]],Event_Master[[#All],[Guest_Count]],,0)</f>
        <v>600</v>
      </c>
      <c r="G2044" cm="1">
        <f t="array" ref="G2044">Food_Orders[[#This Row],[Quantity_Orderd]]*_xlfn.XLOOKUP(Food_Orders[[#This Row],[Food_ID]],Food_Catalog[[#All],[Food_ID]],Food_Catalog[[#All],[Price_Per_Unit]],0,0)</f>
        <v>18000</v>
      </c>
      <c r="H2044" cm="1">
        <f t="array" ref="H2044">Food_Orders[[#This Row],[Quantity_Orderd]]*_xlfn.XLOOKUP(Food_Orders[[#This Row],[Food_ID]],Food_Catalog[[#All],[Food_ID]],Food_Catalog[[#All],[Client_Price_Per_Unit]],0,0)</f>
        <v>21600</v>
      </c>
      <c r="I2044">
        <f>Food_Orders[[#This Row],[Client_Price]]-Food_Orders[[#This Row],[Cost]]</f>
        <v>3600</v>
      </c>
    </row>
    <row r="2045" spans="1:9" x14ac:dyDescent="0.25">
      <c r="A2045">
        <v>89</v>
      </c>
      <c r="B2045" t="s">
        <v>33</v>
      </c>
      <c r="C2045" t="s">
        <v>8</v>
      </c>
      <c r="D2045" t="s">
        <v>34</v>
      </c>
      <c r="E2045" t="s">
        <v>10</v>
      </c>
      <c r="F2045" cm="1">
        <f t="array" ref="F2045">_xlfn.XLOOKUP(Food_Orders[[#This Row],[Event_No]],Event_Master[[#All],[Event_No]],Event_Master[[#All],[Guest_Count]],,0)</f>
        <v>600</v>
      </c>
      <c r="G2045" cm="1">
        <f t="array" ref="G2045">Food_Orders[[#This Row],[Quantity_Orderd]]*_xlfn.XLOOKUP(Food_Orders[[#This Row],[Food_ID]],Food_Catalog[[#All],[Food_ID]],Food_Catalog[[#All],[Price_Per_Unit]],0,0)</f>
        <v>18000</v>
      </c>
      <c r="H2045" cm="1">
        <f t="array" ref="H2045">Food_Orders[[#This Row],[Quantity_Orderd]]*_xlfn.XLOOKUP(Food_Orders[[#This Row],[Food_ID]],Food_Catalog[[#All],[Food_ID]],Food_Catalog[[#All],[Client_Price_Per_Unit]],0,0)</f>
        <v>21600</v>
      </c>
      <c r="I2045">
        <f>Food_Orders[[#This Row],[Client_Price]]-Food_Orders[[#This Row],[Cost]]</f>
        <v>3600</v>
      </c>
    </row>
    <row r="2046" spans="1:9" x14ac:dyDescent="0.25">
      <c r="A2046">
        <v>89</v>
      </c>
      <c r="B2046" t="s">
        <v>17</v>
      </c>
      <c r="C2046" t="s">
        <v>8</v>
      </c>
      <c r="D2046" t="s">
        <v>18</v>
      </c>
      <c r="E2046" t="s">
        <v>10</v>
      </c>
      <c r="F2046" cm="1">
        <f t="array" ref="F2046">_xlfn.XLOOKUP(Food_Orders[[#This Row],[Event_No]],Event_Master[[#All],[Event_No]],Event_Master[[#All],[Guest_Count]],,0)</f>
        <v>600</v>
      </c>
      <c r="G2046" cm="1">
        <f t="array" ref="G2046">Food_Orders[[#This Row],[Quantity_Orderd]]*_xlfn.XLOOKUP(Food_Orders[[#This Row],[Food_ID]],Food_Catalog[[#All],[Food_ID]],Food_Catalog[[#All],[Price_Per_Unit]],0,0)</f>
        <v>24000</v>
      </c>
      <c r="H2046" cm="1">
        <f t="array" ref="H2046">Food_Orders[[#This Row],[Quantity_Orderd]]*_xlfn.XLOOKUP(Food_Orders[[#This Row],[Food_ID]],Food_Catalog[[#All],[Food_ID]],Food_Catalog[[#All],[Client_Price_Per_Unit]],0,0)</f>
        <v>28800</v>
      </c>
      <c r="I2046">
        <f>Food_Orders[[#This Row],[Client_Price]]-Food_Orders[[#This Row],[Cost]]</f>
        <v>4800</v>
      </c>
    </row>
    <row r="2047" spans="1:9" x14ac:dyDescent="0.25">
      <c r="A2047">
        <v>89</v>
      </c>
      <c r="B2047" t="s">
        <v>21</v>
      </c>
      <c r="C2047" t="s">
        <v>8</v>
      </c>
      <c r="D2047" t="s">
        <v>22</v>
      </c>
      <c r="E2047" t="s">
        <v>10</v>
      </c>
      <c r="F2047" cm="1">
        <f t="array" ref="F2047">_xlfn.XLOOKUP(Food_Orders[[#This Row],[Event_No]],Event_Master[[#All],[Event_No]],Event_Master[[#All],[Guest_Count]],,0)</f>
        <v>600</v>
      </c>
      <c r="G2047" cm="1">
        <f t="array" ref="G2047">Food_Orders[[#This Row],[Quantity_Orderd]]*_xlfn.XLOOKUP(Food_Orders[[#This Row],[Food_ID]],Food_Catalog[[#All],[Food_ID]],Food_Catalog[[#All],[Price_Per_Unit]],0,0)</f>
        <v>21000</v>
      </c>
      <c r="H2047" cm="1">
        <f t="array" ref="H2047">Food_Orders[[#This Row],[Quantity_Orderd]]*_xlfn.XLOOKUP(Food_Orders[[#This Row],[Food_ID]],Food_Catalog[[#All],[Food_ID]],Food_Catalog[[#All],[Client_Price_Per_Unit]],0,0)</f>
        <v>25200</v>
      </c>
      <c r="I2047">
        <f>Food_Orders[[#This Row],[Client_Price]]-Food_Orders[[#This Row],[Cost]]</f>
        <v>4200</v>
      </c>
    </row>
    <row r="2048" spans="1:9" x14ac:dyDescent="0.25">
      <c r="A2048">
        <v>89</v>
      </c>
      <c r="B2048" t="s">
        <v>19</v>
      </c>
      <c r="C2048" t="s">
        <v>8</v>
      </c>
      <c r="D2048" t="s">
        <v>20</v>
      </c>
      <c r="E2048" t="s">
        <v>10</v>
      </c>
      <c r="F2048" cm="1">
        <f t="array" ref="F2048">_xlfn.XLOOKUP(Food_Orders[[#This Row],[Event_No]],Event_Master[[#All],[Event_No]],Event_Master[[#All],[Guest_Count]],,0)</f>
        <v>600</v>
      </c>
      <c r="G2048" cm="1">
        <f t="array" ref="G2048">Food_Orders[[#This Row],[Quantity_Orderd]]*_xlfn.XLOOKUP(Food_Orders[[#This Row],[Food_ID]],Food_Catalog[[#All],[Food_ID]],Food_Catalog[[#All],[Price_Per_Unit]],0,0)</f>
        <v>21000</v>
      </c>
      <c r="H2048" cm="1">
        <f t="array" ref="H2048">Food_Orders[[#This Row],[Quantity_Orderd]]*_xlfn.XLOOKUP(Food_Orders[[#This Row],[Food_ID]],Food_Catalog[[#All],[Food_ID]],Food_Catalog[[#All],[Client_Price_Per_Unit]],0,0)</f>
        <v>25200</v>
      </c>
      <c r="I2048">
        <f>Food_Orders[[#This Row],[Client_Price]]-Food_Orders[[#This Row],[Cost]]</f>
        <v>4200</v>
      </c>
    </row>
    <row r="2049" spans="1:9" x14ac:dyDescent="0.25">
      <c r="A2049">
        <v>89</v>
      </c>
      <c r="B2049" t="s">
        <v>29</v>
      </c>
      <c r="C2049" t="s">
        <v>8</v>
      </c>
      <c r="D2049" t="s">
        <v>30</v>
      </c>
      <c r="E2049" t="s">
        <v>10</v>
      </c>
      <c r="F2049" cm="1">
        <f t="array" ref="F2049">_xlfn.XLOOKUP(Food_Orders[[#This Row],[Event_No]],Event_Master[[#All],[Event_No]],Event_Master[[#All],[Guest_Count]],,0)</f>
        <v>600</v>
      </c>
      <c r="G2049" cm="1">
        <f t="array" ref="G2049">Food_Orders[[#This Row],[Quantity_Orderd]]*_xlfn.XLOOKUP(Food_Orders[[#This Row],[Food_ID]],Food_Catalog[[#All],[Food_ID]],Food_Catalog[[#All],[Price_Per_Unit]],0,0)</f>
        <v>18000</v>
      </c>
      <c r="H2049" cm="1">
        <f t="array" ref="H2049">Food_Orders[[#This Row],[Quantity_Orderd]]*_xlfn.XLOOKUP(Food_Orders[[#This Row],[Food_ID]],Food_Catalog[[#All],[Food_ID]],Food_Catalog[[#All],[Client_Price_Per_Unit]],0,0)</f>
        <v>21600</v>
      </c>
      <c r="I2049">
        <f>Food_Orders[[#This Row],[Client_Price]]-Food_Orders[[#This Row],[Cost]]</f>
        <v>3600</v>
      </c>
    </row>
    <row r="2050" spans="1:9" x14ac:dyDescent="0.25">
      <c r="A2050">
        <v>89</v>
      </c>
      <c r="B2050" t="s">
        <v>37</v>
      </c>
      <c r="C2050" t="s">
        <v>8</v>
      </c>
      <c r="D2050" t="s">
        <v>38</v>
      </c>
      <c r="E2050" t="s">
        <v>10</v>
      </c>
      <c r="F2050" cm="1">
        <f t="array" ref="F2050">_xlfn.XLOOKUP(Food_Orders[[#This Row],[Event_No]],Event_Master[[#All],[Event_No]],Event_Master[[#All],[Guest_Count]],,0)</f>
        <v>600</v>
      </c>
      <c r="G2050" cm="1">
        <f t="array" ref="G2050">Food_Orders[[#This Row],[Quantity_Orderd]]*_xlfn.XLOOKUP(Food_Orders[[#This Row],[Food_ID]],Food_Catalog[[#All],[Food_ID]],Food_Catalog[[#All],[Price_Per_Unit]],0,0)</f>
        <v>15000</v>
      </c>
      <c r="H2050" cm="1">
        <f t="array" ref="H2050">Food_Orders[[#This Row],[Quantity_Orderd]]*_xlfn.XLOOKUP(Food_Orders[[#This Row],[Food_ID]],Food_Catalog[[#All],[Food_ID]],Food_Catalog[[#All],[Client_Price_Per_Unit]],0,0)</f>
        <v>18000</v>
      </c>
      <c r="I2050">
        <f>Food_Orders[[#This Row],[Client_Price]]-Food_Orders[[#This Row],[Cost]]</f>
        <v>3000</v>
      </c>
    </row>
    <row r="2051" spans="1:9" x14ac:dyDescent="0.25">
      <c r="A2051">
        <v>89</v>
      </c>
      <c r="B2051" t="s">
        <v>39</v>
      </c>
      <c r="C2051" t="s">
        <v>40</v>
      </c>
      <c r="D2051" t="s">
        <v>41</v>
      </c>
      <c r="E2051" t="s">
        <v>10</v>
      </c>
      <c r="F2051" cm="1">
        <f t="array" ref="F2051">_xlfn.XLOOKUP(Food_Orders[[#This Row],[Event_No]],Event_Master[[#All],[Event_No]],Event_Master[[#All],[Guest_Count]],,0)</f>
        <v>600</v>
      </c>
      <c r="G2051" cm="1">
        <f t="array" ref="G2051">Food_Orders[[#This Row],[Quantity_Orderd]]*_xlfn.XLOOKUP(Food_Orders[[#This Row],[Food_ID]],Food_Catalog[[#All],[Food_ID]],Food_Catalog[[#All],[Price_Per_Unit]],0,0)</f>
        <v>36000</v>
      </c>
      <c r="H2051" cm="1">
        <f t="array" ref="H2051">Food_Orders[[#This Row],[Quantity_Orderd]]*_xlfn.XLOOKUP(Food_Orders[[#This Row],[Food_ID]],Food_Catalog[[#All],[Food_ID]],Food_Catalog[[#All],[Client_Price_Per_Unit]],0,0)</f>
        <v>43200</v>
      </c>
      <c r="I2051">
        <f>Food_Orders[[#This Row],[Client_Price]]-Food_Orders[[#This Row],[Cost]]</f>
        <v>7200</v>
      </c>
    </row>
    <row r="2052" spans="1:9" x14ac:dyDescent="0.25">
      <c r="A2052">
        <v>89</v>
      </c>
      <c r="B2052" t="s">
        <v>42</v>
      </c>
      <c r="C2052" t="s">
        <v>40</v>
      </c>
      <c r="D2052" t="s">
        <v>43</v>
      </c>
      <c r="E2052" t="s">
        <v>10</v>
      </c>
      <c r="F2052" cm="1">
        <f t="array" ref="F2052">_xlfn.XLOOKUP(Food_Orders[[#This Row],[Event_No]],Event_Master[[#All],[Event_No]],Event_Master[[#All],[Guest_Count]],,0)</f>
        <v>600</v>
      </c>
      <c r="G2052" cm="1">
        <f t="array" ref="G2052">Food_Orders[[#This Row],[Quantity_Orderd]]*_xlfn.XLOOKUP(Food_Orders[[#This Row],[Food_ID]],Food_Catalog[[#All],[Food_ID]],Food_Catalog[[#All],[Price_Per_Unit]],0,0)</f>
        <v>42000</v>
      </c>
      <c r="H2052" cm="1">
        <f t="array" ref="H2052">Food_Orders[[#This Row],[Quantity_Orderd]]*_xlfn.XLOOKUP(Food_Orders[[#This Row],[Food_ID]],Food_Catalog[[#All],[Food_ID]],Food_Catalog[[#All],[Client_Price_Per_Unit]],0,0)</f>
        <v>50400</v>
      </c>
      <c r="I2052">
        <f>Food_Orders[[#This Row],[Client_Price]]-Food_Orders[[#This Row],[Cost]]</f>
        <v>8400</v>
      </c>
    </row>
    <row r="2053" spans="1:9" x14ac:dyDescent="0.25">
      <c r="A2053">
        <v>89</v>
      </c>
      <c r="B2053" t="s">
        <v>46</v>
      </c>
      <c r="C2053" t="s">
        <v>40</v>
      </c>
      <c r="D2053" t="s">
        <v>47</v>
      </c>
      <c r="E2053" t="s">
        <v>10</v>
      </c>
      <c r="F2053" cm="1">
        <f t="array" ref="F2053">_xlfn.XLOOKUP(Food_Orders[[#This Row],[Event_No]],Event_Master[[#All],[Event_No]],Event_Master[[#All],[Guest_Count]],,0)</f>
        <v>600</v>
      </c>
      <c r="G2053" cm="1">
        <f t="array" ref="G2053">Food_Orders[[#This Row],[Quantity_Orderd]]*_xlfn.XLOOKUP(Food_Orders[[#This Row],[Food_ID]],Food_Catalog[[#All],[Food_ID]],Food_Catalog[[#All],[Price_Per_Unit]],0,0)</f>
        <v>54000</v>
      </c>
      <c r="H2053" cm="1">
        <f t="array" ref="H2053">Food_Orders[[#This Row],[Quantity_Orderd]]*_xlfn.XLOOKUP(Food_Orders[[#This Row],[Food_ID]],Food_Catalog[[#All],[Food_ID]],Food_Catalog[[#All],[Client_Price_Per_Unit]],0,0)</f>
        <v>64800</v>
      </c>
      <c r="I2053">
        <f>Food_Orders[[#This Row],[Client_Price]]-Food_Orders[[#This Row],[Cost]]</f>
        <v>10800</v>
      </c>
    </row>
    <row r="2054" spans="1:9" x14ac:dyDescent="0.25">
      <c r="A2054">
        <v>89</v>
      </c>
      <c r="B2054" t="s">
        <v>48</v>
      </c>
      <c r="C2054" t="s">
        <v>40</v>
      </c>
      <c r="D2054" t="s">
        <v>49</v>
      </c>
      <c r="E2054" t="s">
        <v>10</v>
      </c>
      <c r="F2054" cm="1">
        <f t="array" ref="F2054">_xlfn.XLOOKUP(Food_Orders[[#This Row],[Event_No]],Event_Master[[#All],[Event_No]],Event_Master[[#All],[Guest_Count]],,0)</f>
        <v>600</v>
      </c>
      <c r="G2054" cm="1">
        <f t="array" ref="G2054">Food_Orders[[#This Row],[Quantity_Orderd]]*_xlfn.XLOOKUP(Food_Orders[[#This Row],[Food_ID]],Food_Catalog[[#All],[Food_ID]],Food_Catalog[[#All],[Price_Per_Unit]],0,0)</f>
        <v>60000</v>
      </c>
      <c r="H2054" cm="1">
        <f t="array" ref="H2054">Food_Orders[[#This Row],[Quantity_Orderd]]*_xlfn.XLOOKUP(Food_Orders[[#This Row],[Food_ID]],Food_Catalog[[#All],[Food_ID]],Food_Catalog[[#All],[Client_Price_Per_Unit]],0,0)</f>
        <v>72000</v>
      </c>
      <c r="I2054">
        <f>Food_Orders[[#This Row],[Client_Price]]-Food_Orders[[#This Row],[Cost]]</f>
        <v>12000</v>
      </c>
    </row>
    <row r="2055" spans="1:9" x14ac:dyDescent="0.25">
      <c r="A2055">
        <v>89</v>
      </c>
      <c r="B2055" t="s">
        <v>50</v>
      </c>
      <c r="C2055" t="s">
        <v>40</v>
      </c>
      <c r="D2055" t="s">
        <v>51</v>
      </c>
      <c r="E2055" t="s">
        <v>10</v>
      </c>
      <c r="F2055" cm="1">
        <f t="array" ref="F2055">_xlfn.XLOOKUP(Food_Orders[[#This Row],[Event_No]],Event_Master[[#All],[Event_No]],Event_Master[[#All],[Guest_Count]],,0)</f>
        <v>600</v>
      </c>
      <c r="G2055" cm="1">
        <f t="array" ref="G2055">Food_Orders[[#This Row],[Quantity_Orderd]]*_xlfn.XLOOKUP(Food_Orders[[#This Row],[Food_ID]],Food_Catalog[[#All],[Food_ID]],Food_Catalog[[#All],[Price_Per_Unit]],0,0)</f>
        <v>48000</v>
      </c>
      <c r="H2055" cm="1">
        <f t="array" ref="H2055">Food_Orders[[#This Row],[Quantity_Orderd]]*_xlfn.XLOOKUP(Food_Orders[[#This Row],[Food_ID]],Food_Catalog[[#All],[Food_ID]],Food_Catalog[[#All],[Client_Price_Per_Unit]],0,0)</f>
        <v>57600</v>
      </c>
      <c r="I2055">
        <f>Food_Orders[[#This Row],[Client_Price]]-Food_Orders[[#This Row],[Cost]]</f>
        <v>9600</v>
      </c>
    </row>
    <row r="2056" spans="1:9" x14ac:dyDescent="0.25">
      <c r="A2056">
        <v>89</v>
      </c>
      <c r="B2056" t="s">
        <v>52</v>
      </c>
      <c r="C2056" t="s">
        <v>40</v>
      </c>
      <c r="D2056" t="s">
        <v>53</v>
      </c>
      <c r="E2056" t="s">
        <v>10</v>
      </c>
      <c r="F2056" cm="1">
        <f t="array" ref="F2056">_xlfn.XLOOKUP(Food_Orders[[#This Row],[Event_No]],Event_Master[[#All],[Event_No]],Event_Master[[#All],[Guest_Count]],,0)</f>
        <v>600</v>
      </c>
      <c r="G2056" cm="1">
        <f t="array" ref="G2056">Food_Orders[[#This Row],[Quantity_Orderd]]*_xlfn.XLOOKUP(Food_Orders[[#This Row],[Food_ID]],Food_Catalog[[#All],[Food_ID]],Food_Catalog[[#All],[Price_Per_Unit]],0,0)</f>
        <v>60000</v>
      </c>
      <c r="H2056" cm="1">
        <f t="array" ref="H2056">Food_Orders[[#This Row],[Quantity_Orderd]]*_xlfn.XLOOKUP(Food_Orders[[#This Row],[Food_ID]],Food_Catalog[[#All],[Food_ID]],Food_Catalog[[#All],[Client_Price_Per_Unit]],0,0)</f>
        <v>72000</v>
      </c>
      <c r="I2056">
        <f>Food_Orders[[#This Row],[Client_Price]]-Food_Orders[[#This Row],[Cost]]</f>
        <v>12000</v>
      </c>
    </row>
    <row r="2057" spans="1:9" x14ac:dyDescent="0.25">
      <c r="A2057">
        <v>89</v>
      </c>
      <c r="B2057" t="s">
        <v>54</v>
      </c>
      <c r="C2057" t="s">
        <v>40</v>
      </c>
      <c r="D2057" t="s">
        <v>55</v>
      </c>
      <c r="E2057" t="s">
        <v>10</v>
      </c>
      <c r="F2057" cm="1">
        <f t="array" ref="F2057">_xlfn.XLOOKUP(Food_Orders[[#This Row],[Event_No]],Event_Master[[#All],[Event_No]],Event_Master[[#All],[Guest_Count]],,0)</f>
        <v>600</v>
      </c>
      <c r="G2057" cm="1">
        <f t="array" ref="G2057">Food_Orders[[#This Row],[Quantity_Orderd]]*_xlfn.XLOOKUP(Food_Orders[[#This Row],[Food_ID]],Food_Catalog[[#All],[Food_ID]],Food_Catalog[[#All],[Price_Per_Unit]],0,0)</f>
        <v>24000</v>
      </c>
      <c r="H2057" cm="1">
        <f t="array" ref="H2057">Food_Orders[[#This Row],[Quantity_Orderd]]*_xlfn.XLOOKUP(Food_Orders[[#This Row],[Food_ID]],Food_Catalog[[#All],[Food_ID]],Food_Catalog[[#All],[Client_Price_Per_Unit]],0,0)</f>
        <v>28800</v>
      </c>
      <c r="I2057">
        <f>Food_Orders[[#This Row],[Client_Price]]-Food_Orders[[#This Row],[Cost]]</f>
        <v>4800</v>
      </c>
    </row>
    <row r="2058" spans="1:9" x14ac:dyDescent="0.25">
      <c r="A2058">
        <v>89</v>
      </c>
      <c r="B2058" t="s">
        <v>58</v>
      </c>
      <c r="C2058" t="s">
        <v>40</v>
      </c>
      <c r="D2058" t="s">
        <v>59</v>
      </c>
      <c r="E2058" t="s">
        <v>10</v>
      </c>
      <c r="F2058" cm="1">
        <f t="array" ref="F2058">_xlfn.XLOOKUP(Food_Orders[[#This Row],[Event_No]],Event_Master[[#All],[Event_No]],Event_Master[[#All],[Guest_Count]],,0)</f>
        <v>600</v>
      </c>
      <c r="G2058" cm="1">
        <f t="array" ref="G2058">Food_Orders[[#This Row],[Quantity_Orderd]]*_xlfn.XLOOKUP(Food_Orders[[#This Row],[Food_ID]],Food_Catalog[[#All],[Food_ID]],Food_Catalog[[#All],[Price_Per_Unit]],0,0)</f>
        <v>54000</v>
      </c>
      <c r="H2058" cm="1">
        <f t="array" ref="H2058">Food_Orders[[#This Row],[Quantity_Orderd]]*_xlfn.XLOOKUP(Food_Orders[[#This Row],[Food_ID]],Food_Catalog[[#All],[Food_ID]],Food_Catalog[[#All],[Client_Price_Per_Unit]],0,0)</f>
        <v>64800</v>
      </c>
      <c r="I2058">
        <f>Food_Orders[[#This Row],[Client_Price]]-Food_Orders[[#This Row],[Cost]]</f>
        <v>10800</v>
      </c>
    </row>
    <row r="2059" spans="1:9" x14ac:dyDescent="0.25">
      <c r="A2059">
        <v>89</v>
      </c>
      <c r="B2059" t="s">
        <v>82</v>
      </c>
      <c r="C2059" t="s">
        <v>83</v>
      </c>
      <c r="D2059" t="s">
        <v>84</v>
      </c>
      <c r="E2059" t="s">
        <v>85</v>
      </c>
      <c r="F2059" cm="1">
        <f t="array" ref="F2059">_xlfn.XLOOKUP(Food_Orders[[#This Row],[Event_No]],Event_Master[[#All],[Event_No]],Event_Master[[#All],[Guest_Count]],,0)</f>
        <v>600</v>
      </c>
      <c r="G2059" cm="1">
        <f t="array" ref="G2059">Food_Orders[[#This Row],[Quantity_Orderd]]*_xlfn.XLOOKUP(Food_Orders[[#This Row],[Food_ID]],Food_Catalog[[#All],[Food_ID]],Food_Catalog[[#All],[Price_Per_Unit]],0,0)</f>
        <v>12000</v>
      </c>
      <c r="H2059" cm="1">
        <f t="array" ref="H2059">Food_Orders[[#This Row],[Quantity_Orderd]]*_xlfn.XLOOKUP(Food_Orders[[#This Row],[Food_ID]],Food_Catalog[[#All],[Food_ID]],Food_Catalog[[#All],[Client_Price_Per_Unit]],0,0)</f>
        <v>14400</v>
      </c>
      <c r="I2059">
        <f>Food_Orders[[#This Row],[Client_Price]]-Food_Orders[[#This Row],[Cost]]</f>
        <v>2400</v>
      </c>
    </row>
    <row r="2060" spans="1:9" x14ac:dyDescent="0.25">
      <c r="A2060">
        <v>89</v>
      </c>
      <c r="B2060" t="s">
        <v>86</v>
      </c>
      <c r="C2060" t="s">
        <v>83</v>
      </c>
      <c r="D2060" t="s">
        <v>87</v>
      </c>
      <c r="E2060" t="s">
        <v>85</v>
      </c>
      <c r="F2060" cm="1">
        <f t="array" ref="F2060">_xlfn.XLOOKUP(Food_Orders[[#This Row],[Event_No]],Event_Master[[#All],[Event_No]],Event_Master[[#All],[Guest_Count]],,0)</f>
        <v>600</v>
      </c>
      <c r="G2060" cm="1">
        <f t="array" ref="G2060">Food_Orders[[#This Row],[Quantity_Orderd]]*_xlfn.XLOOKUP(Food_Orders[[#This Row],[Food_ID]],Food_Catalog[[#All],[Food_ID]],Food_Catalog[[#All],[Price_Per_Unit]],0,0)</f>
        <v>12000</v>
      </c>
      <c r="H2060" cm="1">
        <f t="array" ref="H2060">Food_Orders[[#This Row],[Quantity_Orderd]]*_xlfn.XLOOKUP(Food_Orders[[#This Row],[Food_ID]],Food_Catalog[[#All],[Food_ID]],Food_Catalog[[#All],[Client_Price_Per_Unit]],0,0)</f>
        <v>14400</v>
      </c>
      <c r="I2060">
        <f>Food_Orders[[#This Row],[Client_Price]]-Food_Orders[[#This Row],[Cost]]</f>
        <v>2400</v>
      </c>
    </row>
    <row r="2061" spans="1:9" x14ac:dyDescent="0.25">
      <c r="A2061">
        <v>89</v>
      </c>
      <c r="B2061" t="s">
        <v>88</v>
      </c>
      <c r="C2061" t="s">
        <v>83</v>
      </c>
      <c r="D2061" t="s">
        <v>89</v>
      </c>
      <c r="E2061" t="s">
        <v>85</v>
      </c>
      <c r="F2061" cm="1">
        <f t="array" ref="F2061">_xlfn.XLOOKUP(Food_Orders[[#This Row],[Event_No]],Event_Master[[#All],[Event_No]],Event_Master[[#All],[Guest_Count]],,0)</f>
        <v>600</v>
      </c>
      <c r="G2061" cm="1">
        <f t="array" ref="G2061">Food_Orders[[#This Row],[Quantity_Orderd]]*_xlfn.XLOOKUP(Food_Orders[[#This Row],[Food_ID]],Food_Catalog[[#All],[Food_ID]],Food_Catalog[[#All],[Price_Per_Unit]],0,0)</f>
        <v>9000</v>
      </c>
      <c r="H2061" cm="1">
        <f t="array" ref="H2061">Food_Orders[[#This Row],[Quantity_Orderd]]*_xlfn.XLOOKUP(Food_Orders[[#This Row],[Food_ID]],Food_Catalog[[#All],[Food_ID]],Food_Catalog[[#All],[Client_Price_Per_Unit]],0,0)</f>
        <v>10800</v>
      </c>
      <c r="I2061">
        <f>Food_Orders[[#This Row],[Client_Price]]-Food_Orders[[#This Row],[Cost]]</f>
        <v>1800</v>
      </c>
    </row>
    <row r="2062" spans="1:9" x14ac:dyDescent="0.25">
      <c r="A2062">
        <v>89</v>
      </c>
      <c r="B2062" t="s">
        <v>100</v>
      </c>
      <c r="C2062" t="s">
        <v>83</v>
      </c>
      <c r="D2062" t="s">
        <v>101</v>
      </c>
      <c r="E2062" t="s">
        <v>79</v>
      </c>
      <c r="F2062" cm="1">
        <f t="array" ref="F2062">_xlfn.XLOOKUP(Food_Orders[[#This Row],[Event_No]],Event_Master[[#All],[Event_No]],Event_Master[[#All],[Guest_Count]],,0)</f>
        <v>600</v>
      </c>
      <c r="G2062" cm="1">
        <f t="array" ref="G2062">Food_Orders[[#This Row],[Quantity_Orderd]]*_xlfn.XLOOKUP(Food_Orders[[#This Row],[Food_ID]],Food_Catalog[[#All],[Food_ID]],Food_Catalog[[#All],[Price_Per_Unit]],0,0)</f>
        <v>21000</v>
      </c>
      <c r="H2062" cm="1">
        <f t="array" ref="H2062">Food_Orders[[#This Row],[Quantity_Orderd]]*_xlfn.XLOOKUP(Food_Orders[[#This Row],[Food_ID]],Food_Catalog[[#All],[Food_ID]],Food_Catalog[[#All],[Client_Price_Per_Unit]],0,0)</f>
        <v>25200</v>
      </c>
      <c r="I2062">
        <f>Food_Orders[[#This Row],[Client_Price]]-Food_Orders[[#This Row],[Cost]]</f>
        <v>4200</v>
      </c>
    </row>
    <row r="2063" spans="1:9" x14ac:dyDescent="0.25">
      <c r="A2063">
        <v>89</v>
      </c>
      <c r="B2063" t="s">
        <v>96</v>
      </c>
      <c r="C2063" t="s">
        <v>83</v>
      </c>
      <c r="D2063" t="s">
        <v>97</v>
      </c>
      <c r="E2063" t="s">
        <v>79</v>
      </c>
      <c r="F2063" cm="1">
        <f t="array" ref="F2063">_xlfn.XLOOKUP(Food_Orders[[#This Row],[Event_No]],Event_Master[[#All],[Event_No]],Event_Master[[#All],[Guest_Count]],,0)</f>
        <v>600</v>
      </c>
      <c r="G2063" cm="1">
        <f t="array" ref="G2063">Food_Orders[[#This Row],[Quantity_Orderd]]*_xlfn.XLOOKUP(Food_Orders[[#This Row],[Food_ID]],Food_Catalog[[#All],[Food_ID]],Food_Catalog[[#All],[Price_Per_Unit]],0,0)</f>
        <v>18000</v>
      </c>
      <c r="H2063" cm="1">
        <f t="array" ref="H2063">Food_Orders[[#This Row],[Quantity_Orderd]]*_xlfn.XLOOKUP(Food_Orders[[#This Row],[Food_ID]],Food_Catalog[[#All],[Food_ID]],Food_Catalog[[#All],[Client_Price_Per_Unit]],0,0)</f>
        <v>21600</v>
      </c>
      <c r="I2063">
        <f>Food_Orders[[#This Row],[Client_Price]]-Food_Orders[[#This Row],[Cost]]</f>
        <v>3600</v>
      </c>
    </row>
    <row r="2064" spans="1:9" x14ac:dyDescent="0.25">
      <c r="A2064">
        <v>89</v>
      </c>
      <c r="B2064" t="s">
        <v>92</v>
      </c>
      <c r="C2064" t="s">
        <v>83</v>
      </c>
      <c r="D2064" t="s">
        <v>93</v>
      </c>
      <c r="E2064" t="s">
        <v>85</v>
      </c>
      <c r="F2064" cm="1">
        <f t="array" ref="F2064">_xlfn.XLOOKUP(Food_Orders[[#This Row],[Event_No]],Event_Master[[#All],[Event_No]],Event_Master[[#All],[Guest_Count]],,0)</f>
        <v>600</v>
      </c>
      <c r="G2064" cm="1">
        <f t="array" ref="G2064">Food_Orders[[#This Row],[Quantity_Orderd]]*_xlfn.XLOOKUP(Food_Orders[[#This Row],[Food_ID]],Food_Catalog[[#All],[Food_ID]],Food_Catalog[[#All],[Price_Per_Unit]],0,0)</f>
        <v>9000</v>
      </c>
      <c r="H2064" cm="1">
        <f t="array" ref="H2064">Food_Orders[[#This Row],[Quantity_Orderd]]*_xlfn.XLOOKUP(Food_Orders[[#This Row],[Food_ID]],Food_Catalog[[#All],[Food_ID]],Food_Catalog[[#All],[Client_Price_Per_Unit]],0,0)</f>
        <v>10800</v>
      </c>
      <c r="I2064">
        <f>Food_Orders[[#This Row],[Client_Price]]-Food_Orders[[#This Row],[Cost]]</f>
        <v>1800</v>
      </c>
    </row>
    <row r="2065" spans="1:9" x14ac:dyDescent="0.25">
      <c r="A2065">
        <v>89</v>
      </c>
      <c r="B2065" t="s">
        <v>102</v>
      </c>
      <c r="C2065" t="s">
        <v>83</v>
      </c>
      <c r="D2065" t="s">
        <v>103</v>
      </c>
      <c r="E2065" t="s">
        <v>85</v>
      </c>
      <c r="F2065" cm="1">
        <f t="array" ref="F2065">_xlfn.XLOOKUP(Food_Orders[[#This Row],[Event_No]],Event_Master[[#All],[Event_No]],Event_Master[[#All],[Guest_Count]],,0)</f>
        <v>600</v>
      </c>
      <c r="G2065" cm="1">
        <f t="array" ref="G2065">Food_Orders[[#This Row],[Quantity_Orderd]]*_xlfn.XLOOKUP(Food_Orders[[#This Row],[Food_ID]],Food_Catalog[[#All],[Food_ID]],Food_Catalog[[#All],[Price_Per_Unit]],0,0)</f>
        <v>12000</v>
      </c>
      <c r="H2065" cm="1">
        <f t="array" ref="H2065">Food_Orders[[#This Row],[Quantity_Orderd]]*_xlfn.XLOOKUP(Food_Orders[[#This Row],[Food_ID]],Food_Catalog[[#All],[Food_ID]],Food_Catalog[[#All],[Client_Price_Per_Unit]],0,0)</f>
        <v>14400</v>
      </c>
      <c r="I2065">
        <f>Food_Orders[[#This Row],[Client_Price]]-Food_Orders[[#This Row],[Cost]]</f>
        <v>2400</v>
      </c>
    </row>
    <row r="2066" spans="1:9" x14ac:dyDescent="0.25">
      <c r="A2066">
        <v>89</v>
      </c>
      <c r="B2066" t="s">
        <v>98</v>
      </c>
      <c r="C2066" t="s">
        <v>83</v>
      </c>
      <c r="D2066" t="s">
        <v>99</v>
      </c>
      <c r="E2066" t="s">
        <v>85</v>
      </c>
      <c r="F2066" cm="1">
        <f t="array" ref="F2066">_xlfn.XLOOKUP(Food_Orders[[#This Row],[Event_No]],Event_Master[[#All],[Event_No]],Event_Master[[#All],[Guest_Count]],,0)</f>
        <v>600</v>
      </c>
      <c r="G2066" cm="1">
        <f t="array" ref="G2066">Food_Orders[[#This Row],[Quantity_Orderd]]*_xlfn.XLOOKUP(Food_Orders[[#This Row],[Food_ID]],Food_Catalog[[#All],[Food_ID]],Food_Catalog[[#All],[Price_Per_Unit]],0,0)</f>
        <v>9000</v>
      </c>
      <c r="H2066" cm="1">
        <f t="array" ref="H2066">Food_Orders[[#This Row],[Quantity_Orderd]]*_xlfn.XLOOKUP(Food_Orders[[#This Row],[Food_ID]],Food_Catalog[[#All],[Food_ID]],Food_Catalog[[#All],[Client_Price_Per_Unit]],0,0)</f>
        <v>10800</v>
      </c>
      <c r="I2066">
        <f>Food_Orders[[#This Row],[Client_Price]]-Food_Orders[[#This Row],[Cost]]</f>
        <v>1800</v>
      </c>
    </row>
    <row r="2067" spans="1:9" x14ac:dyDescent="0.25">
      <c r="A2067">
        <v>89</v>
      </c>
      <c r="B2067" t="s">
        <v>104</v>
      </c>
      <c r="C2067" t="s">
        <v>105</v>
      </c>
      <c r="D2067" t="s">
        <v>106</v>
      </c>
      <c r="E2067" t="s">
        <v>107</v>
      </c>
      <c r="F2067" cm="1">
        <f t="array" ref="F2067">_xlfn.XLOOKUP(Food_Orders[[#This Row],[Event_No]],Event_Master[[#All],[Event_No]],Event_Master[[#All],[Guest_Count]],,0)</f>
        <v>600</v>
      </c>
      <c r="G2067" cm="1">
        <f t="array" ref="G2067">Food_Orders[[#This Row],[Quantity_Orderd]]*_xlfn.XLOOKUP(Food_Orders[[#This Row],[Food_ID]],Food_Catalog[[#All],[Food_ID]],Food_Catalog[[#All],[Price_Per_Unit]],0,0)</f>
        <v>6000</v>
      </c>
      <c r="H2067" cm="1">
        <f t="array" ref="H2067">Food_Orders[[#This Row],[Quantity_Orderd]]*_xlfn.XLOOKUP(Food_Orders[[#This Row],[Food_ID]],Food_Catalog[[#All],[Food_ID]],Food_Catalog[[#All],[Client_Price_Per_Unit]],0,0)</f>
        <v>7200</v>
      </c>
      <c r="I2067">
        <f>Food_Orders[[#This Row],[Client_Price]]-Food_Orders[[#This Row],[Cost]]</f>
        <v>1200</v>
      </c>
    </row>
    <row r="2068" spans="1:9" x14ac:dyDescent="0.25">
      <c r="A2068">
        <v>89</v>
      </c>
      <c r="B2068" t="s">
        <v>108</v>
      </c>
      <c r="C2068" t="s">
        <v>105</v>
      </c>
      <c r="D2068" t="s">
        <v>109</v>
      </c>
      <c r="E2068" t="s">
        <v>107</v>
      </c>
      <c r="F2068" cm="1">
        <f t="array" ref="F2068">_xlfn.XLOOKUP(Food_Orders[[#This Row],[Event_No]],Event_Master[[#All],[Event_No]],Event_Master[[#All],[Guest_Count]],,0)</f>
        <v>600</v>
      </c>
      <c r="G2068" cm="1">
        <f t="array" ref="G2068">Food_Orders[[#This Row],[Quantity_Orderd]]*_xlfn.XLOOKUP(Food_Orders[[#This Row],[Food_ID]],Food_Catalog[[#All],[Food_ID]],Food_Catalog[[#All],[Price_Per_Unit]],0,0)</f>
        <v>9000</v>
      </c>
      <c r="H2068" cm="1">
        <f t="array" ref="H2068">Food_Orders[[#This Row],[Quantity_Orderd]]*_xlfn.XLOOKUP(Food_Orders[[#This Row],[Food_ID]],Food_Catalog[[#All],[Food_ID]],Food_Catalog[[#All],[Client_Price_Per_Unit]],0,0)</f>
        <v>10800</v>
      </c>
      <c r="I2068">
        <f>Food_Orders[[#This Row],[Client_Price]]-Food_Orders[[#This Row],[Cost]]</f>
        <v>1800</v>
      </c>
    </row>
    <row r="2069" spans="1:9" x14ac:dyDescent="0.25">
      <c r="A2069">
        <v>89</v>
      </c>
      <c r="B2069" t="s">
        <v>115</v>
      </c>
      <c r="C2069" t="s">
        <v>105</v>
      </c>
      <c r="D2069" t="s">
        <v>116</v>
      </c>
      <c r="E2069" t="s">
        <v>117</v>
      </c>
      <c r="F2069" cm="1">
        <f t="array" ref="F2069">_xlfn.XLOOKUP(Food_Orders[[#This Row],[Event_No]],Event_Master[[#All],[Event_No]],Event_Master[[#All],[Guest_Count]],,0)</f>
        <v>600</v>
      </c>
      <c r="G2069" cm="1">
        <f t="array" ref="G2069">Food_Orders[[#This Row],[Quantity_Orderd]]*_xlfn.XLOOKUP(Food_Orders[[#This Row],[Food_ID]],Food_Catalog[[#All],[Food_ID]],Food_Catalog[[#All],[Price_Per_Unit]],0,0)</f>
        <v>15000</v>
      </c>
      <c r="H2069" cm="1">
        <f t="array" ref="H2069">Food_Orders[[#This Row],[Quantity_Orderd]]*_xlfn.XLOOKUP(Food_Orders[[#This Row],[Food_ID]],Food_Catalog[[#All],[Food_ID]],Food_Catalog[[#All],[Client_Price_Per_Unit]],0,0)</f>
        <v>18000</v>
      </c>
      <c r="I2069">
        <f>Food_Orders[[#This Row],[Client_Price]]-Food_Orders[[#This Row],[Cost]]</f>
        <v>3000</v>
      </c>
    </row>
    <row r="2070" spans="1:9" x14ac:dyDescent="0.25">
      <c r="A2070">
        <v>89</v>
      </c>
      <c r="B2070" t="s">
        <v>110</v>
      </c>
      <c r="C2070" t="s">
        <v>105</v>
      </c>
      <c r="D2070" t="s">
        <v>111</v>
      </c>
      <c r="E2070" t="s">
        <v>112</v>
      </c>
      <c r="F2070" cm="1">
        <f t="array" ref="F2070">_xlfn.XLOOKUP(Food_Orders[[#This Row],[Event_No]],Event_Master[[#All],[Event_No]],Event_Master[[#All],[Guest_Count]],,0)</f>
        <v>600</v>
      </c>
      <c r="G2070" cm="1">
        <f t="array" ref="G2070">Food_Orders[[#This Row],[Quantity_Orderd]]*_xlfn.XLOOKUP(Food_Orders[[#This Row],[Food_ID]],Food_Catalog[[#All],[Food_ID]],Food_Catalog[[#All],[Price_Per_Unit]],0,0)</f>
        <v>12000</v>
      </c>
      <c r="H2070" cm="1">
        <f t="array" ref="H2070">Food_Orders[[#This Row],[Quantity_Orderd]]*_xlfn.XLOOKUP(Food_Orders[[#This Row],[Food_ID]],Food_Catalog[[#All],[Food_ID]],Food_Catalog[[#All],[Client_Price_Per_Unit]],0,0)</f>
        <v>14400</v>
      </c>
      <c r="I2070">
        <f>Food_Orders[[#This Row],[Client_Price]]-Food_Orders[[#This Row],[Cost]]</f>
        <v>2400</v>
      </c>
    </row>
    <row r="2071" spans="1:9" x14ac:dyDescent="0.25">
      <c r="A2071">
        <v>89</v>
      </c>
      <c r="B2071" t="s">
        <v>118</v>
      </c>
      <c r="C2071" t="s">
        <v>119</v>
      </c>
      <c r="D2071" t="s">
        <v>120</v>
      </c>
      <c r="E2071" t="s">
        <v>112</v>
      </c>
      <c r="F2071" cm="1">
        <f t="array" ref="F2071">_xlfn.XLOOKUP(Food_Orders[[#This Row],[Event_No]],Event_Master[[#All],[Event_No]],Event_Master[[#All],[Guest_Count]],,0)</f>
        <v>600</v>
      </c>
      <c r="G2071" cm="1">
        <f t="array" ref="G2071">Food_Orders[[#This Row],[Quantity_Orderd]]*_xlfn.XLOOKUP(Food_Orders[[#This Row],[Food_ID]],Food_Catalog[[#All],[Food_ID]],Food_Catalog[[#All],[Price_Per_Unit]],0,0)</f>
        <v>6000</v>
      </c>
      <c r="H2071" cm="1">
        <f t="array" ref="H2071">Food_Orders[[#This Row],[Quantity_Orderd]]*_xlfn.XLOOKUP(Food_Orders[[#This Row],[Food_ID]],Food_Catalog[[#All],[Food_ID]],Food_Catalog[[#All],[Client_Price_Per_Unit]],0,0)</f>
        <v>7200</v>
      </c>
      <c r="I2071">
        <f>Food_Orders[[#This Row],[Client_Price]]-Food_Orders[[#This Row],[Cost]]</f>
        <v>1200</v>
      </c>
    </row>
    <row r="2072" spans="1:9" x14ac:dyDescent="0.25">
      <c r="A2072">
        <v>89</v>
      </c>
      <c r="B2072" t="s">
        <v>129</v>
      </c>
      <c r="C2072" t="s">
        <v>119</v>
      </c>
      <c r="D2072" t="s">
        <v>130</v>
      </c>
      <c r="E2072" t="s">
        <v>112</v>
      </c>
      <c r="F2072" cm="1">
        <f t="array" ref="F2072">_xlfn.XLOOKUP(Food_Orders[[#This Row],[Event_No]],Event_Master[[#All],[Event_No]],Event_Master[[#All],[Guest_Count]],,0)</f>
        <v>600</v>
      </c>
      <c r="G2072" cm="1">
        <f t="array" ref="G2072">Food_Orders[[#This Row],[Quantity_Orderd]]*_xlfn.XLOOKUP(Food_Orders[[#This Row],[Food_ID]],Food_Catalog[[#All],[Food_ID]],Food_Catalog[[#All],[Price_Per_Unit]],0,0)</f>
        <v>6000</v>
      </c>
      <c r="H2072" cm="1">
        <f t="array" ref="H2072">Food_Orders[[#This Row],[Quantity_Orderd]]*_xlfn.XLOOKUP(Food_Orders[[#This Row],[Food_ID]],Food_Catalog[[#All],[Food_ID]],Food_Catalog[[#All],[Client_Price_Per_Unit]],0,0)</f>
        <v>7200</v>
      </c>
      <c r="I2072">
        <f>Food_Orders[[#This Row],[Client_Price]]-Food_Orders[[#This Row],[Cost]]</f>
        <v>1200</v>
      </c>
    </row>
    <row r="2073" spans="1:9" x14ac:dyDescent="0.25">
      <c r="A2073">
        <v>89</v>
      </c>
      <c r="B2073" t="s">
        <v>124</v>
      </c>
      <c r="C2073" t="s">
        <v>119</v>
      </c>
      <c r="D2073" t="s">
        <v>125</v>
      </c>
      <c r="E2073" t="s">
        <v>126</v>
      </c>
      <c r="F2073" cm="1">
        <f t="array" ref="F2073">_xlfn.XLOOKUP(Food_Orders[[#This Row],[Event_No]],Event_Master[[#All],[Event_No]],Event_Master[[#All],[Guest_Count]],,0)</f>
        <v>600</v>
      </c>
      <c r="G2073" cm="1">
        <f t="array" ref="G2073">Food_Orders[[#This Row],[Quantity_Orderd]]*_xlfn.XLOOKUP(Food_Orders[[#This Row],[Food_ID]],Food_Catalog[[#All],[Food_ID]],Food_Catalog[[#All],[Price_Per_Unit]],0,0)</f>
        <v>12000</v>
      </c>
      <c r="H2073" cm="1">
        <f t="array" ref="H2073">Food_Orders[[#This Row],[Quantity_Orderd]]*_xlfn.XLOOKUP(Food_Orders[[#This Row],[Food_ID]],Food_Catalog[[#All],[Food_ID]],Food_Catalog[[#All],[Client_Price_Per_Unit]],0,0)</f>
        <v>14400</v>
      </c>
      <c r="I2073">
        <f>Food_Orders[[#This Row],[Client_Price]]-Food_Orders[[#This Row],[Cost]]</f>
        <v>2400</v>
      </c>
    </row>
    <row r="2074" spans="1:9" x14ac:dyDescent="0.25">
      <c r="A2074">
        <v>89</v>
      </c>
      <c r="B2074" t="s">
        <v>127</v>
      </c>
      <c r="C2074" t="s">
        <v>119</v>
      </c>
      <c r="D2074" t="s">
        <v>128</v>
      </c>
      <c r="E2074" t="s">
        <v>107</v>
      </c>
      <c r="F2074" cm="1">
        <f t="array" ref="F2074">_xlfn.XLOOKUP(Food_Orders[[#This Row],[Event_No]],Event_Master[[#All],[Event_No]],Event_Master[[#All],[Guest_Count]],,0)</f>
        <v>600</v>
      </c>
      <c r="G2074" cm="1">
        <f t="array" ref="G2074">Food_Orders[[#This Row],[Quantity_Orderd]]*_xlfn.XLOOKUP(Food_Orders[[#This Row],[Food_ID]],Food_Catalog[[#All],[Food_ID]],Food_Catalog[[#All],[Price_Per_Unit]],0,0)</f>
        <v>12000</v>
      </c>
      <c r="H2074" cm="1">
        <f t="array" ref="H2074">Food_Orders[[#This Row],[Quantity_Orderd]]*_xlfn.XLOOKUP(Food_Orders[[#This Row],[Food_ID]],Food_Catalog[[#All],[Food_ID]],Food_Catalog[[#All],[Client_Price_Per_Unit]],0,0)</f>
        <v>14400</v>
      </c>
      <c r="I2074">
        <f>Food_Orders[[#This Row],[Client_Price]]-Food_Orders[[#This Row],[Cost]]</f>
        <v>2400</v>
      </c>
    </row>
    <row r="2075" spans="1:9" x14ac:dyDescent="0.25">
      <c r="A2075">
        <v>90</v>
      </c>
      <c r="B2075" t="s">
        <v>118</v>
      </c>
      <c r="C2075" t="s">
        <v>119</v>
      </c>
      <c r="D2075" t="s">
        <v>120</v>
      </c>
      <c r="E2075" t="s">
        <v>112</v>
      </c>
      <c r="F2075" cm="1">
        <f t="array" ref="F2075">_xlfn.XLOOKUP(Food_Orders[[#This Row],[Event_No]],Event_Master[[#All],[Event_No]],Event_Master[[#All],[Guest_Count]],,0)</f>
        <v>450</v>
      </c>
      <c r="G2075" cm="1">
        <f t="array" ref="G2075">Food_Orders[[#This Row],[Quantity_Orderd]]*_xlfn.XLOOKUP(Food_Orders[[#This Row],[Food_ID]],Food_Catalog[[#All],[Food_ID]],Food_Catalog[[#All],[Price_Per_Unit]],0,0)</f>
        <v>4500</v>
      </c>
      <c r="H2075" cm="1">
        <f t="array" ref="H2075">Food_Orders[[#This Row],[Quantity_Orderd]]*_xlfn.XLOOKUP(Food_Orders[[#This Row],[Food_ID]],Food_Catalog[[#All],[Food_ID]],Food_Catalog[[#All],[Client_Price_Per_Unit]],0,0)</f>
        <v>5400</v>
      </c>
      <c r="I2075">
        <f>Food_Orders[[#This Row],[Client_Price]]-Food_Orders[[#This Row],[Cost]]</f>
        <v>900</v>
      </c>
    </row>
    <row r="2076" spans="1:9" x14ac:dyDescent="0.25">
      <c r="A2076">
        <v>90</v>
      </c>
      <c r="B2076" t="s">
        <v>129</v>
      </c>
      <c r="C2076" t="s">
        <v>119</v>
      </c>
      <c r="D2076" t="s">
        <v>130</v>
      </c>
      <c r="E2076" t="s">
        <v>112</v>
      </c>
      <c r="F2076" cm="1">
        <f t="array" ref="F2076">_xlfn.XLOOKUP(Food_Orders[[#This Row],[Event_No]],Event_Master[[#All],[Event_No]],Event_Master[[#All],[Guest_Count]],,0)</f>
        <v>450</v>
      </c>
      <c r="G2076" cm="1">
        <f t="array" ref="G2076">Food_Orders[[#This Row],[Quantity_Orderd]]*_xlfn.XLOOKUP(Food_Orders[[#This Row],[Food_ID]],Food_Catalog[[#All],[Food_ID]],Food_Catalog[[#All],[Price_Per_Unit]],0,0)</f>
        <v>4500</v>
      </c>
      <c r="H2076" cm="1">
        <f t="array" ref="H2076">Food_Orders[[#This Row],[Quantity_Orderd]]*_xlfn.XLOOKUP(Food_Orders[[#This Row],[Food_ID]],Food_Catalog[[#All],[Food_ID]],Food_Catalog[[#All],[Client_Price_Per_Unit]],0,0)</f>
        <v>5400</v>
      </c>
      <c r="I2076">
        <f>Food_Orders[[#This Row],[Client_Price]]-Food_Orders[[#This Row],[Cost]]</f>
        <v>900</v>
      </c>
    </row>
    <row r="2077" spans="1:9" x14ac:dyDescent="0.25">
      <c r="A2077">
        <v>90</v>
      </c>
      <c r="B2077" t="s">
        <v>104</v>
      </c>
      <c r="C2077" t="s">
        <v>105</v>
      </c>
      <c r="D2077" t="s">
        <v>106</v>
      </c>
      <c r="E2077" t="s">
        <v>107</v>
      </c>
      <c r="F2077" cm="1">
        <f t="array" ref="F2077">_xlfn.XLOOKUP(Food_Orders[[#This Row],[Event_No]],Event_Master[[#All],[Event_No]],Event_Master[[#All],[Guest_Count]],,0)</f>
        <v>450</v>
      </c>
      <c r="G2077" cm="1">
        <f t="array" ref="G2077">Food_Orders[[#This Row],[Quantity_Orderd]]*_xlfn.XLOOKUP(Food_Orders[[#This Row],[Food_ID]],Food_Catalog[[#All],[Food_ID]],Food_Catalog[[#All],[Price_Per_Unit]],0,0)</f>
        <v>4500</v>
      </c>
      <c r="H2077" cm="1">
        <f t="array" ref="H2077">Food_Orders[[#This Row],[Quantity_Orderd]]*_xlfn.XLOOKUP(Food_Orders[[#This Row],[Food_ID]],Food_Catalog[[#All],[Food_ID]],Food_Catalog[[#All],[Client_Price_Per_Unit]],0,0)</f>
        <v>5400</v>
      </c>
      <c r="I2077">
        <f>Food_Orders[[#This Row],[Client_Price]]-Food_Orders[[#This Row],[Cost]]</f>
        <v>900</v>
      </c>
    </row>
    <row r="2078" spans="1:9" x14ac:dyDescent="0.25">
      <c r="A2078">
        <v>90</v>
      </c>
      <c r="B2078" t="s">
        <v>108</v>
      </c>
      <c r="C2078" t="s">
        <v>105</v>
      </c>
      <c r="D2078" t="s">
        <v>109</v>
      </c>
      <c r="E2078" t="s">
        <v>107</v>
      </c>
      <c r="F2078" cm="1">
        <f t="array" ref="F2078">_xlfn.XLOOKUP(Food_Orders[[#This Row],[Event_No]],Event_Master[[#All],[Event_No]],Event_Master[[#All],[Guest_Count]],,0)</f>
        <v>450</v>
      </c>
      <c r="G2078" cm="1">
        <f t="array" ref="G2078">Food_Orders[[#This Row],[Quantity_Orderd]]*_xlfn.XLOOKUP(Food_Orders[[#This Row],[Food_ID]],Food_Catalog[[#All],[Food_ID]],Food_Catalog[[#All],[Price_Per_Unit]],0,0)</f>
        <v>6750</v>
      </c>
      <c r="H2078" cm="1">
        <f t="array" ref="H2078">Food_Orders[[#This Row],[Quantity_Orderd]]*_xlfn.XLOOKUP(Food_Orders[[#This Row],[Food_ID]],Food_Catalog[[#All],[Food_ID]],Food_Catalog[[#All],[Client_Price_Per_Unit]],0,0)</f>
        <v>8100</v>
      </c>
      <c r="I2078">
        <f>Food_Orders[[#This Row],[Client_Price]]-Food_Orders[[#This Row],[Cost]]</f>
        <v>1350</v>
      </c>
    </row>
    <row r="2079" spans="1:9" x14ac:dyDescent="0.25">
      <c r="A2079">
        <v>90</v>
      </c>
      <c r="B2079" t="s">
        <v>127</v>
      </c>
      <c r="C2079" t="s">
        <v>119</v>
      </c>
      <c r="D2079" t="s">
        <v>128</v>
      </c>
      <c r="E2079" t="s">
        <v>107</v>
      </c>
      <c r="F2079" cm="1">
        <f t="array" ref="F2079">_xlfn.XLOOKUP(Food_Orders[[#This Row],[Event_No]],Event_Master[[#All],[Event_No]],Event_Master[[#All],[Guest_Count]],,0)</f>
        <v>450</v>
      </c>
      <c r="G2079" cm="1">
        <f t="array" ref="G2079">Food_Orders[[#This Row],[Quantity_Orderd]]*_xlfn.XLOOKUP(Food_Orders[[#This Row],[Food_ID]],Food_Catalog[[#All],[Food_ID]],Food_Catalog[[#All],[Price_Per_Unit]],0,0)</f>
        <v>9000</v>
      </c>
      <c r="H2079" cm="1">
        <f t="array" ref="H2079">Food_Orders[[#This Row],[Quantity_Orderd]]*_xlfn.XLOOKUP(Food_Orders[[#This Row],[Food_ID]],Food_Catalog[[#All],[Food_ID]],Food_Catalog[[#All],[Client_Price_Per_Unit]],0,0)</f>
        <v>10800</v>
      </c>
      <c r="I2079">
        <f>Food_Orders[[#This Row],[Client_Price]]-Food_Orders[[#This Row],[Cost]]</f>
        <v>1800</v>
      </c>
    </row>
    <row r="2080" spans="1:9" x14ac:dyDescent="0.25">
      <c r="A2080">
        <v>90</v>
      </c>
      <c r="B2080" t="s">
        <v>121</v>
      </c>
      <c r="C2080" t="s">
        <v>119</v>
      </c>
      <c r="D2080" t="s">
        <v>122</v>
      </c>
      <c r="E2080" t="s">
        <v>123</v>
      </c>
      <c r="F2080" cm="1">
        <f t="array" ref="F2080">_xlfn.XLOOKUP(Food_Orders[[#This Row],[Event_No]],Event_Master[[#All],[Event_No]],Event_Master[[#All],[Guest_Count]],,0)</f>
        <v>450</v>
      </c>
      <c r="G2080" cm="1">
        <f t="array" ref="G2080">Food_Orders[[#This Row],[Quantity_Orderd]]*_xlfn.XLOOKUP(Food_Orders[[#This Row],[Food_ID]],Food_Catalog[[#All],[Food_ID]],Food_Catalog[[#All],[Price_Per_Unit]],0,0)</f>
        <v>4500</v>
      </c>
      <c r="H2080" cm="1">
        <f t="array" ref="H2080">Food_Orders[[#This Row],[Quantity_Orderd]]*_xlfn.XLOOKUP(Food_Orders[[#This Row],[Food_ID]],Food_Catalog[[#All],[Food_ID]],Food_Catalog[[#All],[Client_Price_Per_Unit]],0,0)</f>
        <v>5400</v>
      </c>
      <c r="I2080">
        <f>Food_Orders[[#This Row],[Client_Price]]-Food_Orders[[#This Row],[Cost]]</f>
        <v>900</v>
      </c>
    </row>
    <row r="2081" spans="1:9" x14ac:dyDescent="0.25">
      <c r="A2081">
        <v>90</v>
      </c>
      <c r="B2081" t="s">
        <v>124</v>
      </c>
      <c r="C2081" t="s">
        <v>119</v>
      </c>
      <c r="D2081" t="s">
        <v>125</v>
      </c>
      <c r="E2081" t="s">
        <v>126</v>
      </c>
      <c r="F2081" cm="1">
        <f t="array" ref="F2081">_xlfn.XLOOKUP(Food_Orders[[#This Row],[Event_No]],Event_Master[[#All],[Event_No]],Event_Master[[#All],[Guest_Count]],,0)</f>
        <v>450</v>
      </c>
      <c r="G2081" cm="1">
        <f t="array" ref="G2081">Food_Orders[[#This Row],[Quantity_Orderd]]*_xlfn.XLOOKUP(Food_Orders[[#This Row],[Food_ID]],Food_Catalog[[#All],[Food_ID]],Food_Catalog[[#All],[Price_Per_Unit]],0,0)</f>
        <v>9000</v>
      </c>
      <c r="H2081" cm="1">
        <f t="array" ref="H2081">Food_Orders[[#This Row],[Quantity_Orderd]]*_xlfn.XLOOKUP(Food_Orders[[#This Row],[Food_ID]],Food_Catalog[[#All],[Food_ID]],Food_Catalog[[#All],[Client_Price_Per_Unit]],0,0)</f>
        <v>10800</v>
      </c>
      <c r="I2081">
        <f>Food_Orders[[#This Row],[Client_Price]]-Food_Orders[[#This Row],[Cost]]</f>
        <v>1800</v>
      </c>
    </row>
    <row r="2082" spans="1:9" x14ac:dyDescent="0.25">
      <c r="A2082">
        <v>90</v>
      </c>
      <c r="B2082" t="s">
        <v>82</v>
      </c>
      <c r="C2082" t="s">
        <v>83</v>
      </c>
      <c r="D2082" t="s">
        <v>84</v>
      </c>
      <c r="E2082" t="s">
        <v>85</v>
      </c>
      <c r="F2082" cm="1">
        <f t="array" ref="F2082">_xlfn.XLOOKUP(Food_Orders[[#This Row],[Event_No]],Event_Master[[#All],[Event_No]],Event_Master[[#All],[Guest_Count]],,0)</f>
        <v>450</v>
      </c>
      <c r="G2082" cm="1">
        <f t="array" ref="G2082">Food_Orders[[#This Row],[Quantity_Orderd]]*_xlfn.XLOOKUP(Food_Orders[[#This Row],[Food_ID]],Food_Catalog[[#All],[Food_ID]],Food_Catalog[[#All],[Price_Per_Unit]],0,0)</f>
        <v>9000</v>
      </c>
      <c r="H2082" cm="1">
        <f t="array" ref="H2082">Food_Orders[[#This Row],[Quantity_Orderd]]*_xlfn.XLOOKUP(Food_Orders[[#This Row],[Food_ID]],Food_Catalog[[#All],[Food_ID]],Food_Catalog[[#All],[Client_Price_Per_Unit]],0,0)</f>
        <v>10800</v>
      </c>
      <c r="I2082">
        <f>Food_Orders[[#This Row],[Client_Price]]-Food_Orders[[#This Row],[Cost]]</f>
        <v>1800</v>
      </c>
    </row>
    <row r="2083" spans="1:9" x14ac:dyDescent="0.25">
      <c r="A2083">
        <v>90</v>
      </c>
      <c r="B2083" t="s">
        <v>96</v>
      </c>
      <c r="C2083" t="s">
        <v>83</v>
      </c>
      <c r="D2083" t="s">
        <v>97</v>
      </c>
      <c r="E2083" t="s">
        <v>79</v>
      </c>
      <c r="F2083" cm="1">
        <f t="array" ref="F2083">_xlfn.XLOOKUP(Food_Orders[[#This Row],[Event_No]],Event_Master[[#All],[Event_No]],Event_Master[[#All],[Guest_Count]],,0)</f>
        <v>450</v>
      </c>
      <c r="G2083" cm="1">
        <f t="array" ref="G2083">Food_Orders[[#This Row],[Quantity_Orderd]]*_xlfn.XLOOKUP(Food_Orders[[#This Row],[Food_ID]],Food_Catalog[[#All],[Food_ID]],Food_Catalog[[#All],[Price_Per_Unit]],0,0)</f>
        <v>13500</v>
      </c>
      <c r="H2083" cm="1">
        <f t="array" ref="H2083">Food_Orders[[#This Row],[Quantity_Orderd]]*_xlfn.XLOOKUP(Food_Orders[[#This Row],[Food_ID]],Food_Catalog[[#All],[Food_ID]],Food_Catalog[[#All],[Client_Price_Per_Unit]],0,0)</f>
        <v>16200</v>
      </c>
      <c r="I2083">
        <f>Food_Orders[[#This Row],[Client_Price]]-Food_Orders[[#This Row],[Cost]]</f>
        <v>2700</v>
      </c>
    </row>
    <row r="2084" spans="1:9" x14ac:dyDescent="0.25">
      <c r="A2084">
        <v>90</v>
      </c>
      <c r="B2084" t="s">
        <v>92</v>
      </c>
      <c r="C2084" t="s">
        <v>83</v>
      </c>
      <c r="D2084" t="s">
        <v>93</v>
      </c>
      <c r="E2084" t="s">
        <v>85</v>
      </c>
      <c r="F2084" cm="1">
        <f t="array" ref="F2084">_xlfn.XLOOKUP(Food_Orders[[#This Row],[Event_No]],Event_Master[[#All],[Event_No]],Event_Master[[#All],[Guest_Count]],,0)</f>
        <v>450</v>
      </c>
      <c r="G2084" cm="1">
        <f t="array" ref="G2084">Food_Orders[[#This Row],[Quantity_Orderd]]*_xlfn.XLOOKUP(Food_Orders[[#This Row],[Food_ID]],Food_Catalog[[#All],[Food_ID]],Food_Catalog[[#All],[Price_Per_Unit]],0,0)</f>
        <v>6750</v>
      </c>
      <c r="H2084" cm="1">
        <f t="array" ref="H2084">Food_Orders[[#This Row],[Quantity_Orderd]]*_xlfn.XLOOKUP(Food_Orders[[#This Row],[Food_ID]],Food_Catalog[[#All],[Food_ID]],Food_Catalog[[#All],[Client_Price_Per_Unit]],0,0)</f>
        <v>8100</v>
      </c>
      <c r="I2084">
        <f>Food_Orders[[#This Row],[Client_Price]]-Food_Orders[[#This Row],[Cost]]</f>
        <v>1350</v>
      </c>
    </row>
    <row r="2085" spans="1:9" x14ac:dyDescent="0.25">
      <c r="A2085">
        <v>90</v>
      </c>
      <c r="B2085" t="s">
        <v>98</v>
      </c>
      <c r="C2085" t="s">
        <v>83</v>
      </c>
      <c r="D2085" t="s">
        <v>99</v>
      </c>
      <c r="E2085" t="s">
        <v>85</v>
      </c>
      <c r="F2085" cm="1">
        <f t="array" ref="F2085">_xlfn.XLOOKUP(Food_Orders[[#This Row],[Event_No]],Event_Master[[#All],[Event_No]],Event_Master[[#All],[Guest_Count]],,0)</f>
        <v>450</v>
      </c>
      <c r="G2085" cm="1">
        <f t="array" ref="G2085">Food_Orders[[#This Row],[Quantity_Orderd]]*_xlfn.XLOOKUP(Food_Orders[[#This Row],[Food_ID]],Food_Catalog[[#All],[Food_ID]],Food_Catalog[[#All],[Price_Per_Unit]],0,0)</f>
        <v>6750</v>
      </c>
      <c r="H2085" cm="1">
        <f t="array" ref="H2085">Food_Orders[[#This Row],[Quantity_Orderd]]*_xlfn.XLOOKUP(Food_Orders[[#This Row],[Food_ID]],Food_Catalog[[#All],[Food_ID]],Food_Catalog[[#All],[Client_Price_Per_Unit]],0,0)</f>
        <v>8100</v>
      </c>
      <c r="I2085">
        <f>Food_Orders[[#This Row],[Client_Price]]-Food_Orders[[#This Row],[Cost]]</f>
        <v>1350</v>
      </c>
    </row>
    <row r="2086" spans="1:9" x14ac:dyDescent="0.25">
      <c r="A2086">
        <v>90</v>
      </c>
      <c r="B2086" t="s">
        <v>63</v>
      </c>
      <c r="C2086" t="s">
        <v>61</v>
      </c>
      <c r="D2086" t="s">
        <v>64</v>
      </c>
      <c r="E2086" t="s">
        <v>10</v>
      </c>
      <c r="F2086" cm="1">
        <f t="array" ref="F2086">_xlfn.XLOOKUP(Food_Orders[[#This Row],[Event_No]],Event_Master[[#All],[Event_No]],Event_Master[[#All],[Guest_Count]],,0)</f>
        <v>450</v>
      </c>
      <c r="G2086" cm="1">
        <f t="array" ref="G2086">Food_Orders[[#This Row],[Quantity_Orderd]]*_xlfn.XLOOKUP(Food_Orders[[#This Row],[Food_ID]],Food_Catalog[[#All],[Food_ID]],Food_Catalog[[#All],[Price_Per_Unit]],0,0)</f>
        <v>13500</v>
      </c>
      <c r="H2086" cm="1">
        <f t="array" ref="H2086">Food_Orders[[#This Row],[Quantity_Orderd]]*_xlfn.XLOOKUP(Food_Orders[[#This Row],[Food_ID]],Food_Catalog[[#All],[Food_ID]],Food_Catalog[[#All],[Client_Price_Per_Unit]],0,0)</f>
        <v>16200</v>
      </c>
      <c r="I2086">
        <f>Food_Orders[[#This Row],[Client_Price]]-Food_Orders[[#This Row],[Cost]]</f>
        <v>2700</v>
      </c>
    </row>
    <row r="2087" spans="1:9" x14ac:dyDescent="0.25">
      <c r="A2087">
        <v>90</v>
      </c>
      <c r="B2087" t="s">
        <v>71</v>
      </c>
      <c r="C2087" t="s">
        <v>61</v>
      </c>
      <c r="D2087" t="s">
        <v>72</v>
      </c>
      <c r="E2087" t="s">
        <v>10</v>
      </c>
      <c r="F2087" cm="1">
        <f t="array" ref="F2087">_xlfn.XLOOKUP(Food_Orders[[#This Row],[Event_No]],Event_Master[[#All],[Event_No]],Event_Master[[#All],[Guest_Count]],,0)</f>
        <v>450</v>
      </c>
      <c r="G2087" cm="1">
        <f t="array" ref="G2087">Food_Orders[[#This Row],[Quantity_Orderd]]*_xlfn.XLOOKUP(Food_Orders[[#This Row],[Food_ID]],Food_Catalog[[#All],[Food_ID]],Food_Catalog[[#All],[Price_Per_Unit]],0,0)</f>
        <v>11250</v>
      </c>
      <c r="H2087" cm="1">
        <f t="array" ref="H2087">Food_Orders[[#This Row],[Quantity_Orderd]]*_xlfn.XLOOKUP(Food_Orders[[#This Row],[Food_ID]],Food_Catalog[[#All],[Food_ID]],Food_Catalog[[#All],[Client_Price_Per_Unit]],0,0)</f>
        <v>13500</v>
      </c>
      <c r="I2087">
        <f>Food_Orders[[#This Row],[Client_Price]]-Food_Orders[[#This Row],[Cost]]</f>
        <v>2250</v>
      </c>
    </row>
    <row r="2088" spans="1:9" x14ac:dyDescent="0.25">
      <c r="A2088">
        <v>90</v>
      </c>
      <c r="B2088" t="s">
        <v>29</v>
      </c>
      <c r="C2088" t="s">
        <v>8</v>
      </c>
      <c r="D2088" t="s">
        <v>30</v>
      </c>
      <c r="E2088" t="s">
        <v>10</v>
      </c>
      <c r="F2088" cm="1">
        <f t="array" ref="F2088">_xlfn.XLOOKUP(Food_Orders[[#This Row],[Event_No]],Event_Master[[#All],[Event_No]],Event_Master[[#All],[Guest_Count]],,0)</f>
        <v>450</v>
      </c>
      <c r="G2088" cm="1">
        <f t="array" ref="G2088">Food_Orders[[#This Row],[Quantity_Orderd]]*_xlfn.XLOOKUP(Food_Orders[[#This Row],[Food_ID]],Food_Catalog[[#All],[Food_ID]],Food_Catalog[[#All],[Price_Per_Unit]],0,0)</f>
        <v>13500</v>
      </c>
      <c r="H2088" cm="1">
        <f t="array" ref="H2088">Food_Orders[[#This Row],[Quantity_Orderd]]*_xlfn.XLOOKUP(Food_Orders[[#This Row],[Food_ID]],Food_Catalog[[#All],[Food_ID]],Food_Catalog[[#All],[Client_Price_Per_Unit]],0,0)</f>
        <v>16200</v>
      </c>
      <c r="I2088">
        <f>Food_Orders[[#This Row],[Client_Price]]-Food_Orders[[#This Row],[Cost]]</f>
        <v>2700</v>
      </c>
    </row>
    <row r="2089" spans="1:9" x14ac:dyDescent="0.25">
      <c r="A2089">
        <v>90</v>
      </c>
      <c r="B2089" t="s">
        <v>37</v>
      </c>
      <c r="C2089" t="s">
        <v>8</v>
      </c>
      <c r="D2089" t="s">
        <v>38</v>
      </c>
      <c r="E2089" t="s">
        <v>10</v>
      </c>
      <c r="F2089" cm="1">
        <f t="array" ref="F2089">_xlfn.XLOOKUP(Food_Orders[[#This Row],[Event_No]],Event_Master[[#All],[Event_No]],Event_Master[[#All],[Guest_Count]],,0)</f>
        <v>450</v>
      </c>
      <c r="G2089" cm="1">
        <f t="array" ref="G2089">Food_Orders[[#This Row],[Quantity_Orderd]]*_xlfn.XLOOKUP(Food_Orders[[#This Row],[Food_ID]],Food_Catalog[[#All],[Food_ID]],Food_Catalog[[#All],[Price_Per_Unit]],0,0)</f>
        <v>11250</v>
      </c>
      <c r="H2089" cm="1">
        <f t="array" ref="H2089">Food_Orders[[#This Row],[Quantity_Orderd]]*_xlfn.XLOOKUP(Food_Orders[[#This Row],[Food_ID]],Food_Catalog[[#All],[Food_ID]],Food_Catalog[[#All],[Client_Price_Per_Unit]],0,0)</f>
        <v>13500</v>
      </c>
      <c r="I2089">
        <f>Food_Orders[[#This Row],[Client_Price]]-Food_Orders[[#This Row],[Cost]]</f>
        <v>2250</v>
      </c>
    </row>
    <row r="2090" spans="1:9" x14ac:dyDescent="0.25">
      <c r="A2090">
        <v>91</v>
      </c>
      <c r="B2090" t="s">
        <v>118</v>
      </c>
      <c r="C2090" t="s">
        <v>119</v>
      </c>
      <c r="D2090" t="s">
        <v>120</v>
      </c>
      <c r="E2090" t="s">
        <v>112</v>
      </c>
      <c r="F2090" cm="1">
        <f t="array" ref="F2090">_xlfn.XLOOKUP(Food_Orders[[#This Row],[Event_No]],Event_Master[[#All],[Event_No]],Event_Master[[#All],[Guest_Count]],,0)</f>
        <v>600</v>
      </c>
      <c r="G2090" cm="1">
        <f t="array" ref="G2090">Food_Orders[[#This Row],[Quantity_Orderd]]*_xlfn.XLOOKUP(Food_Orders[[#This Row],[Food_ID]],Food_Catalog[[#All],[Food_ID]],Food_Catalog[[#All],[Price_Per_Unit]],0,0)</f>
        <v>6000</v>
      </c>
      <c r="H2090" cm="1">
        <f t="array" ref="H2090">Food_Orders[[#This Row],[Quantity_Orderd]]*_xlfn.XLOOKUP(Food_Orders[[#This Row],[Food_ID]],Food_Catalog[[#All],[Food_ID]],Food_Catalog[[#All],[Client_Price_Per_Unit]],0,0)</f>
        <v>7200</v>
      </c>
      <c r="I2090">
        <f>Food_Orders[[#This Row],[Client_Price]]-Food_Orders[[#This Row],[Cost]]</f>
        <v>1200</v>
      </c>
    </row>
    <row r="2091" spans="1:9" x14ac:dyDescent="0.25">
      <c r="A2091">
        <v>91</v>
      </c>
      <c r="B2091" t="s">
        <v>129</v>
      </c>
      <c r="C2091" t="s">
        <v>119</v>
      </c>
      <c r="D2091" t="s">
        <v>130</v>
      </c>
      <c r="E2091" t="s">
        <v>112</v>
      </c>
      <c r="F2091" cm="1">
        <f t="array" ref="F2091">_xlfn.XLOOKUP(Food_Orders[[#This Row],[Event_No]],Event_Master[[#All],[Event_No]],Event_Master[[#All],[Guest_Count]],,0)</f>
        <v>600</v>
      </c>
      <c r="G2091" cm="1">
        <f t="array" ref="G2091">Food_Orders[[#This Row],[Quantity_Orderd]]*_xlfn.XLOOKUP(Food_Orders[[#This Row],[Food_ID]],Food_Catalog[[#All],[Food_ID]],Food_Catalog[[#All],[Price_Per_Unit]],0,0)</f>
        <v>6000</v>
      </c>
      <c r="H2091" cm="1">
        <f t="array" ref="H2091">Food_Orders[[#This Row],[Quantity_Orderd]]*_xlfn.XLOOKUP(Food_Orders[[#This Row],[Food_ID]],Food_Catalog[[#All],[Food_ID]],Food_Catalog[[#All],[Client_Price_Per_Unit]],0,0)</f>
        <v>7200</v>
      </c>
      <c r="I2091">
        <f>Food_Orders[[#This Row],[Client_Price]]-Food_Orders[[#This Row],[Cost]]</f>
        <v>1200</v>
      </c>
    </row>
    <row r="2092" spans="1:9" x14ac:dyDescent="0.25">
      <c r="A2092">
        <v>91</v>
      </c>
      <c r="B2092" t="s">
        <v>104</v>
      </c>
      <c r="C2092" t="s">
        <v>105</v>
      </c>
      <c r="D2092" t="s">
        <v>106</v>
      </c>
      <c r="E2092" t="s">
        <v>107</v>
      </c>
      <c r="F2092" cm="1">
        <f t="array" ref="F2092">_xlfn.XLOOKUP(Food_Orders[[#This Row],[Event_No]],Event_Master[[#All],[Event_No]],Event_Master[[#All],[Guest_Count]],,0)</f>
        <v>600</v>
      </c>
      <c r="G2092" cm="1">
        <f t="array" ref="G2092">Food_Orders[[#This Row],[Quantity_Orderd]]*_xlfn.XLOOKUP(Food_Orders[[#This Row],[Food_ID]],Food_Catalog[[#All],[Food_ID]],Food_Catalog[[#All],[Price_Per_Unit]],0,0)</f>
        <v>6000</v>
      </c>
      <c r="H2092" cm="1">
        <f t="array" ref="H2092">Food_Orders[[#This Row],[Quantity_Orderd]]*_xlfn.XLOOKUP(Food_Orders[[#This Row],[Food_ID]],Food_Catalog[[#All],[Food_ID]],Food_Catalog[[#All],[Client_Price_Per_Unit]],0,0)</f>
        <v>7200</v>
      </c>
      <c r="I2092">
        <f>Food_Orders[[#This Row],[Client_Price]]-Food_Orders[[#This Row],[Cost]]</f>
        <v>1200</v>
      </c>
    </row>
    <row r="2093" spans="1:9" x14ac:dyDescent="0.25">
      <c r="A2093">
        <v>91</v>
      </c>
      <c r="B2093" t="s">
        <v>108</v>
      </c>
      <c r="C2093" t="s">
        <v>105</v>
      </c>
      <c r="D2093" t="s">
        <v>109</v>
      </c>
      <c r="E2093" t="s">
        <v>107</v>
      </c>
      <c r="F2093" cm="1">
        <f t="array" ref="F2093">_xlfn.XLOOKUP(Food_Orders[[#This Row],[Event_No]],Event_Master[[#All],[Event_No]],Event_Master[[#All],[Guest_Count]],,0)</f>
        <v>600</v>
      </c>
      <c r="G2093" cm="1">
        <f t="array" ref="G2093">Food_Orders[[#This Row],[Quantity_Orderd]]*_xlfn.XLOOKUP(Food_Orders[[#This Row],[Food_ID]],Food_Catalog[[#All],[Food_ID]],Food_Catalog[[#All],[Price_Per_Unit]],0,0)</f>
        <v>9000</v>
      </c>
      <c r="H2093" cm="1">
        <f t="array" ref="H2093">Food_Orders[[#This Row],[Quantity_Orderd]]*_xlfn.XLOOKUP(Food_Orders[[#This Row],[Food_ID]],Food_Catalog[[#All],[Food_ID]],Food_Catalog[[#All],[Client_Price_Per_Unit]],0,0)</f>
        <v>10800</v>
      </c>
      <c r="I2093">
        <f>Food_Orders[[#This Row],[Client_Price]]-Food_Orders[[#This Row],[Cost]]</f>
        <v>1800</v>
      </c>
    </row>
    <row r="2094" spans="1:9" x14ac:dyDescent="0.25">
      <c r="A2094">
        <v>91</v>
      </c>
      <c r="B2094" t="s">
        <v>127</v>
      </c>
      <c r="C2094" t="s">
        <v>119</v>
      </c>
      <c r="D2094" t="s">
        <v>128</v>
      </c>
      <c r="E2094" t="s">
        <v>107</v>
      </c>
      <c r="F2094" cm="1">
        <f t="array" ref="F2094">_xlfn.XLOOKUP(Food_Orders[[#This Row],[Event_No]],Event_Master[[#All],[Event_No]],Event_Master[[#All],[Guest_Count]],,0)</f>
        <v>600</v>
      </c>
      <c r="G2094" cm="1">
        <f t="array" ref="G2094">Food_Orders[[#This Row],[Quantity_Orderd]]*_xlfn.XLOOKUP(Food_Orders[[#This Row],[Food_ID]],Food_Catalog[[#All],[Food_ID]],Food_Catalog[[#All],[Price_Per_Unit]],0,0)</f>
        <v>12000</v>
      </c>
      <c r="H2094" cm="1">
        <f t="array" ref="H2094">Food_Orders[[#This Row],[Quantity_Orderd]]*_xlfn.XLOOKUP(Food_Orders[[#This Row],[Food_ID]],Food_Catalog[[#All],[Food_ID]],Food_Catalog[[#All],[Client_Price_Per_Unit]],0,0)</f>
        <v>14400</v>
      </c>
      <c r="I2094">
        <f>Food_Orders[[#This Row],[Client_Price]]-Food_Orders[[#This Row],[Cost]]</f>
        <v>2400</v>
      </c>
    </row>
    <row r="2095" spans="1:9" x14ac:dyDescent="0.25">
      <c r="A2095">
        <v>91</v>
      </c>
      <c r="B2095" t="s">
        <v>124</v>
      </c>
      <c r="C2095" t="s">
        <v>119</v>
      </c>
      <c r="D2095" t="s">
        <v>125</v>
      </c>
      <c r="E2095" t="s">
        <v>126</v>
      </c>
      <c r="F2095" cm="1">
        <f t="array" ref="F2095">_xlfn.XLOOKUP(Food_Orders[[#This Row],[Event_No]],Event_Master[[#All],[Event_No]],Event_Master[[#All],[Guest_Count]],,0)</f>
        <v>600</v>
      </c>
      <c r="G2095" cm="1">
        <f t="array" ref="G2095">Food_Orders[[#This Row],[Quantity_Orderd]]*_xlfn.XLOOKUP(Food_Orders[[#This Row],[Food_ID]],Food_Catalog[[#All],[Food_ID]],Food_Catalog[[#All],[Price_Per_Unit]],0,0)</f>
        <v>12000</v>
      </c>
      <c r="H2095" cm="1">
        <f t="array" ref="H2095">Food_Orders[[#This Row],[Quantity_Orderd]]*_xlfn.XLOOKUP(Food_Orders[[#This Row],[Food_ID]],Food_Catalog[[#All],[Food_ID]],Food_Catalog[[#All],[Client_Price_Per_Unit]],0,0)</f>
        <v>14400</v>
      </c>
      <c r="I2095">
        <f>Food_Orders[[#This Row],[Client_Price]]-Food_Orders[[#This Row],[Cost]]</f>
        <v>2400</v>
      </c>
    </row>
    <row r="2096" spans="1:9" x14ac:dyDescent="0.25">
      <c r="A2096">
        <v>91</v>
      </c>
      <c r="B2096" t="s">
        <v>121</v>
      </c>
      <c r="C2096" t="s">
        <v>119</v>
      </c>
      <c r="D2096" t="s">
        <v>122</v>
      </c>
      <c r="E2096" t="s">
        <v>123</v>
      </c>
      <c r="F2096" cm="1">
        <f t="array" ref="F2096">_xlfn.XLOOKUP(Food_Orders[[#This Row],[Event_No]],Event_Master[[#All],[Event_No]],Event_Master[[#All],[Guest_Count]],,0)</f>
        <v>600</v>
      </c>
      <c r="G2096" cm="1">
        <f t="array" ref="G2096">Food_Orders[[#This Row],[Quantity_Orderd]]*_xlfn.XLOOKUP(Food_Orders[[#This Row],[Food_ID]],Food_Catalog[[#All],[Food_ID]],Food_Catalog[[#All],[Price_Per_Unit]],0,0)</f>
        <v>6000</v>
      </c>
      <c r="H2096" cm="1">
        <f t="array" ref="H2096">Food_Orders[[#This Row],[Quantity_Orderd]]*_xlfn.XLOOKUP(Food_Orders[[#This Row],[Food_ID]],Food_Catalog[[#All],[Food_ID]],Food_Catalog[[#All],[Client_Price_Per_Unit]],0,0)</f>
        <v>7200</v>
      </c>
      <c r="I2096">
        <f>Food_Orders[[#This Row],[Client_Price]]-Food_Orders[[#This Row],[Cost]]</f>
        <v>1200</v>
      </c>
    </row>
    <row r="2097" spans="1:9" x14ac:dyDescent="0.25">
      <c r="A2097">
        <v>91</v>
      </c>
      <c r="B2097" t="s">
        <v>63</v>
      </c>
      <c r="C2097" t="s">
        <v>61</v>
      </c>
      <c r="D2097" t="s">
        <v>64</v>
      </c>
      <c r="E2097" t="s">
        <v>10</v>
      </c>
      <c r="F2097" cm="1">
        <f t="array" ref="F2097">_xlfn.XLOOKUP(Food_Orders[[#This Row],[Event_No]],Event_Master[[#All],[Event_No]],Event_Master[[#All],[Guest_Count]],,0)</f>
        <v>600</v>
      </c>
      <c r="G2097" cm="1">
        <f t="array" ref="G2097">Food_Orders[[#This Row],[Quantity_Orderd]]*_xlfn.XLOOKUP(Food_Orders[[#This Row],[Food_ID]],Food_Catalog[[#All],[Food_ID]],Food_Catalog[[#All],[Price_Per_Unit]],0,0)</f>
        <v>18000</v>
      </c>
      <c r="H2097" cm="1">
        <f t="array" ref="H2097">Food_Orders[[#This Row],[Quantity_Orderd]]*_xlfn.XLOOKUP(Food_Orders[[#This Row],[Food_ID]],Food_Catalog[[#All],[Food_ID]],Food_Catalog[[#All],[Client_Price_Per_Unit]],0,0)</f>
        <v>21600</v>
      </c>
      <c r="I2097">
        <f>Food_Orders[[#This Row],[Client_Price]]-Food_Orders[[#This Row],[Cost]]</f>
        <v>3600</v>
      </c>
    </row>
    <row r="2098" spans="1:9" x14ac:dyDescent="0.25">
      <c r="A2098">
        <v>91</v>
      </c>
      <c r="B2098" t="s">
        <v>71</v>
      </c>
      <c r="C2098" t="s">
        <v>61</v>
      </c>
      <c r="D2098" t="s">
        <v>72</v>
      </c>
      <c r="E2098" t="s">
        <v>10</v>
      </c>
      <c r="F2098" cm="1">
        <f t="array" ref="F2098">_xlfn.XLOOKUP(Food_Orders[[#This Row],[Event_No]],Event_Master[[#All],[Event_No]],Event_Master[[#All],[Guest_Count]],,0)</f>
        <v>600</v>
      </c>
      <c r="G2098" cm="1">
        <f t="array" ref="G2098">Food_Orders[[#This Row],[Quantity_Orderd]]*_xlfn.XLOOKUP(Food_Orders[[#This Row],[Food_ID]],Food_Catalog[[#All],[Food_ID]],Food_Catalog[[#All],[Price_Per_Unit]],0,0)</f>
        <v>15000</v>
      </c>
      <c r="H2098" cm="1">
        <f t="array" ref="H2098">Food_Orders[[#This Row],[Quantity_Orderd]]*_xlfn.XLOOKUP(Food_Orders[[#This Row],[Food_ID]],Food_Catalog[[#All],[Food_ID]],Food_Catalog[[#All],[Client_Price_Per_Unit]],0,0)</f>
        <v>18000</v>
      </c>
      <c r="I2098">
        <f>Food_Orders[[#This Row],[Client_Price]]-Food_Orders[[#This Row],[Cost]]</f>
        <v>3000</v>
      </c>
    </row>
    <row r="2099" spans="1:9" x14ac:dyDescent="0.25">
      <c r="A2099">
        <v>91</v>
      </c>
      <c r="B2099" t="s">
        <v>29</v>
      </c>
      <c r="C2099" t="s">
        <v>8</v>
      </c>
      <c r="D2099" t="s">
        <v>30</v>
      </c>
      <c r="E2099" t="s">
        <v>10</v>
      </c>
      <c r="F2099" cm="1">
        <f t="array" ref="F2099">_xlfn.XLOOKUP(Food_Orders[[#This Row],[Event_No]],Event_Master[[#All],[Event_No]],Event_Master[[#All],[Guest_Count]],,0)</f>
        <v>600</v>
      </c>
      <c r="G2099" cm="1">
        <f t="array" ref="G2099">Food_Orders[[#This Row],[Quantity_Orderd]]*_xlfn.XLOOKUP(Food_Orders[[#This Row],[Food_ID]],Food_Catalog[[#All],[Food_ID]],Food_Catalog[[#All],[Price_Per_Unit]],0,0)</f>
        <v>18000</v>
      </c>
      <c r="H2099" cm="1">
        <f t="array" ref="H2099">Food_Orders[[#This Row],[Quantity_Orderd]]*_xlfn.XLOOKUP(Food_Orders[[#This Row],[Food_ID]],Food_Catalog[[#All],[Food_ID]],Food_Catalog[[#All],[Client_Price_Per_Unit]],0,0)</f>
        <v>21600</v>
      </c>
      <c r="I2099">
        <f>Food_Orders[[#This Row],[Client_Price]]-Food_Orders[[#This Row],[Cost]]</f>
        <v>3600</v>
      </c>
    </row>
    <row r="2100" spans="1:9" x14ac:dyDescent="0.25">
      <c r="A2100">
        <v>91</v>
      </c>
      <c r="B2100" t="s">
        <v>37</v>
      </c>
      <c r="C2100" t="s">
        <v>8</v>
      </c>
      <c r="D2100" t="s">
        <v>38</v>
      </c>
      <c r="E2100" t="s">
        <v>10</v>
      </c>
      <c r="F2100" cm="1">
        <f t="array" ref="F2100">_xlfn.XLOOKUP(Food_Orders[[#This Row],[Event_No]],Event_Master[[#All],[Event_No]],Event_Master[[#All],[Guest_Count]],,0)</f>
        <v>600</v>
      </c>
      <c r="G2100" cm="1">
        <f t="array" ref="G2100">Food_Orders[[#This Row],[Quantity_Orderd]]*_xlfn.XLOOKUP(Food_Orders[[#This Row],[Food_ID]],Food_Catalog[[#All],[Food_ID]],Food_Catalog[[#All],[Price_Per_Unit]],0,0)</f>
        <v>15000</v>
      </c>
      <c r="H2100" cm="1">
        <f t="array" ref="H2100">Food_Orders[[#This Row],[Quantity_Orderd]]*_xlfn.XLOOKUP(Food_Orders[[#This Row],[Food_ID]],Food_Catalog[[#All],[Food_ID]],Food_Catalog[[#All],[Client_Price_Per_Unit]],0,0)</f>
        <v>18000</v>
      </c>
      <c r="I2100">
        <f>Food_Orders[[#This Row],[Client_Price]]-Food_Orders[[#This Row],[Cost]]</f>
        <v>3000</v>
      </c>
    </row>
    <row r="2101" spans="1:9" x14ac:dyDescent="0.25">
      <c r="A2101">
        <v>91</v>
      </c>
      <c r="B2101" t="s">
        <v>69</v>
      </c>
      <c r="C2101" t="s">
        <v>61</v>
      </c>
      <c r="D2101" t="s">
        <v>70</v>
      </c>
      <c r="E2101" t="s">
        <v>10</v>
      </c>
      <c r="F2101" cm="1">
        <f t="array" ref="F2101">_xlfn.XLOOKUP(Food_Orders[[#This Row],[Event_No]],Event_Master[[#All],[Event_No]],Event_Master[[#All],[Guest_Count]],,0)</f>
        <v>600</v>
      </c>
      <c r="G2101" cm="1">
        <f t="array" ref="G2101">Food_Orders[[#This Row],[Quantity_Orderd]]*_xlfn.XLOOKUP(Food_Orders[[#This Row],[Food_ID]],Food_Catalog[[#All],[Food_ID]],Food_Catalog[[#All],[Price_Per_Unit]],0,0)</f>
        <v>30000</v>
      </c>
      <c r="H2101" cm="1">
        <f t="array" ref="H2101">Food_Orders[[#This Row],[Quantity_Orderd]]*_xlfn.XLOOKUP(Food_Orders[[#This Row],[Food_ID]],Food_Catalog[[#All],[Food_ID]],Food_Catalog[[#All],[Client_Price_Per_Unit]],0,0)</f>
        <v>36000</v>
      </c>
      <c r="I2101">
        <f>Food_Orders[[#This Row],[Client_Price]]-Food_Orders[[#This Row],[Cost]]</f>
        <v>6000</v>
      </c>
    </row>
    <row r="2102" spans="1:9" x14ac:dyDescent="0.25">
      <c r="A2102">
        <v>91</v>
      </c>
      <c r="B2102" t="s">
        <v>27</v>
      </c>
      <c r="C2102" t="s">
        <v>8</v>
      </c>
      <c r="D2102" t="s">
        <v>28</v>
      </c>
      <c r="E2102" t="s">
        <v>10</v>
      </c>
      <c r="F2102" cm="1">
        <f t="array" ref="F2102">_xlfn.XLOOKUP(Food_Orders[[#This Row],[Event_No]],Event_Master[[#All],[Event_No]],Event_Master[[#All],[Guest_Count]],,0)</f>
        <v>600</v>
      </c>
      <c r="G2102" cm="1">
        <f t="array" ref="G2102">Food_Orders[[#This Row],[Quantity_Orderd]]*_xlfn.XLOOKUP(Food_Orders[[#This Row],[Food_ID]],Food_Catalog[[#All],[Food_ID]],Food_Catalog[[#All],[Price_Per_Unit]],0,0)</f>
        <v>24000</v>
      </c>
      <c r="H2102" cm="1">
        <f t="array" ref="H2102">Food_Orders[[#This Row],[Quantity_Orderd]]*_xlfn.XLOOKUP(Food_Orders[[#This Row],[Food_ID]],Food_Catalog[[#All],[Food_ID]],Food_Catalog[[#All],[Client_Price_Per_Unit]],0,0)</f>
        <v>28800</v>
      </c>
      <c r="I2102">
        <f>Food_Orders[[#This Row],[Client_Price]]-Food_Orders[[#This Row],[Cost]]</f>
        <v>4800</v>
      </c>
    </row>
    <row r="2103" spans="1:9" x14ac:dyDescent="0.25">
      <c r="A2103">
        <v>91</v>
      </c>
      <c r="B2103" t="s">
        <v>82</v>
      </c>
      <c r="C2103" t="s">
        <v>83</v>
      </c>
      <c r="D2103" t="s">
        <v>84</v>
      </c>
      <c r="E2103" t="s">
        <v>85</v>
      </c>
      <c r="F2103" cm="1">
        <f t="array" ref="F2103">_xlfn.XLOOKUP(Food_Orders[[#This Row],[Event_No]],Event_Master[[#All],[Event_No]],Event_Master[[#All],[Guest_Count]],,0)</f>
        <v>600</v>
      </c>
      <c r="G2103" cm="1">
        <f t="array" ref="G2103">Food_Orders[[#This Row],[Quantity_Orderd]]*_xlfn.XLOOKUP(Food_Orders[[#This Row],[Food_ID]],Food_Catalog[[#All],[Food_ID]],Food_Catalog[[#All],[Price_Per_Unit]],0,0)</f>
        <v>12000</v>
      </c>
      <c r="H2103" cm="1">
        <f t="array" ref="H2103">Food_Orders[[#This Row],[Quantity_Orderd]]*_xlfn.XLOOKUP(Food_Orders[[#This Row],[Food_ID]],Food_Catalog[[#All],[Food_ID]],Food_Catalog[[#All],[Client_Price_Per_Unit]],0,0)</f>
        <v>14400</v>
      </c>
      <c r="I2103">
        <f>Food_Orders[[#This Row],[Client_Price]]-Food_Orders[[#This Row],[Cost]]</f>
        <v>2400</v>
      </c>
    </row>
    <row r="2104" spans="1:9" x14ac:dyDescent="0.25">
      <c r="A2104">
        <v>91</v>
      </c>
      <c r="B2104" t="s">
        <v>96</v>
      </c>
      <c r="C2104" t="s">
        <v>83</v>
      </c>
      <c r="D2104" t="s">
        <v>97</v>
      </c>
      <c r="E2104" t="s">
        <v>79</v>
      </c>
      <c r="F2104" cm="1">
        <f t="array" ref="F2104">_xlfn.XLOOKUP(Food_Orders[[#This Row],[Event_No]],Event_Master[[#All],[Event_No]],Event_Master[[#All],[Guest_Count]],,0)</f>
        <v>600</v>
      </c>
      <c r="G2104" cm="1">
        <f t="array" ref="G2104">Food_Orders[[#This Row],[Quantity_Orderd]]*_xlfn.XLOOKUP(Food_Orders[[#This Row],[Food_ID]],Food_Catalog[[#All],[Food_ID]],Food_Catalog[[#All],[Price_Per_Unit]],0,0)</f>
        <v>18000</v>
      </c>
      <c r="H2104" cm="1">
        <f t="array" ref="H2104">Food_Orders[[#This Row],[Quantity_Orderd]]*_xlfn.XLOOKUP(Food_Orders[[#This Row],[Food_ID]],Food_Catalog[[#All],[Food_ID]],Food_Catalog[[#All],[Client_Price_Per_Unit]],0,0)</f>
        <v>21600</v>
      </c>
      <c r="I2104">
        <f>Food_Orders[[#This Row],[Client_Price]]-Food_Orders[[#This Row],[Cost]]</f>
        <v>3600</v>
      </c>
    </row>
    <row r="2105" spans="1:9" x14ac:dyDescent="0.25">
      <c r="A2105">
        <v>91</v>
      </c>
      <c r="B2105" t="s">
        <v>92</v>
      </c>
      <c r="C2105" t="s">
        <v>83</v>
      </c>
      <c r="D2105" t="s">
        <v>93</v>
      </c>
      <c r="E2105" t="s">
        <v>85</v>
      </c>
      <c r="F2105" cm="1">
        <f t="array" ref="F2105">_xlfn.XLOOKUP(Food_Orders[[#This Row],[Event_No]],Event_Master[[#All],[Event_No]],Event_Master[[#All],[Guest_Count]],,0)</f>
        <v>600</v>
      </c>
      <c r="G2105" cm="1">
        <f t="array" ref="G2105">Food_Orders[[#This Row],[Quantity_Orderd]]*_xlfn.XLOOKUP(Food_Orders[[#This Row],[Food_ID]],Food_Catalog[[#All],[Food_ID]],Food_Catalog[[#All],[Price_Per_Unit]],0,0)</f>
        <v>9000</v>
      </c>
      <c r="H2105" cm="1">
        <f t="array" ref="H2105">Food_Orders[[#This Row],[Quantity_Orderd]]*_xlfn.XLOOKUP(Food_Orders[[#This Row],[Food_ID]],Food_Catalog[[#All],[Food_ID]],Food_Catalog[[#All],[Client_Price_Per_Unit]],0,0)</f>
        <v>10800</v>
      </c>
      <c r="I2105">
        <f>Food_Orders[[#This Row],[Client_Price]]-Food_Orders[[#This Row],[Cost]]</f>
        <v>1800</v>
      </c>
    </row>
    <row r="2106" spans="1:9" x14ac:dyDescent="0.25">
      <c r="A2106">
        <v>91</v>
      </c>
      <c r="B2106" t="s">
        <v>98</v>
      </c>
      <c r="C2106" t="s">
        <v>83</v>
      </c>
      <c r="D2106" t="s">
        <v>99</v>
      </c>
      <c r="E2106" t="s">
        <v>85</v>
      </c>
      <c r="F2106" cm="1">
        <f t="array" ref="F2106">_xlfn.XLOOKUP(Food_Orders[[#This Row],[Event_No]],Event_Master[[#All],[Event_No]],Event_Master[[#All],[Guest_Count]],,0)</f>
        <v>600</v>
      </c>
      <c r="G2106" cm="1">
        <f t="array" ref="G2106">Food_Orders[[#This Row],[Quantity_Orderd]]*_xlfn.XLOOKUP(Food_Orders[[#This Row],[Food_ID]],Food_Catalog[[#All],[Food_ID]],Food_Catalog[[#All],[Price_Per_Unit]],0,0)</f>
        <v>9000</v>
      </c>
      <c r="H2106" cm="1">
        <f t="array" ref="H2106">Food_Orders[[#This Row],[Quantity_Orderd]]*_xlfn.XLOOKUP(Food_Orders[[#This Row],[Food_ID]],Food_Catalog[[#All],[Food_ID]],Food_Catalog[[#All],[Client_Price_Per_Unit]],0,0)</f>
        <v>10800</v>
      </c>
      <c r="I2106">
        <f>Food_Orders[[#This Row],[Client_Price]]-Food_Orders[[#This Row],[Cost]]</f>
        <v>1800</v>
      </c>
    </row>
    <row r="2107" spans="1:9" x14ac:dyDescent="0.25">
      <c r="A2107">
        <v>92</v>
      </c>
      <c r="B2107" t="s">
        <v>60</v>
      </c>
      <c r="C2107" t="s">
        <v>61</v>
      </c>
      <c r="D2107" t="s">
        <v>62</v>
      </c>
      <c r="E2107" t="s">
        <v>10</v>
      </c>
      <c r="F2107" cm="1">
        <f t="array" ref="F2107">_xlfn.XLOOKUP(Food_Orders[[#This Row],[Event_No]],Event_Master[[#All],[Event_No]],Event_Master[[#All],[Guest_Count]],,0)</f>
        <v>1020</v>
      </c>
      <c r="G2107" cm="1">
        <f t="array" ref="G2107">Food_Orders[[#This Row],[Quantity_Orderd]]*_xlfn.XLOOKUP(Food_Orders[[#This Row],[Food_ID]],Food_Catalog[[#All],[Food_ID]],Food_Catalog[[#All],[Price_Per_Unit]],0,0)</f>
        <v>20400</v>
      </c>
      <c r="H2107" cm="1">
        <f t="array" ref="H2107">Food_Orders[[#This Row],[Quantity_Orderd]]*_xlfn.XLOOKUP(Food_Orders[[#This Row],[Food_ID]],Food_Catalog[[#All],[Food_ID]],Food_Catalog[[#All],[Client_Price_Per_Unit]],0,0)</f>
        <v>24480</v>
      </c>
      <c r="I2107">
        <f>Food_Orders[[#This Row],[Client_Price]]-Food_Orders[[#This Row],[Cost]]</f>
        <v>4080</v>
      </c>
    </row>
    <row r="2108" spans="1:9" x14ac:dyDescent="0.25">
      <c r="A2108">
        <v>92</v>
      </c>
      <c r="B2108" t="s">
        <v>63</v>
      </c>
      <c r="C2108" t="s">
        <v>61</v>
      </c>
      <c r="D2108" t="s">
        <v>64</v>
      </c>
      <c r="E2108" t="s">
        <v>10</v>
      </c>
      <c r="F2108" cm="1">
        <f t="array" ref="F2108">_xlfn.XLOOKUP(Food_Orders[[#This Row],[Event_No]],Event_Master[[#All],[Event_No]],Event_Master[[#All],[Guest_Count]],,0)</f>
        <v>1020</v>
      </c>
      <c r="G2108" cm="1">
        <f t="array" ref="G2108">Food_Orders[[#This Row],[Quantity_Orderd]]*_xlfn.XLOOKUP(Food_Orders[[#This Row],[Food_ID]],Food_Catalog[[#All],[Food_ID]],Food_Catalog[[#All],[Price_Per_Unit]],0,0)</f>
        <v>30600</v>
      </c>
      <c r="H2108" cm="1">
        <f t="array" ref="H2108">Food_Orders[[#This Row],[Quantity_Orderd]]*_xlfn.XLOOKUP(Food_Orders[[#This Row],[Food_ID]],Food_Catalog[[#All],[Food_ID]],Food_Catalog[[#All],[Client_Price_Per_Unit]],0,0)</f>
        <v>36720</v>
      </c>
      <c r="I2108">
        <f>Food_Orders[[#This Row],[Client_Price]]-Food_Orders[[#This Row],[Cost]]</f>
        <v>6120</v>
      </c>
    </row>
    <row r="2109" spans="1:9" x14ac:dyDescent="0.25">
      <c r="A2109">
        <v>92</v>
      </c>
      <c r="B2109" t="s">
        <v>71</v>
      </c>
      <c r="C2109" t="s">
        <v>61</v>
      </c>
      <c r="D2109" t="s">
        <v>72</v>
      </c>
      <c r="E2109" t="s">
        <v>10</v>
      </c>
      <c r="F2109" cm="1">
        <f t="array" ref="F2109">_xlfn.XLOOKUP(Food_Orders[[#This Row],[Event_No]],Event_Master[[#All],[Event_No]],Event_Master[[#All],[Guest_Count]],,0)</f>
        <v>1020</v>
      </c>
      <c r="G2109" cm="1">
        <f t="array" ref="G2109">Food_Orders[[#This Row],[Quantity_Orderd]]*_xlfn.XLOOKUP(Food_Orders[[#This Row],[Food_ID]],Food_Catalog[[#All],[Food_ID]],Food_Catalog[[#All],[Price_Per_Unit]],0,0)</f>
        <v>25500</v>
      </c>
      <c r="H2109" cm="1">
        <f t="array" ref="H2109">Food_Orders[[#This Row],[Quantity_Orderd]]*_xlfn.XLOOKUP(Food_Orders[[#This Row],[Food_ID]],Food_Catalog[[#All],[Food_ID]],Food_Catalog[[#All],[Client_Price_Per_Unit]],0,0)</f>
        <v>30600</v>
      </c>
      <c r="I2109">
        <f>Food_Orders[[#This Row],[Client_Price]]-Food_Orders[[#This Row],[Cost]]</f>
        <v>5100</v>
      </c>
    </row>
    <row r="2110" spans="1:9" x14ac:dyDescent="0.25">
      <c r="A2110">
        <v>92</v>
      </c>
      <c r="B2110" t="s">
        <v>80</v>
      </c>
      <c r="C2110" t="s">
        <v>61</v>
      </c>
      <c r="D2110" t="s">
        <v>81</v>
      </c>
      <c r="E2110" t="s">
        <v>10</v>
      </c>
      <c r="F2110" cm="1">
        <f t="array" ref="F2110">_xlfn.XLOOKUP(Food_Orders[[#This Row],[Event_No]],Event_Master[[#All],[Event_No]],Event_Master[[#All],[Guest_Count]],,0)</f>
        <v>1020</v>
      </c>
      <c r="G2110" cm="1">
        <f t="array" ref="G2110">Food_Orders[[#This Row],[Quantity_Orderd]]*_xlfn.XLOOKUP(Food_Orders[[#This Row],[Food_ID]],Food_Catalog[[#All],[Food_ID]],Food_Catalog[[#All],[Price_Per_Unit]],0,0)</f>
        <v>30600</v>
      </c>
      <c r="H2110" cm="1">
        <f t="array" ref="H2110">Food_Orders[[#This Row],[Quantity_Orderd]]*_xlfn.XLOOKUP(Food_Orders[[#This Row],[Food_ID]],Food_Catalog[[#All],[Food_ID]],Food_Catalog[[#All],[Client_Price_Per_Unit]],0,0)</f>
        <v>36720</v>
      </c>
      <c r="I2110">
        <f>Food_Orders[[#This Row],[Client_Price]]-Food_Orders[[#This Row],[Cost]]</f>
        <v>6120</v>
      </c>
    </row>
    <row r="2111" spans="1:9" x14ac:dyDescent="0.25">
      <c r="A2111">
        <v>92</v>
      </c>
      <c r="B2111" t="s">
        <v>73</v>
      </c>
      <c r="C2111" t="s">
        <v>61</v>
      </c>
      <c r="D2111" t="s">
        <v>74</v>
      </c>
      <c r="E2111" t="s">
        <v>10</v>
      </c>
      <c r="F2111" cm="1">
        <f t="array" ref="F2111">_xlfn.XLOOKUP(Food_Orders[[#This Row],[Event_No]],Event_Master[[#All],[Event_No]],Event_Master[[#All],[Guest_Count]],,0)</f>
        <v>1020</v>
      </c>
      <c r="G2111" cm="1">
        <f t="array" ref="G2111">Food_Orders[[#This Row],[Quantity_Orderd]]*_xlfn.XLOOKUP(Food_Orders[[#This Row],[Food_ID]],Food_Catalog[[#All],[Food_ID]],Food_Catalog[[#All],[Price_Per_Unit]],0,0)</f>
        <v>40800</v>
      </c>
      <c r="H2111" cm="1">
        <f t="array" ref="H2111">Food_Orders[[#This Row],[Quantity_Orderd]]*_xlfn.XLOOKUP(Food_Orders[[#This Row],[Food_ID]],Food_Catalog[[#All],[Food_ID]],Food_Catalog[[#All],[Client_Price_Per_Unit]],0,0)</f>
        <v>48960</v>
      </c>
      <c r="I2111">
        <f>Food_Orders[[#This Row],[Client_Price]]-Food_Orders[[#This Row],[Cost]]</f>
        <v>8160</v>
      </c>
    </row>
    <row r="2112" spans="1:9" x14ac:dyDescent="0.25">
      <c r="A2112">
        <v>92</v>
      </c>
      <c r="B2112" t="s">
        <v>75</v>
      </c>
      <c r="C2112" t="s">
        <v>61</v>
      </c>
      <c r="D2112" t="s">
        <v>76</v>
      </c>
      <c r="E2112" t="s">
        <v>10</v>
      </c>
      <c r="F2112" cm="1">
        <f t="array" ref="F2112">_xlfn.XLOOKUP(Food_Orders[[#This Row],[Event_No]],Event_Master[[#All],[Event_No]],Event_Master[[#All],[Guest_Count]],,0)</f>
        <v>1020</v>
      </c>
      <c r="G2112" cm="1">
        <f t="array" ref="G2112">Food_Orders[[#This Row],[Quantity_Orderd]]*_xlfn.XLOOKUP(Food_Orders[[#This Row],[Food_ID]],Food_Catalog[[#All],[Food_ID]],Food_Catalog[[#All],[Price_Per_Unit]],0,0)</f>
        <v>40800</v>
      </c>
      <c r="H2112" cm="1">
        <f t="array" ref="H2112">Food_Orders[[#This Row],[Quantity_Orderd]]*_xlfn.XLOOKUP(Food_Orders[[#This Row],[Food_ID]],Food_Catalog[[#All],[Food_ID]],Food_Catalog[[#All],[Client_Price_Per_Unit]],0,0)</f>
        <v>48960</v>
      </c>
      <c r="I2112">
        <f>Food_Orders[[#This Row],[Client_Price]]-Food_Orders[[#This Row],[Cost]]</f>
        <v>8160</v>
      </c>
    </row>
    <row r="2113" spans="1:9" x14ac:dyDescent="0.25">
      <c r="A2113">
        <v>92</v>
      </c>
      <c r="B2113" t="s">
        <v>69</v>
      </c>
      <c r="C2113" t="s">
        <v>61</v>
      </c>
      <c r="D2113" t="s">
        <v>70</v>
      </c>
      <c r="E2113" t="s">
        <v>10</v>
      </c>
      <c r="F2113" cm="1">
        <f t="array" ref="F2113">_xlfn.XLOOKUP(Food_Orders[[#This Row],[Event_No]],Event_Master[[#All],[Event_No]],Event_Master[[#All],[Guest_Count]],,0)</f>
        <v>1020</v>
      </c>
      <c r="G2113" cm="1">
        <f t="array" ref="G2113">Food_Orders[[#This Row],[Quantity_Orderd]]*_xlfn.XLOOKUP(Food_Orders[[#This Row],[Food_ID]],Food_Catalog[[#All],[Food_ID]],Food_Catalog[[#All],[Price_Per_Unit]],0,0)</f>
        <v>51000</v>
      </c>
      <c r="H2113" cm="1">
        <f t="array" ref="H2113">Food_Orders[[#This Row],[Quantity_Orderd]]*_xlfn.XLOOKUP(Food_Orders[[#This Row],[Food_ID]],Food_Catalog[[#All],[Food_ID]],Food_Catalog[[#All],[Client_Price_Per_Unit]],0,0)</f>
        <v>61200</v>
      </c>
      <c r="I2113">
        <f>Food_Orders[[#This Row],[Client_Price]]-Food_Orders[[#This Row],[Cost]]</f>
        <v>10200</v>
      </c>
    </row>
    <row r="2114" spans="1:9" x14ac:dyDescent="0.25">
      <c r="A2114">
        <v>92</v>
      </c>
      <c r="B2114" t="s">
        <v>67</v>
      </c>
      <c r="C2114" t="s">
        <v>61</v>
      </c>
      <c r="D2114" t="s">
        <v>68</v>
      </c>
      <c r="E2114" t="s">
        <v>10</v>
      </c>
      <c r="F2114" cm="1">
        <f t="array" ref="F2114">_xlfn.XLOOKUP(Food_Orders[[#This Row],[Event_No]],Event_Master[[#All],[Event_No]],Event_Master[[#All],[Guest_Count]],,0)</f>
        <v>1020</v>
      </c>
      <c r="G2114" cm="1">
        <f t="array" ref="G2114">Food_Orders[[#This Row],[Quantity_Orderd]]*_xlfn.XLOOKUP(Food_Orders[[#This Row],[Food_ID]],Food_Catalog[[#All],[Food_ID]],Food_Catalog[[#All],[Price_Per_Unit]],0,0)</f>
        <v>30600</v>
      </c>
      <c r="H2114" cm="1">
        <f t="array" ref="H2114">Food_Orders[[#This Row],[Quantity_Orderd]]*_xlfn.XLOOKUP(Food_Orders[[#This Row],[Food_ID]],Food_Catalog[[#All],[Food_ID]],Food_Catalog[[#All],[Client_Price_Per_Unit]],0,0)</f>
        <v>36720</v>
      </c>
      <c r="I2114">
        <f>Food_Orders[[#This Row],[Client_Price]]-Food_Orders[[#This Row],[Cost]]</f>
        <v>6120</v>
      </c>
    </row>
    <row r="2115" spans="1:9" x14ac:dyDescent="0.25">
      <c r="A2115">
        <v>92</v>
      </c>
      <c r="B2115" t="s">
        <v>77</v>
      </c>
      <c r="C2115" t="s">
        <v>61</v>
      </c>
      <c r="D2115" t="s">
        <v>78</v>
      </c>
      <c r="E2115" t="s">
        <v>79</v>
      </c>
      <c r="F2115" cm="1">
        <f t="array" ref="F2115">_xlfn.XLOOKUP(Food_Orders[[#This Row],[Event_No]],Event_Master[[#All],[Event_No]],Event_Master[[#All],[Guest_Count]],,0)</f>
        <v>1020</v>
      </c>
      <c r="G2115" cm="1">
        <f t="array" ref="G2115">Food_Orders[[#This Row],[Quantity_Orderd]]*_xlfn.XLOOKUP(Food_Orders[[#This Row],[Food_ID]],Food_Catalog[[#All],[Food_ID]],Food_Catalog[[#All],[Price_Per_Unit]],0,0)</f>
        <v>35700</v>
      </c>
      <c r="H2115" cm="1">
        <f t="array" ref="H2115">Food_Orders[[#This Row],[Quantity_Orderd]]*_xlfn.XLOOKUP(Food_Orders[[#This Row],[Food_ID]],Food_Catalog[[#All],[Food_ID]],Food_Catalog[[#All],[Client_Price_Per_Unit]],0,0)</f>
        <v>42840</v>
      </c>
      <c r="I2115">
        <f>Food_Orders[[#This Row],[Client_Price]]-Food_Orders[[#This Row],[Cost]]</f>
        <v>7140</v>
      </c>
    </row>
    <row r="2116" spans="1:9" x14ac:dyDescent="0.25">
      <c r="A2116">
        <v>92</v>
      </c>
      <c r="B2116" t="s">
        <v>7</v>
      </c>
      <c r="C2116" t="s">
        <v>8</v>
      </c>
      <c r="D2116" t="s">
        <v>9</v>
      </c>
      <c r="E2116" t="s">
        <v>10</v>
      </c>
      <c r="F2116" cm="1">
        <f t="array" ref="F2116">_xlfn.XLOOKUP(Food_Orders[[#This Row],[Event_No]],Event_Master[[#All],[Event_No]],Event_Master[[#All],[Guest_Count]],,0)</f>
        <v>1020</v>
      </c>
      <c r="G2116" cm="1">
        <f t="array" ref="G2116">Food_Orders[[#This Row],[Quantity_Orderd]]*_xlfn.XLOOKUP(Food_Orders[[#This Row],[Food_ID]],Food_Catalog[[#All],[Food_ID]],Food_Catalog[[#All],[Price_Per_Unit]],0,0)</f>
        <v>25500</v>
      </c>
      <c r="H2116" cm="1">
        <f t="array" ref="H2116">Food_Orders[[#This Row],[Quantity_Orderd]]*_xlfn.XLOOKUP(Food_Orders[[#This Row],[Food_ID]],Food_Catalog[[#All],[Food_ID]],Food_Catalog[[#All],[Client_Price_Per_Unit]],0,0)</f>
        <v>30600</v>
      </c>
      <c r="I2116">
        <f>Food_Orders[[#This Row],[Client_Price]]-Food_Orders[[#This Row],[Cost]]</f>
        <v>5100</v>
      </c>
    </row>
    <row r="2117" spans="1:9" x14ac:dyDescent="0.25">
      <c r="A2117">
        <v>92</v>
      </c>
      <c r="B2117" t="s">
        <v>13</v>
      </c>
      <c r="C2117" t="s">
        <v>8</v>
      </c>
      <c r="D2117" t="s">
        <v>14</v>
      </c>
      <c r="E2117" t="s">
        <v>10</v>
      </c>
      <c r="F2117" cm="1">
        <f t="array" ref="F2117">_xlfn.XLOOKUP(Food_Orders[[#This Row],[Event_No]],Event_Master[[#All],[Event_No]],Event_Master[[#All],[Guest_Count]],,0)</f>
        <v>1020</v>
      </c>
      <c r="G2117" cm="1">
        <f t="array" ref="G2117">Food_Orders[[#This Row],[Quantity_Orderd]]*_xlfn.XLOOKUP(Food_Orders[[#This Row],[Food_ID]],Food_Catalog[[#All],[Food_ID]],Food_Catalog[[#All],[Price_Per_Unit]],0,0)</f>
        <v>35700</v>
      </c>
      <c r="H2117" cm="1">
        <f t="array" ref="H2117">Food_Orders[[#This Row],[Quantity_Orderd]]*_xlfn.XLOOKUP(Food_Orders[[#This Row],[Food_ID]],Food_Catalog[[#All],[Food_ID]],Food_Catalog[[#All],[Client_Price_Per_Unit]],0,0)</f>
        <v>42840</v>
      </c>
      <c r="I2117">
        <f>Food_Orders[[#This Row],[Client_Price]]-Food_Orders[[#This Row],[Cost]]</f>
        <v>7140</v>
      </c>
    </row>
    <row r="2118" spans="1:9" x14ac:dyDescent="0.25">
      <c r="A2118">
        <v>92</v>
      </c>
      <c r="B2118" t="s">
        <v>25</v>
      </c>
      <c r="C2118" t="s">
        <v>8</v>
      </c>
      <c r="D2118" t="s">
        <v>26</v>
      </c>
      <c r="E2118" t="s">
        <v>10</v>
      </c>
      <c r="F2118" cm="1">
        <f t="array" ref="F2118">_xlfn.XLOOKUP(Food_Orders[[#This Row],[Event_No]],Event_Master[[#All],[Event_No]],Event_Master[[#All],[Guest_Count]],,0)</f>
        <v>1020</v>
      </c>
      <c r="G2118" cm="1">
        <f t="array" ref="G2118">Food_Orders[[#This Row],[Quantity_Orderd]]*_xlfn.XLOOKUP(Food_Orders[[#This Row],[Food_ID]],Food_Catalog[[#All],[Food_ID]],Food_Catalog[[#All],[Price_Per_Unit]],0,0)</f>
        <v>30600</v>
      </c>
      <c r="H2118" cm="1">
        <f t="array" ref="H2118">Food_Orders[[#This Row],[Quantity_Orderd]]*_xlfn.XLOOKUP(Food_Orders[[#This Row],[Food_ID]],Food_Catalog[[#All],[Food_ID]],Food_Catalog[[#All],[Client_Price_Per_Unit]],0,0)</f>
        <v>36720</v>
      </c>
      <c r="I2118">
        <f>Food_Orders[[#This Row],[Client_Price]]-Food_Orders[[#This Row],[Cost]]</f>
        <v>6120</v>
      </c>
    </row>
    <row r="2119" spans="1:9" x14ac:dyDescent="0.25">
      <c r="A2119">
        <v>92</v>
      </c>
      <c r="B2119" t="s">
        <v>15</v>
      </c>
      <c r="C2119" t="s">
        <v>8</v>
      </c>
      <c r="D2119" t="s">
        <v>16</v>
      </c>
      <c r="E2119" t="s">
        <v>10</v>
      </c>
      <c r="F2119" cm="1">
        <f t="array" ref="F2119">_xlfn.XLOOKUP(Food_Orders[[#This Row],[Event_No]],Event_Master[[#All],[Event_No]],Event_Master[[#All],[Guest_Count]],,0)</f>
        <v>1020</v>
      </c>
      <c r="G2119" cm="1">
        <f t="array" ref="G2119">Food_Orders[[#This Row],[Quantity_Orderd]]*_xlfn.XLOOKUP(Food_Orders[[#This Row],[Food_ID]],Food_Catalog[[#All],[Food_ID]],Food_Catalog[[#All],[Price_Per_Unit]],0,0)</f>
        <v>30600</v>
      </c>
      <c r="H2119" cm="1">
        <f t="array" ref="H2119">Food_Orders[[#This Row],[Quantity_Orderd]]*_xlfn.XLOOKUP(Food_Orders[[#This Row],[Food_ID]],Food_Catalog[[#All],[Food_ID]],Food_Catalog[[#All],[Client_Price_Per_Unit]],0,0)</f>
        <v>36720</v>
      </c>
      <c r="I2119">
        <f>Food_Orders[[#This Row],[Client_Price]]-Food_Orders[[#This Row],[Cost]]</f>
        <v>6120</v>
      </c>
    </row>
    <row r="2120" spans="1:9" x14ac:dyDescent="0.25">
      <c r="A2120">
        <v>92</v>
      </c>
      <c r="B2120" t="s">
        <v>35</v>
      </c>
      <c r="C2120" t="s">
        <v>8</v>
      </c>
      <c r="D2120" t="s">
        <v>36</v>
      </c>
      <c r="E2120" t="s">
        <v>10</v>
      </c>
      <c r="F2120" cm="1">
        <f t="array" ref="F2120">_xlfn.XLOOKUP(Food_Orders[[#This Row],[Event_No]],Event_Master[[#All],[Event_No]],Event_Master[[#All],[Guest_Count]],,0)</f>
        <v>1020</v>
      </c>
      <c r="G2120" cm="1">
        <f t="array" ref="G2120">Food_Orders[[#This Row],[Quantity_Orderd]]*_xlfn.XLOOKUP(Food_Orders[[#This Row],[Food_ID]],Food_Catalog[[#All],[Food_ID]],Food_Catalog[[#All],[Price_Per_Unit]],0,0)</f>
        <v>30600</v>
      </c>
      <c r="H2120" cm="1">
        <f t="array" ref="H2120">Food_Orders[[#This Row],[Quantity_Orderd]]*_xlfn.XLOOKUP(Food_Orders[[#This Row],[Food_ID]],Food_Catalog[[#All],[Food_ID]],Food_Catalog[[#All],[Client_Price_Per_Unit]],0,0)</f>
        <v>36720</v>
      </c>
      <c r="I2120">
        <f>Food_Orders[[#This Row],[Client_Price]]-Food_Orders[[#This Row],[Cost]]</f>
        <v>6120</v>
      </c>
    </row>
    <row r="2121" spans="1:9" x14ac:dyDescent="0.25">
      <c r="A2121">
        <v>92</v>
      </c>
      <c r="B2121" t="s">
        <v>27</v>
      </c>
      <c r="C2121" t="s">
        <v>8</v>
      </c>
      <c r="D2121" t="s">
        <v>28</v>
      </c>
      <c r="E2121" t="s">
        <v>10</v>
      </c>
      <c r="F2121" cm="1">
        <f t="array" ref="F2121">_xlfn.XLOOKUP(Food_Orders[[#This Row],[Event_No]],Event_Master[[#All],[Event_No]],Event_Master[[#All],[Guest_Count]],,0)</f>
        <v>1020</v>
      </c>
      <c r="G2121" cm="1">
        <f t="array" ref="G2121">Food_Orders[[#This Row],[Quantity_Orderd]]*_xlfn.XLOOKUP(Food_Orders[[#This Row],[Food_ID]],Food_Catalog[[#All],[Food_ID]],Food_Catalog[[#All],[Price_Per_Unit]],0,0)</f>
        <v>40800</v>
      </c>
      <c r="H2121" cm="1">
        <f t="array" ref="H2121">Food_Orders[[#This Row],[Quantity_Orderd]]*_xlfn.XLOOKUP(Food_Orders[[#This Row],[Food_ID]],Food_Catalog[[#All],[Food_ID]],Food_Catalog[[#All],[Client_Price_Per_Unit]],0,0)</f>
        <v>48960</v>
      </c>
      <c r="I2121">
        <f>Food_Orders[[#This Row],[Client_Price]]-Food_Orders[[#This Row],[Cost]]</f>
        <v>8160</v>
      </c>
    </row>
    <row r="2122" spans="1:9" x14ac:dyDescent="0.25">
      <c r="A2122">
        <v>92</v>
      </c>
      <c r="B2122" t="s">
        <v>31</v>
      </c>
      <c r="C2122" t="s">
        <v>8</v>
      </c>
      <c r="D2122" t="s">
        <v>32</v>
      </c>
      <c r="E2122" t="s">
        <v>10</v>
      </c>
      <c r="F2122" cm="1">
        <f t="array" ref="F2122">_xlfn.XLOOKUP(Food_Orders[[#This Row],[Event_No]],Event_Master[[#All],[Event_No]],Event_Master[[#All],[Guest_Count]],,0)</f>
        <v>1020</v>
      </c>
      <c r="G2122" cm="1">
        <f t="array" ref="G2122">Food_Orders[[#This Row],[Quantity_Orderd]]*_xlfn.XLOOKUP(Food_Orders[[#This Row],[Food_ID]],Food_Catalog[[#All],[Food_ID]],Food_Catalog[[#All],[Price_Per_Unit]],0,0)</f>
        <v>30600</v>
      </c>
      <c r="H2122" cm="1">
        <f t="array" ref="H2122">Food_Orders[[#This Row],[Quantity_Orderd]]*_xlfn.XLOOKUP(Food_Orders[[#This Row],[Food_ID]],Food_Catalog[[#All],[Food_ID]],Food_Catalog[[#All],[Client_Price_Per_Unit]],0,0)</f>
        <v>36720</v>
      </c>
      <c r="I2122">
        <f>Food_Orders[[#This Row],[Client_Price]]-Food_Orders[[#This Row],[Cost]]</f>
        <v>6120</v>
      </c>
    </row>
    <row r="2123" spans="1:9" x14ac:dyDescent="0.25">
      <c r="A2123">
        <v>92</v>
      </c>
      <c r="B2123" t="s">
        <v>33</v>
      </c>
      <c r="C2123" t="s">
        <v>8</v>
      </c>
      <c r="D2123" t="s">
        <v>34</v>
      </c>
      <c r="E2123" t="s">
        <v>10</v>
      </c>
      <c r="F2123" cm="1">
        <f t="array" ref="F2123">_xlfn.XLOOKUP(Food_Orders[[#This Row],[Event_No]],Event_Master[[#All],[Event_No]],Event_Master[[#All],[Guest_Count]],,0)</f>
        <v>1020</v>
      </c>
      <c r="G2123" cm="1">
        <f t="array" ref="G2123">Food_Orders[[#This Row],[Quantity_Orderd]]*_xlfn.XLOOKUP(Food_Orders[[#This Row],[Food_ID]],Food_Catalog[[#All],[Food_ID]],Food_Catalog[[#All],[Price_Per_Unit]],0,0)</f>
        <v>30600</v>
      </c>
      <c r="H2123" cm="1">
        <f t="array" ref="H2123">Food_Orders[[#This Row],[Quantity_Orderd]]*_xlfn.XLOOKUP(Food_Orders[[#This Row],[Food_ID]],Food_Catalog[[#All],[Food_ID]],Food_Catalog[[#All],[Client_Price_Per_Unit]],0,0)</f>
        <v>36720</v>
      </c>
      <c r="I2123">
        <f>Food_Orders[[#This Row],[Client_Price]]-Food_Orders[[#This Row],[Cost]]</f>
        <v>6120</v>
      </c>
    </row>
    <row r="2124" spans="1:9" x14ac:dyDescent="0.25">
      <c r="A2124">
        <v>92</v>
      </c>
      <c r="B2124" t="s">
        <v>17</v>
      </c>
      <c r="C2124" t="s">
        <v>8</v>
      </c>
      <c r="D2124" t="s">
        <v>18</v>
      </c>
      <c r="E2124" t="s">
        <v>10</v>
      </c>
      <c r="F2124" cm="1">
        <f t="array" ref="F2124">_xlfn.XLOOKUP(Food_Orders[[#This Row],[Event_No]],Event_Master[[#All],[Event_No]],Event_Master[[#All],[Guest_Count]],,0)</f>
        <v>1020</v>
      </c>
      <c r="G2124" cm="1">
        <f t="array" ref="G2124">Food_Orders[[#This Row],[Quantity_Orderd]]*_xlfn.XLOOKUP(Food_Orders[[#This Row],[Food_ID]],Food_Catalog[[#All],[Food_ID]],Food_Catalog[[#All],[Price_Per_Unit]],0,0)</f>
        <v>40800</v>
      </c>
      <c r="H2124" cm="1">
        <f t="array" ref="H2124">Food_Orders[[#This Row],[Quantity_Orderd]]*_xlfn.XLOOKUP(Food_Orders[[#This Row],[Food_ID]],Food_Catalog[[#All],[Food_ID]],Food_Catalog[[#All],[Client_Price_Per_Unit]],0,0)</f>
        <v>48960</v>
      </c>
      <c r="I2124">
        <f>Food_Orders[[#This Row],[Client_Price]]-Food_Orders[[#This Row],[Cost]]</f>
        <v>8160</v>
      </c>
    </row>
    <row r="2125" spans="1:9" x14ac:dyDescent="0.25">
      <c r="A2125">
        <v>92</v>
      </c>
      <c r="B2125" t="s">
        <v>21</v>
      </c>
      <c r="C2125" t="s">
        <v>8</v>
      </c>
      <c r="D2125" t="s">
        <v>22</v>
      </c>
      <c r="E2125" t="s">
        <v>10</v>
      </c>
      <c r="F2125" cm="1">
        <f t="array" ref="F2125">_xlfn.XLOOKUP(Food_Orders[[#This Row],[Event_No]],Event_Master[[#All],[Event_No]],Event_Master[[#All],[Guest_Count]],,0)</f>
        <v>1020</v>
      </c>
      <c r="G2125" cm="1">
        <f t="array" ref="G2125">Food_Orders[[#This Row],[Quantity_Orderd]]*_xlfn.XLOOKUP(Food_Orders[[#This Row],[Food_ID]],Food_Catalog[[#All],[Food_ID]],Food_Catalog[[#All],[Price_Per_Unit]],0,0)</f>
        <v>35700</v>
      </c>
      <c r="H2125" cm="1">
        <f t="array" ref="H2125">Food_Orders[[#This Row],[Quantity_Orderd]]*_xlfn.XLOOKUP(Food_Orders[[#This Row],[Food_ID]],Food_Catalog[[#All],[Food_ID]],Food_Catalog[[#All],[Client_Price_Per_Unit]],0,0)</f>
        <v>42840</v>
      </c>
      <c r="I2125">
        <f>Food_Orders[[#This Row],[Client_Price]]-Food_Orders[[#This Row],[Cost]]</f>
        <v>7140</v>
      </c>
    </row>
    <row r="2126" spans="1:9" x14ac:dyDescent="0.25">
      <c r="A2126">
        <v>92</v>
      </c>
      <c r="B2126" t="s">
        <v>19</v>
      </c>
      <c r="C2126" t="s">
        <v>8</v>
      </c>
      <c r="D2126" t="s">
        <v>20</v>
      </c>
      <c r="E2126" t="s">
        <v>10</v>
      </c>
      <c r="F2126" cm="1">
        <f t="array" ref="F2126">_xlfn.XLOOKUP(Food_Orders[[#This Row],[Event_No]],Event_Master[[#All],[Event_No]],Event_Master[[#All],[Guest_Count]],,0)</f>
        <v>1020</v>
      </c>
      <c r="G2126" cm="1">
        <f t="array" ref="G2126">Food_Orders[[#This Row],[Quantity_Orderd]]*_xlfn.XLOOKUP(Food_Orders[[#This Row],[Food_ID]],Food_Catalog[[#All],[Food_ID]],Food_Catalog[[#All],[Price_Per_Unit]],0,0)</f>
        <v>35700</v>
      </c>
      <c r="H2126" cm="1">
        <f t="array" ref="H2126">Food_Orders[[#This Row],[Quantity_Orderd]]*_xlfn.XLOOKUP(Food_Orders[[#This Row],[Food_ID]],Food_Catalog[[#All],[Food_ID]],Food_Catalog[[#All],[Client_Price_Per_Unit]],0,0)</f>
        <v>42840</v>
      </c>
      <c r="I2126">
        <f>Food_Orders[[#This Row],[Client_Price]]-Food_Orders[[#This Row],[Cost]]</f>
        <v>7140</v>
      </c>
    </row>
    <row r="2127" spans="1:9" x14ac:dyDescent="0.25">
      <c r="A2127">
        <v>92</v>
      </c>
      <c r="B2127" t="s">
        <v>29</v>
      </c>
      <c r="C2127" t="s">
        <v>8</v>
      </c>
      <c r="D2127" t="s">
        <v>30</v>
      </c>
      <c r="E2127" t="s">
        <v>10</v>
      </c>
      <c r="F2127" cm="1">
        <f t="array" ref="F2127">_xlfn.XLOOKUP(Food_Orders[[#This Row],[Event_No]],Event_Master[[#All],[Event_No]],Event_Master[[#All],[Guest_Count]],,0)</f>
        <v>1020</v>
      </c>
      <c r="G2127" cm="1">
        <f t="array" ref="G2127">Food_Orders[[#This Row],[Quantity_Orderd]]*_xlfn.XLOOKUP(Food_Orders[[#This Row],[Food_ID]],Food_Catalog[[#All],[Food_ID]],Food_Catalog[[#All],[Price_Per_Unit]],0,0)</f>
        <v>30600</v>
      </c>
      <c r="H2127" cm="1">
        <f t="array" ref="H2127">Food_Orders[[#This Row],[Quantity_Orderd]]*_xlfn.XLOOKUP(Food_Orders[[#This Row],[Food_ID]],Food_Catalog[[#All],[Food_ID]],Food_Catalog[[#All],[Client_Price_Per_Unit]],0,0)</f>
        <v>36720</v>
      </c>
      <c r="I2127">
        <f>Food_Orders[[#This Row],[Client_Price]]-Food_Orders[[#This Row],[Cost]]</f>
        <v>6120</v>
      </c>
    </row>
    <row r="2128" spans="1:9" x14ac:dyDescent="0.25">
      <c r="A2128">
        <v>92</v>
      </c>
      <c r="B2128" t="s">
        <v>37</v>
      </c>
      <c r="C2128" t="s">
        <v>8</v>
      </c>
      <c r="D2128" t="s">
        <v>38</v>
      </c>
      <c r="E2128" t="s">
        <v>10</v>
      </c>
      <c r="F2128" cm="1">
        <f t="array" ref="F2128">_xlfn.XLOOKUP(Food_Orders[[#This Row],[Event_No]],Event_Master[[#All],[Event_No]],Event_Master[[#All],[Guest_Count]],,0)</f>
        <v>1020</v>
      </c>
      <c r="G2128" cm="1">
        <f t="array" ref="G2128">Food_Orders[[#This Row],[Quantity_Orderd]]*_xlfn.XLOOKUP(Food_Orders[[#This Row],[Food_ID]],Food_Catalog[[#All],[Food_ID]],Food_Catalog[[#All],[Price_Per_Unit]],0,0)</f>
        <v>25500</v>
      </c>
      <c r="H2128" cm="1">
        <f t="array" ref="H2128">Food_Orders[[#This Row],[Quantity_Orderd]]*_xlfn.XLOOKUP(Food_Orders[[#This Row],[Food_ID]],Food_Catalog[[#All],[Food_ID]],Food_Catalog[[#All],[Client_Price_Per_Unit]],0,0)</f>
        <v>30600</v>
      </c>
      <c r="I2128">
        <f>Food_Orders[[#This Row],[Client_Price]]-Food_Orders[[#This Row],[Cost]]</f>
        <v>5100</v>
      </c>
    </row>
    <row r="2129" spans="1:9" x14ac:dyDescent="0.25">
      <c r="A2129">
        <v>92</v>
      </c>
      <c r="B2129" t="s">
        <v>39</v>
      </c>
      <c r="C2129" t="s">
        <v>40</v>
      </c>
      <c r="D2129" t="s">
        <v>41</v>
      </c>
      <c r="E2129" t="s">
        <v>10</v>
      </c>
      <c r="F2129" cm="1">
        <f t="array" ref="F2129">_xlfn.XLOOKUP(Food_Orders[[#This Row],[Event_No]],Event_Master[[#All],[Event_No]],Event_Master[[#All],[Guest_Count]],,0)</f>
        <v>1020</v>
      </c>
      <c r="G2129" cm="1">
        <f t="array" ref="G2129">Food_Orders[[#This Row],[Quantity_Orderd]]*_xlfn.XLOOKUP(Food_Orders[[#This Row],[Food_ID]],Food_Catalog[[#All],[Food_ID]],Food_Catalog[[#All],[Price_Per_Unit]],0,0)</f>
        <v>61200</v>
      </c>
      <c r="H2129" cm="1">
        <f t="array" ref="H2129">Food_Orders[[#This Row],[Quantity_Orderd]]*_xlfn.XLOOKUP(Food_Orders[[#This Row],[Food_ID]],Food_Catalog[[#All],[Food_ID]],Food_Catalog[[#All],[Client_Price_Per_Unit]],0,0)</f>
        <v>73440</v>
      </c>
      <c r="I2129">
        <f>Food_Orders[[#This Row],[Client_Price]]-Food_Orders[[#This Row],[Cost]]</f>
        <v>12240</v>
      </c>
    </row>
    <row r="2130" spans="1:9" x14ac:dyDescent="0.25">
      <c r="A2130">
        <v>92</v>
      </c>
      <c r="B2130" t="s">
        <v>42</v>
      </c>
      <c r="C2130" t="s">
        <v>40</v>
      </c>
      <c r="D2130" t="s">
        <v>43</v>
      </c>
      <c r="E2130" t="s">
        <v>10</v>
      </c>
      <c r="F2130" cm="1">
        <f t="array" ref="F2130">_xlfn.XLOOKUP(Food_Orders[[#This Row],[Event_No]],Event_Master[[#All],[Event_No]],Event_Master[[#All],[Guest_Count]],,0)</f>
        <v>1020</v>
      </c>
      <c r="G2130" cm="1">
        <f t="array" ref="G2130">Food_Orders[[#This Row],[Quantity_Orderd]]*_xlfn.XLOOKUP(Food_Orders[[#This Row],[Food_ID]],Food_Catalog[[#All],[Food_ID]],Food_Catalog[[#All],[Price_Per_Unit]],0,0)</f>
        <v>71400</v>
      </c>
      <c r="H2130" cm="1">
        <f t="array" ref="H2130">Food_Orders[[#This Row],[Quantity_Orderd]]*_xlfn.XLOOKUP(Food_Orders[[#This Row],[Food_ID]],Food_Catalog[[#All],[Food_ID]],Food_Catalog[[#All],[Client_Price_Per_Unit]],0,0)</f>
        <v>85680</v>
      </c>
      <c r="I2130">
        <f>Food_Orders[[#This Row],[Client_Price]]-Food_Orders[[#This Row],[Cost]]</f>
        <v>14280</v>
      </c>
    </row>
    <row r="2131" spans="1:9" x14ac:dyDescent="0.25">
      <c r="A2131">
        <v>92</v>
      </c>
      <c r="B2131" t="s">
        <v>46</v>
      </c>
      <c r="C2131" t="s">
        <v>40</v>
      </c>
      <c r="D2131" t="s">
        <v>47</v>
      </c>
      <c r="E2131" t="s">
        <v>10</v>
      </c>
      <c r="F2131" cm="1">
        <f t="array" ref="F2131">_xlfn.XLOOKUP(Food_Orders[[#This Row],[Event_No]],Event_Master[[#All],[Event_No]],Event_Master[[#All],[Guest_Count]],,0)</f>
        <v>1020</v>
      </c>
      <c r="G2131" cm="1">
        <f t="array" ref="G2131">Food_Orders[[#This Row],[Quantity_Orderd]]*_xlfn.XLOOKUP(Food_Orders[[#This Row],[Food_ID]],Food_Catalog[[#All],[Food_ID]],Food_Catalog[[#All],[Price_Per_Unit]],0,0)</f>
        <v>91800</v>
      </c>
      <c r="H2131" cm="1">
        <f t="array" ref="H2131">Food_Orders[[#This Row],[Quantity_Orderd]]*_xlfn.XLOOKUP(Food_Orders[[#This Row],[Food_ID]],Food_Catalog[[#All],[Food_ID]],Food_Catalog[[#All],[Client_Price_Per_Unit]],0,0)</f>
        <v>110160</v>
      </c>
      <c r="I2131">
        <f>Food_Orders[[#This Row],[Client_Price]]-Food_Orders[[#This Row],[Cost]]</f>
        <v>18360</v>
      </c>
    </row>
    <row r="2132" spans="1:9" x14ac:dyDescent="0.25">
      <c r="A2132">
        <v>92</v>
      </c>
      <c r="B2132" t="s">
        <v>48</v>
      </c>
      <c r="C2132" t="s">
        <v>40</v>
      </c>
      <c r="D2132" t="s">
        <v>49</v>
      </c>
      <c r="E2132" t="s">
        <v>10</v>
      </c>
      <c r="F2132" cm="1">
        <f t="array" ref="F2132">_xlfn.XLOOKUP(Food_Orders[[#This Row],[Event_No]],Event_Master[[#All],[Event_No]],Event_Master[[#All],[Guest_Count]],,0)</f>
        <v>1020</v>
      </c>
      <c r="G2132" cm="1">
        <f t="array" ref="G2132">Food_Orders[[#This Row],[Quantity_Orderd]]*_xlfn.XLOOKUP(Food_Orders[[#This Row],[Food_ID]],Food_Catalog[[#All],[Food_ID]],Food_Catalog[[#All],[Price_Per_Unit]],0,0)</f>
        <v>102000</v>
      </c>
      <c r="H2132" cm="1">
        <f t="array" ref="H2132">Food_Orders[[#This Row],[Quantity_Orderd]]*_xlfn.XLOOKUP(Food_Orders[[#This Row],[Food_ID]],Food_Catalog[[#All],[Food_ID]],Food_Catalog[[#All],[Client_Price_Per_Unit]],0,0)</f>
        <v>122400</v>
      </c>
      <c r="I2132">
        <f>Food_Orders[[#This Row],[Client_Price]]-Food_Orders[[#This Row],[Cost]]</f>
        <v>20400</v>
      </c>
    </row>
    <row r="2133" spans="1:9" x14ac:dyDescent="0.25">
      <c r="A2133">
        <v>92</v>
      </c>
      <c r="B2133" t="s">
        <v>50</v>
      </c>
      <c r="C2133" t="s">
        <v>40</v>
      </c>
      <c r="D2133" t="s">
        <v>51</v>
      </c>
      <c r="E2133" t="s">
        <v>10</v>
      </c>
      <c r="F2133" cm="1">
        <f t="array" ref="F2133">_xlfn.XLOOKUP(Food_Orders[[#This Row],[Event_No]],Event_Master[[#All],[Event_No]],Event_Master[[#All],[Guest_Count]],,0)</f>
        <v>1020</v>
      </c>
      <c r="G2133" cm="1">
        <f t="array" ref="G2133">Food_Orders[[#This Row],[Quantity_Orderd]]*_xlfn.XLOOKUP(Food_Orders[[#This Row],[Food_ID]],Food_Catalog[[#All],[Food_ID]],Food_Catalog[[#All],[Price_Per_Unit]],0,0)</f>
        <v>81600</v>
      </c>
      <c r="H2133" cm="1">
        <f t="array" ref="H2133">Food_Orders[[#This Row],[Quantity_Orderd]]*_xlfn.XLOOKUP(Food_Orders[[#This Row],[Food_ID]],Food_Catalog[[#All],[Food_ID]],Food_Catalog[[#All],[Client_Price_Per_Unit]],0,0)</f>
        <v>97920</v>
      </c>
      <c r="I2133">
        <f>Food_Orders[[#This Row],[Client_Price]]-Food_Orders[[#This Row],[Cost]]</f>
        <v>16320</v>
      </c>
    </row>
    <row r="2134" spans="1:9" x14ac:dyDescent="0.25">
      <c r="A2134">
        <v>92</v>
      </c>
      <c r="B2134" t="s">
        <v>52</v>
      </c>
      <c r="C2134" t="s">
        <v>40</v>
      </c>
      <c r="D2134" t="s">
        <v>53</v>
      </c>
      <c r="E2134" t="s">
        <v>10</v>
      </c>
      <c r="F2134" cm="1">
        <f t="array" ref="F2134">_xlfn.XLOOKUP(Food_Orders[[#This Row],[Event_No]],Event_Master[[#All],[Event_No]],Event_Master[[#All],[Guest_Count]],,0)</f>
        <v>1020</v>
      </c>
      <c r="G2134" cm="1">
        <f t="array" ref="G2134">Food_Orders[[#This Row],[Quantity_Orderd]]*_xlfn.XLOOKUP(Food_Orders[[#This Row],[Food_ID]],Food_Catalog[[#All],[Food_ID]],Food_Catalog[[#All],[Price_Per_Unit]],0,0)</f>
        <v>102000</v>
      </c>
      <c r="H2134" cm="1">
        <f t="array" ref="H2134">Food_Orders[[#This Row],[Quantity_Orderd]]*_xlfn.XLOOKUP(Food_Orders[[#This Row],[Food_ID]],Food_Catalog[[#All],[Food_ID]],Food_Catalog[[#All],[Client_Price_Per_Unit]],0,0)</f>
        <v>122400</v>
      </c>
      <c r="I2134">
        <f>Food_Orders[[#This Row],[Client_Price]]-Food_Orders[[#This Row],[Cost]]</f>
        <v>20400</v>
      </c>
    </row>
    <row r="2135" spans="1:9" x14ac:dyDescent="0.25">
      <c r="A2135">
        <v>92</v>
      </c>
      <c r="B2135" t="s">
        <v>54</v>
      </c>
      <c r="C2135" t="s">
        <v>40</v>
      </c>
      <c r="D2135" t="s">
        <v>55</v>
      </c>
      <c r="E2135" t="s">
        <v>10</v>
      </c>
      <c r="F2135" cm="1">
        <f t="array" ref="F2135">_xlfn.XLOOKUP(Food_Orders[[#This Row],[Event_No]],Event_Master[[#All],[Event_No]],Event_Master[[#All],[Guest_Count]],,0)</f>
        <v>1020</v>
      </c>
      <c r="G2135" cm="1">
        <f t="array" ref="G2135">Food_Orders[[#This Row],[Quantity_Orderd]]*_xlfn.XLOOKUP(Food_Orders[[#This Row],[Food_ID]],Food_Catalog[[#All],[Food_ID]],Food_Catalog[[#All],[Price_Per_Unit]],0,0)</f>
        <v>40800</v>
      </c>
      <c r="H2135" cm="1">
        <f t="array" ref="H2135">Food_Orders[[#This Row],[Quantity_Orderd]]*_xlfn.XLOOKUP(Food_Orders[[#This Row],[Food_ID]],Food_Catalog[[#All],[Food_ID]],Food_Catalog[[#All],[Client_Price_Per_Unit]],0,0)</f>
        <v>48960</v>
      </c>
      <c r="I2135">
        <f>Food_Orders[[#This Row],[Client_Price]]-Food_Orders[[#This Row],[Cost]]</f>
        <v>8160</v>
      </c>
    </row>
    <row r="2136" spans="1:9" x14ac:dyDescent="0.25">
      <c r="A2136">
        <v>92</v>
      </c>
      <c r="B2136" t="s">
        <v>58</v>
      </c>
      <c r="C2136" t="s">
        <v>40</v>
      </c>
      <c r="D2136" t="s">
        <v>59</v>
      </c>
      <c r="E2136" t="s">
        <v>10</v>
      </c>
      <c r="F2136" cm="1">
        <f t="array" ref="F2136">_xlfn.XLOOKUP(Food_Orders[[#This Row],[Event_No]],Event_Master[[#All],[Event_No]],Event_Master[[#All],[Guest_Count]],,0)</f>
        <v>1020</v>
      </c>
      <c r="G2136" cm="1">
        <f t="array" ref="G2136">Food_Orders[[#This Row],[Quantity_Orderd]]*_xlfn.XLOOKUP(Food_Orders[[#This Row],[Food_ID]],Food_Catalog[[#All],[Food_ID]],Food_Catalog[[#All],[Price_Per_Unit]],0,0)</f>
        <v>91800</v>
      </c>
      <c r="H2136" cm="1">
        <f t="array" ref="H2136">Food_Orders[[#This Row],[Quantity_Orderd]]*_xlfn.XLOOKUP(Food_Orders[[#This Row],[Food_ID]],Food_Catalog[[#All],[Food_ID]],Food_Catalog[[#All],[Client_Price_Per_Unit]],0,0)</f>
        <v>110160</v>
      </c>
      <c r="I2136">
        <f>Food_Orders[[#This Row],[Client_Price]]-Food_Orders[[#This Row],[Cost]]</f>
        <v>18360</v>
      </c>
    </row>
    <row r="2137" spans="1:9" x14ac:dyDescent="0.25">
      <c r="A2137">
        <v>92</v>
      </c>
      <c r="B2137" t="s">
        <v>82</v>
      </c>
      <c r="C2137" t="s">
        <v>83</v>
      </c>
      <c r="D2137" t="s">
        <v>84</v>
      </c>
      <c r="E2137" t="s">
        <v>85</v>
      </c>
      <c r="F2137" cm="1">
        <f t="array" ref="F2137">_xlfn.XLOOKUP(Food_Orders[[#This Row],[Event_No]],Event_Master[[#All],[Event_No]],Event_Master[[#All],[Guest_Count]],,0)</f>
        <v>1020</v>
      </c>
      <c r="G2137" cm="1">
        <f t="array" ref="G2137">Food_Orders[[#This Row],[Quantity_Orderd]]*_xlfn.XLOOKUP(Food_Orders[[#This Row],[Food_ID]],Food_Catalog[[#All],[Food_ID]],Food_Catalog[[#All],[Price_Per_Unit]],0,0)</f>
        <v>20400</v>
      </c>
      <c r="H2137" cm="1">
        <f t="array" ref="H2137">Food_Orders[[#This Row],[Quantity_Orderd]]*_xlfn.XLOOKUP(Food_Orders[[#This Row],[Food_ID]],Food_Catalog[[#All],[Food_ID]],Food_Catalog[[#All],[Client_Price_Per_Unit]],0,0)</f>
        <v>24480</v>
      </c>
      <c r="I2137">
        <f>Food_Orders[[#This Row],[Client_Price]]-Food_Orders[[#This Row],[Cost]]</f>
        <v>4080</v>
      </c>
    </row>
    <row r="2138" spans="1:9" x14ac:dyDescent="0.25">
      <c r="A2138">
        <v>92</v>
      </c>
      <c r="B2138" t="s">
        <v>86</v>
      </c>
      <c r="C2138" t="s">
        <v>83</v>
      </c>
      <c r="D2138" t="s">
        <v>87</v>
      </c>
      <c r="E2138" t="s">
        <v>85</v>
      </c>
      <c r="F2138" cm="1">
        <f t="array" ref="F2138">_xlfn.XLOOKUP(Food_Orders[[#This Row],[Event_No]],Event_Master[[#All],[Event_No]],Event_Master[[#All],[Guest_Count]],,0)</f>
        <v>1020</v>
      </c>
      <c r="G2138" cm="1">
        <f t="array" ref="G2138">Food_Orders[[#This Row],[Quantity_Orderd]]*_xlfn.XLOOKUP(Food_Orders[[#This Row],[Food_ID]],Food_Catalog[[#All],[Food_ID]],Food_Catalog[[#All],[Price_Per_Unit]],0,0)</f>
        <v>20400</v>
      </c>
      <c r="H2138" cm="1">
        <f t="array" ref="H2138">Food_Orders[[#This Row],[Quantity_Orderd]]*_xlfn.XLOOKUP(Food_Orders[[#This Row],[Food_ID]],Food_Catalog[[#All],[Food_ID]],Food_Catalog[[#All],[Client_Price_Per_Unit]],0,0)</f>
        <v>24480</v>
      </c>
      <c r="I2138">
        <f>Food_Orders[[#This Row],[Client_Price]]-Food_Orders[[#This Row],[Cost]]</f>
        <v>4080</v>
      </c>
    </row>
    <row r="2139" spans="1:9" x14ac:dyDescent="0.25">
      <c r="A2139">
        <v>92</v>
      </c>
      <c r="B2139" t="s">
        <v>88</v>
      </c>
      <c r="C2139" t="s">
        <v>83</v>
      </c>
      <c r="D2139" t="s">
        <v>89</v>
      </c>
      <c r="E2139" t="s">
        <v>85</v>
      </c>
      <c r="F2139" cm="1">
        <f t="array" ref="F2139">_xlfn.XLOOKUP(Food_Orders[[#This Row],[Event_No]],Event_Master[[#All],[Event_No]],Event_Master[[#All],[Guest_Count]],,0)</f>
        <v>1020</v>
      </c>
      <c r="G2139" cm="1">
        <f t="array" ref="G2139">Food_Orders[[#This Row],[Quantity_Orderd]]*_xlfn.XLOOKUP(Food_Orders[[#This Row],[Food_ID]],Food_Catalog[[#All],[Food_ID]],Food_Catalog[[#All],[Price_Per_Unit]],0,0)</f>
        <v>15300</v>
      </c>
      <c r="H2139" cm="1">
        <f t="array" ref="H2139">Food_Orders[[#This Row],[Quantity_Orderd]]*_xlfn.XLOOKUP(Food_Orders[[#This Row],[Food_ID]],Food_Catalog[[#All],[Food_ID]],Food_Catalog[[#All],[Client_Price_Per_Unit]],0,0)</f>
        <v>18360</v>
      </c>
      <c r="I2139">
        <f>Food_Orders[[#This Row],[Client_Price]]-Food_Orders[[#This Row],[Cost]]</f>
        <v>3060</v>
      </c>
    </row>
    <row r="2140" spans="1:9" x14ac:dyDescent="0.25">
      <c r="A2140">
        <v>92</v>
      </c>
      <c r="B2140" t="s">
        <v>100</v>
      </c>
      <c r="C2140" t="s">
        <v>83</v>
      </c>
      <c r="D2140" t="s">
        <v>101</v>
      </c>
      <c r="E2140" t="s">
        <v>79</v>
      </c>
      <c r="F2140" cm="1">
        <f t="array" ref="F2140">_xlfn.XLOOKUP(Food_Orders[[#This Row],[Event_No]],Event_Master[[#All],[Event_No]],Event_Master[[#All],[Guest_Count]],,0)</f>
        <v>1020</v>
      </c>
      <c r="G2140" cm="1">
        <f t="array" ref="G2140">Food_Orders[[#This Row],[Quantity_Orderd]]*_xlfn.XLOOKUP(Food_Orders[[#This Row],[Food_ID]],Food_Catalog[[#All],[Food_ID]],Food_Catalog[[#All],[Price_Per_Unit]],0,0)</f>
        <v>35700</v>
      </c>
      <c r="H2140" cm="1">
        <f t="array" ref="H2140">Food_Orders[[#This Row],[Quantity_Orderd]]*_xlfn.XLOOKUP(Food_Orders[[#This Row],[Food_ID]],Food_Catalog[[#All],[Food_ID]],Food_Catalog[[#All],[Client_Price_Per_Unit]],0,0)</f>
        <v>42840</v>
      </c>
      <c r="I2140">
        <f>Food_Orders[[#This Row],[Client_Price]]-Food_Orders[[#This Row],[Cost]]</f>
        <v>7140</v>
      </c>
    </row>
    <row r="2141" spans="1:9" x14ac:dyDescent="0.25">
      <c r="A2141">
        <v>92</v>
      </c>
      <c r="B2141" t="s">
        <v>96</v>
      </c>
      <c r="C2141" t="s">
        <v>83</v>
      </c>
      <c r="D2141" t="s">
        <v>97</v>
      </c>
      <c r="E2141" t="s">
        <v>79</v>
      </c>
      <c r="F2141" cm="1">
        <f t="array" ref="F2141">_xlfn.XLOOKUP(Food_Orders[[#This Row],[Event_No]],Event_Master[[#All],[Event_No]],Event_Master[[#All],[Guest_Count]],,0)</f>
        <v>1020</v>
      </c>
      <c r="G2141" cm="1">
        <f t="array" ref="G2141">Food_Orders[[#This Row],[Quantity_Orderd]]*_xlfn.XLOOKUP(Food_Orders[[#This Row],[Food_ID]],Food_Catalog[[#All],[Food_ID]],Food_Catalog[[#All],[Price_Per_Unit]],0,0)</f>
        <v>30600</v>
      </c>
      <c r="H2141" cm="1">
        <f t="array" ref="H2141">Food_Orders[[#This Row],[Quantity_Orderd]]*_xlfn.XLOOKUP(Food_Orders[[#This Row],[Food_ID]],Food_Catalog[[#All],[Food_ID]],Food_Catalog[[#All],[Client_Price_Per_Unit]],0,0)</f>
        <v>36720</v>
      </c>
      <c r="I2141">
        <f>Food_Orders[[#This Row],[Client_Price]]-Food_Orders[[#This Row],[Cost]]</f>
        <v>6120</v>
      </c>
    </row>
    <row r="2142" spans="1:9" x14ac:dyDescent="0.25">
      <c r="A2142">
        <v>92</v>
      </c>
      <c r="B2142" t="s">
        <v>92</v>
      </c>
      <c r="C2142" t="s">
        <v>83</v>
      </c>
      <c r="D2142" t="s">
        <v>93</v>
      </c>
      <c r="E2142" t="s">
        <v>85</v>
      </c>
      <c r="F2142" cm="1">
        <f t="array" ref="F2142">_xlfn.XLOOKUP(Food_Orders[[#This Row],[Event_No]],Event_Master[[#All],[Event_No]],Event_Master[[#All],[Guest_Count]],,0)</f>
        <v>1020</v>
      </c>
      <c r="G2142" cm="1">
        <f t="array" ref="G2142">Food_Orders[[#This Row],[Quantity_Orderd]]*_xlfn.XLOOKUP(Food_Orders[[#This Row],[Food_ID]],Food_Catalog[[#All],[Food_ID]],Food_Catalog[[#All],[Price_Per_Unit]],0,0)</f>
        <v>15300</v>
      </c>
      <c r="H2142" cm="1">
        <f t="array" ref="H2142">Food_Orders[[#This Row],[Quantity_Orderd]]*_xlfn.XLOOKUP(Food_Orders[[#This Row],[Food_ID]],Food_Catalog[[#All],[Food_ID]],Food_Catalog[[#All],[Client_Price_Per_Unit]],0,0)</f>
        <v>18360</v>
      </c>
      <c r="I2142">
        <f>Food_Orders[[#This Row],[Client_Price]]-Food_Orders[[#This Row],[Cost]]</f>
        <v>3060</v>
      </c>
    </row>
    <row r="2143" spans="1:9" x14ac:dyDescent="0.25">
      <c r="A2143">
        <v>92</v>
      </c>
      <c r="B2143" t="s">
        <v>102</v>
      </c>
      <c r="C2143" t="s">
        <v>83</v>
      </c>
      <c r="D2143" t="s">
        <v>103</v>
      </c>
      <c r="E2143" t="s">
        <v>85</v>
      </c>
      <c r="F2143" cm="1">
        <f t="array" ref="F2143">_xlfn.XLOOKUP(Food_Orders[[#This Row],[Event_No]],Event_Master[[#All],[Event_No]],Event_Master[[#All],[Guest_Count]],,0)</f>
        <v>1020</v>
      </c>
      <c r="G2143" cm="1">
        <f t="array" ref="G2143">Food_Orders[[#This Row],[Quantity_Orderd]]*_xlfn.XLOOKUP(Food_Orders[[#This Row],[Food_ID]],Food_Catalog[[#All],[Food_ID]],Food_Catalog[[#All],[Price_Per_Unit]],0,0)</f>
        <v>20400</v>
      </c>
      <c r="H2143" cm="1">
        <f t="array" ref="H2143">Food_Orders[[#This Row],[Quantity_Orderd]]*_xlfn.XLOOKUP(Food_Orders[[#This Row],[Food_ID]],Food_Catalog[[#All],[Food_ID]],Food_Catalog[[#All],[Client_Price_Per_Unit]],0,0)</f>
        <v>24480</v>
      </c>
      <c r="I2143">
        <f>Food_Orders[[#This Row],[Client_Price]]-Food_Orders[[#This Row],[Cost]]</f>
        <v>4080</v>
      </c>
    </row>
    <row r="2144" spans="1:9" x14ac:dyDescent="0.25">
      <c r="A2144">
        <v>92</v>
      </c>
      <c r="B2144" t="s">
        <v>98</v>
      </c>
      <c r="C2144" t="s">
        <v>83</v>
      </c>
      <c r="D2144" t="s">
        <v>99</v>
      </c>
      <c r="E2144" t="s">
        <v>85</v>
      </c>
      <c r="F2144" cm="1">
        <f t="array" ref="F2144">_xlfn.XLOOKUP(Food_Orders[[#This Row],[Event_No]],Event_Master[[#All],[Event_No]],Event_Master[[#All],[Guest_Count]],,0)</f>
        <v>1020</v>
      </c>
      <c r="G2144" cm="1">
        <f t="array" ref="G2144">Food_Orders[[#This Row],[Quantity_Orderd]]*_xlfn.XLOOKUP(Food_Orders[[#This Row],[Food_ID]],Food_Catalog[[#All],[Food_ID]],Food_Catalog[[#All],[Price_Per_Unit]],0,0)</f>
        <v>15300</v>
      </c>
      <c r="H2144" cm="1">
        <f t="array" ref="H2144">Food_Orders[[#This Row],[Quantity_Orderd]]*_xlfn.XLOOKUP(Food_Orders[[#This Row],[Food_ID]],Food_Catalog[[#All],[Food_ID]],Food_Catalog[[#All],[Client_Price_Per_Unit]],0,0)</f>
        <v>18360</v>
      </c>
      <c r="I2144">
        <f>Food_Orders[[#This Row],[Client_Price]]-Food_Orders[[#This Row],[Cost]]</f>
        <v>3060</v>
      </c>
    </row>
    <row r="2145" spans="1:9" x14ac:dyDescent="0.25">
      <c r="A2145">
        <v>92</v>
      </c>
      <c r="B2145" t="s">
        <v>104</v>
      </c>
      <c r="C2145" t="s">
        <v>105</v>
      </c>
      <c r="D2145" t="s">
        <v>106</v>
      </c>
      <c r="E2145" t="s">
        <v>107</v>
      </c>
      <c r="F2145" cm="1">
        <f t="array" ref="F2145">_xlfn.XLOOKUP(Food_Orders[[#This Row],[Event_No]],Event_Master[[#All],[Event_No]],Event_Master[[#All],[Guest_Count]],,0)</f>
        <v>1020</v>
      </c>
      <c r="G2145" cm="1">
        <f t="array" ref="G2145">Food_Orders[[#This Row],[Quantity_Orderd]]*_xlfn.XLOOKUP(Food_Orders[[#This Row],[Food_ID]],Food_Catalog[[#All],[Food_ID]],Food_Catalog[[#All],[Price_Per_Unit]],0,0)</f>
        <v>10200</v>
      </c>
      <c r="H2145" cm="1">
        <f t="array" ref="H2145">Food_Orders[[#This Row],[Quantity_Orderd]]*_xlfn.XLOOKUP(Food_Orders[[#This Row],[Food_ID]],Food_Catalog[[#All],[Food_ID]],Food_Catalog[[#All],[Client_Price_Per_Unit]],0,0)</f>
        <v>12240</v>
      </c>
      <c r="I2145">
        <f>Food_Orders[[#This Row],[Client_Price]]-Food_Orders[[#This Row],[Cost]]</f>
        <v>2040</v>
      </c>
    </row>
    <row r="2146" spans="1:9" x14ac:dyDescent="0.25">
      <c r="A2146">
        <v>92</v>
      </c>
      <c r="B2146" t="s">
        <v>108</v>
      </c>
      <c r="C2146" t="s">
        <v>105</v>
      </c>
      <c r="D2146" t="s">
        <v>109</v>
      </c>
      <c r="E2146" t="s">
        <v>107</v>
      </c>
      <c r="F2146" cm="1">
        <f t="array" ref="F2146">_xlfn.XLOOKUP(Food_Orders[[#This Row],[Event_No]],Event_Master[[#All],[Event_No]],Event_Master[[#All],[Guest_Count]],,0)</f>
        <v>1020</v>
      </c>
      <c r="G2146" cm="1">
        <f t="array" ref="G2146">Food_Orders[[#This Row],[Quantity_Orderd]]*_xlfn.XLOOKUP(Food_Orders[[#This Row],[Food_ID]],Food_Catalog[[#All],[Food_ID]],Food_Catalog[[#All],[Price_Per_Unit]],0,0)</f>
        <v>15300</v>
      </c>
      <c r="H2146" cm="1">
        <f t="array" ref="H2146">Food_Orders[[#This Row],[Quantity_Orderd]]*_xlfn.XLOOKUP(Food_Orders[[#This Row],[Food_ID]],Food_Catalog[[#All],[Food_ID]],Food_Catalog[[#All],[Client_Price_Per_Unit]],0,0)</f>
        <v>18360</v>
      </c>
      <c r="I2146">
        <f>Food_Orders[[#This Row],[Client_Price]]-Food_Orders[[#This Row],[Cost]]</f>
        <v>3060</v>
      </c>
    </row>
    <row r="2147" spans="1:9" x14ac:dyDescent="0.25">
      <c r="A2147">
        <v>92</v>
      </c>
      <c r="B2147" t="s">
        <v>115</v>
      </c>
      <c r="C2147" t="s">
        <v>105</v>
      </c>
      <c r="D2147" t="s">
        <v>116</v>
      </c>
      <c r="E2147" t="s">
        <v>117</v>
      </c>
      <c r="F2147" cm="1">
        <f t="array" ref="F2147">_xlfn.XLOOKUP(Food_Orders[[#This Row],[Event_No]],Event_Master[[#All],[Event_No]],Event_Master[[#All],[Guest_Count]],,0)</f>
        <v>1020</v>
      </c>
      <c r="G2147" cm="1">
        <f t="array" ref="G2147">Food_Orders[[#This Row],[Quantity_Orderd]]*_xlfn.XLOOKUP(Food_Orders[[#This Row],[Food_ID]],Food_Catalog[[#All],[Food_ID]],Food_Catalog[[#All],[Price_Per_Unit]],0,0)</f>
        <v>25500</v>
      </c>
      <c r="H2147" cm="1">
        <f t="array" ref="H2147">Food_Orders[[#This Row],[Quantity_Orderd]]*_xlfn.XLOOKUP(Food_Orders[[#This Row],[Food_ID]],Food_Catalog[[#All],[Food_ID]],Food_Catalog[[#All],[Client_Price_Per_Unit]],0,0)</f>
        <v>30600</v>
      </c>
      <c r="I2147">
        <f>Food_Orders[[#This Row],[Client_Price]]-Food_Orders[[#This Row],[Cost]]</f>
        <v>5100</v>
      </c>
    </row>
    <row r="2148" spans="1:9" x14ac:dyDescent="0.25">
      <c r="A2148">
        <v>92</v>
      </c>
      <c r="B2148" t="s">
        <v>110</v>
      </c>
      <c r="C2148" t="s">
        <v>105</v>
      </c>
      <c r="D2148" t="s">
        <v>111</v>
      </c>
      <c r="E2148" t="s">
        <v>112</v>
      </c>
      <c r="F2148" cm="1">
        <f t="array" ref="F2148">_xlfn.XLOOKUP(Food_Orders[[#This Row],[Event_No]],Event_Master[[#All],[Event_No]],Event_Master[[#All],[Guest_Count]],,0)</f>
        <v>1020</v>
      </c>
      <c r="G2148" cm="1">
        <f t="array" ref="G2148">Food_Orders[[#This Row],[Quantity_Orderd]]*_xlfn.XLOOKUP(Food_Orders[[#This Row],[Food_ID]],Food_Catalog[[#All],[Food_ID]],Food_Catalog[[#All],[Price_Per_Unit]],0,0)</f>
        <v>20400</v>
      </c>
      <c r="H2148" cm="1">
        <f t="array" ref="H2148">Food_Orders[[#This Row],[Quantity_Orderd]]*_xlfn.XLOOKUP(Food_Orders[[#This Row],[Food_ID]],Food_Catalog[[#All],[Food_ID]],Food_Catalog[[#All],[Client_Price_Per_Unit]],0,0)</f>
        <v>24480</v>
      </c>
      <c r="I2148">
        <f>Food_Orders[[#This Row],[Client_Price]]-Food_Orders[[#This Row],[Cost]]</f>
        <v>4080</v>
      </c>
    </row>
    <row r="2149" spans="1:9" x14ac:dyDescent="0.25">
      <c r="A2149">
        <v>92</v>
      </c>
      <c r="B2149" t="s">
        <v>118</v>
      </c>
      <c r="C2149" t="s">
        <v>119</v>
      </c>
      <c r="D2149" t="s">
        <v>120</v>
      </c>
      <c r="E2149" t="s">
        <v>112</v>
      </c>
      <c r="F2149" cm="1">
        <f t="array" ref="F2149">_xlfn.XLOOKUP(Food_Orders[[#This Row],[Event_No]],Event_Master[[#All],[Event_No]],Event_Master[[#All],[Guest_Count]],,0)</f>
        <v>1020</v>
      </c>
      <c r="G2149" cm="1">
        <f t="array" ref="G2149">Food_Orders[[#This Row],[Quantity_Orderd]]*_xlfn.XLOOKUP(Food_Orders[[#This Row],[Food_ID]],Food_Catalog[[#All],[Food_ID]],Food_Catalog[[#All],[Price_Per_Unit]],0,0)</f>
        <v>10200</v>
      </c>
      <c r="H2149" cm="1">
        <f t="array" ref="H2149">Food_Orders[[#This Row],[Quantity_Orderd]]*_xlfn.XLOOKUP(Food_Orders[[#This Row],[Food_ID]],Food_Catalog[[#All],[Food_ID]],Food_Catalog[[#All],[Client_Price_Per_Unit]],0,0)</f>
        <v>12240</v>
      </c>
      <c r="I2149">
        <f>Food_Orders[[#This Row],[Client_Price]]-Food_Orders[[#This Row],[Cost]]</f>
        <v>2040</v>
      </c>
    </row>
    <row r="2150" spans="1:9" x14ac:dyDescent="0.25">
      <c r="A2150">
        <v>92</v>
      </c>
      <c r="B2150" t="s">
        <v>129</v>
      </c>
      <c r="C2150" t="s">
        <v>119</v>
      </c>
      <c r="D2150" t="s">
        <v>130</v>
      </c>
      <c r="E2150" t="s">
        <v>112</v>
      </c>
      <c r="F2150" cm="1">
        <f t="array" ref="F2150">_xlfn.XLOOKUP(Food_Orders[[#This Row],[Event_No]],Event_Master[[#All],[Event_No]],Event_Master[[#All],[Guest_Count]],,0)</f>
        <v>1020</v>
      </c>
      <c r="G2150" cm="1">
        <f t="array" ref="G2150">Food_Orders[[#This Row],[Quantity_Orderd]]*_xlfn.XLOOKUP(Food_Orders[[#This Row],[Food_ID]],Food_Catalog[[#All],[Food_ID]],Food_Catalog[[#All],[Price_Per_Unit]],0,0)</f>
        <v>10200</v>
      </c>
      <c r="H2150" cm="1">
        <f t="array" ref="H2150">Food_Orders[[#This Row],[Quantity_Orderd]]*_xlfn.XLOOKUP(Food_Orders[[#This Row],[Food_ID]],Food_Catalog[[#All],[Food_ID]],Food_Catalog[[#All],[Client_Price_Per_Unit]],0,0)</f>
        <v>12240</v>
      </c>
      <c r="I2150">
        <f>Food_Orders[[#This Row],[Client_Price]]-Food_Orders[[#This Row],[Cost]]</f>
        <v>2040</v>
      </c>
    </row>
    <row r="2151" spans="1:9" x14ac:dyDescent="0.25">
      <c r="A2151">
        <v>92</v>
      </c>
      <c r="B2151" t="s">
        <v>124</v>
      </c>
      <c r="C2151" t="s">
        <v>119</v>
      </c>
      <c r="D2151" t="s">
        <v>125</v>
      </c>
      <c r="E2151" t="s">
        <v>126</v>
      </c>
      <c r="F2151" cm="1">
        <f t="array" ref="F2151">_xlfn.XLOOKUP(Food_Orders[[#This Row],[Event_No]],Event_Master[[#All],[Event_No]],Event_Master[[#All],[Guest_Count]],,0)</f>
        <v>1020</v>
      </c>
      <c r="G2151" cm="1">
        <f t="array" ref="G2151">Food_Orders[[#This Row],[Quantity_Orderd]]*_xlfn.XLOOKUP(Food_Orders[[#This Row],[Food_ID]],Food_Catalog[[#All],[Food_ID]],Food_Catalog[[#All],[Price_Per_Unit]],0,0)</f>
        <v>20400</v>
      </c>
      <c r="H2151" cm="1">
        <f t="array" ref="H2151">Food_Orders[[#This Row],[Quantity_Orderd]]*_xlfn.XLOOKUP(Food_Orders[[#This Row],[Food_ID]],Food_Catalog[[#All],[Food_ID]],Food_Catalog[[#All],[Client_Price_Per_Unit]],0,0)</f>
        <v>24480</v>
      </c>
      <c r="I2151">
        <f>Food_Orders[[#This Row],[Client_Price]]-Food_Orders[[#This Row],[Cost]]</f>
        <v>4080</v>
      </c>
    </row>
    <row r="2152" spans="1:9" x14ac:dyDescent="0.25">
      <c r="A2152">
        <v>92</v>
      </c>
      <c r="B2152" t="s">
        <v>127</v>
      </c>
      <c r="C2152" t="s">
        <v>119</v>
      </c>
      <c r="D2152" t="s">
        <v>128</v>
      </c>
      <c r="E2152" t="s">
        <v>107</v>
      </c>
      <c r="F2152" cm="1">
        <f t="array" ref="F2152">_xlfn.XLOOKUP(Food_Orders[[#This Row],[Event_No]],Event_Master[[#All],[Event_No]],Event_Master[[#All],[Guest_Count]],,0)</f>
        <v>1020</v>
      </c>
      <c r="G2152" cm="1">
        <f t="array" ref="G2152">Food_Orders[[#This Row],[Quantity_Orderd]]*_xlfn.XLOOKUP(Food_Orders[[#This Row],[Food_ID]],Food_Catalog[[#All],[Food_ID]],Food_Catalog[[#All],[Price_Per_Unit]],0,0)</f>
        <v>20400</v>
      </c>
      <c r="H2152" cm="1">
        <f t="array" ref="H2152">Food_Orders[[#This Row],[Quantity_Orderd]]*_xlfn.XLOOKUP(Food_Orders[[#This Row],[Food_ID]],Food_Catalog[[#All],[Food_ID]],Food_Catalog[[#All],[Client_Price_Per_Unit]],0,0)</f>
        <v>24480</v>
      </c>
      <c r="I2152">
        <f>Food_Orders[[#This Row],[Client_Price]]-Food_Orders[[#This Row],[Cost]]</f>
        <v>4080</v>
      </c>
    </row>
    <row r="2153" spans="1:9" x14ac:dyDescent="0.25">
      <c r="A2153">
        <v>93</v>
      </c>
      <c r="B2153" t="s">
        <v>60</v>
      </c>
      <c r="C2153" t="s">
        <v>61</v>
      </c>
      <c r="D2153" t="s">
        <v>62</v>
      </c>
      <c r="E2153" t="s">
        <v>10</v>
      </c>
      <c r="F2153" cm="1">
        <f t="array" ref="F2153">_xlfn.XLOOKUP(Food_Orders[[#This Row],[Event_No]],Event_Master[[#All],[Event_No]],Event_Master[[#All],[Guest_Count]],,0)</f>
        <v>900</v>
      </c>
      <c r="G2153" cm="1">
        <f t="array" ref="G2153">Food_Orders[[#This Row],[Quantity_Orderd]]*_xlfn.XLOOKUP(Food_Orders[[#This Row],[Food_ID]],Food_Catalog[[#All],[Food_ID]],Food_Catalog[[#All],[Price_Per_Unit]],0,0)</f>
        <v>18000</v>
      </c>
      <c r="H2153" cm="1">
        <f t="array" ref="H2153">Food_Orders[[#This Row],[Quantity_Orderd]]*_xlfn.XLOOKUP(Food_Orders[[#This Row],[Food_ID]],Food_Catalog[[#All],[Food_ID]],Food_Catalog[[#All],[Client_Price_Per_Unit]],0,0)</f>
        <v>21600</v>
      </c>
      <c r="I2153">
        <f>Food_Orders[[#This Row],[Client_Price]]-Food_Orders[[#This Row],[Cost]]</f>
        <v>3600</v>
      </c>
    </row>
    <row r="2154" spans="1:9" x14ac:dyDescent="0.25">
      <c r="A2154">
        <v>93</v>
      </c>
      <c r="B2154" t="s">
        <v>63</v>
      </c>
      <c r="C2154" t="s">
        <v>61</v>
      </c>
      <c r="D2154" t="s">
        <v>64</v>
      </c>
      <c r="E2154" t="s">
        <v>10</v>
      </c>
      <c r="F2154" cm="1">
        <f t="array" ref="F2154">_xlfn.XLOOKUP(Food_Orders[[#This Row],[Event_No]],Event_Master[[#All],[Event_No]],Event_Master[[#All],[Guest_Count]],,0)</f>
        <v>900</v>
      </c>
      <c r="G2154" cm="1">
        <f t="array" ref="G2154">Food_Orders[[#This Row],[Quantity_Orderd]]*_xlfn.XLOOKUP(Food_Orders[[#This Row],[Food_ID]],Food_Catalog[[#All],[Food_ID]],Food_Catalog[[#All],[Price_Per_Unit]],0,0)</f>
        <v>27000</v>
      </c>
      <c r="H2154" cm="1">
        <f t="array" ref="H2154">Food_Orders[[#This Row],[Quantity_Orderd]]*_xlfn.XLOOKUP(Food_Orders[[#This Row],[Food_ID]],Food_Catalog[[#All],[Food_ID]],Food_Catalog[[#All],[Client_Price_Per_Unit]],0,0)</f>
        <v>32400</v>
      </c>
      <c r="I2154">
        <f>Food_Orders[[#This Row],[Client_Price]]-Food_Orders[[#This Row],[Cost]]</f>
        <v>5400</v>
      </c>
    </row>
    <row r="2155" spans="1:9" x14ac:dyDescent="0.25">
      <c r="A2155">
        <v>93</v>
      </c>
      <c r="B2155" t="s">
        <v>71</v>
      </c>
      <c r="C2155" t="s">
        <v>61</v>
      </c>
      <c r="D2155" t="s">
        <v>72</v>
      </c>
      <c r="E2155" t="s">
        <v>10</v>
      </c>
      <c r="F2155" cm="1">
        <f t="array" ref="F2155">_xlfn.XLOOKUP(Food_Orders[[#This Row],[Event_No]],Event_Master[[#All],[Event_No]],Event_Master[[#All],[Guest_Count]],,0)</f>
        <v>900</v>
      </c>
      <c r="G2155" cm="1">
        <f t="array" ref="G2155">Food_Orders[[#This Row],[Quantity_Orderd]]*_xlfn.XLOOKUP(Food_Orders[[#This Row],[Food_ID]],Food_Catalog[[#All],[Food_ID]],Food_Catalog[[#All],[Price_Per_Unit]],0,0)</f>
        <v>22500</v>
      </c>
      <c r="H2155" cm="1">
        <f t="array" ref="H2155">Food_Orders[[#This Row],[Quantity_Orderd]]*_xlfn.XLOOKUP(Food_Orders[[#This Row],[Food_ID]],Food_Catalog[[#All],[Food_ID]],Food_Catalog[[#All],[Client_Price_Per_Unit]],0,0)</f>
        <v>27000</v>
      </c>
      <c r="I2155">
        <f>Food_Orders[[#This Row],[Client_Price]]-Food_Orders[[#This Row],[Cost]]</f>
        <v>4500</v>
      </c>
    </row>
    <row r="2156" spans="1:9" x14ac:dyDescent="0.25">
      <c r="A2156">
        <v>93</v>
      </c>
      <c r="B2156" t="s">
        <v>80</v>
      </c>
      <c r="C2156" t="s">
        <v>61</v>
      </c>
      <c r="D2156" t="s">
        <v>81</v>
      </c>
      <c r="E2156" t="s">
        <v>10</v>
      </c>
      <c r="F2156" cm="1">
        <f t="array" ref="F2156">_xlfn.XLOOKUP(Food_Orders[[#This Row],[Event_No]],Event_Master[[#All],[Event_No]],Event_Master[[#All],[Guest_Count]],,0)</f>
        <v>900</v>
      </c>
      <c r="G2156" cm="1">
        <f t="array" ref="G2156">Food_Orders[[#This Row],[Quantity_Orderd]]*_xlfn.XLOOKUP(Food_Orders[[#This Row],[Food_ID]],Food_Catalog[[#All],[Food_ID]],Food_Catalog[[#All],[Price_Per_Unit]],0,0)</f>
        <v>27000</v>
      </c>
      <c r="H2156" cm="1">
        <f t="array" ref="H2156">Food_Orders[[#This Row],[Quantity_Orderd]]*_xlfn.XLOOKUP(Food_Orders[[#This Row],[Food_ID]],Food_Catalog[[#All],[Food_ID]],Food_Catalog[[#All],[Client_Price_Per_Unit]],0,0)</f>
        <v>32400</v>
      </c>
      <c r="I2156">
        <f>Food_Orders[[#This Row],[Client_Price]]-Food_Orders[[#This Row],[Cost]]</f>
        <v>5400</v>
      </c>
    </row>
    <row r="2157" spans="1:9" x14ac:dyDescent="0.25">
      <c r="A2157">
        <v>93</v>
      </c>
      <c r="B2157" t="s">
        <v>73</v>
      </c>
      <c r="C2157" t="s">
        <v>61</v>
      </c>
      <c r="D2157" t="s">
        <v>74</v>
      </c>
      <c r="E2157" t="s">
        <v>10</v>
      </c>
      <c r="F2157" cm="1">
        <f t="array" ref="F2157">_xlfn.XLOOKUP(Food_Orders[[#This Row],[Event_No]],Event_Master[[#All],[Event_No]],Event_Master[[#All],[Guest_Count]],,0)</f>
        <v>900</v>
      </c>
      <c r="G2157" cm="1">
        <f t="array" ref="G2157">Food_Orders[[#This Row],[Quantity_Orderd]]*_xlfn.XLOOKUP(Food_Orders[[#This Row],[Food_ID]],Food_Catalog[[#All],[Food_ID]],Food_Catalog[[#All],[Price_Per_Unit]],0,0)</f>
        <v>36000</v>
      </c>
      <c r="H2157" cm="1">
        <f t="array" ref="H2157">Food_Orders[[#This Row],[Quantity_Orderd]]*_xlfn.XLOOKUP(Food_Orders[[#This Row],[Food_ID]],Food_Catalog[[#All],[Food_ID]],Food_Catalog[[#All],[Client_Price_Per_Unit]],0,0)</f>
        <v>43200</v>
      </c>
      <c r="I2157">
        <f>Food_Orders[[#This Row],[Client_Price]]-Food_Orders[[#This Row],[Cost]]</f>
        <v>7200</v>
      </c>
    </row>
    <row r="2158" spans="1:9" x14ac:dyDescent="0.25">
      <c r="A2158">
        <v>93</v>
      </c>
      <c r="B2158" t="s">
        <v>75</v>
      </c>
      <c r="C2158" t="s">
        <v>61</v>
      </c>
      <c r="D2158" t="s">
        <v>76</v>
      </c>
      <c r="E2158" t="s">
        <v>10</v>
      </c>
      <c r="F2158" cm="1">
        <f t="array" ref="F2158">_xlfn.XLOOKUP(Food_Orders[[#This Row],[Event_No]],Event_Master[[#All],[Event_No]],Event_Master[[#All],[Guest_Count]],,0)</f>
        <v>900</v>
      </c>
      <c r="G2158" cm="1">
        <f t="array" ref="G2158">Food_Orders[[#This Row],[Quantity_Orderd]]*_xlfn.XLOOKUP(Food_Orders[[#This Row],[Food_ID]],Food_Catalog[[#All],[Food_ID]],Food_Catalog[[#All],[Price_Per_Unit]],0,0)</f>
        <v>36000</v>
      </c>
      <c r="H2158" cm="1">
        <f t="array" ref="H2158">Food_Orders[[#This Row],[Quantity_Orderd]]*_xlfn.XLOOKUP(Food_Orders[[#This Row],[Food_ID]],Food_Catalog[[#All],[Food_ID]],Food_Catalog[[#All],[Client_Price_Per_Unit]],0,0)</f>
        <v>43200</v>
      </c>
      <c r="I2158">
        <f>Food_Orders[[#This Row],[Client_Price]]-Food_Orders[[#This Row],[Cost]]</f>
        <v>7200</v>
      </c>
    </row>
    <row r="2159" spans="1:9" x14ac:dyDescent="0.25">
      <c r="A2159">
        <v>93</v>
      </c>
      <c r="B2159" t="s">
        <v>69</v>
      </c>
      <c r="C2159" t="s">
        <v>61</v>
      </c>
      <c r="D2159" t="s">
        <v>70</v>
      </c>
      <c r="E2159" t="s">
        <v>10</v>
      </c>
      <c r="F2159" cm="1">
        <f t="array" ref="F2159">_xlfn.XLOOKUP(Food_Orders[[#This Row],[Event_No]],Event_Master[[#All],[Event_No]],Event_Master[[#All],[Guest_Count]],,0)</f>
        <v>900</v>
      </c>
      <c r="G2159" cm="1">
        <f t="array" ref="G2159">Food_Orders[[#This Row],[Quantity_Orderd]]*_xlfn.XLOOKUP(Food_Orders[[#This Row],[Food_ID]],Food_Catalog[[#All],[Food_ID]],Food_Catalog[[#All],[Price_Per_Unit]],0,0)</f>
        <v>45000</v>
      </c>
      <c r="H2159" cm="1">
        <f t="array" ref="H2159">Food_Orders[[#This Row],[Quantity_Orderd]]*_xlfn.XLOOKUP(Food_Orders[[#This Row],[Food_ID]],Food_Catalog[[#All],[Food_ID]],Food_Catalog[[#All],[Client_Price_Per_Unit]],0,0)</f>
        <v>54000</v>
      </c>
      <c r="I2159">
        <f>Food_Orders[[#This Row],[Client_Price]]-Food_Orders[[#This Row],[Cost]]</f>
        <v>9000</v>
      </c>
    </row>
    <row r="2160" spans="1:9" x14ac:dyDescent="0.25">
      <c r="A2160">
        <v>93</v>
      </c>
      <c r="B2160" t="s">
        <v>67</v>
      </c>
      <c r="C2160" t="s">
        <v>61</v>
      </c>
      <c r="D2160" t="s">
        <v>68</v>
      </c>
      <c r="E2160" t="s">
        <v>10</v>
      </c>
      <c r="F2160" cm="1">
        <f t="array" ref="F2160">_xlfn.XLOOKUP(Food_Orders[[#This Row],[Event_No]],Event_Master[[#All],[Event_No]],Event_Master[[#All],[Guest_Count]],,0)</f>
        <v>900</v>
      </c>
      <c r="G2160" cm="1">
        <f t="array" ref="G2160">Food_Orders[[#This Row],[Quantity_Orderd]]*_xlfn.XLOOKUP(Food_Orders[[#This Row],[Food_ID]],Food_Catalog[[#All],[Food_ID]],Food_Catalog[[#All],[Price_Per_Unit]],0,0)</f>
        <v>27000</v>
      </c>
      <c r="H2160" cm="1">
        <f t="array" ref="H2160">Food_Orders[[#This Row],[Quantity_Orderd]]*_xlfn.XLOOKUP(Food_Orders[[#This Row],[Food_ID]],Food_Catalog[[#All],[Food_ID]],Food_Catalog[[#All],[Client_Price_Per_Unit]],0,0)</f>
        <v>32400</v>
      </c>
      <c r="I2160">
        <f>Food_Orders[[#This Row],[Client_Price]]-Food_Orders[[#This Row],[Cost]]</f>
        <v>5400</v>
      </c>
    </row>
    <row r="2161" spans="1:9" x14ac:dyDescent="0.25">
      <c r="A2161">
        <v>93</v>
      </c>
      <c r="B2161" t="s">
        <v>77</v>
      </c>
      <c r="C2161" t="s">
        <v>61</v>
      </c>
      <c r="D2161" t="s">
        <v>78</v>
      </c>
      <c r="E2161" t="s">
        <v>79</v>
      </c>
      <c r="F2161" cm="1">
        <f t="array" ref="F2161">_xlfn.XLOOKUP(Food_Orders[[#This Row],[Event_No]],Event_Master[[#All],[Event_No]],Event_Master[[#All],[Guest_Count]],,0)</f>
        <v>900</v>
      </c>
      <c r="G2161" cm="1">
        <f t="array" ref="G2161">Food_Orders[[#This Row],[Quantity_Orderd]]*_xlfn.XLOOKUP(Food_Orders[[#This Row],[Food_ID]],Food_Catalog[[#All],[Food_ID]],Food_Catalog[[#All],[Price_Per_Unit]],0,0)</f>
        <v>31500</v>
      </c>
      <c r="H2161" cm="1">
        <f t="array" ref="H2161">Food_Orders[[#This Row],[Quantity_Orderd]]*_xlfn.XLOOKUP(Food_Orders[[#This Row],[Food_ID]],Food_Catalog[[#All],[Food_ID]],Food_Catalog[[#All],[Client_Price_Per_Unit]],0,0)</f>
        <v>37800</v>
      </c>
      <c r="I2161">
        <f>Food_Orders[[#This Row],[Client_Price]]-Food_Orders[[#This Row],[Cost]]</f>
        <v>6300</v>
      </c>
    </row>
    <row r="2162" spans="1:9" x14ac:dyDescent="0.25">
      <c r="A2162">
        <v>93</v>
      </c>
      <c r="B2162" t="s">
        <v>7</v>
      </c>
      <c r="C2162" t="s">
        <v>8</v>
      </c>
      <c r="D2162" t="s">
        <v>9</v>
      </c>
      <c r="E2162" t="s">
        <v>10</v>
      </c>
      <c r="F2162" cm="1">
        <f t="array" ref="F2162">_xlfn.XLOOKUP(Food_Orders[[#This Row],[Event_No]],Event_Master[[#All],[Event_No]],Event_Master[[#All],[Guest_Count]],,0)</f>
        <v>900</v>
      </c>
      <c r="G2162" cm="1">
        <f t="array" ref="G2162">Food_Orders[[#This Row],[Quantity_Orderd]]*_xlfn.XLOOKUP(Food_Orders[[#This Row],[Food_ID]],Food_Catalog[[#All],[Food_ID]],Food_Catalog[[#All],[Price_Per_Unit]],0,0)</f>
        <v>22500</v>
      </c>
      <c r="H2162" cm="1">
        <f t="array" ref="H2162">Food_Orders[[#This Row],[Quantity_Orderd]]*_xlfn.XLOOKUP(Food_Orders[[#This Row],[Food_ID]],Food_Catalog[[#All],[Food_ID]],Food_Catalog[[#All],[Client_Price_Per_Unit]],0,0)</f>
        <v>27000</v>
      </c>
      <c r="I2162">
        <f>Food_Orders[[#This Row],[Client_Price]]-Food_Orders[[#This Row],[Cost]]</f>
        <v>4500</v>
      </c>
    </row>
    <row r="2163" spans="1:9" x14ac:dyDescent="0.25">
      <c r="A2163">
        <v>93</v>
      </c>
      <c r="B2163" t="s">
        <v>13</v>
      </c>
      <c r="C2163" t="s">
        <v>8</v>
      </c>
      <c r="D2163" t="s">
        <v>14</v>
      </c>
      <c r="E2163" t="s">
        <v>10</v>
      </c>
      <c r="F2163" cm="1">
        <f t="array" ref="F2163">_xlfn.XLOOKUP(Food_Orders[[#This Row],[Event_No]],Event_Master[[#All],[Event_No]],Event_Master[[#All],[Guest_Count]],,0)</f>
        <v>900</v>
      </c>
      <c r="G2163" cm="1">
        <f t="array" ref="G2163">Food_Orders[[#This Row],[Quantity_Orderd]]*_xlfn.XLOOKUP(Food_Orders[[#This Row],[Food_ID]],Food_Catalog[[#All],[Food_ID]],Food_Catalog[[#All],[Price_Per_Unit]],0,0)</f>
        <v>31500</v>
      </c>
      <c r="H2163" cm="1">
        <f t="array" ref="H2163">Food_Orders[[#This Row],[Quantity_Orderd]]*_xlfn.XLOOKUP(Food_Orders[[#This Row],[Food_ID]],Food_Catalog[[#All],[Food_ID]],Food_Catalog[[#All],[Client_Price_Per_Unit]],0,0)</f>
        <v>37800</v>
      </c>
      <c r="I2163">
        <f>Food_Orders[[#This Row],[Client_Price]]-Food_Orders[[#This Row],[Cost]]</f>
        <v>6300</v>
      </c>
    </row>
    <row r="2164" spans="1:9" x14ac:dyDescent="0.25">
      <c r="A2164">
        <v>93</v>
      </c>
      <c r="B2164" t="s">
        <v>25</v>
      </c>
      <c r="C2164" t="s">
        <v>8</v>
      </c>
      <c r="D2164" t="s">
        <v>26</v>
      </c>
      <c r="E2164" t="s">
        <v>10</v>
      </c>
      <c r="F2164" cm="1">
        <f t="array" ref="F2164">_xlfn.XLOOKUP(Food_Orders[[#This Row],[Event_No]],Event_Master[[#All],[Event_No]],Event_Master[[#All],[Guest_Count]],,0)</f>
        <v>900</v>
      </c>
      <c r="G2164" cm="1">
        <f t="array" ref="G2164">Food_Orders[[#This Row],[Quantity_Orderd]]*_xlfn.XLOOKUP(Food_Orders[[#This Row],[Food_ID]],Food_Catalog[[#All],[Food_ID]],Food_Catalog[[#All],[Price_Per_Unit]],0,0)</f>
        <v>27000</v>
      </c>
      <c r="H2164" cm="1">
        <f t="array" ref="H2164">Food_Orders[[#This Row],[Quantity_Orderd]]*_xlfn.XLOOKUP(Food_Orders[[#This Row],[Food_ID]],Food_Catalog[[#All],[Food_ID]],Food_Catalog[[#All],[Client_Price_Per_Unit]],0,0)</f>
        <v>32400</v>
      </c>
      <c r="I2164">
        <f>Food_Orders[[#This Row],[Client_Price]]-Food_Orders[[#This Row],[Cost]]</f>
        <v>5400</v>
      </c>
    </row>
    <row r="2165" spans="1:9" x14ac:dyDescent="0.25">
      <c r="A2165">
        <v>93</v>
      </c>
      <c r="B2165" t="s">
        <v>15</v>
      </c>
      <c r="C2165" t="s">
        <v>8</v>
      </c>
      <c r="D2165" t="s">
        <v>16</v>
      </c>
      <c r="E2165" t="s">
        <v>10</v>
      </c>
      <c r="F2165" cm="1">
        <f t="array" ref="F2165">_xlfn.XLOOKUP(Food_Orders[[#This Row],[Event_No]],Event_Master[[#All],[Event_No]],Event_Master[[#All],[Guest_Count]],,0)</f>
        <v>900</v>
      </c>
      <c r="G2165" cm="1">
        <f t="array" ref="G2165">Food_Orders[[#This Row],[Quantity_Orderd]]*_xlfn.XLOOKUP(Food_Orders[[#This Row],[Food_ID]],Food_Catalog[[#All],[Food_ID]],Food_Catalog[[#All],[Price_Per_Unit]],0,0)</f>
        <v>27000</v>
      </c>
      <c r="H2165" cm="1">
        <f t="array" ref="H2165">Food_Orders[[#This Row],[Quantity_Orderd]]*_xlfn.XLOOKUP(Food_Orders[[#This Row],[Food_ID]],Food_Catalog[[#All],[Food_ID]],Food_Catalog[[#All],[Client_Price_Per_Unit]],0,0)</f>
        <v>32400</v>
      </c>
      <c r="I2165">
        <f>Food_Orders[[#This Row],[Client_Price]]-Food_Orders[[#This Row],[Cost]]</f>
        <v>5400</v>
      </c>
    </row>
    <row r="2166" spans="1:9" x14ac:dyDescent="0.25">
      <c r="A2166">
        <v>93</v>
      </c>
      <c r="B2166" t="s">
        <v>35</v>
      </c>
      <c r="C2166" t="s">
        <v>8</v>
      </c>
      <c r="D2166" t="s">
        <v>36</v>
      </c>
      <c r="E2166" t="s">
        <v>10</v>
      </c>
      <c r="F2166" cm="1">
        <f t="array" ref="F2166">_xlfn.XLOOKUP(Food_Orders[[#This Row],[Event_No]],Event_Master[[#All],[Event_No]],Event_Master[[#All],[Guest_Count]],,0)</f>
        <v>900</v>
      </c>
      <c r="G2166" cm="1">
        <f t="array" ref="G2166">Food_Orders[[#This Row],[Quantity_Orderd]]*_xlfn.XLOOKUP(Food_Orders[[#This Row],[Food_ID]],Food_Catalog[[#All],[Food_ID]],Food_Catalog[[#All],[Price_Per_Unit]],0,0)</f>
        <v>27000</v>
      </c>
      <c r="H2166" cm="1">
        <f t="array" ref="H2166">Food_Orders[[#This Row],[Quantity_Orderd]]*_xlfn.XLOOKUP(Food_Orders[[#This Row],[Food_ID]],Food_Catalog[[#All],[Food_ID]],Food_Catalog[[#All],[Client_Price_Per_Unit]],0,0)</f>
        <v>32400</v>
      </c>
      <c r="I2166">
        <f>Food_Orders[[#This Row],[Client_Price]]-Food_Orders[[#This Row],[Cost]]</f>
        <v>5400</v>
      </c>
    </row>
    <row r="2167" spans="1:9" x14ac:dyDescent="0.25">
      <c r="A2167">
        <v>93</v>
      </c>
      <c r="B2167" t="s">
        <v>27</v>
      </c>
      <c r="C2167" t="s">
        <v>8</v>
      </c>
      <c r="D2167" t="s">
        <v>28</v>
      </c>
      <c r="E2167" t="s">
        <v>10</v>
      </c>
      <c r="F2167" cm="1">
        <f t="array" ref="F2167">_xlfn.XLOOKUP(Food_Orders[[#This Row],[Event_No]],Event_Master[[#All],[Event_No]],Event_Master[[#All],[Guest_Count]],,0)</f>
        <v>900</v>
      </c>
      <c r="G2167" cm="1">
        <f t="array" ref="G2167">Food_Orders[[#This Row],[Quantity_Orderd]]*_xlfn.XLOOKUP(Food_Orders[[#This Row],[Food_ID]],Food_Catalog[[#All],[Food_ID]],Food_Catalog[[#All],[Price_Per_Unit]],0,0)</f>
        <v>36000</v>
      </c>
      <c r="H2167" cm="1">
        <f t="array" ref="H2167">Food_Orders[[#This Row],[Quantity_Orderd]]*_xlfn.XLOOKUP(Food_Orders[[#This Row],[Food_ID]],Food_Catalog[[#All],[Food_ID]],Food_Catalog[[#All],[Client_Price_Per_Unit]],0,0)</f>
        <v>43200</v>
      </c>
      <c r="I2167">
        <f>Food_Orders[[#This Row],[Client_Price]]-Food_Orders[[#This Row],[Cost]]</f>
        <v>7200</v>
      </c>
    </row>
    <row r="2168" spans="1:9" x14ac:dyDescent="0.25">
      <c r="A2168">
        <v>93</v>
      </c>
      <c r="B2168" t="s">
        <v>31</v>
      </c>
      <c r="C2168" t="s">
        <v>8</v>
      </c>
      <c r="D2168" t="s">
        <v>32</v>
      </c>
      <c r="E2168" t="s">
        <v>10</v>
      </c>
      <c r="F2168" cm="1">
        <f t="array" ref="F2168">_xlfn.XLOOKUP(Food_Orders[[#This Row],[Event_No]],Event_Master[[#All],[Event_No]],Event_Master[[#All],[Guest_Count]],,0)</f>
        <v>900</v>
      </c>
      <c r="G2168" cm="1">
        <f t="array" ref="G2168">Food_Orders[[#This Row],[Quantity_Orderd]]*_xlfn.XLOOKUP(Food_Orders[[#This Row],[Food_ID]],Food_Catalog[[#All],[Food_ID]],Food_Catalog[[#All],[Price_Per_Unit]],0,0)</f>
        <v>27000</v>
      </c>
      <c r="H2168" cm="1">
        <f t="array" ref="H2168">Food_Orders[[#This Row],[Quantity_Orderd]]*_xlfn.XLOOKUP(Food_Orders[[#This Row],[Food_ID]],Food_Catalog[[#All],[Food_ID]],Food_Catalog[[#All],[Client_Price_Per_Unit]],0,0)</f>
        <v>32400</v>
      </c>
      <c r="I2168">
        <f>Food_Orders[[#This Row],[Client_Price]]-Food_Orders[[#This Row],[Cost]]</f>
        <v>5400</v>
      </c>
    </row>
    <row r="2169" spans="1:9" x14ac:dyDescent="0.25">
      <c r="A2169">
        <v>93</v>
      </c>
      <c r="B2169" t="s">
        <v>33</v>
      </c>
      <c r="C2169" t="s">
        <v>8</v>
      </c>
      <c r="D2169" t="s">
        <v>34</v>
      </c>
      <c r="E2169" t="s">
        <v>10</v>
      </c>
      <c r="F2169" cm="1">
        <f t="array" ref="F2169">_xlfn.XLOOKUP(Food_Orders[[#This Row],[Event_No]],Event_Master[[#All],[Event_No]],Event_Master[[#All],[Guest_Count]],,0)</f>
        <v>900</v>
      </c>
      <c r="G2169" cm="1">
        <f t="array" ref="G2169">Food_Orders[[#This Row],[Quantity_Orderd]]*_xlfn.XLOOKUP(Food_Orders[[#This Row],[Food_ID]],Food_Catalog[[#All],[Food_ID]],Food_Catalog[[#All],[Price_Per_Unit]],0,0)</f>
        <v>27000</v>
      </c>
      <c r="H2169" cm="1">
        <f t="array" ref="H2169">Food_Orders[[#This Row],[Quantity_Orderd]]*_xlfn.XLOOKUP(Food_Orders[[#This Row],[Food_ID]],Food_Catalog[[#All],[Food_ID]],Food_Catalog[[#All],[Client_Price_Per_Unit]],0,0)</f>
        <v>32400</v>
      </c>
      <c r="I2169">
        <f>Food_Orders[[#This Row],[Client_Price]]-Food_Orders[[#This Row],[Cost]]</f>
        <v>5400</v>
      </c>
    </row>
    <row r="2170" spans="1:9" x14ac:dyDescent="0.25">
      <c r="A2170">
        <v>93</v>
      </c>
      <c r="B2170" t="s">
        <v>17</v>
      </c>
      <c r="C2170" t="s">
        <v>8</v>
      </c>
      <c r="D2170" t="s">
        <v>18</v>
      </c>
      <c r="E2170" t="s">
        <v>10</v>
      </c>
      <c r="F2170" cm="1">
        <f t="array" ref="F2170">_xlfn.XLOOKUP(Food_Orders[[#This Row],[Event_No]],Event_Master[[#All],[Event_No]],Event_Master[[#All],[Guest_Count]],,0)</f>
        <v>900</v>
      </c>
      <c r="G2170" cm="1">
        <f t="array" ref="G2170">Food_Orders[[#This Row],[Quantity_Orderd]]*_xlfn.XLOOKUP(Food_Orders[[#This Row],[Food_ID]],Food_Catalog[[#All],[Food_ID]],Food_Catalog[[#All],[Price_Per_Unit]],0,0)</f>
        <v>36000</v>
      </c>
      <c r="H2170" cm="1">
        <f t="array" ref="H2170">Food_Orders[[#This Row],[Quantity_Orderd]]*_xlfn.XLOOKUP(Food_Orders[[#This Row],[Food_ID]],Food_Catalog[[#All],[Food_ID]],Food_Catalog[[#All],[Client_Price_Per_Unit]],0,0)</f>
        <v>43200</v>
      </c>
      <c r="I2170">
        <f>Food_Orders[[#This Row],[Client_Price]]-Food_Orders[[#This Row],[Cost]]</f>
        <v>7200</v>
      </c>
    </row>
    <row r="2171" spans="1:9" x14ac:dyDescent="0.25">
      <c r="A2171">
        <v>93</v>
      </c>
      <c r="B2171" t="s">
        <v>21</v>
      </c>
      <c r="C2171" t="s">
        <v>8</v>
      </c>
      <c r="D2171" t="s">
        <v>22</v>
      </c>
      <c r="E2171" t="s">
        <v>10</v>
      </c>
      <c r="F2171" cm="1">
        <f t="array" ref="F2171">_xlfn.XLOOKUP(Food_Orders[[#This Row],[Event_No]],Event_Master[[#All],[Event_No]],Event_Master[[#All],[Guest_Count]],,0)</f>
        <v>900</v>
      </c>
      <c r="G2171" cm="1">
        <f t="array" ref="G2171">Food_Orders[[#This Row],[Quantity_Orderd]]*_xlfn.XLOOKUP(Food_Orders[[#This Row],[Food_ID]],Food_Catalog[[#All],[Food_ID]],Food_Catalog[[#All],[Price_Per_Unit]],0,0)</f>
        <v>31500</v>
      </c>
      <c r="H2171" cm="1">
        <f t="array" ref="H2171">Food_Orders[[#This Row],[Quantity_Orderd]]*_xlfn.XLOOKUP(Food_Orders[[#This Row],[Food_ID]],Food_Catalog[[#All],[Food_ID]],Food_Catalog[[#All],[Client_Price_Per_Unit]],0,0)</f>
        <v>37800</v>
      </c>
      <c r="I2171">
        <f>Food_Orders[[#This Row],[Client_Price]]-Food_Orders[[#This Row],[Cost]]</f>
        <v>6300</v>
      </c>
    </row>
    <row r="2172" spans="1:9" x14ac:dyDescent="0.25">
      <c r="A2172">
        <v>93</v>
      </c>
      <c r="B2172" t="s">
        <v>19</v>
      </c>
      <c r="C2172" t="s">
        <v>8</v>
      </c>
      <c r="D2172" t="s">
        <v>20</v>
      </c>
      <c r="E2172" t="s">
        <v>10</v>
      </c>
      <c r="F2172" cm="1">
        <f t="array" ref="F2172">_xlfn.XLOOKUP(Food_Orders[[#This Row],[Event_No]],Event_Master[[#All],[Event_No]],Event_Master[[#All],[Guest_Count]],,0)</f>
        <v>900</v>
      </c>
      <c r="G2172" cm="1">
        <f t="array" ref="G2172">Food_Orders[[#This Row],[Quantity_Orderd]]*_xlfn.XLOOKUP(Food_Orders[[#This Row],[Food_ID]],Food_Catalog[[#All],[Food_ID]],Food_Catalog[[#All],[Price_Per_Unit]],0,0)</f>
        <v>31500</v>
      </c>
      <c r="H2172" cm="1">
        <f t="array" ref="H2172">Food_Orders[[#This Row],[Quantity_Orderd]]*_xlfn.XLOOKUP(Food_Orders[[#This Row],[Food_ID]],Food_Catalog[[#All],[Food_ID]],Food_Catalog[[#All],[Client_Price_Per_Unit]],0,0)</f>
        <v>37800</v>
      </c>
      <c r="I2172">
        <f>Food_Orders[[#This Row],[Client_Price]]-Food_Orders[[#This Row],[Cost]]</f>
        <v>6300</v>
      </c>
    </row>
    <row r="2173" spans="1:9" x14ac:dyDescent="0.25">
      <c r="A2173">
        <v>93</v>
      </c>
      <c r="B2173" t="s">
        <v>29</v>
      </c>
      <c r="C2173" t="s">
        <v>8</v>
      </c>
      <c r="D2173" t="s">
        <v>30</v>
      </c>
      <c r="E2173" t="s">
        <v>10</v>
      </c>
      <c r="F2173" cm="1">
        <f t="array" ref="F2173">_xlfn.XLOOKUP(Food_Orders[[#This Row],[Event_No]],Event_Master[[#All],[Event_No]],Event_Master[[#All],[Guest_Count]],,0)</f>
        <v>900</v>
      </c>
      <c r="G2173" cm="1">
        <f t="array" ref="G2173">Food_Orders[[#This Row],[Quantity_Orderd]]*_xlfn.XLOOKUP(Food_Orders[[#This Row],[Food_ID]],Food_Catalog[[#All],[Food_ID]],Food_Catalog[[#All],[Price_Per_Unit]],0,0)</f>
        <v>27000</v>
      </c>
      <c r="H2173" cm="1">
        <f t="array" ref="H2173">Food_Orders[[#This Row],[Quantity_Orderd]]*_xlfn.XLOOKUP(Food_Orders[[#This Row],[Food_ID]],Food_Catalog[[#All],[Food_ID]],Food_Catalog[[#All],[Client_Price_Per_Unit]],0,0)</f>
        <v>32400</v>
      </c>
      <c r="I2173">
        <f>Food_Orders[[#This Row],[Client_Price]]-Food_Orders[[#This Row],[Cost]]</f>
        <v>5400</v>
      </c>
    </row>
    <row r="2174" spans="1:9" x14ac:dyDescent="0.25">
      <c r="A2174">
        <v>93</v>
      </c>
      <c r="B2174" t="s">
        <v>37</v>
      </c>
      <c r="C2174" t="s">
        <v>8</v>
      </c>
      <c r="D2174" t="s">
        <v>38</v>
      </c>
      <c r="E2174" t="s">
        <v>10</v>
      </c>
      <c r="F2174" cm="1">
        <f t="array" ref="F2174">_xlfn.XLOOKUP(Food_Orders[[#This Row],[Event_No]],Event_Master[[#All],[Event_No]],Event_Master[[#All],[Guest_Count]],,0)</f>
        <v>900</v>
      </c>
      <c r="G2174" cm="1">
        <f t="array" ref="G2174">Food_Orders[[#This Row],[Quantity_Orderd]]*_xlfn.XLOOKUP(Food_Orders[[#This Row],[Food_ID]],Food_Catalog[[#All],[Food_ID]],Food_Catalog[[#All],[Price_Per_Unit]],0,0)</f>
        <v>22500</v>
      </c>
      <c r="H2174" cm="1">
        <f t="array" ref="H2174">Food_Orders[[#This Row],[Quantity_Orderd]]*_xlfn.XLOOKUP(Food_Orders[[#This Row],[Food_ID]],Food_Catalog[[#All],[Food_ID]],Food_Catalog[[#All],[Client_Price_Per_Unit]],0,0)</f>
        <v>27000</v>
      </c>
      <c r="I2174">
        <f>Food_Orders[[#This Row],[Client_Price]]-Food_Orders[[#This Row],[Cost]]</f>
        <v>4500</v>
      </c>
    </row>
    <row r="2175" spans="1:9" x14ac:dyDescent="0.25">
      <c r="A2175">
        <v>93</v>
      </c>
      <c r="B2175" t="s">
        <v>39</v>
      </c>
      <c r="C2175" t="s">
        <v>40</v>
      </c>
      <c r="D2175" t="s">
        <v>41</v>
      </c>
      <c r="E2175" t="s">
        <v>10</v>
      </c>
      <c r="F2175" cm="1">
        <f t="array" ref="F2175">_xlfn.XLOOKUP(Food_Orders[[#This Row],[Event_No]],Event_Master[[#All],[Event_No]],Event_Master[[#All],[Guest_Count]],,0)</f>
        <v>900</v>
      </c>
      <c r="G2175" cm="1">
        <f t="array" ref="G2175">Food_Orders[[#This Row],[Quantity_Orderd]]*_xlfn.XLOOKUP(Food_Orders[[#This Row],[Food_ID]],Food_Catalog[[#All],[Food_ID]],Food_Catalog[[#All],[Price_Per_Unit]],0,0)</f>
        <v>54000</v>
      </c>
      <c r="H2175" cm="1">
        <f t="array" ref="H2175">Food_Orders[[#This Row],[Quantity_Orderd]]*_xlfn.XLOOKUP(Food_Orders[[#This Row],[Food_ID]],Food_Catalog[[#All],[Food_ID]],Food_Catalog[[#All],[Client_Price_Per_Unit]],0,0)</f>
        <v>64800</v>
      </c>
      <c r="I2175">
        <f>Food_Orders[[#This Row],[Client_Price]]-Food_Orders[[#This Row],[Cost]]</f>
        <v>10800</v>
      </c>
    </row>
    <row r="2176" spans="1:9" x14ac:dyDescent="0.25">
      <c r="A2176">
        <v>93</v>
      </c>
      <c r="B2176" t="s">
        <v>42</v>
      </c>
      <c r="C2176" t="s">
        <v>40</v>
      </c>
      <c r="D2176" t="s">
        <v>43</v>
      </c>
      <c r="E2176" t="s">
        <v>10</v>
      </c>
      <c r="F2176" cm="1">
        <f t="array" ref="F2176">_xlfn.XLOOKUP(Food_Orders[[#This Row],[Event_No]],Event_Master[[#All],[Event_No]],Event_Master[[#All],[Guest_Count]],,0)</f>
        <v>900</v>
      </c>
      <c r="G2176" cm="1">
        <f t="array" ref="G2176">Food_Orders[[#This Row],[Quantity_Orderd]]*_xlfn.XLOOKUP(Food_Orders[[#This Row],[Food_ID]],Food_Catalog[[#All],[Food_ID]],Food_Catalog[[#All],[Price_Per_Unit]],0,0)</f>
        <v>63000</v>
      </c>
      <c r="H2176" cm="1">
        <f t="array" ref="H2176">Food_Orders[[#This Row],[Quantity_Orderd]]*_xlfn.XLOOKUP(Food_Orders[[#This Row],[Food_ID]],Food_Catalog[[#All],[Food_ID]],Food_Catalog[[#All],[Client_Price_Per_Unit]],0,0)</f>
        <v>75600</v>
      </c>
      <c r="I2176">
        <f>Food_Orders[[#This Row],[Client_Price]]-Food_Orders[[#This Row],[Cost]]</f>
        <v>12600</v>
      </c>
    </row>
    <row r="2177" spans="1:9" x14ac:dyDescent="0.25">
      <c r="A2177">
        <v>93</v>
      </c>
      <c r="B2177" t="s">
        <v>46</v>
      </c>
      <c r="C2177" t="s">
        <v>40</v>
      </c>
      <c r="D2177" t="s">
        <v>47</v>
      </c>
      <c r="E2177" t="s">
        <v>10</v>
      </c>
      <c r="F2177" cm="1">
        <f t="array" ref="F2177">_xlfn.XLOOKUP(Food_Orders[[#This Row],[Event_No]],Event_Master[[#All],[Event_No]],Event_Master[[#All],[Guest_Count]],,0)</f>
        <v>900</v>
      </c>
      <c r="G2177" cm="1">
        <f t="array" ref="G2177">Food_Orders[[#This Row],[Quantity_Orderd]]*_xlfn.XLOOKUP(Food_Orders[[#This Row],[Food_ID]],Food_Catalog[[#All],[Food_ID]],Food_Catalog[[#All],[Price_Per_Unit]],0,0)</f>
        <v>81000</v>
      </c>
      <c r="H2177" cm="1">
        <f t="array" ref="H2177">Food_Orders[[#This Row],[Quantity_Orderd]]*_xlfn.XLOOKUP(Food_Orders[[#This Row],[Food_ID]],Food_Catalog[[#All],[Food_ID]],Food_Catalog[[#All],[Client_Price_Per_Unit]],0,0)</f>
        <v>97200</v>
      </c>
      <c r="I2177">
        <f>Food_Orders[[#This Row],[Client_Price]]-Food_Orders[[#This Row],[Cost]]</f>
        <v>16200</v>
      </c>
    </row>
    <row r="2178" spans="1:9" x14ac:dyDescent="0.25">
      <c r="A2178">
        <v>93</v>
      </c>
      <c r="B2178" t="s">
        <v>48</v>
      </c>
      <c r="C2178" t="s">
        <v>40</v>
      </c>
      <c r="D2178" t="s">
        <v>49</v>
      </c>
      <c r="E2178" t="s">
        <v>10</v>
      </c>
      <c r="F2178" cm="1">
        <f t="array" ref="F2178">_xlfn.XLOOKUP(Food_Orders[[#This Row],[Event_No]],Event_Master[[#All],[Event_No]],Event_Master[[#All],[Guest_Count]],,0)</f>
        <v>900</v>
      </c>
      <c r="G2178" cm="1">
        <f t="array" ref="G2178">Food_Orders[[#This Row],[Quantity_Orderd]]*_xlfn.XLOOKUP(Food_Orders[[#This Row],[Food_ID]],Food_Catalog[[#All],[Food_ID]],Food_Catalog[[#All],[Price_Per_Unit]],0,0)</f>
        <v>90000</v>
      </c>
      <c r="H2178" cm="1">
        <f t="array" ref="H2178">Food_Orders[[#This Row],[Quantity_Orderd]]*_xlfn.XLOOKUP(Food_Orders[[#This Row],[Food_ID]],Food_Catalog[[#All],[Food_ID]],Food_Catalog[[#All],[Client_Price_Per_Unit]],0,0)</f>
        <v>108000</v>
      </c>
      <c r="I2178">
        <f>Food_Orders[[#This Row],[Client_Price]]-Food_Orders[[#This Row],[Cost]]</f>
        <v>18000</v>
      </c>
    </row>
    <row r="2179" spans="1:9" x14ac:dyDescent="0.25">
      <c r="A2179">
        <v>93</v>
      </c>
      <c r="B2179" t="s">
        <v>50</v>
      </c>
      <c r="C2179" t="s">
        <v>40</v>
      </c>
      <c r="D2179" t="s">
        <v>51</v>
      </c>
      <c r="E2179" t="s">
        <v>10</v>
      </c>
      <c r="F2179" cm="1">
        <f t="array" ref="F2179">_xlfn.XLOOKUP(Food_Orders[[#This Row],[Event_No]],Event_Master[[#All],[Event_No]],Event_Master[[#All],[Guest_Count]],,0)</f>
        <v>900</v>
      </c>
      <c r="G2179" cm="1">
        <f t="array" ref="G2179">Food_Orders[[#This Row],[Quantity_Orderd]]*_xlfn.XLOOKUP(Food_Orders[[#This Row],[Food_ID]],Food_Catalog[[#All],[Food_ID]],Food_Catalog[[#All],[Price_Per_Unit]],0,0)</f>
        <v>72000</v>
      </c>
      <c r="H2179" cm="1">
        <f t="array" ref="H2179">Food_Orders[[#This Row],[Quantity_Orderd]]*_xlfn.XLOOKUP(Food_Orders[[#This Row],[Food_ID]],Food_Catalog[[#All],[Food_ID]],Food_Catalog[[#All],[Client_Price_Per_Unit]],0,0)</f>
        <v>86400</v>
      </c>
      <c r="I2179">
        <f>Food_Orders[[#This Row],[Client_Price]]-Food_Orders[[#This Row],[Cost]]</f>
        <v>14400</v>
      </c>
    </row>
    <row r="2180" spans="1:9" x14ac:dyDescent="0.25">
      <c r="A2180">
        <v>93</v>
      </c>
      <c r="B2180" t="s">
        <v>52</v>
      </c>
      <c r="C2180" t="s">
        <v>40</v>
      </c>
      <c r="D2180" t="s">
        <v>53</v>
      </c>
      <c r="E2180" t="s">
        <v>10</v>
      </c>
      <c r="F2180" cm="1">
        <f t="array" ref="F2180">_xlfn.XLOOKUP(Food_Orders[[#This Row],[Event_No]],Event_Master[[#All],[Event_No]],Event_Master[[#All],[Guest_Count]],,0)</f>
        <v>900</v>
      </c>
      <c r="G2180" cm="1">
        <f t="array" ref="G2180">Food_Orders[[#This Row],[Quantity_Orderd]]*_xlfn.XLOOKUP(Food_Orders[[#This Row],[Food_ID]],Food_Catalog[[#All],[Food_ID]],Food_Catalog[[#All],[Price_Per_Unit]],0,0)</f>
        <v>90000</v>
      </c>
      <c r="H2180" cm="1">
        <f t="array" ref="H2180">Food_Orders[[#This Row],[Quantity_Orderd]]*_xlfn.XLOOKUP(Food_Orders[[#This Row],[Food_ID]],Food_Catalog[[#All],[Food_ID]],Food_Catalog[[#All],[Client_Price_Per_Unit]],0,0)</f>
        <v>108000</v>
      </c>
      <c r="I2180">
        <f>Food_Orders[[#This Row],[Client_Price]]-Food_Orders[[#This Row],[Cost]]</f>
        <v>18000</v>
      </c>
    </row>
    <row r="2181" spans="1:9" x14ac:dyDescent="0.25">
      <c r="A2181">
        <v>93</v>
      </c>
      <c r="B2181" t="s">
        <v>54</v>
      </c>
      <c r="C2181" t="s">
        <v>40</v>
      </c>
      <c r="D2181" t="s">
        <v>55</v>
      </c>
      <c r="E2181" t="s">
        <v>10</v>
      </c>
      <c r="F2181" cm="1">
        <f t="array" ref="F2181">_xlfn.XLOOKUP(Food_Orders[[#This Row],[Event_No]],Event_Master[[#All],[Event_No]],Event_Master[[#All],[Guest_Count]],,0)</f>
        <v>900</v>
      </c>
      <c r="G2181" cm="1">
        <f t="array" ref="G2181">Food_Orders[[#This Row],[Quantity_Orderd]]*_xlfn.XLOOKUP(Food_Orders[[#This Row],[Food_ID]],Food_Catalog[[#All],[Food_ID]],Food_Catalog[[#All],[Price_Per_Unit]],0,0)</f>
        <v>36000</v>
      </c>
      <c r="H2181" cm="1">
        <f t="array" ref="H2181">Food_Orders[[#This Row],[Quantity_Orderd]]*_xlfn.XLOOKUP(Food_Orders[[#This Row],[Food_ID]],Food_Catalog[[#All],[Food_ID]],Food_Catalog[[#All],[Client_Price_Per_Unit]],0,0)</f>
        <v>43200</v>
      </c>
      <c r="I2181">
        <f>Food_Orders[[#This Row],[Client_Price]]-Food_Orders[[#This Row],[Cost]]</f>
        <v>7200</v>
      </c>
    </row>
    <row r="2182" spans="1:9" x14ac:dyDescent="0.25">
      <c r="A2182">
        <v>93</v>
      </c>
      <c r="B2182" t="s">
        <v>58</v>
      </c>
      <c r="C2182" t="s">
        <v>40</v>
      </c>
      <c r="D2182" t="s">
        <v>59</v>
      </c>
      <c r="E2182" t="s">
        <v>10</v>
      </c>
      <c r="F2182" cm="1">
        <f t="array" ref="F2182">_xlfn.XLOOKUP(Food_Orders[[#This Row],[Event_No]],Event_Master[[#All],[Event_No]],Event_Master[[#All],[Guest_Count]],,0)</f>
        <v>900</v>
      </c>
      <c r="G2182" cm="1">
        <f t="array" ref="G2182">Food_Orders[[#This Row],[Quantity_Orderd]]*_xlfn.XLOOKUP(Food_Orders[[#This Row],[Food_ID]],Food_Catalog[[#All],[Food_ID]],Food_Catalog[[#All],[Price_Per_Unit]],0,0)</f>
        <v>81000</v>
      </c>
      <c r="H2182" cm="1">
        <f t="array" ref="H2182">Food_Orders[[#This Row],[Quantity_Orderd]]*_xlfn.XLOOKUP(Food_Orders[[#This Row],[Food_ID]],Food_Catalog[[#All],[Food_ID]],Food_Catalog[[#All],[Client_Price_Per_Unit]],0,0)</f>
        <v>97200</v>
      </c>
      <c r="I2182">
        <f>Food_Orders[[#This Row],[Client_Price]]-Food_Orders[[#This Row],[Cost]]</f>
        <v>16200</v>
      </c>
    </row>
    <row r="2183" spans="1:9" x14ac:dyDescent="0.25">
      <c r="A2183">
        <v>93</v>
      </c>
      <c r="B2183" t="s">
        <v>82</v>
      </c>
      <c r="C2183" t="s">
        <v>83</v>
      </c>
      <c r="D2183" t="s">
        <v>84</v>
      </c>
      <c r="E2183" t="s">
        <v>85</v>
      </c>
      <c r="F2183" cm="1">
        <f t="array" ref="F2183">_xlfn.XLOOKUP(Food_Orders[[#This Row],[Event_No]],Event_Master[[#All],[Event_No]],Event_Master[[#All],[Guest_Count]],,0)</f>
        <v>900</v>
      </c>
      <c r="G2183" cm="1">
        <f t="array" ref="G2183">Food_Orders[[#This Row],[Quantity_Orderd]]*_xlfn.XLOOKUP(Food_Orders[[#This Row],[Food_ID]],Food_Catalog[[#All],[Food_ID]],Food_Catalog[[#All],[Price_Per_Unit]],0,0)</f>
        <v>18000</v>
      </c>
      <c r="H2183" cm="1">
        <f t="array" ref="H2183">Food_Orders[[#This Row],[Quantity_Orderd]]*_xlfn.XLOOKUP(Food_Orders[[#This Row],[Food_ID]],Food_Catalog[[#All],[Food_ID]],Food_Catalog[[#All],[Client_Price_Per_Unit]],0,0)</f>
        <v>21600</v>
      </c>
      <c r="I2183">
        <f>Food_Orders[[#This Row],[Client_Price]]-Food_Orders[[#This Row],[Cost]]</f>
        <v>3600</v>
      </c>
    </row>
    <row r="2184" spans="1:9" x14ac:dyDescent="0.25">
      <c r="A2184">
        <v>93</v>
      </c>
      <c r="B2184" t="s">
        <v>86</v>
      </c>
      <c r="C2184" t="s">
        <v>83</v>
      </c>
      <c r="D2184" t="s">
        <v>87</v>
      </c>
      <c r="E2184" t="s">
        <v>85</v>
      </c>
      <c r="F2184" cm="1">
        <f t="array" ref="F2184">_xlfn.XLOOKUP(Food_Orders[[#This Row],[Event_No]],Event_Master[[#All],[Event_No]],Event_Master[[#All],[Guest_Count]],,0)</f>
        <v>900</v>
      </c>
      <c r="G2184" cm="1">
        <f t="array" ref="G2184">Food_Orders[[#This Row],[Quantity_Orderd]]*_xlfn.XLOOKUP(Food_Orders[[#This Row],[Food_ID]],Food_Catalog[[#All],[Food_ID]],Food_Catalog[[#All],[Price_Per_Unit]],0,0)</f>
        <v>18000</v>
      </c>
      <c r="H2184" cm="1">
        <f t="array" ref="H2184">Food_Orders[[#This Row],[Quantity_Orderd]]*_xlfn.XLOOKUP(Food_Orders[[#This Row],[Food_ID]],Food_Catalog[[#All],[Food_ID]],Food_Catalog[[#All],[Client_Price_Per_Unit]],0,0)</f>
        <v>21600</v>
      </c>
      <c r="I2184">
        <f>Food_Orders[[#This Row],[Client_Price]]-Food_Orders[[#This Row],[Cost]]</f>
        <v>3600</v>
      </c>
    </row>
    <row r="2185" spans="1:9" x14ac:dyDescent="0.25">
      <c r="A2185">
        <v>93</v>
      </c>
      <c r="B2185" t="s">
        <v>88</v>
      </c>
      <c r="C2185" t="s">
        <v>83</v>
      </c>
      <c r="D2185" t="s">
        <v>89</v>
      </c>
      <c r="E2185" t="s">
        <v>85</v>
      </c>
      <c r="F2185" cm="1">
        <f t="array" ref="F2185">_xlfn.XLOOKUP(Food_Orders[[#This Row],[Event_No]],Event_Master[[#All],[Event_No]],Event_Master[[#All],[Guest_Count]],,0)</f>
        <v>900</v>
      </c>
      <c r="G2185" cm="1">
        <f t="array" ref="G2185">Food_Orders[[#This Row],[Quantity_Orderd]]*_xlfn.XLOOKUP(Food_Orders[[#This Row],[Food_ID]],Food_Catalog[[#All],[Food_ID]],Food_Catalog[[#All],[Price_Per_Unit]],0,0)</f>
        <v>13500</v>
      </c>
      <c r="H2185" cm="1">
        <f t="array" ref="H2185">Food_Orders[[#This Row],[Quantity_Orderd]]*_xlfn.XLOOKUP(Food_Orders[[#This Row],[Food_ID]],Food_Catalog[[#All],[Food_ID]],Food_Catalog[[#All],[Client_Price_Per_Unit]],0,0)</f>
        <v>16200</v>
      </c>
      <c r="I2185">
        <f>Food_Orders[[#This Row],[Client_Price]]-Food_Orders[[#This Row],[Cost]]</f>
        <v>2700</v>
      </c>
    </row>
    <row r="2186" spans="1:9" x14ac:dyDescent="0.25">
      <c r="A2186">
        <v>93</v>
      </c>
      <c r="B2186" t="s">
        <v>100</v>
      </c>
      <c r="C2186" t="s">
        <v>83</v>
      </c>
      <c r="D2186" t="s">
        <v>101</v>
      </c>
      <c r="E2186" t="s">
        <v>79</v>
      </c>
      <c r="F2186" cm="1">
        <f t="array" ref="F2186">_xlfn.XLOOKUP(Food_Orders[[#This Row],[Event_No]],Event_Master[[#All],[Event_No]],Event_Master[[#All],[Guest_Count]],,0)</f>
        <v>900</v>
      </c>
      <c r="G2186" cm="1">
        <f t="array" ref="G2186">Food_Orders[[#This Row],[Quantity_Orderd]]*_xlfn.XLOOKUP(Food_Orders[[#This Row],[Food_ID]],Food_Catalog[[#All],[Food_ID]],Food_Catalog[[#All],[Price_Per_Unit]],0,0)</f>
        <v>31500</v>
      </c>
      <c r="H2186" cm="1">
        <f t="array" ref="H2186">Food_Orders[[#This Row],[Quantity_Orderd]]*_xlfn.XLOOKUP(Food_Orders[[#This Row],[Food_ID]],Food_Catalog[[#All],[Food_ID]],Food_Catalog[[#All],[Client_Price_Per_Unit]],0,0)</f>
        <v>37800</v>
      </c>
      <c r="I2186">
        <f>Food_Orders[[#This Row],[Client_Price]]-Food_Orders[[#This Row],[Cost]]</f>
        <v>6300</v>
      </c>
    </row>
    <row r="2187" spans="1:9" x14ac:dyDescent="0.25">
      <c r="A2187">
        <v>93</v>
      </c>
      <c r="B2187" t="s">
        <v>96</v>
      </c>
      <c r="C2187" t="s">
        <v>83</v>
      </c>
      <c r="D2187" t="s">
        <v>97</v>
      </c>
      <c r="E2187" t="s">
        <v>79</v>
      </c>
      <c r="F2187" cm="1">
        <f t="array" ref="F2187">_xlfn.XLOOKUP(Food_Orders[[#This Row],[Event_No]],Event_Master[[#All],[Event_No]],Event_Master[[#All],[Guest_Count]],,0)</f>
        <v>900</v>
      </c>
      <c r="G2187" cm="1">
        <f t="array" ref="G2187">Food_Orders[[#This Row],[Quantity_Orderd]]*_xlfn.XLOOKUP(Food_Orders[[#This Row],[Food_ID]],Food_Catalog[[#All],[Food_ID]],Food_Catalog[[#All],[Price_Per_Unit]],0,0)</f>
        <v>27000</v>
      </c>
      <c r="H2187" cm="1">
        <f t="array" ref="H2187">Food_Orders[[#This Row],[Quantity_Orderd]]*_xlfn.XLOOKUP(Food_Orders[[#This Row],[Food_ID]],Food_Catalog[[#All],[Food_ID]],Food_Catalog[[#All],[Client_Price_Per_Unit]],0,0)</f>
        <v>32400</v>
      </c>
      <c r="I2187">
        <f>Food_Orders[[#This Row],[Client_Price]]-Food_Orders[[#This Row],[Cost]]</f>
        <v>5400</v>
      </c>
    </row>
    <row r="2188" spans="1:9" x14ac:dyDescent="0.25">
      <c r="A2188">
        <v>93</v>
      </c>
      <c r="B2188" t="s">
        <v>92</v>
      </c>
      <c r="C2188" t="s">
        <v>83</v>
      </c>
      <c r="D2188" t="s">
        <v>93</v>
      </c>
      <c r="E2188" t="s">
        <v>85</v>
      </c>
      <c r="F2188" cm="1">
        <f t="array" ref="F2188">_xlfn.XLOOKUP(Food_Orders[[#This Row],[Event_No]],Event_Master[[#All],[Event_No]],Event_Master[[#All],[Guest_Count]],,0)</f>
        <v>900</v>
      </c>
      <c r="G2188" cm="1">
        <f t="array" ref="G2188">Food_Orders[[#This Row],[Quantity_Orderd]]*_xlfn.XLOOKUP(Food_Orders[[#This Row],[Food_ID]],Food_Catalog[[#All],[Food_ID]],Food_Catalog[[#All],[Price_Per_Unit]],0,0)</f>
        <v>13500</v>
      </c>
      <c r="H2188" cm="1">
        <f t="array" ref="H2188">Food_Orders[[#This Row],[Quantity_Orderd]]*_xlfn.XLOOKUP(Food_Orders[[#This Row],[Food_ID]],Food_Catalog[[#All],[Food_ID]],Food_Catalog[[#All],[Client_Price_Per_Unit]],0,0)</f>
        <v>16200</v>
      </c>
      <c r="I2188">
        <f>Food_Orders[[#This Row],[Client_Price]]-Food_Orders[[#This Row],[Cost]]</f>
        <v>2700</v>
      </c>
    </row>
    <row r="2189" spans="1:9" x14ac:dyDescent="0.25">
      <c r="A2189">
        <v>93</v>
      </c>
      <c r="B2189" t="s">
        <v>102</v>
      </c>
      <c r="C2189" t="s">
        <v>83</v>
      </c>
      <c r="D2189" t="s">
        <v>103</v>
      </c>
      <c r="E2189" t="s">
        <v>85</v>
      </c>
      <c r="F2189" cm="1">
        <f t="array" ref="F2189">_xlfn.XLOOKUP(Food_Orders[[#This Row],[Event_No]],Event_Master[[#All],[Event_No]],Event_Master[[#All],[Guest_Count]],,0)</f>
        <v>900</v>
      </c>
      <c r="G2189" cm="1">
        <f t="array" ref="G2189">Food_Orders[[#This Row],[Quantity_Orderd]]*_xlfn.XLOOKUP(Food_Orders[[#This Row],[Food_ID]],Food_Catalog[[#All],[Food_ID]],Food_Catalog[[#All],[Price_Per_Unit]],0,0)</f>
        <v>18000</v>
      </c>
      <c r="H2189" cm="1">
        <f t="array" ref="H2189">Food_Orders[[#This Row],[Quantity_Orderd]]*_xlfn.XLOOKUP(Food_Orders[[#This Row],[Food_ID]],Food_Catalog[[#All],[Food_ID]],Food_Catalog[[#All],[Client_Price_Per_Unit]],0,0)</f>
        <v>21600</v>
      </c>
      <c r="I2189">
        <f>Food_Orders[[#This Row],[Client_Price]]-Food_Orders[[#This Row],[Cost]]</f>
        <v>3600</v>
      </c>
    </row>
    <row r="2190" spans="1:9" x14ac:dyDescent="0.25">
      <c r="A2190">
        <v>93</v>
      </c>
      <c r="B2190" t="s">
        <v>98</v>
      </c>
      <c r="C2190" t="s">
        <v>83</v>
      </c>
      <c r="D2190" t="s">
        <v>99</v>
      </c>
      <c r="E2190" t="s">
        <v>85</v>
      </c>
      <c r="F2190" cm="1">
        <f t="array" ref="F2190">_xlfn.XLOOKUP(Food_Orders[[#This Row],[Event_No]],Event_Master[[#All],[Event_No]],Event_Master[[#All],[Guest_Count]],,0)</f>
        <v>900</v>
      </c>
      <c r="G2190" cm="1">
        <f t="array" ref="G2190">Food_Orders[[#This Row],[Quantity_Orderd]]*_xlfn.XLOOKUP(Food_Orders[[#This Row],[Food_ID]],Food_Catalog[[#All],[Food_ID]],Food_Catalog[[#All],[Price_Per_Unit]],0,0)</f>
        <v>13500</v>
      </c>
      <c r="H2190" cm="1">
        <f t="array" ref="H2190">Food_Orders[[#This Row],[Quantity_Orderd]]*_xlfn.XLOOKUP(Food_Orders[[#This Row],[Food_ID]],Food_Catalog[[#All],[Food_ID]],Food_Catalog[[#All],[Client_Price_Per_Unit]],0,0)</f>
        <v>16200</v>
      </c>
      <c r="I2190">
        <f>Food_Orders[[#This Row],[Client_Price]]-Food_Orders[[#This Row],[Cost]]</f>
        <v>2700</v>
      </c>
    </row>
    <row r="2191" spans="1:9" x14ac:dyDescent="0.25">
      <c r="A2191">
        <v>93</v>
      </c>
      <c r="B2191" t="s">
        <v>104</v>
      </c>
      <c r="C2191" t="s">
        <v>105</v>
      </c>
      <c r="D2191" t="s">
        <v>106</v>
      </c>
      <c r="E2191" t="s">
        <v>107</v>
      </c>
      <c r="F2191" cm="1">
        <f t="array" ref="F2191">_xlfn.XLOOKUP(Food_Orders[[#This Row],[Event_No]],Event_Master[[#All],[Event_No]],Event_Master[[#All],[Guest_Count]],,0)</f>
        <v>900</v>
      </c>
      <c r="G2191" cm="1">
        <f t="array" ref="G2191">Food_Orders[[#This Row],[Quantity_Orderd]]*_xlfn.XLOOKUP(Food_Orders[[#This Row],[Food_ID]],Food_Catalog[[#All],[Food_ID]],Food_Catalog[[#All],[Price_Per_Unit]],0,0)</f>
        <v>9000</v>
      </c>
      <c r="H2191" cm="1">
        <f t="array" ref="H2191">Food_Orders[[#This Row],[Quantity_Orderd]]*_xlfn.XLOOKUP(Food_Orders[[#This Row],[Food_ID]],Food_Catalog[[#All],[Food_ID]],Food_Catalog[[#All],[Client_Price_Per_Unit]],0,0)</f>
        <v>10800</v>
      </c>
      <c r="I2191">
        <f>Food_Orders[[#This Row],[Client_Price]]-Food_Orders[[#This Row],[Cost]]</f>
        <v>1800</v>
      </c>
    </row>
    <row r="2192" spans="1:9" x14ac:dyDescent="0.25">
      <c r="A2192">
        <v>93</v>
      </c>
      <c r="B2192" t="s">
        <v>108</v>
      </c>
      <c r="C2192" t="s">
        <v>105</v>
      </c>
      <c r="D2192" t="s">
        <v>109</v>
      </c>
      <c r="E2192" t="s">
        <v>107</v>
      </c>
      <c r="F2192" cm="1">
        <f t="array" ref="F2192">_xlfn.XLOOKUP(Food_Orders[[#This Row],[Event_No]],Event_Master[[#All],[Event_No]],Event_Master[[#All],[Guest_Count]],,0)</f>
        <v>900</v>
      </c>
      <c r="G2192" cm="1">
        <f t="array" ref="G2192">Food_Orders[[#This Row],[Quantity_Orderd]]*_xlfn.XLOOKUP(Food_Orders[[#This Row],[Food_ID]],Food_Catalog[[#All],[Food_ID]],Food_Catalog[[#All],[Price_Per_Unit]],0,0)</f>
        <v>13500</v>
      </c>
      <c r="H2192" cm="1">
        <f t="array" ref="H2192">Food_Orders[[#This Row],[Quantity_Orderd]]*_xlfn.XLOOKUP(Food_Orders[[#This Row],[Food_ID]],Food_Catalog[[#All],[Food_ID]],Food_Catalog[[#All],[Client_Price_Per_Unit]],0,0)</f>
        <v>16200</v>
      </c>
      <c r="I2192">
        <f>Food_Orders[[#This Row],[Client_Price]]-Food_Orders[[#This Row],[Cost]]</f>
        <v>2700</v>
      </c>
    </row>
    <row r="2193" spans="1:9" x14ac:dyDescent="0.25">
      <c r="A2193">
        <v>93</v>
      </c>
      <c r="B2193" t="s">
        <v>115</v>
      </c>
      <c r="C2193" t="s">
        <v>105</v>
      </c>
      <c r="D2193" t="s">
        <v>116</v>
      </c>
      <c r="E2193" t="s">
        <v>117</v>
      </c>
      <c r="F2193" cm="1">
        <f t="array" ref="F2193">_xlfn.XLOOKUP(Food_Orders[[#This Row],[Event_No]],Event_Master[[#All],[Event_No]],Event_Master[[#All],[Guest_Count]],,0)</f>
        <v>900</v>
      </c>
      <c r="G2193" cm="1">
        <f t="array" ref="G2193">Food_Orders[[#This Row],[Quantity_Orderd]]*_xlfn.XLOOKUP(Food_Orders[[#This Row],[Food_ID]],Food_Catalog[[#All],[Food_ID]],Food_Catalog[[#All],[Price_Per_Unit]],0,0)</f>
        <v>22500</v>
      </c>
      <c r="H2193" cm="1">
        <f t="array" ref="H2193">Food_Orders[[#This Row],[Quantity_Orderd]]*_xlfn.XLOOKUP(Food_Orders[[#This Row],[Food_ID]],Food_Catalog[[#All],[Food_ID]],Food_Catalog[[#All],[Client_Price_Per_Unit]],0,0)</f>
        <v>27000</v>
      </c>
      <c r="I2193">
        <f>Food_Orders[[#This Row],[Client_Price]]-Food_Orders[[#This Row],[Cost]]</f>
        <v>4500</v>
      </c>
    </row>
    <row r="2194" spans="1:9" x14ac:dyDescent="0.25">
      <c r="A2194">
        <v>93</v>
      </c>
      <c r="B2194" t="s">
        <v>110</v>
      </c>
      <c r="C2194" t="s">
        <v>105</v>
      </c>
      <c r="D2194" t="s">
        <v>111</v>
      </c>
      <c r="E2194" t="s">
        <v>112</v>
      </c>
      <c r="F2194" cm="1">
        <f t="array" ref="F2194">_xlfn.XLOOKUP(Food_Orders[[#This Row],[Event_No]],Event_Master[[#All],[Event_No]],Event_Master[[#All],[Guest_Count]],,0)</f>
        <v>900</v>
      </c>
      <c r="G2194" cm="1">
        <f t="array" ref="G2194">Food_Orders[[#This Row],[Quantity_Orderd]]*_xlfn.XLOOKUP(Food_Orders[[#This Row],[Food_ID]],Food_Catalog[[#All],[Food_ID]],Food_Catalog[[#All],[Price_Per_Unit]],0,0)</f>
        <v>18000</v>
      </c>
      <c r="H2194" cm="1">
        <f t="array" ref="H2194">Food_Orders[[#This Row],[Quantity_Orderd]]*_xlfn.XLOOKUP(Food_Orders[[#This Row],[Food_ID]],Food_Catalog[[#All],[Food_ID]],Food_Catalog[[#All],[Client_Price_Per_Unit]],0,0)</f>
        <v>21600</v>
      </c>
      <c r="I2194">
        <f>Food_Orders[[#This Row],[Client_Price]]-Food_Orders[[#This Row],[Cost]]</f>
        <v>3600</v>
      </c>
    </row>
    <row r="2195" spans="1:9" x14ac:dyDescent="0.25">
      <c r="A2195">
        <v>93</v>
      </c>
      <c r="B2195" t="s">
        <v>118</v>
      </c>
      <c r="C2195" t="s">
        <v>119</v>
      </c>
      <c r="D2195" t="s">
        <v>120</v>
      </c>
      <c r="E2195" t="s">
        <v>112</v>
      </c>
      <c r="F2195" cm="1">
        <f t="array" ref="F2195">_xlfn.XLOOKUP(Food_Orders[[#This Row],[Event_No]],Event_Master[[#All],[Event_No]],Event_Master[[#All],[Guest_Count]],,0)</f>
        <v>900</v>
      </c>
      <c r="G2195" cm="1">
        <f t="array" ref="G2195">Food_Orders[[#This Row],[Quantity_Orderd]]*_xlfn.XLOOKUP(Food_Orders[[#This Row],[Food_ID]],Food_Catalog[[#All],[Food_ID]],Food_Catalog[[#All],[Price_Per_Unit]],0,0)</f>
        <v>9000</v>
      </c>
      <c r="H2195" cm="1">
        <f t="array" ref="H2195">Food_Orders[[#This Row],[Quantity_Orderd]]*_xlfn.XLOOKUP(Food_Orders[[#This Row],[Food_ID]],Food_Catalog[[#All],[Food_ID]],Food_Catalog[[#All],[Client_Price_Per_Unit]],0,0)</f>
        <v>10800</v>
      </c>
      <c r="I2195">
        <f>Food_Orders[[#This Row],[Client_Price]]-Food_Orders[[#This Row],[Cost]]</f>
        <v>1800</v>
      </c>
    </row>
    <row r="2196" spans="1:9" x14ac:dyDescent="0.25">
      <c r="A2196">
        <v>93</v>
      </c>
      <c r="B2196" t="s">
        <v>129</v>
      </c>
      <c r="C2196" t="s">
        <v>119</v>
      </c>
      <c r="D2196" t="s">
        <v>130</v>
      </c>
      <c r="E2196" t="s">
        <v>112</v>
      </c>
      <c r="F2196" cm="1">
        <f t="array" ref="F2196">_xlfn.XLOOKUP(Food_Orders[[#This Row],[Event_No]],Event_Master[[#All],[Event_No]],Event_Master[[#All],[Guest_Count]],,0)</f>
        <v>900</v>
      </c>
      <c r="G2196" cm="1">
        <f t="array" ref="G2196">Food_Orders[[#This Row],[Quantity_Orderd]]*_xlfn.XLOOKUP(Food_Orders[[#This Row],[Food_ID]],Food_Catalog[[#All],[Food_ID]],Food_Catalog[[#All],[Price_Per_Unit]],0,0)</f>
        <v>9000</v>
      </c>
      <c r="H2196" cm="1">
        <f t="array" ref="H2196">Food_Orders[[#This Row],[Quantity_Orderd]]*_xlfn.XLOOKUP(Food_Orders[[#This Row],[Food_ID]],Food_Catalog[[#All],[Food_ID]],Food_Catalog[[#All],[Client_Price_Per_Unit]],0,0)</f>
        <v>10800</v>
      </c>
      <c r="I2196">
        <f>Food_Orders[[#This Row],[Client_Price]]-Food_Orders[[#This Row],[Cost]]</f>
        <v>1800</v>
      </c>
    </row>
    <row r="2197" spans="1:9" x14ac:dyDescent="0.25">
      <c r="A2197">
        <v>93</v>
      </c>
      <c r="B2197" t="s">
        <v>124</v>
      </c>
      <c r="C2197" t="s">
        <v>119</v>
      </c>
      <c r="D2197" t="s">
        <v>125</v>
      </c>
      <c r="E2197" t="s">
        <v>126</v>
      </c>
      <c r="F2197" cm="1">
        <f t="array" ref="F2197">_xlfn.XLOOKUP(Food_Orders[[#This Row],[Event_No]],Event_Master[[#All],[Event_No]],Event_Master[[#All],[Guest_Count]],,0)</f>
        <v>900</v>
      </c>
      <c r="G2197" cm="1">
        <f t="array" ref="G2197">Food_Orders[[#This Row],[Quantity_Orderd]]*_xlfn.XLOOKUP(Food_Orders[[#This Row],[Food_ID]],Food_Catalog[[#All],[Food_ID]],Food_Catalog[[#All],[Price_Per_Unit]],0,0)</f>
        <v>18000</v>
      </c>
      <c r="H2197" cm="1">
        <f t="array" ref="H2197">Food_Orders[[#This Row],[Quantity_Orderd]]*_xlfn.XLOOKUP(Food_Orders[[#This Row],[Food_ID]],Food_Catalog[[#All],[Food_ID]],Food_Catalog[[#All],[Client_Price_Per_Unit]],0,0)</f>
        <v>21600</v>
      </c>
      <c r="I2197">
        <f>Food_Orders[[#This Row],[Client_Price]]-Food_Orders[[#This Row],[Cost]]</f>
        <v>3600</v>
      </c>
    </row>
    <row r="2198" spans="1:9" x14ac:dyDescent="0.25">
      <c r="A2198">
        <v>93</v>
      </c>
      <c r="B2198" t="s">
        <v>127</v>
      </c>
      <c r="C2198" t="s">
        <v>119</v>
      </c>
      <c r="D2198" t="s">
        <v>128</v>
      </c>
      <c r="E2198" t="s">
        <v>107</v>
      </c>
      <c r="F2198" cm="1">
        <f t="array" ref="F2198">_xlfn.XLOOKUP(Food_Orders[[#This Row],[Event_No]],Event_Master[[#All],[Event_No]],Event_Master[[#All],[Guest_Count]],,0)</f>
        <v>900</v>
      </c>
      <c r="G2198" cm="1">
        <f t="array" ref="G2198">Food_Orders[[#This Row],[Quantity_Orderd]]*_xlfn.XLOOKUP(Food_Orders[[#This Row],[Food_ID]],Food_Catalog[[#All],[Food_ID]],Food_Catalog[[#All],[Price_Per_Unit]],0,0)</f>
        <v>18000</v>
      </c>
      <c r="H2198" cm="1">
        <f t="array" ref="H2198">Food_Orders[[#This Row],[Quantity_Orderd]]*_xlfn.XLOOKUP(Food_Orders[[#This Row],[Food_ID]],Food_Catalog[[#All],[Food_ID]],Food_Catalog[[#All],[Client_Price_Per_Unit]],0,0)</f>
        <v>21600</v>
      </c>
      <c r="I2198">
        <f>Food_Orders[[#This Row],[Client_Price]]-Food_Orders[[#This Row],[Cost]]</f>
        <v>3600</v>
      </c>
    </row>
    <row r="2199" spans="1:9" x14ac:dyDescent="0.25">
      <c r="A2199">
        <v>94</v>
      </c>
      <c r="B2199" t="s">
        <v>63</v>
      </c>
      <c r="C2199" t="s">
        <v>61</v>
      </c>
      <c r="D2199" t="s">
        <v>64</v>
      </c>
      <c r="E2199" t="s">
        <v>10</v>
      </c>
      <c r="F2199" cm="1">
        <f t="array" ref="F2199">_xlfn.XLOOKUP(Food_Orders[[#This Row],[Event_No]],Event_Master[[#All],[Event_No]],Event_Master[[#All],[Guest_Count]],,0)</f>
        <v>550</v>
      </c>
      <c r="G2199" cm="1">
        <f t="array" ref="G2199">Food_Orders[[#This Row],[Quantity_Orderd]]*_xlfn.XLOOKUP(Food_Orders[[#This Row],[Food_ID]],Food_Catalog[[#All],[Food_ID]],Food_Catalog[[#All],[Price_Per_Unit]],0,0)</f>
        <v>16500</v>
      </c>
      <c r="H2199" cm="1">
        <f t="array" ref="H2199">Food_Orders[[#This Row],[Quantity_Orderd]]*_xlfn.XLOOKUP(Food_Orders[[#This Row],[Food_ID]],Food_Catalog[[#All],[Food_ID]],Food_Catalog[[#All],[Client_Price_Per_Unit]],0,0)</f>
        <v>19800</v>
      </c>
      <c r="I2199">
        <f>Food_Orders[[#This Row],[Client_Price]]-Food_Orders[[#This Row],[Cost]]</f>
        <v>3300</v>
      </c>
    </row>
    <row r="2200" spans="1:9" x14ac:dyDescent="0.25">
      <c r="A2200">
        <v>94</v>
      </c>
      <c r="B2200" t="s">
        <v>71</v>
      </c>
      <c r="C2200" t="s">
        <v>61</v>
      </c>
      <c r="D2200" t="s">
        <v>72</v>
      </c>
      <c r="E2200" t="s">
        <v>10</v>
      </c>
      <c r="F2200" cm="1">
        <f t="array" ref="F2200">_xlfn.XLOOKUP(Food_Orders[[#This Row],[Event_No]],Event_Master[[#All],[Event_No]],Event_Master[[#All],[Guest_Count]],,0)</f>
        <v>550</v>
      </c>
      <c r="G2200" cm="1">
        <f t="array" ref="G2200">Food_Orders[[#This Row],[Quantity_Orderd]]*_xlfn.XLOOKUP(Food_Orders[[#This Row],[Food_ID]],Food_Catalog[[#All],[Food_ID]],Food_Catalog[[#All],[Price_Per_Unit]],0,0)</f>
        <v>13750</v>
      </c>
      <c r="H2200" cm="1">
        <f t="array" ref="H2200">Food_Orders[[#This Row],[Quantity_Orderd]]*_xlfn.XLOOKUP(Food_Orders[[#This Row],[Food_ID]],Food_Catalog[[#All],[Food_ID]],Food_Catalog[[#All],[Client_Price_Per_Unit]],0,0)</f>
        <v>16500</v>
      </c>
      <c r="I2200">
        <f>Food_Orders[[#This Row],[Client_Price]]-Food_Orders[[#This Row],[Cost]]</f>
        <v>2750</v>
      </c>
    </row>
    <row r="2201" spans="1:9" x14ac:dyDescent="0.25">
      <c r="A2201">
        <v>94</v>
      </c>
      <c r="B2201" t="s">
        <v>77</v>
      </c>
      <c r="C2201" t="s">
        <v>61</v>
      </c>
      <c r="D2201" t="s">
        <v>78</v>
      </c>
      <c r="E2201" t="s">
        <v>79</v>
      </c>
      <c r="F2201" cm="1">
        <f t="array" ref="F2201">_xlfn.XLOOKUP(Food_Orders[[#This Row],[Event_No]],Event_Master[[#All],[Event_No]],Event_Master[[#All],[Guest_Count]],,0)</f>
        <v>550</v>
      </c>
      <c r="G2201" cm="1">
        <f t="array" ref="G2201">Food_Orders[[#This Row],[Quantity_Orderd]]*_xlfn.XLOOKUP(Food_Orders[[#This Row],[Food_ID]],Food_Catalog[[#All],[Food_ID]],Food_Catalog[[#All],[Price_Per_Unit]],0,0)</f>
        <v>19250</v>
      </c>
      <c r="H2201" cm="1">
        <f t="array" ref="H2201">Food_Orders[[#This Row],[Quantity_Orderd]]*_xlfn.XLOOKUP(Food_Orders[[#This Row],[Food_ID]],Food_Catalog[[#All],[Food_ID]],Food_Catalog[[#All],[Client_Price_Per_Unit]],0,0)</f>
        <v>23100</v>
      </c>
      <c r="I2201">
        <f>Food_Orders[[#This Row],[Client_Price]]-Food_Orders[[#This Row],[Cost]]</f>
        <v>3850</v>
      </c>
    </row>
    <row r="2202" spans="1:9" x14ac:dyDescent="0.25">
      <c r="A2202">
        <v>94</v>
      </c>
      <c r="B2202" t="s">
        <v>7</v>
      </c>
      <c r="C2202" t="s">
        <v>8</v>
      </c>
      <c r="D2202" t="s">
        <v>9</v>
      </c>
      <c r="E2202" t="s">
        <v>10</v>
      </c>
      <c r="F2202" cm="1">
        <f t="array" ref="F2202">_xlfn.XLOOKUP(Food_Orders[[#This Row],[Event_No]],Event_Master[[#All],[Event_No]],Event_Master[[#All],[Guest_Count]],,0)</f>
        <v>550</v>
      </c>
      <c r="G2202" cm="1">
        <f t="array" ref="G2202">Food_Orders[[#This Row],[Quantity_Orderd]]*_xlfn.XLOOKUP(Food_Orders[[#This Row],[Food_ID]],Food_Catalog[[#All],[Food_ID]],Food_Catalog[[#All],[Price_Per_Unit]],0,0)</f>
        <v>13750</v>
      </c>
      <c r="H2202" cm="1">
        <f t="array" ref="H2202">Food_Orders[[#This Row],[Quantity_Orderd]]*_xlfn.XLOOKUP(Food_Orders[[#This Row],[Food_ID]],Food_Catalog[[#All],[Food_ID]],Food_Catalog[[#All],[Client_Price_Per_Unit]],0,0)</f>
        <v>16500</v>
      </c>
      <c r="I2202">
        <f>Food_Orders[[#This Row],[Client_Price]]-Food_Orders[[#This Row],[Cost]]</f>
        <v>2750</v>
      </c>
    </row>
    <row r="2203" spans="1:9" x14ac:dyDescent="0.25">
      <c r="A2203">
        <v>94</v>
      </c>
      <c r="B2203" t="s">
        <v>13</v>
      </c>
      <c r="C2203" t="s">
        <v>8</v>
      </c>
      <c r="D2203" t="s">
        <v>14</v>
      </c>
      <c r="E2203" t="s">
        <v>10</v>
      </c>
      <c r="F2203" cm="1">
        <f t="array" ref="F2203">_xlfn.XLOOKUP(Food_Orders[[#This Row],[Event_No]],Event_Master[[#All],[Event_No]],Event_Master[[#All],[Guest_Count]],,0)</f>
        <v>550</v>
      </c>
      <c r="G2203" cm="1">
        <f t="array" ref="G2203">Food_Orders[[#This Row],[Quantity_Orderd]]*_xlfn.XLOOKUP(Food_Orders[[#This Row],[Food_ID]],Food_Catalog[[#All],[Food_ID]],Food_Catalog[[#All],[Price_Per_Unit]],0,0)</f>
        <v>19250</v>
      </c>
      <c r="H2203" cm="1">
        <f t="array" ref="H2203">Food_Orders[[#This Row],[Quantity_Orderd]]*_xlfn.XLOOKUP(Food_Orders[[#This Row],[Food_ID]],Food_Catalog[[#All],[Food_ID]],Food_Catalog[[#All],[Client_Price_Per_Unit]],0,0)</f>
        <v>23100</v>
      </c>
      <c r="I2203">
        <f>Food_Orders[[#This Row],[Client_Price]]-Food_Orders[[#This Row],[Cost]]</f>
        <v>3850</v>
      </c>
    </row>
    <row r="2204" spans="1:9" x14ac:dyDescent="0.25">
      <c r="A2204">
        <v>94</v>
      </c>
      <c r="B2204" t="s">
        <v>35</v>
      </c>
      <c r="C2204" t="s">
        <v>8</v>
      </c>
      <c r="D2204" t="s">
        <v>36</v>
      </c>
      <c r="E2204" t="s">
        <v>10</v>
      </c>
      <c r="F2204" cm="1">
        <f t="array" ref="F2204">_xlfn.XLOOKUP(Food_Orders[[#This Row],[Event_No]],Event_Master[[#All],[Event_No]],Event_Master[[#All],[Guest_Count]],,0)</f>
        <v>550</v>
      </c>
      <c r="G2204" cm="1">
        <f t="array" ref="G2204">Food_Orders[[#This Row],[Quantity_Orderd]]*_xlfn.XLOOKUP(Food_Orders[[#This Row],[Food_ID]],Food_Catalog[[#All],[Food_ID]],Food_Catalog[[#All],[Price_Per_Unit]],0,0)</f>
        <v>16500</v>
      </c>
      <c r="H2204" cm="1">
        <f t="array" ref="H2204">Food_Orders[[#This Row],[Quantity_Orderd]]*_xlfn.XLOOKUP(Food_Orders[[#This Row],[Food_ID]],Food_Catalog[[#All],[Food_ID]],Food_Catalog[[#All],[Client_Price_Per_Unit]],0,0)</f>
        <v>19800</v>
      </c>
      <c r="I2204">
        <f>Food_Orders[[#This Row],[Client_Price]]-Food_Orders[[#This Row],[Cost]]</f>
        <v>3300</v>
      </c>
    </row>
    <row r="2205" spans="1:9" x14ac:dyDescent="0.25">
      <c r="A2205">
        <v>94</v>
      </c>
      <c r="B2205" t="s">
        <v>27</v>
      </c>
      <c r="C2205" t="s">
        <v>8</v>
      </c>
      <c r="D2205" t="s">
        <v>28</v>
      </c>
      <c r="E2205" t="s">
        <v>10</v>
      </c>
      <c r="F2205" cm="1">
        <f t="array" ref="F2205">_xlfn.XLOOKUP(Food_Orders[[#This Row],[Event_No]],Event_Master[[#All],[Event_No]],Event_Master[[#All],[Guest_Count]],,0)</f>
        <v>550</v>
      </c>
      <c r="G2205" cm="1">
        <f t="array" ref="G2205">Food_Orders[[#This Row],[Quantity_Orderd]]*_xlfn.XLOOKUP(Food_Orders[[#This Row],[Food_ID]],Food_Catalog[[#All],[Food_ID]],Food_Catalog[[#All],[Price_Per_Unit]],0,0)</f>
        <v>22000</v>
      </c>
      <c r="H2205" cm="1">
        <f t="array" ref="H2205">Food_Orders[[#This Row],[Quantity_Orderd]]*_xlfn.XLOOKUP(Food_Orders[[#This Row],[Food_ID]],Food_Catalog[[#All],[Food_ID]],Food_Catalog[[#All],[Client_Price_Per_Unit]],0,0)</f>
        <v>26400</v>
      </c>
      <c r="I2205">
        <f>Food_Orders[[#This Row],[Client_Price]]-Food_Orders[[#This Row],[Cost]]</f>
        <v>4400</v>
      </c>
    </row>
    <row r="2206" spans="1:9" x14ac:dyDescent="0.25">
      <c r="A2206">
        <v>94</v>
      </c>
      <c r="B2206" t="s">
        <v>31</v>
      </c>
      <c r="C2206" t="s">
        <v>8</v>
      </c>
      <c r="D2206" t="s">
        <v>32</v>
      </c>
      <c r="E2206" t="s">
        <v>10</v>
      </c>
      <c r="F2206" cm="1">
        <f t="array" ref="F2206">_xlfn.XLOOKUP(Food_Orders[[#This Row],[Event_No]],Event_Master[[#All],[Event_No]],Event_Master[[#All],[Guest_Count]],,0)</f>
        <v>550</v>
      </c>
      <c r="G2206" cm="1">
        <f t="array" ref="G2206">Food_Orders[[#This Row],[Quantity_Orderd]]*_xlfn.XLOOKUP(Food_Orders[[#This Row],[Food_ID]],Food_Catalog[[#All],[Food_ID]],Food_Catalog[[#All],[Price_Per_Unit]],0,0)</f>
        <v>16500</v>
      </c>
      <c r="H2206" cm="1">
        <f t="array" ref="H2206">Food_Orders[[#This Row],[Quantity_Orderd]]*_xlfn.XLOOKUP(Food_Orders[[#This Row],[Food_ID]],Food_Catalog[[#All],[Food_ID]],Food_Catalog[[#All],[Client_Price_Per_Unit]],0,0)</f>
        <v>19800</v>
      </c>
      <c r="I2206">
        <f>Food_Orders[[#This Row],[Client_Price]]-Food_Orders[[#This Row],[Cost]]</f>
        <v>3300</v>
      </c>
    </row>
    <row r="2207" spans="1:9" x14ac:dyDescent="0.25">
      <c r="A2207">
        <v>94</v>
      </c>
      <c r="B2207" t="s">
        <v>29</v>
      </c>
      <c r="C2207" t="s">
        <v>8</v>
      </c>
      <c r="D2207" t="s">
        <v>30</v>
      </c>
      <c r="E2207" t="s">
        <v>10</v>
      </c>
      <c r="F2207" cm="1">
        <f t="array" ref="F2207">_xlfn.XLOOKUP(Food_Orders[[#This Row],[Event_No]],Event_Master[[#All],[Event_No]],Event_Master[[#All],[Guest_Count]],,0)</f>
        <v>550</v>
      </c>
      <c r="G2207" cm="1">
        <f t="array" ref="G2207">Food_Orders[[#This Row],[Quantity_Orderd]]*_xlfn.XLOOKUP(Food_Orders[[#This Row],[Food_ID]],Food_Catalog[[#All],[Food_ID]],Food_Catalog[[#All],[Price_Per_Unit]],0,0)</f>
        <v>16500</v>
      </c>
      <c r="H2207" cm="1">
        <f t="array" ref="H2207">Food_Orders[[#This Row],[Quantity_Orderd]]*_xlfn.XLOOKUP(Food_Orders[[#This Row],[Food_ID]],Food_Catalog[[#All],[Food_ID]],Food_Catalog[[#All],[Client_Price_Per_Unit]],0,0)</f>
        <v>19800</v>
      </c>
      <c r="I2207">
        <f>Food_Orders[[#This Row],[Client_Price]]-Food_Orders[[#This Row],[Cost]]</f>
        <v>3300</v>
      </c>
    </row>
    <row r="2208" spans="1:9" x14ac:dyDescent="0.25">
      <c r="A2208">
        <v>94</v>
      </c>
      <c r="B2208" t="s">
        <v>37</v>
      </c>
      <c r="C2208" t="s">
        <v>8</v>
      </c>
      <c r="D2208" t="s">
        <v>38</v>
      </c>
      <c r="E2208" t="s">
        <v>10</v>
      </c>
      <c r="F2208" cm="1">
        <f t="array" ref="F2208">_xlfn.XLOOKUP(Food_Orders[[#This Row],[Event_No]],Event_Master[[#All],[Event_No]],Event_Master[[#All],[Guest_Count]],,0)</f>
        <v>550</v>
      </c>
      <c r="G2208" cm="1">
        <f t="array" ref="G2208">Food_Orders[[#This Row],[Quantity_Orderd]]*_xlfn.XLOOKUP(Food_Orders[[#This Row],[Food_ID]],Food_Catalog[[#All],[Food_ID]],Food_Catalog[[#All],[Price_Per_Unit]],0,0)</f>
        <v>13750</v>
      </c>
      <c r="H2208" cm="1">
        <f t="array" ref="H2208">Food_Orders[[#This Row],[Quantity_Orderd]]*_xlfn.XLOOKUP(Food_Orders[[#This Row],[Food_ID]],Food_Catalog[[#All],[Food_ID]],Food_Catalog[[#All],[Client_Price_Per_Unit]],0,0)</f>
        <v>16500</v>
      </c>
      <c r="I2208">
        <f>Food_Orders[[#This Row],[Client_Price]]-Food_Orders[[#This Row],[Cost]]</f>
        <v>2750</v>
      </c>
    </row>
    <row r="2209" spans="1:9" x14ac:dyDescent="0.25">
      <c r="A2209">
        <v>94</v>
      </c>
      <c r="B2209" t="s">
        <v>82</v>
      </c>
      <c r="C2209" t="s">
        <v>83</v>
      </c>
      <c r="D2209" t="s">
        <v>84</v>
      </c>
      <c r="E2209" t="s">
        <v>85</v>
      </c>
      <c r="F2209" cm="1">
        <f t="array" ref="F2209">_xlfn.XLOOKUP(Food_Orders[[#This Row],[Event_No]],Event_Master[[#All],[Event_No]],Event_Master[[#All],[Guest_Count]],,0)</f>
        <v>550</v>
      </c>
      <c r="G2209" cm="1">
        <f t="array" ref="G2209">Food_Orders[[#This Row],[Quantity_Orderd]]*_xlfn.XLOOKUP(Food_Orders[[#This Row],[Food_ID]],Food_Catalog[[#All],[Food_ID]],Food_Catalog[[#All],[Price_Per_Unit]],0,0)</f>
        <v>11000</v>
      </c>
      <c r="H2209" cm="1">
        <f t="array" ref="H2209">Food_Orders[[#This Row],[Quantity_Orderd]]*_xlfn.XLOOKUP(Food_Orders[[#This Row],[Food_ID]],Food_Catalog[[#All],[Food_ID]],Food_Catalog[[#All],[Client_Price_Per_Unit]],0,0)</f>
        <v>13200</v>
      </c>
      <c r="I2209">
        <f>Food_Orders[[#This Row],[Client_Price]]-Food_Orders[[#This Row],[Cost]]</f>
        <v>2200</v>
      </c>
    </row>
    <row r="2210" spans="1:9" x14ac:dyDescent="0.25">
      <c r="A2210">
        <v>94</v>
      </c>
      <c r="B2210" t="s">
        <v>86</v>
      </c>
      <c r="C2210" t="s">
        <v>83</v>
      </c>
      <c r="D2210" t="s">
        <v>87</v>
      </c>
      <c r="E2210" t="s">
        <v>85</v>
      </c>
      <c r="F2210" cm="1">
        <f t="array" ref="F2210">_xlfn.XLOOKUP(Food_Orders[[#This Row],[Event_No]],Event_Master[[#All],[Event_No]],Event_Master[[#All],[Guest_Count]],,0)</f>
        <v>550</v>
      </c>
      <c r="G2210" cm="1">
        <f t="array" ref="G2210">Food_Orders[[#This Row],[Quantity_Orderd]]*_xlfn.XLOOKUP(Food_Orders[[#This Row],[Food_ID]],Food_Catalog[[#All],[Food_ID]],Food_Catalog[[#All],[Price_Per_Unit]],0,0)</f>
        <v>11000</v>
      </c>
      <c r="H2210" cm="1">
        <f t="array" ref="H2210">Food_Orders[[#This Row],[Quantity_Orderd]]*_xlfn.XLOOKUP(Food_Orders[[#This Row],[Food_ID]],Food_Catalog[[#All],[Food_ID]],Food_Catalog[[#All],[Client_Price_Per_Unit]],0,0)</f>
        <v>13200</v>
      </c>
      <c r="I2210">
        <f>Food_Orders[[#This Row],[Client_Price]]-Food_Orders[[#This Row],[Cost]]</f>
        <v>2200</v>
      </c>
    </row>
    <row r="2211" spans="1:9" x14ac:dyDescent="0.25">
      <c r="A2211">
        <v>94</v>
      </c>
      <c r="B2211" t="s">
        <v>96</v>
      </c>
      <c r="C2211" t="s">
        <v>83</v>
      </c>
      <c r="D2211" t="s">
        <v>97</v>
      </c>
      <c r="E2211" t="s">
        <v>79</v>
      </c>
      <c r="F2211" cm="1">
        <f t="array" ref="F2211">_xlfn.XLOOKUP(Food_Orders[[#This Row],[Event_No]],Event_Master[[#All],[Event_No]],Event_Master[[#All],[Guest_Count]],,0)</f>
        <v>550</v>
      </c>
      <c r="G2211" cm="1">
        <f t="array" ref="G2211">Food_Orders[[#This Row],[Quantity_Orderd]]*_xlfn.XLOOKUP(Food_Orders[[#This Row],[Food_ID]],Food_Catalog[[#All],[Food_ID]],Food_Catalog[[#All],[Price_Per_Unit]],0,0)</f>
        <v>16500</v>
      </c>
      <c r="H2211" cm="1">
        <f t="array" ref="H2211">Food_Orders[[#This Row],[Quantity_Orderd]]*_xlfn.XLOOKUP(Food_Orders[[#This Row],[Food_ID]],Food_Catalog[[#All],[Food_ID]],Food_Catalog[[#All],[Client_Price_Per_Unit]],0,0)</f>
        <v>19800</v>
      </c>
      <c r="I2211">
        <f>Food_Orders[[#This Row],[Client_Price]]-Food_Orders[[#This Row],[Cost]]</f>
        <v>3300</v>
      </c>
    </row>
    <row r="2212" spans="1:9" x14ac:dyDescent="0.25">
      <c r="A2212">
        <v>94</v>
      </c>
      <c r="B2212" t="s">
        <v>88</v>
      </c>
      <c r="C2212" t="s">
        <v>83</v>
      </c>
      <c r="D2212" t="s">
        <v>89</v>
      </c>
      <c r="E2212" t="s">
        <v>85</v>
      </c>
      <c r="F2212" cm="1">
        <f t="array" ref="F2212">_xlfn.XLOOKUP(Food_Orders[[#This Row],[Event_No]],Event_Master[[#All],[Event_No]],Event_Master[[#All],[Guest_Count]],,0)</f>
        <v>550</v>
      </c>
      <c r="G2212" cm="1">
        <f t="array" ref="G2212">Food_Orders[[#This Row],[Quantity_Orderd]]*_xlfn.XLOOKUP(Food_Orders[[#This Row],[Food_ID]],Food_Catalog[[#All],[Food_ID]],Food_Catalog[[#All],[Price_Per_Unit]],0,0)</f>
        <v>8250</v>
      </c>
      <c r="H2212" cm="1">
        <f t="array" ref="H2212">Food_Orders[[#This Row],[Quantity_Orderd]]*_xlfn.XLOOKUP(Food_Orders[[#This Row],[Food_ID]],Food_Catalog[[#All],[Food_ID]],Food_Catalog[[#All],[Client_Price_Per_Unit]],0,0)</f>
        <v>9900</v>
      </c>
      <c r="I2212">
        <f>Food_Orders[[#This Row],[Client_Price]]-Food_Orders[[#This Row],[Cost]]</f>
        <v>1650</v>
      </c>
    </row>
    <row r="2213" spans="1:9" x14ac:dyDescent="0.25">
      <c r="A2213">
        <v>94</v>
      </c>
      <c r="B2213" t="s">
        <v>100</v>
      </c>
      <c r="C2213" t="s">
        <v>83</v>
      </c>
      <c r="D2213" t="s">
        <v>101</v>
      </c>
      <c r="E2213" t="s">
        <v>79</v>
      </c>
      <c r="F2213" cm="1">
        <f t="array" ref="F2213">_xlfn.XLOOKUP(Food_Orders[[#This Row],[Event_No]],Event_Master[[#All],[Event_No]],Event_Master[[#All],[Guest_Count]],,0)</f>
        <v>550</v>
      </c>
      <c r="G2213" cm="1">
        <f t="array" ref="G2213">Food_Orders[[#This Row],[Quantity_Orderd]]*_xlfn.XLOOKUP(Food_Orders[[#This Row],[Food_ID]],Food_Catalog[[#All],[Food_ID]],Food_Catalog[[#All],[Price_Per_Unit]],0,0)</f>
        <v>19250</v>
      </c>
      <c r="H2213" cm="1">
        <f t="array" ref="H2213">Food_Orders[[#This Row],[Quantity_Orderd]]*_xlfn.XLOOKUP(Food_Orders[[#This Row],[Food_ID]],Food_Catalog[[#All],[Food_ID]],Food_Catalog[[#All],[Client_Price_Per_Unit]],0,0)</f>
        <v>23100</v>
      </c>
      <c r="I2213">
        <f>Food_Orders[[#This Row],[Client_Price]]-Food_Orders[[#This Row],[Cost]]</f>
        <v>3850</v>
      </c>
    </row>
    <row r="2214" spans="1:9" x14ac:dyDescent="0.25">
      <c r="A2214">
        <v>94</v>
      </c>
      <c r="B2214" t="s">
        <v>104</v>
      </c>
      <c r="C2214" t="s">
        <v>105</v>
      </c>
      <c r="D2214" t="s">
        <v>106</v>
      </c>
      <c r="E2214" t="s">
        <v>107</v>
      </c>
      <c r="F2214" cm="1">
        <f t="array" ref="F2214">_xlfn.XLOOKUP(Food_Orders[[#This Row],[Event_No]],Event_Master[[#All],[Event_No]],Event_Master[[#All],[Guest_Count]],,0)</f>
        <v>550</v>
      </c>
      <c r="G2214" cm="1">
        <f t="array" ref="G2214">Food_Orders[[#This Row],[Quantity_Orderd]]*_xlfn.XLOOKUP(Food_Orders[[#This Row],[Food_ID]],Food_Catalog[[#All],[Food_ID]],Food_Catalog[[#All],[Price_Per_Unit]],0,0)</f>
        <v>5500</v>
      </c>
      <c r="H2214" cm="1">
        <f t="array" ref="H2214">Food_Orders[[#This Row],[Quantity_Orderd]]*_xlfn.XLOOKUP(Food_Orders[[#This Row],[Food_ID]],Food_Catalog[[#All],[Food_ID]],Food_Catalog[[#All],[Client_Price_Per_Unit]],0,0)</f>
        <v>6600</v>
      </c>
      <c r="I2214">
        <f>Food_Orders[[#This Row],[Client_Price]]-Food_Orders[[#This Row],[Cost]]</f>
        <v>1100</v>
      </c>
    </row>
    <row r="2215" spans="1:9" x14ac:dyDescent="0.25">
      <c r="A2215">
        <v>94</v>
      </c>
      <c r="B2215" t="s">
        <v>108</v>
      </c>
      <c r="C2215" t="s">
        <v>105</v>
      </c>
      <c r="D2215" t="s">
        <v>109</v>
      </c>
      <c r="E2215" t="s">
        <v>107</v>
      </c>
      <c r="F2215" cm="1">
        <f t="array" ref="F2215">_xlfn.XLOOKUP(Food_Orders[[#This Row],[Event_No]],Event_Master[[#All],[Event_No]],Event_Master[[#All],[Guest_Count]],,0)</f>
        <v>550</v>
      </c>
      <c r="G2215" cm="1">
        <f t="array" ref="G2215">Food_Orders[[#This Row],[Quantity_Orderd]]*_xlfn.XLOOKUP(Food_Orders[[#This Row],[Food_ID]],Food_Catalog[[#All],[Food_ID]],Food_Catalog[[#All],[Price_Per_Unit]],0,0)</f>
        <v>8250</v>
      </c>
      <c r="H2215" cm="1">
        <f t="array" ref="H2215">Food_Orders[[#This Row],[Quantity_Orderd]]*_xlfn.XLOOKUP(Food_Orders[[#This Row],[Food_ID]],Food_Catalog[[#All],[Food_ID]],Food_Catalog[[#All],[Client_Price_Per_Unit]],0,0)</f>
        <v>9900</v>
      </c>
      <c r="I2215">
        <f>Food_Orders[[#This Row],[Client_Price]]-Food_Orders[[#This Row],[Cost]]</f>
        <v>1650</v>
      </c>
    </row>
    <row r="2216" spans="1:9" x14ac:dyDescent="0.25">
      <c r="A2216">
        <v>94</v>
      </c>
      <c r="B2216" t="s">
        <v>118</v>
      </c>
      <c r="C2216" t="s">
        <v>119</v>
      </c>
      <c r="D2216" t="s">
        <v>120</v>
      </c>
      <c r="E2216" t="s">
        <v>112</v>
      </c>
      <c r="F2216" cm="1">
        <f t="array" ref="F2216">_xlfn.XLOOKUP(Food_Orders[[#This Row],[Event_No]],Event_Master[[#All],[Event_No]],Event_Master[[#All],[Guest_Count]],,0)</f>
        <v>550</v>
      </c>
      <c r="G2216" cm="1">
        <f t="array" ref="G2216">Food_Orders[[#This Row],[Quantity_Orderd]]*_xlfn.XLOOKUP(Food_Orders[[#This Row],[Food_ID]],Food_Catalog[[#All],[Food_ID]],Food_Catalog[[#All],[Price_Per_Unit]],0,0)</f>
        <v>5500</v>
      </c>
      <c r="H2216" cm="1">
        <f t="array" ref="H2216">Food_Orders[[#This Row],[Quantity_Orderd]]*_xlfn.XLOOKUP(Food_Orders[[#This Row],[Food_ID]],Food_Catalog[[#All],[Food_ID]],Food_Catalog[[#All],[Client_Price_Per_Unit]],0,0)</f>
        <v>6600</v>
      </c>
      <c r="I2216">
        <f>Food_Orders[[#This Row],[Client_Price]]-Food_Orders[[#This Row],[Cost]]</f>
        <v>1100</v>
      </c>
    </row>
    <row r="2217" spans="1:9" x14ac:dyDescent="0.25">
      <c r="A2217">
        <v>94</v>
      </c>
      <c r="B2217" t="s">
        <v>129</v>
      </c>
      <c r="C2217" t="s">
        <v>119</v>
      </c>
      <c r="D2217" t="s">
        <v>130</v>
      </c>
      <c r="E2217" t="s">
        <v>112</v>
      </c>
      <c r="F2217" cm="1">
        <f t="array" ref="F2217">_xlfn.XLOOKUP(Food_Orders[[#This Row],[Event_No]],Event_Master[[#All],[Event_No]],Event_Master[[#All],[Guest_Count]],,0)</f>
        <v>550</v>
      </c>
      <c r="G2217" cm="1">
        <f t="array" ref="G2217">Food_Orders[[#This Row],[Quantity_Orderd]]*_xlfn.XLOOKUP(Food_Orders[[#This Row],[Food_ID]],Food_Catalog[[#All],[Food_ID]],Food_Catalog[[#All],[Price_Per_Unit]],0,0)</f>
        <v>5500</v>
      </c>
      <c r="H2217" cm="1">
        <f t="array" ref="H2217">Food_Orders[[#This Row],[Quantity_Orderd]]*_xlfn.XLOOKUP(Food_Orders[[#This Row],[Food_ID]],Food_Catalog[[#All],[Food_ID]],Food_Catalog[[#All],[Client_Price_Per_Unit]],0,0)</f>
        <v>6600</v>
      </c>
      <c r="I2217">
        <f>Food_Orders[[#This Row],[Client_Price]]-Food_Orders[[#This Row],[Cost]]</f>
        <v>1100</v>
      </c>
    </row>
    <row r="2218" spans="1:9" x14ac:dyDescent="0.25">
      <c r="A2218">
        <v>95</v>
      </c>
      <c r="B2218" t="s">
        <v>118</v>
      </c>
      <c r="C2218" t="s">
        <v>119</v>
      </c>
      <c r="D2218" t="s">
        <v>120</v>
      </c>
      <c r="E2218" t="s">
        <v>112</v>
      </c>
      <c r="F2218" cm="1">
        <f t="array" ref="F2218">_xlfn.XLOOKUP(Food_Orders[[#This Row],[Event_No]],Event_Master[[#All],[Event_No]],Event_Master[[#All],[Guest_Count]],,0)</f>
        <v>2000</v>
      </c>
      <c r="G2218" cm="1">
        <f t="array" ref="G2218">Food_Orders[[#This Row],[Quantity_Orderd]]*_xlfn.XLOOKUP(Food_Orders[[#This Row],[Food_ID]],Food_Catalog[[#All],[Food_ID]],Food_Catalog[[#All],[Price_Per_Unit]],0,0)</f>
        <v>20000</v>
      </c>
      <c r="H2218" cm="1">
        <f t="array" ref="H2218">Food_Orders[[#This Row],[Quantity_Orderd]]*_xlfn.XLOOKUP(Food_Orders[[#This Row],[Food_ID]],Food_Catalog[[#All],[Food_ID]],Food_Catalog[[#All],[Client_Price_Per_Unit]],0,0)</f>
        <v>24000</v>
      </c>
      <c r="I2218">
        <f>Food_Orders[[#This Row],[Client_Price]]-Food_Orders[[#This Row],[Cost]]</f>
        <v>4000</v>
      </c>
    </row>
    <row r="2219" spans="1:9" x14ac:dyDescent="0.25">
      <c r="A2219">
        <v>95</v>
      </c>
      <c r="B2219" t="s">
        <v>129</v>
      </c>
      <c r="C2219" t="s">
        <v>119</v>
      </c>
      <c r="D2219" t="s">
        <v>130</v>
      </c>
      <c r="E2219" t="s">
        <v>112</v>
      </c>
      <c r="F2219" cm="1">
        <f t="array" ref="F2219">_xlfn.XLOOKUP(Food_Orders[[#This Row],[Event_No]],Event_Master[[#All],[Event_No]],Event_Master[[#All],[Guest_Count]],,0)</f>
        <v>2000</v>
      </c>
      <c r="G2219" cm="1">
        <f t="array" ref="G2219">Food_Orders[[#This Row],[Quantity_Orderd]]*_xlfn.XLOOKUP(Food_Orders[[#This Row],[Food_ID]],Food_Catalog[[#All],[Food_ID]],Food_Catalog[[#All],[Price_Per_Unit]],0,0)</f>
        <v>20000</v>
      </c>
      <c r="H2219" cm="1">
        <f t="array" ref="H2219">Food_Orders[[#This Row],[Quantity_Orderd]]*_xlfn.XLOOKUP(Food_Orders[[#This Row],[Food_ID]],Food_Catalog[[#All],[Food_ID]],Food_Catalog[[#All],[Client_Price_Per_Unit]],0,0)</f>
        <v>24000</v>
      </c>
      <c r="I2219">
        <f>Food_Orders[[#This Row],[Client_Price]]-Food_Orders[[#This Row],[Cost]]</f>
        <v>4000</v>
      </c>
    </row>
    <row r="2220" spans="1:9" x14ac:dyDescent="0.25">
      <c r="A2220">
        <v>95</v>
      </c>
      <c r="B2220" t="s">
        <v>104</v>
      </c>
      <c r="C2220" t="s">
        <v>105</v>
      </c>
      <c r="D2220" t="s">
        <v>106</v>
      </c>
      <c r="E2220" t="s">
        <v>107</v>
      </c>
      <c r="F2220" cm="1">
        <f t="array" ref="F2220">_xlfn.XLOOKUP(Food_Orders[[#This Row],[Event_No]],Event_Master[[#All],[Event_No]],Event_Master[[#All],[Guest_Count]],,0)</f>
        <v>2000</v>
      </c>
      <c r="G2220" cm="1">
        <f t="array" ref="G2220">Food_Orders[[#This Row],[Quantity_Orderd]]*_xlfn.XLOOKUP(Food_Orders[[#This Row],[Food_ID]],Food_Catalog[[#All],[Food_ID]],Food_Catalog[[#All],[Price_Per_Unit]],0,0)</f>
        <v>20000</v>
      </c>
      <c r="H2220" cm="1">
        <f t="array" ref="H2220">Food_Orders[[#This Row],[Quantity_Orderd]]*_xlfn.XLOOKUP(Food_Orders[[#This Row],[Food_ID]],Food_Catalog[[#All],[Food_ID]],Food_Catalog[[#All],[Client_Price_Per_Unit]],0,0)</f>
        <v>24000</v>
      </c>
      <c r="I2220">
        <f>Food_Orders[[#This Row],[Client_Price]]-Food_Orders[[#This Row],[Cost]]</f>
        <v>4000</v>
      </c>
    </row>
    <row r="2221" spans="1:9" x14ac:dyDescent="0.25">
      <c r="A2221">
        <v>95</v>
      </c>
      <c r="B2221" t="s">
        <v>108</v>
      </c>
      <c r="C2221" t="s">
        <v>105</v>
      </c>
      <c r="D2221" t="s">
        <v>109</v>
      </c>
      <c r="E2221" t="s">
        <v>107</v>
      </c>
      <c r="F2221" cm="1">
        <f t="array" ref="F2221">_xlfn.XLOOKUP(Food_Orders[[#This Row],[Event_No]],Event_Master[[#All],[Event_No]],Event_Master[[#All],[Guest_Count]],,0)</f>
        <v>2000</v>
      </c>
      <c r="G2221" cm="1">
        <f t="array" ref="G2221">Food_Orders[[#This Row],[Quantity_Orderd]]*_xlfn.XLOOKUP(Food_Orders[[#This Row],[Food_ID]],Food_Catalog[[#All],[Food_ID]],Food_Catalog[[#All],[Price_Per_Unit]],0,0)</f>
        <v>30000</v>
      </c>
      <c r="H2221" cm="1">
        <f t="array" ref="H2221">Food_Orders[[#This Row],[Quantity_Orderd]]*_xlfn.XLOOKUP(Food_Orders[[#This Row],[Food_ID]],Food_Catalog[[#All],[Food_ID]],Food_Catalog[[#All],[Client_Price_Per_Unit]],0,0)</f>
        <v>36000</v>
      </c>
      <c r="I2221">
        <f>Food_Orders[[#This Row],[Client_Price]]-Food_Orders[[#This Row],[Cost]]</f>
        <v>6000</v>
      </c>
    </row>
    <row r="2222" spans="1:9" x14ac:dyDescent="0.25">
      <c r="A2222">
        <v>95</v>
      </c>
      <c r="B2222" t="s">
        <v>127</v>
      </c>
      <c r="C2222" t="s">
        <v>119</v>
      </c>
      <c r="D2222" t="s">
        <v>128</v>
      </c>
      <c r="E2222" t="s">
        <v>107</v>
      </c>
      <c r="F2222" cm="1">
        <f t="array" ref="F2222">_xlfn.XLOOKUP(Food_Orders[[#This Row],[Event_No]],Event_Master[[#All],[Event_No]],Event_Master[[#All],[Guest_Count]],,0)</f>
        <v>2000</v>
      </c>
      <c r="G2222" cm="1">
        <f t="array" ref="G2222">Food_Orders[[#This Row],[Quantity_Orderd]]*_xlfn.XLOOKUP(Food_Orders[[#This Row],[Food_ID]],Food_Catalog[[#All],[Food_ID]],Food_Catalog[[#All],[Price_Per_Unit]],0,0)</f>
        <v>40000</v>
      </c>
      <c r="H2222" cm="1">
        <f t="array" ref="H2222">Food_Orders[[#This Row],[Quantity_Orderd]]*_xlfn.XLOOKUP(Food_Orders[[#This Row],[Food_ID]],Food_Catalog[[#All],[Food_ID]],Food_Catalog[[#All],[Client_Price_Per_Unit]],0,0)</f>
        <v>48000</v>
      </c>
      <c r="I2222">
        <f>Food_Orders[[#This Row],[Client_Price]]-Food_Orders[[#This Row],[Cost]]</f>
        <v>8000</v>
      </c>
    </row>
    <row r="2223" spans="1:9" x14ac:dyDescent="0.25">
      <c r="A2223">
        <v>95</v>
      </c>
      <c r="B2223" t="s">
        <v>124</v>
      </c>
      <c r="C2223" t="s">
        <v>119</v>
      </c>
      <c r="D2223" t="s">
        <v>125</v>
      </c>
      <c r="E2223" t="s">
        <v>126</v>
      </c>
      <c r="F2223" cm="1">
        <f t="array" ref="F2223">_xlfn.XLOOKUP(Food_Orders[[#This Row],[Event_No]],Event_Master[[#All],[Event_No]],Event_Master[[#All],[Guest_Count]],,0)</f>
        <v>2000</v>
      </c>
      <c r="G2223" cm="1">
        <f t="array" ref="G2223">Food_Orders[[#This Row],[Quantity_Orderd]]*_xlfn.XLOOKUP(Food_Orders[[#This Row],[Food_ID]],Food_Catalog[[#All],[Food_ID]],Food_Catalog[[#All],[Price_Per_Unit]],0,0)</f>
        <v>40000</v>
      </c>
      <c r="H2223" cm="1">
        <f t="array" ref="H2223">Food_Orders[[#This Row],[Quantity_Orderd]]*_xlfn.XLOOKUP(Food_Orders[[#This Row],[Food_ID]],Food_Catalog[[#All],[Food_ID]],Food_Catalog[[#All],[Client_Price_Per_Unit]],0,0)</f>
        <v>48000</v>
      </c>
      <c r="I2223">
        <f>Food_Orders[[#This Row],[Client_Price]]-Food_Orders[[#This Row],[Cost]]</f>
        <v>8000</v>
      </c>
    </row>
    <row r="2224" spans="1:9" x14ac:dyDescent="0.25">
      <c r="A2224">
        <v>95</v>
      </c>
      <c r="B2224" t="s">
        <v>121</v>
      </c>
      <c r="C2224" t="s">
        <v>119</v>
      </c>
      <c r="D2224" t="s">
        <v>122</v>
      </c>
      <c r="E2224" t="s">
        <v>123</v>
      </c>
      <c r="F2224" cm="1">
        <f t="array" ref="F2224">_xlfn.XLOOKUP(Food_Orders[[#This Row],[Event_No]],Event_Master[[#All],[Event_No]],Event_Master[[#All],[Guest_Count]],,0)</f>
        <v>2000</v>
      </c>
      <c r="G2224" cm="1">
        <f t="array" ref="G2224">Food_Orders[[#This Row],[Quantity_Orderd]]*_xlfn.XLOOKUP(Food_Orders[[#This Row],[Food_ID]],Food_Catalog[[#All],[Food_ID]],Food_Catalog[[#All],[Price_Per_Unit]],0,0)</f>
        <v>20000</v>
      </c>
      <c r="H2224" cm="1">
        <f t="array" ref="H2224">Food_Orders[[#This Row],[Quantity_Orderd]]*_xlfn.XLOOKUP(Food_Orders[[#This Row],[Food_ID]],Food_Catalog[[#All],[Food_ID]],Food_Catalog[[#All],[Client_Price_Per_Unit]],0,0)</f>
        <v>24000</v>
      </c>
      <c r="I2224">
        <f>Food_Orders[[#This Row],[Client_Price]]-Food_Orders[[#This Row],[Cost]]</f>
        <v>4000</v>
      </c>
    </row>
    <row r="2225" spans="1:9" x14ac:dyDescent="0.25">
      <c r="A2225">
        <v>95</v>
      </c>
      <c r="B2225" t="s">
        <v>63</v>
      </c>
      <c r="C2225" t="s">
        <v>61</v>
      </c>
      <c r="D2225" t="s">
        <v>64</v>
      </c>
      <c r="E2225" t="s">
        <v>10</v>
      </c>
      <c r="F2225" cm="1">
        <f t="array" ref="F2225">_xlfn.XLOOKUP(Food_Orders[[#This Row],[Event_No]],Event_Master[[#All],[Event_No]],Event_Master[[#All],[Guest_Count]],,0)</f>
        <v>2000</v>
      </c>
      <c r="G2225" cm="1">
        <f t="array" ref="G2225">Food_Orders[[#This Row],[Quantity_Orderd]]*_xlfn.XLOOKUP(Food_Orders[[#This Row],[Food_ID]],Food_Catalog[[#All],[Food_ID]],Food_Catalog[[#All],[Price_Per_Unit]],0,0)</f>
        <v>60000</v>
      </c>
      <c r="H2225" cm="1">
        <f t="array" ref="H2225">Food_Orders[[#This Row],[Quantity_Orderd]]*_xlfn.XLOOKUP(Food_Orders[[#This Row],[Food_ID]],Food_Catalog[[#All],[Food_ID]],Food_Catalog[[#All],[Client_Price_Per_Unit]],0,0)</f>
        <v>72000</v>
      </c>
      <c r="I2225">
        <f>Food_Orders[[#This Row],[Client_Price]]-Food_Orders[[#This Row],[Cost]]</f>
        <v>12000</v>
      </c>
    </row>
    <row r="2226" spans="1:9" x14ac:dyDescent="0.25">
      <c r="A2226">
        <v>95</v>
      </c>
      <c r="B2226" t="s">
        <v>71</v>
      </c>
      <c r="C2226" t="s">
        <v>61</v>
      </c>
      <c r="D2226" t="s">
        <v>72</v>
      </c>
      <c r="E2226" t="s">
        <v>10</v>
      </c>
      <c r="F2226" cm="1">
        <f t="array" ref="F2226">_xlfn.XLOOKUP(Food_Orders[[#This Row],[Event_No]],Event_Master[[#All],[Event_No]],Event_Master[[#All],[Guest_Count]],,0)</f>
        <v>2000</v>
      </c>
      <c r="G2226" cm="1">
        <f t="array" ref="G2226">Food_Orders[[#This Row],[Quantity_Orderd]]*_xlfn.XLOOKUP(Food_Orders[[#This Row],[Food_ID]],Food_Catalog[[#All],[Food_ID]],Food_Catalog[[#All],[Price_Per_Unit]],0,0)</f>
        <v>50000</v>
      </c>
      <c r="H2226" cm="1">
        <f t="array" ref="H2226">Food_Orders[[#This Row],[Quantity_Orderd]]*_xlfn.XLOOKUP(Food_Orders[[#This Row],[Food_ID]],Food_Catalog[[#All],[Food_ID]],Food_Catalog[[#All],[Client_Price_Per_Unit]],0,0)</f>
        <v>60000</v>
      </c>
      <c r="I2226">
        <f>Food_Orders[[#This Row],[Client_Price]]-Food_Orders[[#This Row],[Cost]]</f>
        <v>10000</v>
      </c>
    </row>
    <row r="2227" spans="1:9" x14ac:dyDescent="0.25">
      <c r="A2227">
        <v>95</v>
      </c>
      <c r="B2227" t="s">
        <v>29</v>
      </c>
      <c r="C2227" t="s">
        <v>8</v>
      </c>
      <c r="D2227" t="s">
        <v>30</v>
      </c>
      <c r="E2227" t="s">
        <v>10</v>
      </c>
      <c r="F2227" cm="1">
        <f t="array" ref="F2227">_xlfn.XLOOKUP(Food_Orders[[#This Row],[Event_No]],Event_Master[[#All],[Event_No]],Event_Master[[#All],[Guest_Count]],,0)</f>
        <v>2000</v>
      </c>
      <c r="G2227" cm="1">
        <f t="array" ref="G2227">Food_Orders[[#This Row],[Quantity_Orderd]]*_xlfn.XLOOKUP(Food_Orders[[#This Row],[Food_ID]],Food_Catalog[[#All],[Food_ID]],Food_Catalog[[#All],[Price_Per_Unit]],0,0)</f>
        <v>60000</v>
      </c>
      <c r="H2227" cm="1">
        <f t="array" ref="H2227">Food_Orders[[#This Row],[Quantity_Orderd]]*_xlfn.XLOOKUP(Food_Orders[[#This Row],[Food_ID]],Food_Catalog[[#All],[Food_ID]],Food_Catalog[[#All],[Client_Price_Per_Unit]],0,0)</f>
        <v>72000</v>
      </c>
      <c r="I2227">
        <f>Food_Orders[[#This Row],[Client_Price]]-Food_Orders[[#This Row],[Cost]]</f>
        <v>12000</v>
      </c>
    </row>
    <row r="2228" spans="1:9" x14ac:dyDescent="0.25">
      <c r="A2228">
        <v>95</v>
      </c>
      <c r="B2228" t="s">
        <v>37</v>
      </c>
      <c r="C2228" t="s">
        <v>8</v>
      </c>
      <c r="D2228" t="s">
        <v>38</v>
      </c>
      <c r="E2228" t="s">
        <v>10</v>
      </c>
      <c r="F2228" cm="1">
        <f t="array" ref="F2228">_xlfn.XLOOKUP(Food_Orders[[#This Row],[Event_No]],Event_Master[[#All],[Event_No]],Event_Master[[#All],[Guest_Count]],,0)</f>
        <v>2000</v>
      </c>
      <c r="G2228" cm="1">
        <f t="array" ref="G2228">Food_Orders[[#This Row],[Quantity_Orderd]]*_xlfn.XLOOKUP(Food_Orders[[#This Row],[Food_ID]],Food_Catalog[[#All],[Food_ID]],Food_Catalog[[#All],[Price_Per_Unit]],0,0)</f>
        <v>50000</v>
      </c>
      <c r="H2228" cm="1">
        <f t="array" ref="H2228">Food_Orders[[#This Row],[Quantity_Orderd]]*_xlfn.XLOOKUP(Food_Orders[[#This Row],[Food_ID]],Food_Catalog[[#All],[Food_ID]],Food_Catalog[[#All],[Client_Price_Per_Unit]],0,0)</f>
        <v>60000</v>
      </c>
      <c r="I2228">
        <f>Food_Orders[[#This Row],[Client_Price]]-Food_Orders[[#This Row],[Cost]]</f>
        <v>10000</v>
      </c>
    </row>
    <row r="2229" spans="1:9" x14ac:dyDescent="0.25">
      <c r="A2229">
        <v>95</v>
      </c>
      <c r="B2229" t="s">
        <v>82</v>
      </c>
      <c r="C2229" t="s">
        <v>83</v>
      </c>
      <c r="D2229" t="s">
        <v>84</v>
      </c>
      <c r="E2229" t="s">
        <v>85</v>
      </c>
      <c r="F2229" cm="1">
        <f t="array" ref="F2229">_xlfn.XLOOKUP(Food_Orders[[#This Row],[Event_No]],Event_Master[[#All],[Event_No]],Event_Master[[#All],[Guest_Count]],,0)</f>
        <v>2000</v>
      </c>
      <c r="G2229" cm="1">
        <f t="array" ref="G2229">Food_Orders[[#This Row],[Quantity_Orderd]]*_xlfn.XLOOKUP(Food_Orders[[#This Row],[Food_ID]],Food_Catalog[[#All],[Food_ID]],Food_Catalog[[#All],[Price_Per_Unit]],0,0)</f>
        <v>40000</v>
      </c>
      <c r="H2229" cm="1">
        <f t="array" ref="H2229">Food_Orders[[#This Row],[Quantity_Orderd]]*_xlfn.XLOOKUP(Food_Orders[[#This Row],[Food_ID]],Food_Catalog[[#All],[Food_ID]],Food_Catalog[[#All],[Client_Price_Per_Unit]],0,0)</f>
        <v>48000</v>
      </c>
      <c r="I2229">
        <f>Food_Orders[[#This Row],[Client_Price]]-Food_Orders[[#This Row],[Cost]]</f>
        <v>8000</v>
      </c>
    </row>
    <row r="2230" spans="1:9" x14ac:dyDescent="0.25">
      <c r="A2230">
        <v>95</v>
      </c>
      <c r="B2230" t="s">
        <v>96</v>
      </c>
      <c r="C2230" t="s">
        <v>83</v>
      </c>
      <c r="D2230" t="s">
        <v>97</v>
      </c>
      <c r="E2230" t="s">
        <v>79</v>
      </c>
      <c r="F2230" cm="1">
        <f t="array" ref="F2230">_xlfn.XLOOKUP(Food_Orders[[#This Row],[Event_No]],Event_Master[[#All],[Event_No]],Event_Master[[#All],[Guest_Count]],,0)</f>
        <v>2000</v>
      </c>
      <c r="G2230" cm="1">
        <f t="array" ref="G2230">Food_Orders[[#This Row],[Quantity_Orderd]]*_xlfn.XLOOKUP(Food_Orders[[#This Row],[Food_ID]],Food_Catalog[[#All],[Food_ID]],Food_Catalog[[#All],[Price_Per_Unit]],0,0)</f>
        <v>60000</v>
      </c>
      <c r="H2230" cm="1">
        <f t="array" ref="H2230">Food_Orders[[#This Row],[Quantity_Orderd]]*_xlfn.XLOOKUP(Food_Orders[[#This Row],[Food_ID]],Food_Catalog[[#All],[Food_ID]],Food_Catalog[[#All],[Client_Price_Per_Unit]],0,0)</f>
        <v>72000</v>
      </c>
      <c r="I2230">
        <f>Food_Orders[[#This Row],[Client_Price]]-Food_Orders[[#This Row],[Cost]]</f>
        <v>12000</v>
      </c>
    </row>
    <row r="2231" spans="1:9" x14ac:dyDescent="0.25">
      <c r="A2231">
        <v>95</v>
      </c>
      <c r="B2231" t="s">
        <v>92</v>
      </c>
      <c r="C2231" t="s">
        <v>83</v>
      </c>
      <c r="D2231" t="s">
        <v>93</v>
      </c>
      <c r="E2231" t="s">
        <v>85</v>
      </c>
      <c r="F2231" cm="1">
        <f t="array" ref="F2231">_xlfn.XLOOKUP(Food_Orders[[#This Row],[Event_No]],Event_Master[[#All],[Event_No]],Event_Master[[#All],[Guest_Count]],,0)</f>
        <v>2000</v>
      </c>
      <c r="G2231" cm="1">
        <f t="array" ref="G2231">Food_Orders[[#This Row],[Quantity_Orderd]]*_xlfn.XLOOKUP(Food_Orders[[#This Row],[Food_ID]],Food_Catalog[[#All],[Food_ID]],Food_Catalog[[#All],[Price_Per_Unit]],0,0)</f>
        <v>30000</v>
      </c>
      <c r="H2231" cm="1">
        <f t="array" ref="H2231">Food_Orders[[#This Row],[Quantity_Orderd]]*_xlfn.XLOOKUP(Food_Orders[[#This Row],[Food_ID]],Food_Catalog[[#All],[Food_ID]],Food_Catalog[[#All],[Client_Price_Per_Unit]],0,0)</f>
        <v>36000</v>
      </c>
      <c r="I2231">
        <f>Food_Orders[[#This Row],[Client_Price]]-Food_Orders[[#This Row],[Cost]]</f>
        <v>6000</v>
      </c>
    </row>
    <row r="2232" spans="1:9" x14ac:dyDescent="0.25">
      <c r="A2232">
        <v>95</v>
      </c>
      <c r="B2232" t="s">
        <v>98</v>
      </c>
      <c r="C2232" t="s">
        <v>83</v>
      </c>
      <c r="D2232" t="s">
        <v>99</v>
      </c>
      <c r="E2232" t="s">
        <v>85</v>
      </c>
      <c r="F2232" cm="1">
        <f t="array" ref="F2232">_xlfn.XLOOKUP(Food_Orders[[#This Row],[Event_No]],Event_Master[[#All],[Event_No]],Event_Master[[#All],[Guest_Count]],,0)</f>
        <v>2000</v>
      </c>
      <c r="G2232" cm="1">
        <f t="array" ref="G2232">Food_Orders[[#This Row],[Quantity_Orderd]]*_xlfn.XLOOKUP(Food_Orders[[#This Row],[Food_ID]],Food_Catalog[[#All],[Food_ID]],Food_Catalog[[#All],[Price_Per_Unit]],0,0)</f>
        <v>30000</v>
      </c>
      <c r="H2232" cm="1">
        <f t="array" ref="H2232">Food_Orders[[#This Row],[Quantity_Orderd]]*_xlfn.XLOOKUP(Food_Orders[[#This Row],[Food_ID]],Food_Catalog[[#All],[Food_ID]],Food_Catalog[[#All],[Client_Price_Per_Unit]],0,0)</f>
        <v>36000</v>
      </c>
      <c r="I2232">
        <f>Food_Orders[[#This Row],[Client_Price]]-Food_Orders[[#This Row],[Cost]]</f>
        <v>6000</v>
      </c>
    </row>
    <row r="2233" spans="1:9" x14ac:dyDescent="0.25">
      <c r="A2233">
        <v>96</v>
      </c>
      <c r="B2233" t="s">
        <v>118</v>
      </c>
      <c r="C2233" t="s">
        <v>119</v>
      </c>
      <c r="D2233" t="s">
        <v>120</v>
      </c>
      <c r="E2233" t="s">
        <v>112</v>
      </c>
      <c r="F2233" cm="1">
        <f t="array" ref="F2233">_xlfn.XLOOKUP(Food_Orders[[#This Row],[Event_No]],Event_Master[[#All],[Event_No]],Event_Master[[#All],[Guest_Count]],,0)</f>
        <v>750</v>
      </c>
      <c r="G2233" cm="1">
        <f t="array" ref="G2233">Food_Orders[[#This Row],[Quantity_Orderd]]*_xlfn.XLOOKUP(Food_Orders[[#This Row],[Food_ID]],Food_Catalog[[#All],[Food_ID]],Food_Catalog[[#All],[Price_Per_Unit]],0,0)</f>
        <v>7500</v>
      </c>
      <c r="H2233" cm="1">
        <f t="array" ref="H2233">Food_Orders[[#This Row],[Quantity_Orderd]]*_xlfn.XLOOKUP(Food_Orders[[#This Row],[Food_ID]],Food_Catalog[[#All],[Food_ID]],Food_Catalog[[#All],[Client_Price_Per_Unit]],0,0)</f>
        <v>9000</v>
      </c>
      <c r="I2233">
        <f>Food_Orders[[#This Row],[Client_Price]]-Food_Orders[[#This Row],[Cost]]</f>
        <v>1500</v>
      </c>
    </row>
    <row r="2234" spans="1:9" x14ac:dyDescent="0.25">
      <c r="A2234">
        <v>96</v>
      </c>
      <c r="B2234" t="s">
        <v>129</v>
      </c>
      <c r="C2234" t="s">
        <v>119</v>
      </c>
      <c r="D2234" t="s">
        <v>130</v>
      </c>
      <c r="E2234" t="s">
        <v>112</v>
      </c>
      <c r="F2234" cm="1">
        <f t="array" ref="F2234">_xlfn.XLOOKUP(Food_Orders[[#This Row],[Event_No]],Event_Master[[#All],[Event_No]],Event_Master[[#All],[Guest_Count]],,0)</f>
        <v>750</v>
      </c>
      <c r="G2234" cm="1">
        <f t="array" ref="G2234">Food_Orders[[#This Row],[Quantity_Orderd]]*_xlfn.XLOOKUP(Food_Orders[[#This Row],[Food_ID]],Food_Catalog[[#All],[Food_ID]],Food_Catalog[[#All],[Price_Per_Unit]],0,0)</f>
        <v>7500</v>
      </c>
      <c r="H2234" cm="1">
        <f t="array" ref="H2234">Food_Orders[[#This Row],[Quantity_Orderd]]*_xlfn.XLOOKUP(Food_Orders[[#This Row],[Food_ID]],Food_Catalog[[#All],[Food_ID]],Food_Catalog[[#All],[Client_Price_Per_Unit]],0,0)</f>
        <v>9000</v>
      </c>
      <c r="I2234">
        <f>Food_Orders[[#This Row],[Client_Price]]-Food_Orders[[#This Row],[Cost]]</f>
        <v>1500</v>
      </c>
    </row>
    <row r="2235" spans="1:9" x14ac:dyDescent="0.25">
      <c r="A2235">
        <v>96</v>
      </c>
      <c r="B2235" t="s">
        <v>104</v>
      </c>
      <c r="C2235" t="s">
        <v>105</v>
      </c>
      <c r="D2235" t="s">
        <v>106</v>
      </c>
      <c r="E2235" t="s">
        <v>107</v>
      </c>
      <c r="F2235" cm="1">
        <f t="array" ref="F2235">_xlfn.XLOOKUP(Food_Orders[[#This Row],[Event_No]],Event_Master[[#All],[Event_No]],Event_Master[[#All],[Guest_Count]],,0)</f>
        <v>750</v>
      </c>
      <c r="G2235" cm="1">
        <f t="array" ref="G2235">Food_Orders[[#This Row],[Quantity_Orderd]]*_xlfn.XLOOKUP(Food_Orders[[#This Row],[Food_ID]],Food_Catalog[[#All],[Food_ID]],Food_Catalog[[#All],[Price_Per_Unit]],0,0)</f>
        <v>7500</v>
      </c>
      <c r="H2235" cm="1">
        <f t="array" ref="H2235">Food_Orders[[#This Row],[Quantity_Orderd]]*_xlfn.XLOOKUP(Food_Orders[[#This Row],[Food_ID]],Food_Catalog[[#All],[Food_ID]],Food_Catalog[[#All],[Client_Price_Per_Unit]],0,0)</f>
        <v>9000</v>
      </c>
      <c r="I2235">
        <f>Food_Orders[[#This Row],[Client_Price]]-Food_Orders[[#This Row],[Cost]]</f>
        <v>1500</v>
      </c>
    </row>
    <row r="2236" spans="1:9" x14ac:dyDescent="0.25">
      <c r="A2236">
        <v>96</v>
      </c>
      <c r="B2236" t="s">
        <v>108</v>
      </c>
      <c r="C2236" t="s">
        <v>105</v>
      </c>
      <c r="D2236" t="s">
        <v>109</v>
      </c>
      <c r="E2236" t="s">
        <v>107</v>
      </c>
      <c r="F2236" cm="1">
        <f t="array" ref="F2236">_xlfn.XLOOKUP(Food_Orders[[#This Row],[Event_No]],Event_Master[[#All],[Event_No]],Event_Master[[#All],[Guest_Count]],,0)</f>
        <v>750</v>
      </c>
      <c r="G2236" cm="1">
        <f t="array" ref="G2236">Food_Orders[[#This Row],[Quantity_Orderd]]*_xlfn.XLOOKUP(Food_Orders[[#This Row],[Food_ID]],Food_Catalog[[#All],[Food_ID]],Food_Catalog[[#All],[Price_Per_Unit]],0,0)</f>
        <v>11250</v>
      </c>
      <c r="H2236" cm="1">
        <f t="array" ref="H2236">Food_Orders[[#This Row],[Quantity_Orderd]]*_xlfn.XLOOKUP(Food_Orders[[#This Row],[Food_ID]],Food_Catalog[[#All],[Food_ID]],Food_Catalog[[#All],[Client_Price_Per_Unit]],0,0)</f>
        <v>13500</v>
      </c>
      <c r="I2236">
        <f>Food_Orders[[#This Row],[Client_Price]]-Food_Orders[[#This Row],[Cost]]</f>
        <v>2250</v>
      </c>
    </row>
    <row r="2237" spans="1:9" x14ac:dyDescent="0.25">
      <c r="A2237">
        <v>96</v>
      </c>
      <c r="B2237" t="s">
        <v>127</v>
      </c>
      <c r="C2237" t="s">
        <v>119</v>
      </c>
      <c r="D2237" t="s">
        <v>128</v>
      </c>
      <c r="E2237" t="s">
        <v>107</v>
      </c>
      <c r="F2237" cm="1">
        <f t="array" ref="F2237">_xlfn.XLOOKUP(Food_Orders[[#This Row],[Event_No]],Event_Master[[#All],[Event_No]],Event_Master[[#All],[Guest_Count]],,0)</f>
        <v>750</v>
      </c>
      <c r="G2237" cm="1">
        <f t="array" ref="G2237">Food_Orders[[#This Row],[Quantity_Orderd]]*_xlfn.XLOOKUP(Food_Orders[[#This Row],[Food_ID]],Food_Catalog[[#All],[Food_ID]],Food_Catalog[[#All],[Price_Per_Unit]],0,0)</f>
        <v>15000</v>
      </c>
      <c r="H2237" cm="1">
        <f t="array" ref="H2237">Food_Orders[[#This Row],[Quantity_Orderd]]*_xlfn.XLOOKUP(Food_Orders[[#This Row],[Food_ID]],Food_Catalog[[#All],[Food_ID]],Food_Catalog[[#All],[Client_Price_Per_Unit]],0,0)</f>
        <v>18000</v>
      </c>
      <c r="I2237">
        <f>Food_Orders[[#This Row],[Client_Price]]-Food_Orders[[#This Row],[Cost]]</f>
        <v>3000</v>
      </c>
    </row>
    <row r="2238" spans="1:9" x14ac:dyDescent="0.25">
      <c r="A2238">
        <v>96</v>
      </c>
      <c r="B2238" t="s">
        <v>124</v>
      </c>
      <c r="C2238" t="s">
        <v>119</v>
      </c>
      <c r="D2238" t="s">
        <v>125</v>
      </c>
      <c r="E2238" t="s">
        <v>126</v>
      </c>
      <c r="F2238" cm="1">
        <f t="array" ref="F2238">_xlfn.XLOOKUP(Food_Orders[[#This Row],[Event_No]],Event_Master[[#All],[Event_No]],Event_Master[[#All],[Guest_Count]],,0)</f>
        <v>750</v>
      </c>
      <c r="G2238" cm="1">
        <f t="array" ref="G2238">Food_Orders[[#This Row],[Quantity_Orderd]]*_xlfn.XLOOKUP(Food_Orders[[#This Row],[Food_ID]],Food_Catalog[[#All],[Food_ID]],Food_Catalog[[#All],[Price_Per_Unit]],0,0)</f>
        <v>15000</v>
      </c>
      <c r="H2238" cm="1">
        <f t="array" ref="H2238">Food_Orders[[#This Row],[Quantity_Orderd]]*_xlfn.XLOOKUP(Food_Orders[[#This Row],[Food_ID]],Food_Catalog[[#All],[Food_ID]],Food_Catalog[[#All],[Client_Price_Per_Unit]],0,0)</f>
        <v>18000</v>
      </c>
      <c r="I2238">
        <f>Food_Orders[[#This Row],[Client_Price]]-Food_Orders[[#This Row],[Cost]]</f>
        <v>3000</v>
      </c>
    </row>
    <row r="2239" spans="1:9" x14ac:dyDescent="0.25">
      <c r="A2239">
        <v>96</v>
      </c>
      <c r="B2239" t="s">
        <v>121</v>
      </c>
      <c r="C2239" t="s">
        <v>119</v>
      </c>
      <c r="D2239" t="s">
        <v>122</v>
      </c>
      <c r="E2239" t="s">
        <v>123</v>
      </c>
      <c r="F2239" cm="1">
        <f t="array" ref="F2239">_xlfn.XLOOKUP(Food_Orders[[#This Row],[Event_No]],Event_Master[[#All],[Event_No]],Event_Master[[#All],[Guest_Count]],,0)</f>
        <v>750</v>
      </c>
      <c r="G2239" cm="1">
        <f t="array" ref="G2239">Food_Orders[[#This Row],[Quantity_Orderd]]*_xlfn.XLOOKUP(Food_Orders[[#This Row],[Food_ID]],Food_Catalog[[#All],[Food_ID]],Food_Catalog[[#All],[Price_Per_Unit]],0,0)</f>
        <v>7500</v>
      </c>
      <c r="H2239" cm="1">
        <f t="array" ref="H2239">Food_Orders[[#This Row],[Quantity_Orderd]]*_xlfn.XLOOKUP(Food_Orders[[#This Row],[Food_ID]],Food_Catalog[[#All],[Food_ID]],Food_Catalog[[#All],[Client_Price_Per_Unit]],0,0)</f>
        <v>9000</v>
      </c>
      <c r="I2239">
        <f>Food_Orders[[#This Row],[Client_Price]]-Food_Orders[[#This Row],[Cost]]</f>
        <v>1500</v>
      </c>
    </row>
    <row r="2240" spans="1:9" x14ac:dyDescent="0.25">
      <c r="A2240">
        <v>96</v>
      </c>
      <c r="B2240" t="s">
        <v>63</v>
      </c>
      <c r="C2240" t="s">
        <v>61</v>
      </c>
      <c r="D2240" t="s">
        <v>64</v>
      </c>
      <c r="E2240" t="s">
        <v>10</v>
      </c>
      <c r="F2240" cm="1">
        <f t="array" ref="F2240">_xlfn.XLOOKUP(Food_Orders[[#This Row],[Event_No]],Event_Master[[#All],[Event_No]],Event_Master[[#All],[Guest_Count]],,0)</f>
        <v>750</v>
      </c>
      <c r="G2240" cm="1">
        <f t="array" ref="G2240">Food_Orders[[#This Row],[Quantity_Orderd]]*_xlfn.XLOOKUP(Food_Orders[[#This Row],[Food_ID]],Food_Catalog[[#All],[Food_ID]],Food_Catalog[[#All],[Price_Per_Unit]],0,0)</f>
        <v>22500</v>
      </c>
      <c r="H2240" cm="1">
        <f t="array" ref="H2240">Food_Orders[[#This Row],[Quantity_Orderd]]*_xlfn.XLOOKUP(Food_Orders[[#This Row],[Food_ID]],Food_Catalog[[#All],[Food_ID]],Food_Catalog[[#All],[Client_Price_Per_Unit]],0,0)</f>
        <v>27000</v>
      </c>
      <c r="I2240">
        <f>Food_Orders[[#This Row],[Client_Price]]-Food_Orders[[#This Row],[Cost]]</f>
        <v>4500</v>
      </c>
    </row>
    <row r="2241" spans="1:9" x14ac:dyDescent="0.25">
      <c r="A2241">
        <v>96</v>
      </c>
      <c r="B2241" t="s">
        <v>71</v>
      </c>
      <c r="C2241" t="s">
        <v>61</v>
      </c>
      <c r="D2241" t="s">
        <v>72</v>
      </c>
      <c r="E2241" t="s">
        <v>10</v>
      </c>
      <c r="F2241" cm="1">
        <f t="array" ref="F2241">_xlfn.XLOOKUP(Food_Orders[[#This Row],[Event_No]],Event_Master[[#All],[Event_No]],Event_Master[[#All],[Guest_Count]],,0)</f>
        <v>750</v>
      </c>
      <c r="G2241" cm="1">
        <f t="array" ref="G2241">Food_Orders[[#This Row],[Quantity_Orderd]]*_xlfn.XLOOKUP(Food_Orders[[#This Row],[Food_ID]],Food_Catalog[[#All],[Food_ID]],Food_Catalog[[#All],[Price_Per_Unit]],0,0)</f>
        <v>18750</v>
      </c>
      <c r="H2241" cm="1">
        <f t="array" ref="H2241">Food_Orders[[#This Row],[Quantity_Orderd]]*_xlfn.XLOOKUP(Food_Orders[[#This Row],[Food_ID]],Food_Catalog[[#All],[Food_ID]],Food_Catalog[[#All],[Client_Price_Per_Unit]],0,0)</f>
        <v>22500</v>
      </c>
      <c r="I2241">
        <f>Food_Orders[[#This Row],[Client_Price]]-Food_Orders[[#This Row],[Cost]]</f>
        <v>3750</v>
      </c>
    </row>
    <row r="2242" spans="1:9" x14ac:dyDescent="0.25">
      <c r="A2242">
        <v>96</v>
      </c>
      <c r="B2242" t="s">
        <v>29</v>
      </c>
      <c r="C2242" t="s">
        <v>8</v>
      </c>
      <c r="D2242" t="s">
        <v>30</v>
      </c>
      <c r="E2242" t="s">
        <v>10</v>
      </c>
      <c r="F2242" cm="1">
        <f t="array" ref="F2242">_xlfn.XLOOKUP(Food_Orders[[#This Row],[Event_No]],Event_Master[[#All],[Event_No]],Event_Master[[#All],[Guest_Count]],,0)</f>
        <v>750</v>
      </c>
      <c r="G2242" cm="1">
        <f t="array" ref="G2242">Food_Orders[[#This Row],[Quantity_Orderd]]*_xlfn.XLOOKUP(Food_Orders[[#This Row],[Food_ID]],Food_Catalog[[#All],[Food_ID]],Food_Catalog[[#All],[Price_Per_Unit]],0,0)</f>
        <v>22500</v>
      </c>
      <c r="H2242" cm="1">
        <f t="array" ref="H2242">Food_Orders[[#This Row],[Quantity_Orderd]]*_xlfn.XLOOKUP(Food_Orders[[#This Row],[Food_ID]],Food_Catalog[[#All],[Food_ID]],Food_Catalog[[#All],[Client_Price_Per_Unit]],0,0)</f>
        <v>27000</v>
      </c>
      <c r="I2242">
        <f>Food_Orders[[#This Row],[Client_Price]]-Food_Orders[[#This Row],[Cost]]</f>
        <v>4500</v>
      </c>
    </row>
    <row r="2243" spans="1:9" x14ac:dyDescent="0.25">
      <c r="A2243">
        <v>96</v>
      </c>
      <c r="B2243" t="s">
        <v>37</v>
      </c>
      <c r="C2243" t="s">
        <v>8</v>
      </c>
      <c r="D2243" t="s">
        <v>38</v>
      </c>
      <c r="E2243" t="s">
        <v>10</v>
      </c>
      <c r="F2243" cm="1">
        <f t="array" ref="F2243">_xlfn.XLOOKUP(Food_Orders[[#This Row],[Event_No]],Event_Master[[#All],[Event_No]],Event_Master[[#All],[Guest_Count]],,0)</f>
        <v>750</v>
      </c>
      <c r="G2243" cm="1">
        <f t="array" ref="G2243">Food_Orders[[#This Row],[Quantity_Orderd]]*_xlfn.XLOOKUP(Food_Orders[[#This Row],[Food_ID]],Food_Catalog[[#All],[Food_ID]],Food_Catalog[[#All],[Price_Per_Unit]],0,0)</f>
        <v>18750</v>
      </c>
      <c r="H2243" cm="1">
        <f t="array" ref="H2243">Food_Orders[[#This Row],[Quantity_Orderd]]*_xlfn.XLOOKUP(Food_Orders[[#This Row],[Food_ID]],Food_Catalog[[#All],[Food_ID]],Food_Catalog[[#All],[Client_Price_Per_Unit]],0,0)</f>
        <v>22500</v>
      </c>
      <c r="I2243">
        <f>Food_Orders[[#This Row],[Client_Price]]-Food_Orders[[#This Row],[Cost]]</f>
        <v>3750</v>
      </c>
    </row>
    <row r="2244" spans="1:9" x14ac:dyDescent="0.25">
      <c r="A2244">
        <v>96</v>
      </c>
      <c r="B2244" t="s">
        <v>69</v>
      </c>
      <c r="C2244" t="s">
        <v>61</v>
      </c>
      <c r="D2244" t="s">
        <v>70</v>
      </c>
      <c r="E2244" t="s">
        <v>10</v>
      </c>
      <c r="F2244" cm="1">
        <f t="array" ref="F2244">_xlfn.XLOOKUP(Food_Orders[[#This Row],[Event_No]],Event_Master[[#All],[Event_No]],Event_Master[[#All],[Guest_Count]],,0)</f>
        <v>750</v>
      </c>
      <c r="G2244" cm="1">
        <f t="array" ref="G2244">Food_Orders[[#This Row],[Quantity_Orderd]]*_xlfn.XLOOKUP(Food_Orders[[#This Row],[Food_ID]],Food_Catalog[[#All],[Food_ID]],Food_Catalog[[#All],[Price_Per_Unit]],0,0)</f>
        <v>37500</v>
      </c>
      <c r="H2244" cm="1">
        <f t="array" ref="H2244">Food_Orders[[#This Row],[Quantity_Orderd]]*_xlfn.XLOOKUP(Food_Orders[[#This Row],[Food_ID]],Food_Catalog[[#All],[Food_ID]],Food_Catalog[[#All],[Client_Price_Per_Unit]],0,0)</f>
        <v>45000</v>
      </c>
      <c r="I2244">
        <f>Food_Orders[[#This Row],[Client_Price]]-Food_Orders[[#This Row],[Cost]]</f>
        <v>7500</v>
      </c>
    </row>
    <row r="2245" spans="1:9" x14ac:dyDescent="0.25">
      <c r="A2245">
        <v>96</v>
      </c>
      <c r="B2245" t="s">
        <v>27</v>
      </c>
      <c r="C2245" t="s">
        <v>8</v>
      </c>
      <c r="D2245" t="s">
        <v>28</v>
      </c>
      <c r="E2245" t="s">
        <v>10</v>
      </c>
      <c r="F2245" cm="1">
        <f t="array" ref="F2245">_xlfn.XLOOKUP(Food_Orders[[#This Row],[Event_No]],Event_Master[[#All],[Event_No]],Event_Master[[#All],[Guest_Count]],,0)</f>
        <v>750</v>
      </c>
      <c r="G2245" cm="1">
        <f t="array" ref="G2245">Food_Orders[[#This Row],[Quantity_Orderd]]*_xlfn.XLOOKUP(Food_Orders[[#This Row],[Food_ID]],Food_Catalog[[#All],[Food_ID]],Food_Catalog[[#All],[Price_Per_Unit]],0,0)</f>
        <v>30000</v>
      </c>
      <c r="H2245" cm="1">
        <f t="array" ref="H2245">Food_Orders[[#This Row],[Quantity_Orderd]]*_xlfn.XLOOKUP(Food_Orders[[#This Row],[Food_ID]],Food_Catalog[[#All],[Food_ID]],Food_Catalog[[#All],[Client_Price_Per_Unit]],0,0)</f>
        <v>36000</v>
      </c>
      <c r="I2245">
        <f>Food_Orders[[#This Row],[Client_Price]]-Food_Orders[[#This Row],[Cost]]</f>
        <v>6000</v>
      </c>
    </row>
    <row r="2246" spans="1:9" x14ac:dyDescent="0.25">
      <c r="A2246">
        <v>96</v>
      </c>
      <c r="B2246" t="s">
        <v>82</v>
      </c>
      <c r="C2246" t="s">
        <v>83</v>
      </c>
      <c r="D2246" t="s">
        <v>84</v>
      </c>
      <c r="E2246" t="s">
        <v>85</v>
      </c>
      <c r="F2246" cm="1">
        <f t="array" ref="F2246">_xlfn.XLOOKUP(Food_Orders[[#This Row],[Event_No]],Event_Master[[#All],[Event_No]],Event_Master[[#All],[Guest_Count]],,0)</f>
        <v>750</v>
      </c>
      <c r="G2246" cm="1">
        <f t="array" ref="G2246">Food_Orders[[#This Row],[Quantity_Orderd]]*_xlfn.XLOOKUP(Food_Orders[[#This Row],[Food_ID]],Food_Catalog[[#All],[Food_ID]],Food_Catalog[[#All],[Price_Per_Unit]],0,0)</f>
        <v>15000</v>
      </c>
      <c r="H2246" cm="1">
        <f t="array" ref="H2246">Food_Orders[[#This Row],[Quantity_Orderd]]*_xlfn.XLOOKUP(Food_Orders[[#This Row],[Food_ID]],Food_Catalog[[#All],[Food_ID]],Food_Catalog[[#All],[Client_Price_Per_Unit]],0,0)</f>
        <v>18000</v>
      </c>
      <c r="I2246">
        <f>Food_Orders[[#This Row],[Client_Price]]-Food_Orders[[#This Row],[Cost]]</f>
        <v>3000</v>
      </c>
    </row>
    <row r="2247" spans="1:9" x14ac:dyDescent="0.25">
      <c r="A2247">
        <v>96</v>
      </c>
      <c r="B2247" t="s">
        <v>86</v>
      </c>
      <c r="C2247" t="s">
        <v>83</v>
      </c>
      <c r="D2247" t="s">
        <v>87</v>
      </c>
      <c r="E2247" t="s">
        <v>85</v>
      </c>
      <c r="F2247" cm="1">
        <f t="array" ref="F2247">_xlfn.XLOOKUP(Food_Orders[[#This Row],[Event_No]],Event_Master[[#All],[Event_No]],Event_Master[[#All],[Guest_Count]],,0)</f>
        <v>750</v>
      </c>
      <c r="G2247" cm="1">
        <f t="array" ref="G2247">Food_Orders[[#This Row],[Quantity_Orderd]]*_xlfn.XLOOKUP(Food_Orders[[#This Row],[Food_ID]],Food_Catalog[[#All],[Food_ID]],Food_Catalog[[#All],[Price_Per_Unit]],0,0)</f>
        <v>15000</v>
      </c>
      <c r="H2247" cm="1">
        <f t="array" ref="H2247">Food_Orders[[#This Row],[Quantity_Orderd]]*_xlfn.XLOOKUP(Food_Orders[[#This Row],[Food_ID]],Food_Catalog[[#All],[Food_ID]],Food_Catalog[[#All],[Client_Price_Per_Unit]],0,0)</f>
        <v>18000</v>
      </c>
      <c r="I2247">
        <f>Food_Orders[[#This Row],[Client_Price]]-Food_Orders[[#This Row],[Cost]]</f>
        <v>3000</v>
      </c>
    </row>
    <row r="2248" spans="1:9" x14ac:dyDescent="0.25">
      <c r="A2248">
        <v>96</v>
      </c>
      <c r="B2248" t="s">
        <v>96</v>
      </c>
      <c r="C2248" t="s">
        <v>83</v>
      </c>
      <c r="D2248" t="s">
        <v>97</v>
      </c>
      <c r="E2248" t="s">
        <v>79</v>
      </c>
      <c r="F2248" cm="1">
        <f t="array" ref="F2248">_xlfn.XLOOKUP(Food_Orders[[#This Row],[Event_No]],Event_Master[[#All],[Event_No]],Event_Master[[#All],[Guest_Count]],,0)</f>
        <v>750</v>
      </c>
      <c r="G2248" cm="1">
        <f t="array" ref="G2248">Food_Orders[[#This Row],[Quantity_Orderd]]*_xlfn.XLOOKUP(Food_Orders[[#This Row],[Food_ID]],Food_Catalog[[#All],[Food_ID]],Food_Catalog[[#All],[Price_Per_Unit]],0,0)</f>
        <v>22500</v>
      </c>
      <c r="H2248" cm="1">
        <f t="array" ref="H2248">Food_Orders[[#This Row],[Quantity_Orderd]]*_xlfn.XLOOKUP(Food_Orders[[#This Row],[Food_ID]],Food_Catalog[[#All],[Food_ID]],Food_Catalog[[#All],[Client_Price_Per_Unit]],0,0)</f>
        <v>27000</v>
      </c>
      <c r="I2248">
        <f>Food_Orders[[#This Row],[Client_Price]]-Food_Orders[[#This Row],[Cost]]</f>
        <v>4500</v>
      </c>
    </row>
    <row r="2249" spans="1:9" x14ac:dyDescent="0.25">
      <c r="A2249">
        <v>96</v>
      </c>
      <c r="B2249" t="s">
        <v>92</v>
      </c>
      <c r="C2249" t="s">
        <v>83</v>
      </c>
      <c r="D2249" t="s">
        <v>93</v>
      </c>
      <c r="E2249" t="s">
        <v>85</v>
      </c>
      <c r="F2249" cm="1">
        <f t="array" ref="F2249">_xlfn.XLOOKUP(Food_Orders[[#This Row],[Event_No]],Event_Master[[#All],[Event_No]],Event_Master[[#All],[Guest_Count]],,0)</f>
        <v>750</v>
      </c>
      <c r="G2249" cm="1">
        <f t="array" ref="G2249">Food_Orders[[#This Row],[Quantity_Orderd]]*_xlfn.XLOOKUP(Food_Orders[[#This Row],[Food_ID]],Food_Catalog[[#All],[Food_ID]],Food_Catalog[[#All],[Price_Per_Unit]],0,0)</f>
        <v>11250</v>
      </c>
      <c r="H2249" cm="1">
        <f t="array" ref="H2249">Food_Orders[[#This Row],[Quantity_Orderd]]*_xlfn.XLOOKUP(Food_Orders[[#This Row],[Food_ID]],Food_Catalog[[#All],[Food_ID]],Food_Catalog[[#All],[Client_Price_Per_Unit]],0,0)</f>
        <v>13500</v>
      </c>
      <c r="I2249">
        <f>Food_Orders[[#This Row],[Client_Price]]-Food_Orders[[#This Row],[Cost]]</f>
        <v>2250</v>
      </c>
    </row>
    <row r="2250" spans="1:9" x14ac:dyDescent="0.25">
      <c r="A2250">
        <v>96</v>
      </c>
      <c r="B2250" t="s">
        <v>98</v>
      </c>
      <c r="C2250" t="s">
        <v>83</v>
      </c>
      <c r="D2250" t="s">
        <v>99</v>
      </c>
      <c r="E2250" t="s">
        <v>85</v>
      </c>
      <c r="F2250" cm="1">
        <f t="array" ref="F2250">_xlfn.XLOOKUP(Food_Orders[[#This Row],[Event_No]],Event_Master[[#All],[Event_No]],Event_Master[[#All],[Guest_Count]],,0)</f>
        <v>750</v>
      </c>
      <c r="G2250" cm="1">
        <f t="array" ref="G2250">Food_Orders[[#This Row],[Quantity_Orderd]]*_xlfn.XLOOKUP(Food_Orders[[#This Row],[Food_ID]],Food_Catalog[[#All],[Food_ID]],Food_Catalog[[#All],[Price_Per_Unit]],0,0)</f>
        <v>11250</v>
      </c>
      <c r="H2250" cm="1">
        <f t="array" ref="H2250">Food_Orders[[#This Row],[Quantity_Orderd]]*_xlfn.XLOOKUP(Food_Orders[[#This Row],[Food_ID]],Food_Catalog[[#All],[Food_ID]],Food_Catalog[[#All],[Client_Price_Per_Unit]],0,0)</f>
        <v>13500</v>
      </c>
      <c r="I2250">
        <f>Food_Orders[[#This Row],[Client_Price]]-Food_Orders[[#This Row],[Cost]]</f>
        <v>2250</v>
      </c>
    </row>
    <row r="2251" spans="1:9" x14ac:dyDescent="0.25">
      <c r="A2251">
        <v>97</v>
      </c>
      <c r="B2251" t="s">
        <v>118</v>
      </c>
      <c r="C2251" t="s">
        <v>119</v>
      </c>
      <c r="D2251" t="s">
        <v>120</v>
      </c>
      <c r="E2251" t="s">
        <v>112</v>
      </c>
      <c r="F2251" cm="1">
        <f t="array" ref="F2251">_xlfn.XLOOKUP(Food_Orders[[#This Row],[Event_No]],Event_Master[[#All],[Event_No]],Event_Master[[#All],[Guest_Count]],,0)</f>
        <v>400</v>
      </c>
      <c r="G2251" cm="1">
        <f t="array" ref="G2251">Food_Orders[[#This Row],[Quantity_Orderd]]*_xlfn.XLOOKUP(Food_Orders[[#This Row],[Food_ID]],Food_Catalog[[#All],[Food_ID]],Food_Catalog[[#All],[Price_Per_Unit]],0,0)</f>
        <v>4000</v>
      </c>
      <c r="H2251" cm="1">
        <f t="array" ref="H2251">Food_Orders[[#This Row],[Quantity_Orderd]]*_xlfn.XLOOKUP(Food_Orders[[#This Row],[Food_ID]],Food_Catalog[[#All],[Food_ID]],Food_Catalog[[#All],[Client_Price_Per_Unit]],0,0)</f>
        <v>4800</v>
      </c>
      <c r="I2251">
        <f>Food_Orders[[#This Row],[Client_Price]]-Food_Orders[[#This Row],[Cost]]</f>
        <v>800</v>
      </c>
    </row>
    <row r="2252" spans="1:9" x14ac:dyDescent="0.25">
      <c r="A2252">
        <v>97</v>
      </c>
      <c r="B2252" t="s">
        <v>129</v>
      </c>
      <c r="C2252" t="s">
        <v>119</v>
      </c>
      <c r="D2252" t="s">
        <v>130</v>
      </c>
      <c r="E2252" t="s">
        <v>112</v>
      </c>
      <c r="F2252" cm="1">
        <f t="array" ref="F2252">_xlfn.XLOOKUP(Food_Orders[[#This Row],[Event_No]],Event_Master[[#All],[Event_No]],Event_Master[[#All],[Guest_Count]],,0)</f>
        <v>400</v>
      </c>
      <c r="G2252" cm="1">
        <f t="array" ref="G2252">Food_Orders[[#This Row],[Quantity_Orderd]]*_xlfn.XLOOKUP(Food_Orders[[#This Row],[Food_ID]],Food_Catalog[[#All],[Food_ID]],Food_Catalog[[#All],[Price_Per_Unit]],0,0)</f>
        <v>4000</v>
      </c>
      <c r="H2252" cm="1">
        <f t="array" ref="H2252">Food_Orders[[#This Row],[Quantity_Orderd]]*_xlfn.XLOOKUP(Food_Orders[[#This Row],[Food_ID]],Food_Catalog[[#All],[Food_ID]],Food_Catalog[[#All],[Client_Price_Per_Unit]],0,0)</f>
        <v>4800</v>
      </c>
      <c r="I2252">
        <f>Food_Orders[[#This Row],[Client_Price]]-Food_Orders[[#This Row],[Cost]]</f>
        <v>800</v>
      </c>
    </row>
    <row r="2253" spans="1:9" x14ac:dyDescent="0.25">
      <c r="A2253">
        <v>97</v>
      </c>
      <c r="B2253" t="s">
        <v>104</v>
      </c>
      <c r="C2253" t="s">
        <v>105</v>
      </c>
      <c r="D2253" t="s">
        <v>106</v>
      </c>
      <c r="E2253" t="s">
        <v>107</v>
      </c>
      <c r="F2253" cm="1">
        <f t="array" ref="F2253">_xlfn.XLOOKUP(Food_Orders[[#This Row],[Event_No]],Event_Master[[#All],[Event_No]],Event_Master[[#All],[Guest_Count]],,0)</f>
        <v>400</v>
      </c>
      <c r="G2253" cm="1">
        <f t="array" ref="G2253">Food_Orders[[#This Row],[Quantity_Orderd]]*_xlfn.XLOOKUP(Food_Orders[[#This Row],[Food_ID]],Food_Catalog[[#All],[Food_ID]],Food_Catalog[[#All],[Price_Per_Unit]],0,0)</f>
        <v>4000</v>
      </c>
      <c r="H2253" cm="1">
        <f t="array" ref="H2253">Food_Orders[[#This Row],[Quantity_Orderd]]*_xlfn.XLOOKUP(Food_Orders[[#This Row],[Food_ID]],Food_Catalog[[#All],[Food_ID]],Food_Catalog[[#All],[Client_Price_Per_Unit]],0,0)</f>
        <v>4800</v>
      </c>
      <c r="I2253">
        <f>Food_Orders[[#This Row],[Client_Price]]-Food_Orders[[#This Row],[Cost]]</f>
        <v>800</v>
      </c>
    </row>
    <row r="2254" spans="1:9" x14ac:dyDescent="0.25">
      <c r="A2254">
        <v>97</v>
      </c>
      <c r="B2254" t="s">
        <v>108</v>
      </c>
      <c r="C2254" t="s">
        <v>105</v>
      </c>
      <c r="D2254" t="s">
        <v>109</v>
      </c>
      <c r="E2254" t="s">
        <v>107</v>
      </c>
      <c r="F2254" cm="1">
        <f t="array" ref="F2254">_xlfn.XLOOKUP(Food_Orders[[#This Row],[Event_No]],Event_Master[[#All],[Event_No]],Event_Master[[#All],[Guest_Count]],,0)</f>
        <v>400</v>
      </c>
      <c r="G2254" cm="1">
        <f t="array" ref="G2254">Food_Orders[[#This Row],[Quantity_Orderd]]*_xlfn.XLOOKUP(Food_Orders[[#This Row],[Food_ID]],Food_Catalog[[#All],[Food_ID]],Food_Catalog[[#All],[Price_Per_Unit]],0,0)</f>
        <v>6000</v>
      </c>
      <c r="H2254" cm="1">
        <f t="array" ref="H2254">Food_Orders[[#This Row],[Quantity_Orderd]]*_xlfn.XLOOKUP(Food_Orders[[#This Row],[Food_ID]],Food_Catalog[[#All],[Food_ID]],Food_Catalog[[#All],[Client_Price_Per_Unit]],0,0)</f>
        <v>7200</v>
      </c>
      <c r="I2254">
        <f>Food_Orders[[#This Row],[Client_Price]]-Food_Orders[[#This Row],[Cost]]</f>
        <v>1200</v>
      </c>
    </row>
    <row r="2255" spans="1:9" x14ac:dyDescent="0.25">
      <c r="A2255">
        <v>97</v>
      </c>
      <c r="B2255" t="s">
        <v>124</v>
      </c>
      <c r="C2255" t="s">
        <v>119</v>
      </c>
      <c r="D2255" t="s">
        <v>125</v>
      </c>
      <c r="E2255" t="s">
        <v>126</v>
      </c>
      <c r="F2255" cm="1">
        <f t="array" ref="F2255">_xlfn.XLOOKUP(Food_Orders[[#This Row],[Event_No]],Event_Master[[#All],[Event_No]],Event_Master[[#All],[Guest_Count]],,0)</f>
        <v>400</v>
      </c>
      <c r="G2255" cm="1">
        <f t="array" ref="G2255">Food_Orders[[#This Row],[Quantity_Orderd]]*_xlfn.XLOOKUP(Food_Orders[[#This Row],[Food_ID]],Food_Catalog[[#All],[Food_ID]],Food_Catalog[[#All],[Price_Per_Unit]],0,0)</f>
        <v>8000</v>
      </c>
      <c r="H2255" cm="1">
        <f t="array" ref="H2255">Food_Orders[[#This Row],[Quantity_Orderd]]*_xlfn.XLOOKUP(Food_Orders[[#This Row],[Food_ID]],Food_Catalog[[#All],[Food_ID]],Food_Catalog[[#All],[Client_Price_Per_Unit]],0,0)</f>
        <v>9600</v>
      </c>
      <c r="I2255">
        <f>Food_Orders[[#This Row],[Client_Price]]-Food_Orders[[#This Row],[Cost]]</f>
        <v>1600</v>
      </c>
    </row>
    <row r="2256" spans="1:9" x14ac:dyDescent="0.25">
      <c r="A2256">
        <v>97</v>
      </c>
      <c r="B2256" t="s">
        <v>121</v>
      </c>
      <c r="C2256" t="s">
        <v>119</v>
      </c>
      <c r="D2256" t="s">
        <v>122</v>
      </c>
      <c r="E2256" t="s">
        <v>123</v>
      </c>
      <c r="F2256" cm="1">
        <f t="array" ref="F2256">_xlfn.XLOOKUP(Food_Orders[[#This Row],[Event_No]],Event_Master[[#All],[Event_No]],Event_Master[[#All],[Guest_Count]],,0)</f>
        <v>400</v>
      </c>
      <c r="G2256" cm="1">
        <f t="array" ref="G2256">Food_Orders[[#This Row],[Quantity_Orderd]]*_xlfn.XLOOKUP(Food_Orders[[#This Row],[Food_ID]],Food_Catalog[[#All],[Food_ID]],Food_Catalog[[#All],[Price_Per_Unit]],0,0)</f>
        <v>4000</v>
      </c>
      <c r="H2256" cm="1">
        <f t="array" ref="H2256">Food_Orders[[#This Row],[Quantity_Orderd]]*_xlfn.XLOOKUP(Food_Orders[[#This Row],[Food_ID]],Food_Catalog[[#All],[Food_ID]],Food_Catalog[[#All],[Client_Price_Per_Unit]],0,0)</f>
        <v>4800</v>
      </c>
      <c r="I2256">
        <f>Food_Orders[[#This Row],[Client_Price]]-Food_Orders[[#This Row],[Cost]]</f>
        <v>800</v>
      </c>
    </row>
    <row r="2257" spans="1:9" x14ac:dyDescent="0.25">
      <c r="A2257">
        <v>97</v>
      </c>
      <c r="B2257" t="s">
        <v>127</v>
      </c>
      <c r="C2257" t="s">
        <v>119</v>
      </c>
      <c r="D2257" t="s">
        <v>128</v>
      </c>
      <c r="E2257" t="s">
        <v>107</v>
      </c>
      <c r="F2257" cm="1">
        <f t="array" ref="F2257">_xlfn.XLOOKUP(Food_Orders[[#This Row],[Event_No]],Event_Master[[#All],[Event_No]],Event_Master[[#All],[Guest_Count]],,0)</f>
        <v>400</v>
      </c>
      <c r="G2257" cm="1">
        <f t="array" ref="G2257">Food_Orders[[#This Row],[Quantity_Orderd]]*_xlfn.XLOOKUP(Food_Orders[[#This Row],[Food_ID]],Food_Catalog[[#All],[Food_ID]],Food_Catalog[[#All],[Price_Per_Unit]],0,0)</f>
        <v>8000</v>
      </c>
      <c r="H2257" cm="1">
        <f t="array" ref="H2257">Food_Orders[[#This Row],[Quantity_Orderd]]*_xlfn.XLOOKUP(Food_Orders[[#This Row],[Food_ID]],Food_Catalog[[#All],[Food_ID]],Food_Catalog[[#All],[Client_Price_Per_Unit]],0,0)</f>
        <v>9600</v>
      </c>
      <c r="I2257">
        <f>Food_Orders[[#This Row],[Client_Price]]-Food_Orders[[#This Row],[Cost]]</f>
        <v>1600</v>
      </c>
    </row>
    <row r="2258" spans="1:9" x14ac:dyDescent="0.25">
      <c r="A2258">
        <v>97</v>
      </c>
      <c r="B2258" t="s">
        <v>63</v>
      </c>
      <c r="C2258" t="s">
        <v>61</v>
      </c>
      <c r="D2258" t="s">
        <v>64</v>
      </c>
      <c r="E2258" t="s">
        <v>10</v>
      </c>
      <c r="F2258" cm="1">
        <f t="array" ref="F2258">_xlfn.XLOOKUP(Food_Orders[[#This Row],[Event_No]],Event_Master[[#All],[Event_No]],Event_Master[[#All],[Guest_Count]],,0)</f>
        <v>400</v>
      </c>
      <c r="G2258" cm="1">
        <f t="array" ref="G2258">Food_Orders[[#This Row],[Quantity_Orderd]]*_xlfn.XLOOKUP(Food_Orders[[#This Row],[Food_ID]],Food_Catalog[[#All],[Food_ID]],Food_Catalog[[#All],[Price_Per_Unit]],0,0)</f>
        <v>12000</v>
      </c>
      <c r="H2258" cm="1">
        <f t="array" ref="H2258">Food_Orders[[#This Row],[Quantity_Orderd]]*_xlfn.XLOOKUP(Food_Orders[[#This Row],[Food_ID]],Food_Catalog[[#All],[Food_ID]],Food_Catalog[[#All],[Client_Price_Per_Unit]],0,0)</f>
        <v>14400</v>
      </c>
      <c r="I2258">
        <f>Food_Orders[[#This Row],[Client_Price]]-Food_Orders[[#This Row],[Cost]]</f>
        <v>2400</v>
      </c>
    </row>
    <row r="2259" spans="1:9" x14ac:dyDescent="0.25">
      <c r="A2259">
        <v>97</v>
      </c>
      <c r="B2259" t="s">
        <v>71</v>
      </c>
      <c r="C2259" t="s">
        <v>61</v>
      </c>
      <c r="D2259" t="s">
        <v>72</v>
      </c>
      <c r="E2259" t="s">
        <v>10</v>
      </c>
      <c r="F2259" cm="1">
        <f t="array" ref="F2259">_xlfn.XLOOKUP(Food_Orders[[#This Row],[Event_No]],Event_Master[[#All],[Event_No]],Event_Master[[#All],[Guest_Count]],,0)</f>
        <v>400</v>
      </c>
      <c r="G2259" cm="1">
        <f t="array" ref="G2259">Food_Orders[[#This Row],[Quantity_Orderd]]*_xlfn.XLOOKUP(Food_Orders[[#This Row],[Food_ID]],Food_Catalog[[#All],[Food_ID]],Food_Catalog[[#All],[Price_Per_Unit]],0,0)</f>
        <v>10000</v>
      </c>
      <c r="H2259" cm="1">
        <f t="array" ref="H2259">Food_Orders[[#This Row],[Quantity_Orderd]]*_xlfn.XLOOKUP(Food_Orders[[#This Row],[Food_ID]],Food_Catalog[[#All],[Food_ID]],Food_Catalog[[#All],[Client_Price_Per_Unit]],0,0)</f>
        <v>12000</v>
      </c>
      <c r="I2259">
        <f>Food_Orders[[#This Row],[Client_Price]]-Food_Orders[[#This Row],[Cost]]</f>
        <v>2000</v>
      </c>
    </row>
    <row r="2260" spans="1:9" x14ac:dyDescent="0.25">
      <c r="A2260">
        <v>97</v>
      </c>
      <c r="B2260" t="s">
        <v>29</v>
      </c>
      <c r="C2260" t="s">
        <v>8</v>
      </c>
      <c r="D2260" t="s">
        <v>30</v>
      </c>
      <c r="E2260" t="s">
        <v>10</v>
      </c>
      <c r="F2260" cm="1">
        <f t="array" ref="F2260">_xlfn.XLOOKUP(Food_Orders[[#This Row],[Event_No]],Event_Master[[#All],[Event_No]],Event_Master[[#All],[Guest_Count]],,0)</f>
        <v>400</v>
      </c>
      <c r="G2260" cm="1">
        <f t="array" ref="G2260">Food_Orders[[#This Row],[Quantity_Orderd]]*_xlfn.XLOOKUP(Food_Orders[[#This Row],[Food_ID]],Food_Catalog[[#All],[Food_ID]],Food_Catalog[[#All],[Price_Per_Unit]],0,0)</f>
        <v>12000</v>
      </c>
      <c r="H2260" cm="1">
        <f t="array" ref="H2260">Food_Orders[[#This Row],[Quantity_Orderd]]*_xlfn.XLOOKUP(Food_Orders[[#This Row],[Food_ID]],Food_Catalog[[#All],[Food_ID]],Food_Catalog[[#All],[Client_Price_Per_Unit]],0,0)</f>
        <v>14400</v>
      </c>
      <c r="I2260">
        <f>Food_Orders[[#This Row],[Client_Price]]-Food_Orders[[#This Row],[Cost]]</f>
        <v>2400</v>
      </c>
    </row>
    <row r="2261" spans="1:9" x14ac:dyDescent="0.25">
      <c r="A2261">
        <v>97</v>
      </c>
      <c r="B2261" t="s">
        <v>37</v>
      </c>
      <c r="C2261" t="s">
        <v>8</v>
      </c>
      <c r="D2261" t="s">
        <v>38</v>
      </c>
      <c r="E2261" t="s">
        <v>10</v>
      </c>
      <c r="F2261" cm="1">
        <f t="array" ref="F2261">_xlfn.XLOOKUP(Food_Orders[[#This Row],[Event_No]],Event_Master[[#All],[Event_No]],Event_Master[[#All],[Guest_Count]],,0)</f>
        <v>400</v>
      </c>
      <c r="G2261" cm="1">
        <f t="array" ref="G2261">Food_Orders[[#This Row],[Quantity_Orderd]]*_xlfn.XLOOKUP(Food_Orders[[#This Row],[Food_ID]],Food_Catalog[[#All],[Food_ID]],Food_Catalog[[#All],[Price_Per_Unit]],0,0)</f>
        <v>10000</v>
      </c>
      <c r="H2261" cm="1">
        <f t="array" ref="H2261">Food_Orders[[#This Row],[Quantity_Orderd]]*_xlfn.XLOOKUP(Food_Orders[[#This Row],[Food_ID]],Food_Catalog[[#All],[Food_ID]],Food_Catalog[[#All],[Client_Price_Per_Unit]],0,0)</f>
        <v>12000</v>
      </c>
      <c r="I2261">
        <f>Food_Orders[[#This Row],[Client_Price]]-Food_Orders[[#This Row],[Cost]]</f>
        <v>2000</v>
      </c>
    </row>
    <row r="2262" spans="1:9" x14ac:dyDescent="0.25">
      <c r="A2262">
        <v>97</v>
      </c>
      <c r="B2262" t="s">
        <v>82</v>
      </c>
      <c r="C2262" t="s">
        <v>83</v>
      </c>
      <c r="D2262" t="s">
        <v>84</v>
      </c>
      <c r="E2262" t="s">
        <v>85</v>
      </c>
      <c r="F2262" cm="1">
        <f t="array" ref="F2262">_xlfn.XLOOKUP(Food_Orders[[#This Row],[Event_No]],Event_Master[[#All],[Event_No]],Event_Master[[#All],[Guest_Count]],,0)</f>
        <v>400</v>
      </c>
      <c r="G2262" cm="1">
        <f t="array" ref="G2262">Food_Orders[[#This Row],[Quantity_Orderd]]*_xlfn.XLOOKUP(Food_Orders[[#This Row],[Food_ID]],Food_Catalog[[#All],[Food_ID]],Food_Catalog[[#All],[Price_Per_Unit]],0,0)</f>
        <v>8000</v>
      </c>
      <c r="H2262" cm="1">
        <f t="array" ref="H2262">Food_Orders[[#This Row],[Quantity_Orderd]]*_xlfn.XLOOKUP(Food_Orders[[#This Row],[Food_ID]],Food_Catalog[[#All],[Food_ID]],Food_Catalog[[#All],[Client_Price_Per_Unit]],0,0)</f>
        <v>9600</v>
      </c>
      <c r="I2262">
        <f>Food_Orders[[#This Row],[Client_Price]]-Food_Orders[[#This Row],[Cost]]</f>
        <v>1600</v>
      </c>
    </row>
    <row r="2263" spans="1:9" x14ac:dyDescent="0.25">
      <c r="A2263">
        <v>97</v>
      </c>
      <c r="B2263" t="s">
        <v>96</v>
      </c>
      <c r="C2263" t="s">
        <v>83</v>
      </c>
      <c r="D2263" t="s">
        <v>97</v>
      </c>
      <c r="E2263" t="s">
        <v>79</v>
      </c>
      <c r="F2263" cm="1">
        <f t="array" ref="F2263">_xlfn.XLOOKUP(Food_Orders[[#This Row],[Event_No]],Event_Master[[#All],[Event_No]],Event_Master[[#All],[Guest_Count]],,0)</f>
        <v>400</v>
      </c>
      <c r="G2263" cm="1">
        <f t="array" ref="G2263">Food_Orders[[#This Row],[Quantity_Orderd]]*_xlfn.XLOOKUP(Food_Orders[[#This Row],[Food_ID]],Food_Catalog[[#All],[Food_ID]],Food_Catalog[[#All],[Price_Per_Unit]],0,0)</f>
        <v>12000</v>
      </c>
      <c r="H2263" cm="1">
        <f t="array" ref="H2263">Food_Orders[[#This Row],[Quantity_Orderd]]*_xlfn.XLOOKUP(Food_Orders[[#This Row],[Food_ID]],Food_Catalog[[#All],[Food_ID]],Food_Catalog[[#All],[Client_Price_Per_Unit]],0,0)</f>
        <v>14400</v>
      </c>
      <c r="I2263">
        <f>Food_Orders[[#This Row],[Client_Price]]-Food_Orders[[#This Row],[Cost]]</f>
        <v>2400</v>
      </c>
    </row>
    <row r="2264" spans="1:9" x14ac:dyDescent="0.25">
      <c r="A2264">
        <v>97</v>
      </c>
      <c r="B2264" t="s">
        <v>92</v>
      </c>
      <c r="C2264" t="s">
        <v>83</v>
      </c>
      <c r="D2264" t="s">
        <v>93</v>
      </c>
      <c r="E2264" t="s">
        <v>85</v>
      </c>
      <c r="F2264" cm="1">
        <f t="array" ref="F2264">_xlfn.XLOOKUP(Food_Orders[[#This Row],[Event_No]],Event_Master[[#All],[Event_No]],Event_Master[[#All],[Guest_Count]],,0)</f>
        <v>400</v>
      </c>
      <c r="G2264" cm="1">
        <f t="array" ref="G2264">Food_Orders[[#This Row],[Quantity_Orderd]]*_xlfn.XLOOKUP(Food_Orders[[#This Row],[Food_ID]],Food_Catalog[[#All],[Food_ID]],Food_Catalog[[#All],[Price_Per_Unit]],0,0)</f>
        <v>6000</v>
      </c>
      <c r="H2264" cm="1">
        <f t="array" ref="H2264">Food_Orders[[#This Row],[Quantity_Orderd]]*_xlfn.XLOOKUP(Food_Orders[[#This Row],[Food_ID]],Food_Catalog[[#All],[Food_ID]],Food_Catalog[[#All],[Client_Price_Per_Unit]],0,0)</f>
        <v>7200</v>
      </c>
      <c r="I2264">
        <f>Food_Orders[[#This Row],[Client_Price]]-Food_Orders[[#This Row],[Cost]]</f>
        <v>1200</v>
      </c>
    </row>
    <row r="2265" spans="1:9" x14ac:dyDescent="0.25">
      <c r="A2265">
        <v>98</v>
      </c>
      <c r="B2265" t="s">
        <v>60</v>
      </c>
      <c r="C2265" t="s">
        <v>61</v>
      </c>
      <c r="D2265" t="s">
        <v>62</v>
      </c>
      <c r="E2265" t="s">
        <v>10</v>
      </c>
      <c r="F2265" cm="1">
        <f t="array" ref="F2265">_xlfn.XLOOKUP(Food_Orders[[#This Row],[Event_No]],Event_Master[[#All],[Event_No]],Event_Master[[#All],[Guest_Count]],,0)</f>
        <v>750</v>
      </c>
      <c r="G2265" cm="1">
        <f t="array" ref="G2265">Food_Orders[[#This Row],[Quantity_Orderd]]*_xlfn.XLOOKUP(Food_Orders[[#This Row],[Food_ID]],Food_Catalog[[#All],[Food_ID]],Food_Catalog[[#All],[Price_Per_Unit]],0,0)</f>
        <v>15000</v>
      </c>
      <c r="H2265" cm="1">
        <f t="array" ref="H2265">Food_Orders[[#This Row],[Quantity_Orderd]]*_xlfn.XLOOKUP(Food_Orders[[#This Row],[Food_ID]],Food_Catalog[[#All],[Food_ID]],Food_Catalog[[#All],[Client_Price_Per_Unit]],0,0)</f>
        <v>18000</v>
      </c>
      <c r="I2265">
        <f>Food_Orders[[#This Row],[Client_Price]]-Food_Orders[[#This Row],[Cost]]</f>
        <v>3000</v>
      </c>
    </row>
    <row r="2266" spans="1:9" x14ac:dyDescent="0.25">
      <c r="A2266">
        <v>98</v>
      </c>
      <c r="B2266" t="s">
        <v>63</v>
      </c>
      <c r="C2266" t="s">
        <v>61</v>
      </c>
      <c r="D2266" t="s">
        <v>64</v>
      </c>
      <c r="E2266" t="s">
        <v>10</v>
      </c>
      <c r="F2266" cm="1">
        <f t="array" ref="F2266">_xlfn.XLOOKUP(Food_Orders[[#This Row],[Event_No]],Event_Master[[#All],[Event_No]],Event_Master[[#All],[Guest_Count]],,0)</f>
        <v>750</v>
      </c>
      <c r="G2266" cm="1">
        <f t="array" ref="G2266">Food_Orders[[#This Row],[Quantity_Orderd]]*_xlfn.XLOOKUP(Food_Orders[[#This Row],[Food_ID]],Food_Catalog[[#All],[Food_ID]],Food_Catalog[[#All],[Price_Per_Unit]],0,0)</f>
        <v>22500</v>
      </c>
      <c r="H2266" cm="1">
        <f t="array" ref="H2266">Food_Orders[[#This Row],[Quantity_Orderd]]*_xlfn.XLOOKUP(Food_Orders[[#This Row],[Food_ID]],Food_Catalog[[#All],[Food_ID]],Food_Catalog[[#All],[Client_Price_Per_Unit]],0,0)</f>
        <v>27000</v>
      </c>
      <c r="I2266">
        <f>Food_Orders[[#This Row],[Client_Price]]-Food_Orders[[#This Row],[Cost]]</f>
        <v>4500</v>
      </c>
    </row>
    <row r="2267" spans="1:9" x14ac:dyDescent="0.25">
      <c r="A2267">
        <v>98</v>
      </c>
      <c r="B2267" t="s">
        <v>71</v>
      </c>
      <c r="C2267" t="s">
        <v>61</v>
      </c>
      <c r="D2267" t="s">
        <v>72</v>
      </c>
      <c r="E2267" t="s">
        <v>10</v>
      </c>
      <c r="F2267" cm="1">
        <f t="array" ref="F2267">_xlfn.XLOOKUP(Food_Orders[[#This Row],[Event_No]],Event_Master[[#All],[Event_No]],Event_Master[[#All],[Guest_Count]],,0)</f>
        <v>750</v>
      </c>
      <c r="G2267" cm="1">
        <f t="array" ref="G2267">Food_Orders[[#This Row],[Quantity_Orderd]]*_xlfn.XLOOKUP(Food_Orders[[#This Row],[Food_ID]],Food_Catalog[[#All],[Food_ID]],Food_Catalog[[#All],[Price_Per_Unit]],0,0)</f>
        <v>18750</v>
      </c>
      <c r="H2267" cm="1">
        <f t="array" ref="H2267">Food_Orders[[#This Row],[Quantity_Orderd]]*_xlfn.XLOOKUP(Food_Orders[[#This Row],[Food_ID]],Food_Catalog[[#All],[Food_ID]],Food_Catalog[[#All],[Client_Price_Per_Unit]],0,0)</f>
        <v>22500</v>
      </c>
      <c r="I2267">
        <f>Food_Orders[[#This Row],[Client_Price]]-Food_Orders[[#This Row],[Cost]]</f>
        <v>3750</v>
      </c>
    </row>
    <row r="2268" spans="1:9" x14ac:dyDescent="0.25">
      <c r="A2268">
        <v>98</v>
      </c>
      <c r="B2268" t="s">
        <v>80</v>
      </c>
      <c r="C2268" t="s">
        <v>61</v>
      </c>
      <c r="D2268" t="s">
        <v>81</v>
      </c>
      <c r="E2268" t="s">
        <v>10</v>
      </c>
      <c r="F2268" cm="1">
        <f t="array" ref="F2268">_xlfn.XLOOKUP(Food_Orders[[#This Row],[Event_No]],Event_Master[[#All],[Event_No]],Event_Master[[#All],[Guest_Count]],,0)</f>
        <v>750</v>
      </c>
      <c r="G2268" cm="1">
        <f t="array" ref="G2268">Food_Orders[[#This Row],[Quantity_Orderd]]*_xlfn.XLOOKUP(Food_Orders[[#This Row],[Food_ID]],Food_Catalog[[#All],[Food_ID]],Food_Catalog[[#All],[Price_Per_Unit]],0,0)</f>
        <v>22500</v>
      </c>
      <c r="H2268" cm="1">
        <f t="array" ref="H2268">Food_Orders[[#This Row],[Quantity_Orderd]]*_xlfn.XLOOKUP(Food_Orders[[#This Row],[Food_ID]],Food_Catalog[[#All],[Food_ID]],Food_Catalog[[#All],[Client_Price_Per_Unit]],0,0)</f>
        <v>27000</v>
      </c>
      <c r="I2268">
        <f>Food_Orders[[#This Row],[Client_Price]]-Food_Orders[[#This Row],[Cost]]</f>
        <v>4500</v>
      </c>
    </row>
    <row r="2269" spans="1:9" x14ac:dyDescent="0.25">
      <c r="A2269">
        <v>98</v>
      </c>
      <c r="B2269" t="s">
        <v>73</v>
      </c>
      <c r="C2269" t="s">
        <v>61</v>
      </c>
      <c r="D2269" t="s">
        <v>74</v>
      </c>
      <c r="E2269" t="s">
        <v>10</v>
      </c>
      <c r="F2269" cm="1">
        <f t="array" ref="F2269">_xlfn.XLOOKUP(Food_Orders[[#This Row],[Event_No]],Event_Master[[#All],[Event_No]],Event_Master[[#All],[Guest_Count]],,0)</f>
        <v>750</v>
      </c>
      <c r="G2269" cm="1">
        <f t="array" ref="G2269">Food_Orders[[#This Row],[Quantity_Orderd]]*_xlfn.XLOOKUP(Food_Orders[[#This Row],[Food_ID]],Food_Catalog[[#All],[Food_ID]],Food_Catalog[[#All],[Price_Per_Unit]],0,0)</f>
        <v>30000</v>
      </c>
      <c r="H2269" cm="1">
        <f t="array" ref="H2269">Food_Orders[[#This Row],[Quantity_Orderd]]*_xlfn.XLOOKUP(Food_Orders[[#This Row],[Food_ID]],Food_Catalog[[#All],[Food_ID]],Food_Catalog[[#All],[Client_Price_Per_Unit]],0,0)</f>
        <v>36000</v>
      </c>
      <c r="I2269">
        <f>Food_Orders[[#This Row],[Client_Price]]-Food_Orders[[#This Row],[Cost]]</f>
        <v>6000</v>
      </c>
    </row>
    <row r="2270" spans="1:9" x14ac:dyDescent="0.25">
      <c r="A2270">
        <v>98</v>
      </c>
      <c r="B2270" t="s">
        <v>75</v>
      </c>
      <c r="C2270" t="s">
        <v>61</v>
      </c>
      <c r="D2270" t="s">
        <v>76</v>
      </c>
      <c r="E2270" t="s">
        <v>10</v>
      </c>
      <c r="F2270" cm="1">
        <f t="array" ref="F2270">_xlfn.XLOOKUP(Food_Orders[[#This Row],[Event_No]],Event_Master[[#All],[Event_No]],Event_Master[[#All],[Guest_Count]],,0)</f>
        <v>750</v>
      </c>
      <c r="G2270" cm="1">
        <f t="array" ref="G2270">Food_Orders[[#This Row],[Quantity_Orderd]]*_xlfn.XLOOKUP(Food_Orders[[#This Row],[Food_ID]],Food_Catalog[[#All],[Food_ID]],Food_Catalog[[#All],[Price_Per_Unit]],0,0)</f>
        <v>30000</v>
      </c>
      <c r="H2270" cm="1">
        <f t="array" ref="H2270">Food_Orders[[#This Row],[Quantity_Orderd]]*_xlfn.XLOOKUP(Food_Orders[[#This Row],[Food_ID]],Food_Catalog[[#All],[Food_ID]],Food_Catalog[[#All],[Client_Price_Per_Unit]],0,0)</f>
        <v>36000</v>
      </c>
      <c r="I2270">
        <f>Food_Orders[[#This Row],[Client_Price]]-Food_Orders[[#This Row],[Cost]]</f>
        <v>6000</v>
      </c>
    </row>
    <row r="2271" spans="1:9" x14ac:dyDescent="0.25">
      <c r="A2271">
        <v>98</v>
      </c>
      <c r="B2271" t="s">
        <v>69</v>
      </c>
      <c r="C2271" t="s">
        <v>61</v>
      </c>
      <c r="D2271" t="s">
        <v>70</v>
      </c>
      <c r="E2271" t="s">
        <v>10</v>
      </c>
      <c r="F2271" cm="1">
        <f t="array" ref="F2271">_xlfn.XLOOKUP(Food_Orders[[#This Row],[Event_No]],Event_Master[[#All],[Event_No]],Event_Master[[#All],[Guest_Count]],,0)</f>
        <v>750</v>
      </c>
      <c r="G2271" cm="1">
        <f t="array" ref="G2271">Food_Orders[[#This Row],[Quantity_Orderd]]*_xlfn.XLOOKUP(Food_Orders[[#This Row],[Food_ID]],Food_Catalog[[#All],[Food_ID]],Food_Catalog[[#All],[Price_Per_Unit]],0,0)</f>
        <v>37500</v>
      </c>
      <c r="H2271" cm="1">
        <f t="array" ref="H2271">Food_Orders[[#This Row],[Quantity_Orderd]]*_xlfn.XLOOKUP(Food_Orders[[#This Row],[Food_ID]],Food_Catalog[[#All],[Food_ID]],Food_Catalog[[#All],[Client_Price_Per_Unit]],0,0)</f>
        <v>45000</v>
      </c>
      <c r="I2271">
        <f>Food_Orders[[#This Row],[Client_Price]]-Food_Orders[[#This Row],[Cost]]</f>
        <v>7500</v>
      </c>
    </row>
    <row r="2272" spans="1:9" x14ac:dyDescent="0.25">
      <c r="A2272">
        <v>98</v>
      </c>
      <c r="B2272" t="s">
        <v>67</v>
      </c>
      <c r="C2272" t="s">
        <v>61</v>
      </c>
      <c r="D2272" t="s">
        <v>68</v>
      </c>
      <c r="E2272" t="s">
        <v>10</v>
      </c>
      <c r="F2272" cm="1">
        <f t="array" ref="F2272">_xlfn.XLOOKUP(Food_Orders[[#This Row],[Event_No]],Event_Master[[#All],[Event_No]],Event_Master[[#All],[Guest_Count]],,0)</f>
        <v>750</v>
      </c>
      <c r="G2272" cm="1">
        <f t="array" ref="G2272">Food_Orders[[#This Row],[Quantity_Orderd]]*_xlfn.XLOOKUP(Food_Orders[[#This Row],[Food_ID]],Food_Catalog[[#All],[Food_ID]],Food_Catalog[[#All],[Price_Per_Unit]],0,0)</f>
        <v>22500</v>
      </c>
      <c r="H2272" cm="1">
        <f t="array" ref="H2272">Food_Orders[[#This Row],[Quantity_Orderd]]*_xlfn.XLOOKUP(Food_Orders[[#This Row],[Food_ID]],Food_Catalog[[#All],[Food_ID]],Food_Catalog[[#All],[Client_Price_Per_Unit]],0,0)</f>
        <v>27000</v>
      </c>
      <c r="I2272">
        <f>Food_Orders[[#This Row],[Client_Price]]-Food_Orders[[#This Row],[Cost]]</f>
        <v>4500</v>
      </c>
    </row>
    <row r="2273" spans="1:9" x14ac:dyDescent="0.25">
      <c r="A2273">
        <v>98</v>
      </c>
      <c r="B2273" t="s">
        <v>77</v>
      </c>
      <c r="C2273" t="s">
        <v>61</v>
      </c>
      <c r="D2273" t="s">
        <v>78</v>
      </c>
      <c r="E2273" t="s">
        <v>79</v>
      </c>
      <c r="F2273" cm="1">
        <f t="array" ref="F2273">_xlfn.XLOOKUP(Food_Orders[[#This Row],[Event_No]],Event_Master[[#All],[Event_No]],Event_Master[[#All],[Guest_Count]],,0)</f>
        <v>750</v>
      </c>
      <c r="G2273" cm="1">
        <f t="array" ref="G2273">Food_Orders[[#This Row],[Quantity_Orderd]]*_xlfn.XLOOKUP(Food_Orders[[#This Row],[Food_ID]],Food_Catalog[[#All],[Food_ID]],Food_Catalog[[#All],[Price_Per_Unit]],0,0)</f>
        <v>26250</v>
      </c>
      <c r="H2273" cm="1">
        <f t="array" ref="H2273">Food_Orders[[#This Row],[Quantity_Orderd]]*_xlfn.XLOOKUP(Food_Orders[[#This Row],[Food_ID]],Food_Catalog[[#All],[Food_ID]],Food_Catalog[[#All],[Client_Price_Per_Unit]],0,0)</f>
        <v>31500</v>
      </c>
      <c r="I2273">
        <f>Food_Orders[[#This Row],[Client_Price]]-Food_Orders[[#This Row],[Cost]]</f>
        <v>5250</v>
      </c>
    </row>
    <row r="2274" spans="1:9" x14ac:dyDescent="0.25">
      <c r="A2274">
        <v>98</v>
      </c>
      <c r="B2274" t="s">
        <v>7</v>
      </c>
      <c r="C2274" t="s">
        <v>8</v>
      </c>
      <c r="D2274" t="s">
        <v>9</v>
      </c>
      <c r="E2274" t="s">
        <v>10</v>
      </c>
      <c r="F2274" cm="1">
        <f t="array" ref="F2274">_xlfn.XLOOKUP(Food_Orders[[#This Row],[Event_No]],Event_Master[[#All],[Event_No]],Event_Master[[#All],[Guest_Count]],,0)</f>
        <v>750</v>
      </c>
      <c r="G2274" cm="1">
        <f t="array" ref="G2274">Food_Orders[[#This Row],[Quantity_Orderd]]*_xlfn.XLOOKUP(Food_Orders[[#This Row],[Food_ID]],Food_Catalog[[#All],[Food_ID]],Food_Catalog[[#All],[Price_Per_Unit]],0,0)</f>
        <v>18750</v>
      </c>
      <c r="H2274" cm="1">
        <f t="array" ref="H2274">Food_Orders[[#This Row],[Quantity_Orderd]]*_xlfn.XLOOKUP(Food_Orders[[#This Row],[Food_ID]],Food_Catalog[[#All],[Food_ID]],Food_Catalog[[#All],[Client_Price_Per_Unit]],0,0)</f>
        <v>22500</v>
      </c>
      <c r="I2274">
        <f>Food_Orders[[#This Row],[Client_Price]]-Food_Orders[[#This Row],[Cost]]</f>
        <v>3750</v>
      </c>
    </row>
    <row r="2275" spans="1:9" x14ac:dyDescent="0.25">
      <c r="A2275">
        <v>98</v>
      </c>
      <c r="B2275" t="s">
        <v>13</v>
      </c>
      <c r="C2275" t="s">
        <v>8</v>
      </c>
      <c r="D2275" t="s">
        <v>14</v>
      </c>
      <c r="E2275" t="s">
        <v>10</v>
      </c>
      <c r="F2275" cm="1">
        <f t="array" ref="F2275">_xlfn.XLOOKUP(Food_Orders[[#This Row],[Event_No]],Event_Master[[#All],[Event_No]],Event_Master[[#All],[Guest_Count]],,0)</f>
        <v>750</v>
      </c>
      <c r="G2275" cm="1">
        <f t="array" ref="G2275">Food_Orders[[#This Row],[Quantity_Orderd]]*_xlfn.XLOOKUP(Food_Orders[[#This Row],[Food_ID]],Food_Catalog[[#All],[Food_ID]],Food_Catalog[[#All],[Price_Per_Unit]],0,0)</f>
        <v>26250</v>
      </c>
      <c r="H2275" cm="1">
        <f t="array" ref="H2275">Food_Orders[[#This Row],[Quantity_Orderd]]*_xlfn.XLOOKUP(Food_Orders[[#This Row],[Food_ID]],Food_Catalog[[#All],[Food_ID]],Food_Catalog[[#All],[Client_Price_Per_Unit]],0,0)</f>
        <v>31500</v>
      </c>
      <c r="I2275">
        <f>Food_Orders[[#This Row],[Client_Price]]-Food_Orders[[#This Row],[Cost]]</f>
        <v>5250</v>
      </c>
    </row>
    <row r="2276" spans="1:9" x14ac:dyDescent="0.25">
      <c r="A2276">
        <v>98</v>
      </c>
      <c r="B2276" t="s">
        <v>25</v>
      </c>
      <c r="C2276" t="s">
        <v>8</v>
      </c>
      <c r="D2276" t="s">
        <v>26</v>
      </c>
      <c r="E2276" t="s">
        <v>10</v>
      </c>
      <c r="F2276" cm="1">
        <f t="array" ref="F2276">_xlfn.XLOOKUP(Food_Orders[[#This Row],[Event_No]],Event_Master[[#All],[Event_No]],Event_Master[[#All],[Guest_Count]],,0)</f>
        <v>750</v>
      </c>
      <c r="G2276" cm="1">
        <f t="array" ref="G2276">Food_Orders[[#This Row],[Quantity_Orderd]]*_xlfn.XLOOKUP(Food_Orders[[#This Row],[Food_ID]],Food_Catalog[[#All],[Food_ID]],Food_Catalog[[#All],[Price_Per_Unit]],0,0)</f>
        <v>22500</v>
      </c>
      <c r="H2276" cm="1">
        <f t="array" ref="H2276">Food_Orders[[#This Row],[Quantity_Orderd]]*_xlfn.XLOOKUP(Food_Orders[[#This Row],[Food_ID]],Food_Catalog[[#All],[Food_ID]],Food_Catalog[[#All],[Client_Price_Per_Unit]],0,0)</f>
        <v>27000</v>
      </c>
      <c r="I2276">
        <f>Food_Orders[[#This Row],[Client_Price]]-Food_Orders[[#This Row],[Cost]]</f>
        <v>4500</v>
      </c>
    </row>
    <row r="2277" spans="1:9" x14ac:dyDescent="0.25">
      <c r="A2277">
        <v>98</v>
      </c>
      <c r="B2277" t="s">
        <v>15</v>
      </c>
      <c r="C2277" t="s">
        <v>8</v>
      </c>
      <c r="D2277" t="s">
        <v>16</v>
      </c>
      <c r="E2277" t="s">
        <v>10</v>
      </c>
      <c r="F2277" cm="1">
        <f t="array" ref="F2277">_xlfn.XLOOKUP(Food_Orders[[#This Row],[Event_No]],Event_Master[[#All],[Event_No]],Event_Master[[#All],[Guest_Count]],,0)</f>
        <v>750</v>
      </c>
      <c r="G2277" cm="1">
        <f t="array" ref="G2277">Food_Orders[[#This Row],[Quantity_Orderd]]*_xlfn.XLOOKUP(Food_Orders[[#This Row],[Food_ID]],Food_Catalog[[#All],[Food_ID]],Food_Catalog[[#All],[Price_Per_Unit]],0,0)</f>
        <v>22500</v>
      </c>
      <c r="H2277" cm="1">
        <f t="array" ref="H2277">Food_Orders[[#This Row],[Quantity_Orderd]]*_xlfn.XLOOKUP(Food_Orders[[#This Row],[Food_ID]],Food_Catalog[[#All],[Food_ID]],Food_Catalog[[#All],[Client_Price_Per_Unit]],0,0)</f>
        <v>27000</v>
      </c>
      <c r="I2277">
        <f>Food_Orders[[#This Row],[Client_Price]]-Food_Orders[[#This Row],[Cost]]</f>
        <v>4500</v>
      </c>
    </row>
    <row r="2278" spans="1:9" x14ac:dyDescent="0.25">
      <c r="A2278">
        <v>98</v>
      </c>
      <c r="B2278" t="s">
        <v>35</v>
      </c>
      <c r="C2278" t="s">
        <v>8</v>
      </c>
      <c r="D2278" t="s">
        <v>36</v>
      </c>
      <c r="E2278" t="s">
        <v>10</v>
      </c>
      <c r="F2278" cm="1">
        <f t="array" ref="F2278">_xlfn.XLOOKUP(Food_Orders[[#This Row],[Event_No]],Event_Master[[#All],[Event_No]],Event_Master[[#All],[Guest_Count]],,0)</f>
        <v>750</v>
      </c>
      <c r="G2278" cm="1">
        <f t="array" ref="G2278">Food_Orders[[#This Row],[Quantity_Orderd]]*_xlfn.XLOOKUP(Food_Orders[[#This Row],[Food_ID]],Food_Catalog[[#All],[Food_ID]],Food_Catalog[[#All],[Price_Per_Unit]],0,0)</f>
        <v>22500</v>
      </c>
      <c r="H2278" cm="1">
        <f t="array" ref="H2278">Food_Orders[[#This Row],[Quantity_Orderd]]*_xlfn.XLOOKUP(Food_Orders[[#This Row],[Food_ID]],Food_Catalog[[#All],[Food_ID]],Food_Catalog[[#All],[Client_Price_Per_Unit]],0,0)</f>
        <v>27000</v>
      </c>
      <c r="I2278">
        <f>Food_Orders[[#This Row],[Client_Price]]-Food_Orders[[#This Row],[Cost]]</f>
        <v>4500</v>
      </c>
    </row>
    <row r="2279" spans="1:9" x14ac:dyDescent="0.25">
      <c r="A2279">
        <v>98</v>
      </c>
      <c r="B2279" t="s">
        <v>27</v>
      </c>
      <c r="C2279" t="s">
        <v>8</v>
      </c>
      <c r="D2279" t="s">
        <v>28</v>
      </c>
      <c r="E2279" t="s">
        <v>10</v>
      </c>
      <c r="F2279" cm="1">
        <f t="array" ref="F2279">_xlfn.XLOOKUP(Food_Orders[[#This Row],[Event_No]],Event_Master[[#All],[Event_No]],Event_Master[[#All],[Guest_Count]],,0)</f>
        <v>750</v>
      </c>
      <c r="G2279" cm="1">
        <f t="array" ref="G2279">Food_Orders[[#This Row],[Quantity_Orderd]]*_xlfn.XLOOKUP(Food_Orders[[#This Row],[Food_ID]],Food_Catalog[[#All],[Food_ID]],Food_Catalog[[#All],[Price_Per_Unit]],0,0)</f>
        <v>30000</v>
      </c>
      <c r="H2279" cm="1">
        <f t="array" ref="H2279">Food_Orders[[#This Row],[Quantity_Orderd]]*_xlfn.XLOOKUP(Food_Orders[[#This Row],[Food_ID]],Food_Catalog[[#All],[Food_ID]],Food_Catalog[[#All],[Client_Price_Per_Unit]],0,0)</f>
        <v>36000</v>
      </c>
      <c r="I2279">
        <f>Food_Orders[[#This Row],[Client_Price]]-Food_Orders[[#This Row],[Cost]]</f>
        <v>6000</v>
      </c>
    </row>
    <row r="2280" spans="1:9" x14ac:dyDescent="0.25">
      <c r="A2280">
        <v>98</v>
      </c>
      <c r="B2280" t="s">
        <v>31</v>
      </c>
      <c r="C2280" t="s">
        <v>8</v>
      </c>
      <c r="D2280" t="s">
        <v>32</v>
      </c>
      <c r="E2280" t="s">
        <v>10</v>
      </c>
      <c r="F2280" cm="1">
        <f t="array" ref="F2280">_xlfn.XLOOKUP(Food_Orders[[#This Row],[Event_No]],Event_Master[[#All],[Event_No]],Event_Master[[#All],[Guest_Count]],,0)</f>
        <v>750</v>
      </c>
      <c r="G2280" cm="1">
        <f t="array" ref="G2280">Food_Orders[[#This Row],[Quantity_Orderd]]*_xlfn.XLOOKUP(Food_Orders[[#This Row],[Food_ID]],Food_Catalog[[#All],[Food_ID]],Food_Catalog[[#All],[Price_Per_Unit]],0,0)</f>
        <v>22500</v>
      </c>
      <c r="H2280" cm="1">
        <f t="array" ref="H2280">Food_Orders[[#This Row],[Quantity_Orderd]]*_xlfn.XLOOKUP(Food_Orders[[#This Row],[Food_ID]],Food_Catalog[[#All],[Food_ID]],Food_Catalog[[#All],[Client_Price_Per_Unit]],0,0)</f>
        <v>27000</v>
      </c>
      <c r="I2280">
        <f>Food_Orders[[#This Row],[Client_Price]]-Food_Orders[[#This Row],[Cost]]</f>
        <v>4500</v>
      </c>
    </row>
    <row r="2281" spans="1:9" x14ac:dyDescent="0.25">
      <c r="A2281">
        <v>98</v>
      </c>
      <c r="B2281" t="s">
        <v>33</v>
      </c>
      <c r="C2281" t="s">
        <v>8</v>
      </c>
      <c r="D2281" t="s">
        <v>34</v>
      </c>
      <c r="E2281" t="s">
        <v>10</v>
      </c>
      <c r="F2281" cm="1">
        <f t="array" ref="F2281">_xlfn.XLOOKUP(Food_Orders[[#This Row],[Event_No]],Event_Master[[#All],[Event_No]],Event_Master[[#All],[Guest_Count]],,0)</f>
        <v>750</v>
      </c>
      <c r="G2281" cm="1">
        <f t="array" ref="G2281">Food_Orders[[#This Row],[Quantity_Orderd]]*_xlfn.XLOOKUP(Food_Orders[[#This Row],[Food_ID]],Food_Catalog[[#All],[Food_ID]],Food_Catalog[[#All],[Price_Per_Unit]],0,0)</f>
        <v>22500</v>
      </c>
      <c r="H2281" cm="1">
        <f t="array" ref="H2281">Food_Orders[[#This Row],[Quantity_Orderd]]*_xlfn.XLOOKUP(Food_Orders[[#This Row],[Food_ID]],Food_Catalog[[#All],[Food_ID]],Food_Catalog[[#All],[Client_Price_Per_Unit]],0,0)</f>
        <v>27000</v>
      </c>
      <c r="I2281">
        <f>Food_Orders[[#This Row],[Client_Price]]-Food_Orders[[#This Row],[Cost]]</f>
        <v>4500</v>
      </c>
    </row>
    <row r="2282" spans="1:9" x14ac:dyDescent="0.25">
      <c r="A2282">
        <v>98</v>
      </c>
      <c r="B2282" t="s">
        <v>17</v>
      </c>
      <c r="C2282" t="s">
        <v>8</v>
      </c>
      <c r="D2282" t="s">
        <v>18</v>
      </c>
      <c r="E2282" t="s">
        <v>10</v>
      </c>
      <c r="F2282" cm="1">
        <f t="array" ref="F2282">_xlfn.XLOOKUP(Food_Orders[[#This Row],[Event_No]],Event_Master[[#All],[Event_No]],Event_Master[[#All],[Guest_Count]],,0)</f>
        <v>750</v>
      </c>
      <c r="G2282" cm="1">
        <f t="array" ref="G2282">Food_Orders[[#This Row],[Quantity_Orderd]]*_xlfn.XLOOKUP(Food_Orders[[#This Row],[Food_ID]],Food_Catalog[[#All],[Food_ID]],Food_Catalog[[#All],[Price_Per_Unit]],0,0)</f>
        <v>30000</v>
      </c>
      <c r="H2282" cm="1">
        <f t="array" ref="H2282">Food_Orders[[#This Row],[Quantity_Orderd]]*_xlfn.XLOOKUP(Food_Orders[[#This Row],[Food_ID]],Food_Catalog[[#All],[Food_ID]],Food_Catalog[[#All],[Client_Price_Per_Unit]],0,0)</f>
        <v>36000</v>
      </c>
      <c r="I2282">
        <f>Food_Orders[[#This Row],[Client_Price]]-Food_Orders[[#This Row],[Cost]]</f>
        <v>6000</v>
      </c>
    </row>
    <row r="2283" spans="1:9" x14ac:dyDescent="0.25">
      <c r="A2283">
        <v>98</v>
      </c>
      <c r="B2283" t="s">
        <v>21</v>
      </c>
      <c r="C2283" t="s">
        <v>8</v>
      </c>
      <c r="D2283" t="s">
        <v>22</v>
      </c>
      <c r="E2283" t="s">
        <v>10</v>
      </c>
      <c r="F2283" cm="1">
        <f t="array" ref="F2283">_xlfn.XLOOKUP(Food_Orders[[#This Row],[Event_No]],Event_Master[[#All],[Event_No]],Event_Master[[#All],[Guest_Count]],,0)</f>
        <v>750</v>
      </c>
      <c r="G2283" cm="1">
        <f t="array" ref="G2283">Food_Orders[[#This Row],[Quantity_Orderd]]*_xlfn.XLOOKUP(Food_Orders[[#This Row],[Food_ID]],Food_Catalog[[#All],[Food_ID]],Food_Catalog[[#All],[Price_Per_Unit]],0,0)</f>
        <v>26250</v>
      </c>
      <c r="H2283" cm="1">
        <f t="array" ref="H2283">Food_Orders[[#This Row],[Quantity_Orderd]]*_xlfn.XLOOKUP(Food_Orders[[#This Row],[Food_ID]],Food_Catalog[[#All],[Food_ID]],Food_Catalog[[#All],[Client_Price_Per_Unit]],0,0)</f>
        <v>31500</v>
      </c>
      <c r="I2283">
        <f>Food_Orders[[#This Row],[Client_Price]]-Food_Orders[[#This Row],[Cost]]</f>
        <v>5250</v>
      </c>
    </row>
    <row r="2284" spans="1:9" x14ac:dyDescent="0.25">
      <c r="A2284">
        <v>98</v>
      </c>
      <c r="B2284" t="s">
        <v>19</v>
      </c>
      <c r="C2284" t="s">
        <v>8</v>
      </c>
      <c r="D2284" t="s">
        <v>20</v>
      </c>
      <c r="E2284" t="s">
        <v>10</v>
      </c>
      <c r="F2284" cm="1">
        <f t="array" ref="F2284">_xlfn.XLOOKUP(Food_Orders[[#This Row],[Event_No]],Event_Master[[#All],[Event_No]],Event_Master[[#All],[Guest_Count]],,0)</f>
        <v>750</v>
      </c>
      <c r="G2284" cm="1">
        <f t="array" ref="G2284">Food_Orders[[#This Row],[Quantity_Orderd]]*_xlfn.XLOOKUP(Food_Orders[[#This Row],[Food_ID]],Food_Catalog[[#All],[Food_ID]],Food_Catalog[[#All],[Price_Per_Unit]],0,0)</f>
        <v>26250</v>
      </c>
      <c r="H2284" cm="1">
        <f t="array" ref="H2284">Food_Orders[[#This Row],[Quantity_Orderd]]*_xlfn.XLOOKUP(Food_Orders[[#This Row],[Food_ID]],Food_Catalog[[#All],[Food_ID]],Food_Catalog[[#All],[Client_Price_Per_Unit]],0,0)</f>
        <v>31500</v>
      </c>
      <c r="I2284">
        <f>Food_Orders[[#This Row],[Client_Price]]-Food_Orders[[#This Row],[Cost]]</f>
        <v>5250</v>
      </c>
    </row>
    <row r="2285" spans="1:9" x14ac:dyDescent="0.25">
      <c r="A2285">
        <v>98</v>
      </c>
      <c r="B2285" t="s">
        <v>29</v>
      </c>
      <c r="C2285" t="s">
        <v>8</v>
      </c>
      <c r="D2285" t="s">
        <v>30</v>
      </c>
      <c r="E2285" t="s">
        <v>10</v>
      </c>
      <c r="F2285" cm="1">
        <f t="array" ref="F2285">_xlfn.XLOOKUP(Food_Orders[[#This Row],[Event_No]],Event_Master[[#All],[Event_No]],Event_Master[[#All],[Guest_Count]],,0)</f>
        <v>750</v>
      </c>
      <c r="G2285" cm="1">
        <f t="array" ref="G2285">Food_Orders[[#This Row],[Quantity_Orderd]]*_xlfn.XLOOKUP(Food_Orders[[#This Row],[Food_ID]],Food_Catalog[[#All],[Food_ID]],Food_Catalog[[#All],[Price_Per_Unit]],0,0)</f>
        <v>22500</v>
      </c>
      <c r="H2285" cm="1">
        <f t="array" ref="H2285">Food_Orders[[#This Row],[Quantity_Orderd]]*_xlfn.XLOOKUP(Food_Orders[[#This Row],[Food_ID]],Food_Catalog[[#All],[Food_ID]],Food_Catalog[[#All],[Client_Price_Per_Unit]],0,0)</f>
        <v>27000</v>
      </c>
      <c r="I2285">
        <f>Food_Orders[[#This Row],[Client_Price]]-Food_Orders[[#This Row],[Cost]]</f>
        <v>4500</v>
      </c>
    </row>
    <row r="2286" spans="1:9" x14ac:dyDescent="0.25">
      <c r="A2286">
        <v>98</v>
      </c>
      <c r="B2286" t="s">
        <v>37</v>
      </c>
      <c r="C2286" t="s">
        <v>8</v>
      </c>
      <c r="D2286" t="s">
        <v>38</v>
      </c>
      <c r="E2286" t="s">
        <v>10</v>
      </c>
      <c r="F2286" cm="1">
        <f t="array" ref="F2286">_xlfn.XLOOKUP(Food_Orders[[#This Row],[Event_No]],Event_Master[[#All],[Event_No]],Event_Master[[#All],[Guest_Count]],,0)</f>
        <v>750</v>
      </c>
      <c r="G2286" cm="1">
        <f t="array" ref="G2286">Food_Orders[[#This Row],[Quantity_Orderd]]*_xlfn.XLOOKUP(Food_Orders[[#This Row],[Food_ID]],Food_Catalog[[#All],[Food_ID]],Food_Catalog[[#All],[Price_Per_Unit]],0,0)</f>
        <v>18750</v>
      </c>
      <c r="H2286" cm="1">
        <f t="array" ref="H2286">Food_Orders[[#This Row],[Quantity_Orderd]]*_xlfn.XLOOKUP(Food_Orders[[#This Row],[Food_ID]],Food_Catalog[[#All],[Food_ID]],Food_Catalog[[#All],[Client_Price_Per_Unit]],0,0)</f>
        <v>22500</v>
      </c>
      <c r="I2286">
        <f>Food_Orders[[#This Row],[Client_Price]]-Food_Orders[[#This Row],[Cost]]</f>
        <v>3750</v>
      </c>
    </row>
    <row r="2287" spans="1:9" x14ac:dyDescent="0.25">
      <c r="A2287">
        <v>98</v>
      </c>
      <c r="B2287" t="s">
        <v>39</v>
      </c>
      <c r="C2287" t="s">
        <v>40</v>
      </c>
      <c r="D2287" t="s">
        <v>41</v>
      </c>
      <c r="E2287" t="s">
        <v>10</v>
      </c>
      <c r="F2287" cm="1">
        <f t="array" ref="F2287">_xlfn.XLOOKUP(Food_Orders[[#This Row],[Event_No]],Event_Master[[#All],[Event_No]],Event_Master[[#All],[Guest_Count]],,0)</f>
        <v>750</v>
      </c>
      <c r="G2287" cm="1">
        <f t="array" ref="G2287">Food_Orders[[#This Row],[Quantity_Orderd]]*_xlfn.XLOOKUP(Food_Orders[[#This Row],[Food_ID]],Food_Catalog[[#All],[Food_ID]],Food_Catalog[[#All],[Price_Per_Unit]],0,0)</f>
        <v>45000</v>
      </c>
      <c r="H2287" cm="1">
        <f t="array" ref="H2287">Food_Orders[[#This Row],[Quantity_Orderd]]*_xlfn.XLOOKUP(Food_Orders[[#This Row],[Food_ID]],Food_Catalog[[#All],[Food_ID]],Food_Catalog[[#All],[Client_Price_Per_Unit]],0,0)</f>
        <v>54000</v>
      </c>
      <c r="I2287">
        <f>Food_Orders[[#This Row],[Client_Price]]-Food_Orders[[#This Row],[Cost]]</f>
        <v>9000</v>
      </c>
    </row>
    <row r="2288" spans="1:9" x14ac:dyDescent="0.25">
      <c r="A2288">
        <v>98</v>
      </c>
      <c r="B2288" t="s">
        <v>42</v>
      </c>
      <c r="C2288" t="s">
        <v>40</v>
      </c>
      <c r="D2288" t="s">
        <v>43</v>
      </c>
      <c r="E2288" t="s">
        <v>10</v>
      </c>
      <c r="F2288" cm="1">
        <f t="array" ref="F2288">_xlfn.XLOOKUP(Food_Orders[[#This Row],[Event_No]],Event_Master[[#All],[Event_No]],Event_Master[[#All],[Guest_Count]],,0)</f>
        <v>750</v>
      </c>
      <c r="G2288" cm="1">
        <f t="array" ref="G2288">Food_Orders[[#This Row],[Quantity_Orderd]]*_xlfn.XLOOKUP(Food_Orders[[#This Row],[Food_ID]],Food_Catalog[[#All],[Food_ID]],Food_Catalog[[#All],[Price_Per_Unit]],0,0)</f>
        <v>52500</v>
      </c>
      <c r="H2288" cm="1">
        <f t="array" ref="H2288">Food_Orders[[#This Row],[Quantity_Orderd]]*_xlfn.XLOOKUP(Food_Orders[[#This Row],[Food_ID]],Food_Catalog[[#All],[Food_ID]],Food_Catalog[[#All],[Client_Price_Per_Unit]],0,0)</f>
        <v>63000</v>
      </c>
      <c r="I2288">
        <f>Food_Orders[[#This Row],[Client_Price]]-Food_Orders[[#This Row],[Cost]]</f>
        <v>10500</v>
      </c>
    </row>
    <row r="2289" spans="1:9" x14ac:dyDescent="0.25">
      <c r="A2289">
        <v>98</v>
      </c>
      <c r="B2289" t="s">
        <v>46</v>
      </c>
      <c r="C2289" t="s">
        <v>40</v>
      </c>
      <c r="D2289" t="s">
        <v>47</v>
      </c>
      <c r="E2289" t="s">
        <v>10</v>
      </c>
      <c r="F2289" cm="1">
        <f t="array" ref="F2289">_xlfn.XLOOKUP(Food_Orders[[#This Row],[Event_No]],Event_Master[[#All],[Event_No]],Event_Master[[#All],[Guest_Count]],,0)</f>
        <v>750</v>
      </c>
      <c r="G2289" cm="1">
        <f t="array" ref="G2289">Food_Orders[[#This Row],[Quantity_Orderd]]*_xlfn.XLOOKUP(Food_Orders[[#This Row],[Food_ID]],Food_Catalog[[#All],[Food_ID]],Food_Catalog[[#All],[Price_Per_Unit]],0,0)</f>
        <v>67500</v>
      </c>
      <c r="H2289" cm="1">
        <f t="array" ref="H2289">Food_Orders[[#This Row],[Quantity_Orderd]]*_xlfn.XLOOKUP(Food_Orders[[#This Row],[Food_ID]],Food_Catalog[[#All],[Food_ID]],Food_Catalog[[#All],[Client_Price_Per_Unit]],0,0)</f>
        <v>81000</v>
      </c>
      <c r="I2289">
        <f>Food_Orders[[#This Row],[Client_Price]]-Food_Orders[[#This Row],[Cost]]</f>
        <v>13500</v>
      </c>
    </row>
    <row r="2290" spans="1:9" x14ac:dyDescent="0.25">
      <c r="A2290">
        <v>98</v>
      </c>
      <c r="B2290" t="s">
        <v>48</v>
      </c>
      <c r="C2290" t="s">
        <v>40</v>
      </c>
      <c r="D2290" t="s">
        <v>49</v>
      </c>
      <c r="E2290" t="s">
        <v>10</v>
      </c>
      <c r="F2290" cm="1">
        <f t="array" ref="F2290">_xlfn.XLOOKUP(Food_Orders[[#This Row],[Event_No]],Event_Master[[#All],[Event_No]],Event_Master[[#All],[Guest_Count]],,0)</f>
        <v>750</v>
      </c>
      <c r="G2290" cm="1">
        <f t="array" ref="G2290">Food_Orders[[#This Row],[Quantity_Orderd]]*_xlfn.XLOOKUP(Food_Orders[[#This Row],[Food_ID]],Food_Catalog[[#All],[Food_ID]],Food_Catalog[[#All],[Price_Per_Unit]],0,0)</f>
        <v>75000</v>
      </c>
      <c r="H2290" cm="1">
        <f t="array" ref="H2290">Food_Orders[[#This Row],[Quantity_Orderd]]*_xlfn.XLOOKUP(Food_Orders[[#This Row],[Food_ID]],Food_Catalog[[#All],[Food_ID]],Food_Catalog[[#All],[Client_Price_Per_Unit]],0,0)</f>
        <v>90000</v>
      </c>
      <c r="I2290">
        <f>Food_Orders[[#This Row],[Client_Price]]-Food_Orders[[#This Row],[Cost]]</f>
        <v>15000</v>
      </c>
    </row>
    <row r="2291" spans="1:9" x14ac:dyDescent="0.25">
      <c r="A2291">
        <v>98</v>
      </c>
      <c r="B2291" t="s">
        <v>50</v>
      </c>
      <c r="C2291" t="s">
        <v>40</v>
      </c>
      <c r="D2291" t="s">
        <v>51</v>
      </c>
      <c r="E2291" t="s">
        <v>10</v>
      </c>
      <c r="F2291" cm="1">
        <f t="array" ref="F2291">_xlfn.XLOOKUP(Food_Orders[[#This Row],[Event_No]],Event_Master[[#All],[Event_No]],Event_Master[[#All],[Guest_Count]],,0)</f>
        <v>750</v>
      </c>
      <c r="G2291" cm="1">
        <f t="array" ref="G2291">Food_Orders[[#This Row],[Quantity_Orderd]]*_xlfn.XLOOKUP(Food_Orders[[#This Row],[Food_ID]],Food_Catalog[[#All],[Food_ID]],Food_Catalog[[#All],[Price_Per_Unit]],0,0)</f>
        <v>60000</v>
      </c>
      <c r="H2291" cm="1">
        <f t="array" ref="H2291">Food_Orders[[#This Row],[Quantity_Orderd]]*_xlfn.XLOOKUP(Food_Orders[[#This Row],[Food_ID]],Food_Catalog[[#All],[Food_ID]],Food_Catalog[[#All],[Client_Price_Per_Unit]],0,0)</f>
        <v>72000</v>
      </c>
      <c r="I2291">
        <f>Food_Orders[[#This Row],[Client_Price]]-Food_Orders[[#This Row],[Cost]]</f>
        <v>12000</v>
      </c>
    </row>
    <row r="2292" spans="1:9" x14ac:dyDescent="0.25">
      <c r="A2292">
        <v>98</v>
      </c>
      <c r="B2292" t="s">
        <v>52</v>
      </c>
      <c r="C2292" t="s">
        <v>40</v>
      </c>
      <c r="D2292" t="s">
        <v>53</v>
      </c>
      <c r="E2292" t="s">
        <v>10</v>
      </c>
      <c r="F2292" cm="1">
        <f t="array" ref="F2292">_xlfn.XLOOKUP(Food_Orders[[#This Row],[Event_No]],Event_Master[[#All],[Event_No]],Event_Master[[#All],[Guest_Count]],,0)</f>
        <v>750</v>
      </c>
      <c r="G2292" cm="1">
        <f t="array" ref="G2292">Food_Orders[[#This Row],[Quantity_Orderd]]*_xlfn.XLOOKUP(Food_Orders[[#This Row],[Food_ID]],Food_Catalog[[#All],[Food_ID]],Food_Catalog[[#All],[Price_Per_Unit]],0,0)</f>
        <v>75000</v>
      </c>
      <c r="H2292" cm="1">
        <f t="array" ref="H2292">Food_Orders[[#This Row],[Quantity_Orderd]]*_xlfn.XLOOKUP(Food_Orders[[#This Row],[Food_ID]],Food_Catalog[[#All],[Food_ID]],Food_Catalog[[#All],[Client_Price_Per_Unit]],0,0)</f>
        <v>90000</v>
      </c>
      <c r="I2292">
        <f>Food_Orders[[#This Row],[Client_Price]]-Food_Orders[[#This Row],[Cost]]</f>
        <v>15000</v>
      </c>
    </row>
    <row r="2293" spans="1:9" x14ac:dyDescent="0.25">
      <c r="A2293">
        <v>98</v>
      </c>
      <c r="B2293" t="s">
        <v>54</v>
      </c>
      <c r="C2293" t="s">
        <v>40</v>
      </c>
      <c r="D2293" t="s">
        <v>55</v>
      </c>
      <c r="E2293" t="s">
        <v>10</v>
      </c>
      <c r="F2293" cm="1">
        <f t="array" ref="F2293">_xlfn.XLOOKUP(Food_Orders[[#This Row],[Event_No]],Event_Master[[#All],[Event_No]],Event_Master[[#All],[Guest_Count]],,0)</f>
        <v>750</v>
      </c>
      <c r="G2293" cm="1">
        <f t="array" ref="G2293">Food_Orders[[#This Row],[Quantity_Orderd]]*_xlfn.XLOOKUP(Food_Orders[[#This Row],[Food_ID]],Food_Catalog[[#All],[Food_ID]],Food_Catalog[[#All],[Price_Per_Unit]],0,0)</f>
        <v>30000</v>
      </c>
      <c r="H2293" cm="1">
        <f t="array" ref="H2293">Food_Orders[[#This Row],[Quantity_Orderd]]*_xlfn.XLOOKUP(Food_Orders[[#This Row],[Food_ID]],Food_Catalog[[#All],[Food_ID]],Food_Catalog[[#All],[Client_Price_Per_Unit]],0,0)</f>
        <v>36000</v>
      </c>
      <c r="I2293">
        <f>Food_Orders[[#This Row],[Client_Price]]-Food_Orders[[#This Row],[Cost]]</f>
        <v>6000</v>
      </c>
    </row>
    <row r="2294" spans="1:9" x14ac:dyDescent="0.25">
      <c r="A2294">
        <v>98</v>
      </c>
      <c r="B2294" t="s">
        <v>58</v>
      </c>
      <c r="C2294" t="s">
        <v>40</v>
      </c>
      <c r="D2294" t="s">
        <v>59</v>
      </c>
      <c r="E2294" t="s">
        <v>10</v>
      </c>
      <c r="F2294" cm="1">
        <f t="array" ref="F2294">_xlfn.XLOOKUP(Food_Orders[[#This Row],[Event_No]],Event_Master[[#All],[Event_No]],Event_Master[[#All],[Guest_Count]],,0)</f>
        <v>750</v>
      </c>
      <c r="G2294" cm="1">
        <f t="array" ref="G2294">Food_Orders[[#This Row],[Quantity_Orderd]]*_xlfn.XLOOKUP(Food_Orders[[#This Row],[Food_ID]],Food_Catalog[[#All],[Food_ID]],Food_Catalog[[#All],[Price_Per_Unit]],0,0)</f>
        <v>67500</v>
      </c>
      <c r="H2294" cm="1">
        <f t="array" ref="H2294">Food_Orders[[#This Row],[Quantity_Orderd]]*_xlfn.XLOOKUP(Food_Orders[[#This Row],[Food_ID]],Food_Catalog[[#All],[Food_ID]],Food_Catalog[[#All],[Client_Price_Per_Unit]],0,0)</f>
        <v>81000</v>
      </c>
      <c r="I2294">
        <f>Food_Orders[[#This Row],[Client_Price]]-Food_Orders[[#This Row],[Cost]]</f>
        <v>13500</v>
      </c>
    </row>
    <row r="2295" spans="1:9" x14ac:dyDescent="0.25">
      <c r="A2295">
        <v>98</v>
      </c>
      <c r="B2295" t="s">
        <v>82</v>
      </c>
      <c r="C2295" t="s">
        <v>83</v>
      </c>
      <c r="D2295" t="s">
        <v>84</v>
      </c>
      <c r="E2295" t="s">
        <v>85</v>
      </c>
      <c r="F2295" cm="1">
        <f t="array" ref="F2295">_xlfn.XLOOKUP(Food_Orders[[#This Row],[Event_No]],Event_Master[[#All],[Event_No]],Event_Master[[#All],[Guest_Count]],,0)</f>
        <v>750</v>
      </c>
      <c r="G2295" cm="1">
        <f t="array" ref="G2295">Food_Orders[[#This Row],[Quantity_Orderd]]*_xlfn.XLOOKUP(Food_Orders[[#This Row],[Food_ID]],Food_Catalog[[#All],[Food_ID]],Food_Catalog[[#All],[Price_Per_Unit]],0,0)</f>
        <v>15000</v>
      </c>
      <c r="H2295" cm="1">
        <f t="array" ref="H2295">Food_Orders[[#This Row],[Quantity_Orderd]]*_xlfn.XLOOKUP(Food_Orders[[#This Row],[Food_ID]],Food_Catalog[[#All],[Food_ID]],Food_Catalog[[#All],[Client_Price_Per_Unit]],0,0)</f>
        <v>18000</v>
      </c>
      <c r="I2295">
        <f>Food_Orders[[#This Row],[Client_Price]]-Food_Orders[[#This Row],[Cost]]</f>
        <v>3000</v>
      </c>
    </row>
    <row r="2296" spans="1:9" x14ac:dyDescent="0.25">
      <c r="A2296">
        <v>98</v>
      </c>
      <c r="B2296" t="s">
        <v>86</v>
      </c>
      <c r="C2296" t="s">
        <v>83</v>
      </c>
      <c r="D2296" t="s">
        <v>87</v>
      </c>
      <c r="E2296" t="s">
        <v>85</v>
      </c>
      <c r="F2296" cm="1">
        <f t="array" ref="F2296">_xlfn.XLOOKUP(Food_Orders[[#This Row],[Event_No]],Event_Master[[#All],[Event_No]],Event_Master[[#All],[Guest_Count]],,0)</f>
        <v>750</v>
      </c>
      <c r="G2296" cm="1">
        <f t="array" ref="G2296">Food_Orders[[#This Row],[Quantity_Orderd]]*_xlfn.XLOOKUP(Food_Orders[[#This Row],[Food_ID]],Food_Catalog[[#All],[Food_ID]],Food_Catalog[[#All],[Price_Per_Unit]],0,0)</f>
        <v>15000</v>
      </c>
      <c r="H2296" cm="1">
        <f t="array" ref="H2296">Food_Orders[[#This Row],[Quantity_Orderd]]*_xlfn.XLOOKUP(Food_Orders[[#This Row],[Food_ID]],Food_Catalog[[#All],[Food_ID]],Food_Catalog[[#All],[Client_Price_Per_Unit]],0,0)</f>
        <v>18000</v>
      </c>
      <c r="I2296">
        <f>Food_Orders[[#This Row],[Client_Price]]-Food_Orders[[#This Row],[Cost]]</f>
        <v>3000</v>
      </c>
    </row>
    <row r="2297" spans="1:9" x14ac:dyDescent="0.25">
      <c r="A2297">
        <v>98</v>
      </c>
      <c r="B2297" t="s">
        <v>88</v>
      </c>
      <c r="C2297" t="s">
        <v>83</v>
      </c>
      <c r="D2297" t="s">
        <v>89</v>
      </c>
      <c r="E2297" t="s">
        <v>85</v>
      </c>
      <c r="F2297" cm="1">
        <f t="array" ref="F2297">_xlfn.XLOOKUP(Food_Orders[[#This Row],[Event_No]],Event_Master[[#All],[Event_No]],Event_Master[[#All],[Guest_Count]],,0)</f>
        <v>750</v>
      </c>
      <c r="G2297" cm="1">
        <f t="array" ref="G2297">Food_Orders[[#This Row],[Quantity_Orderd]]*_xlfn.XLOOKUP(Food_Orders[[#This Row],[Food_ID]],Food_Catalog[[#All],[Food_ID]],Food_Catalog[[#All],[Price_Per_Unit]],0,0)</f>
        <v>11250</v>
      </c>
      <c r="H2297" cm="1">
        <f t="array" ref="H2297">Food_Orders[[#This Row],[Quantity_Orderd]]*_xlfn.XLOOKUP(Food_Orders[[#This Row],[Food_ID]],Food_Catalog[[#All],[Food_ID]],Food_Catalog[[#All],[Client_Price_Per_Unit]],0,0)</f>
        <v>13500</v>
      </c>
      <c r="I2297">
        <f>Food_Orders[[#This Row],[Client_Price]]-Food_Orders[[#This Row],[Cost]]</f>
        <v>2250</v>
      </c>
    </row>
    <row r="2298" spans="1:9" x14ac:dyDescent="0.25">
      <c r="A2298">
        <v>98</v>
      </c>
      <c r="B2298" t="s">
        <v>100</v>
      </c>
      <c r="C2298" t="s">
        <v>83</v>
      </c>
      <c r="D2298" t="s">
        <v>101</v>
      </c>
      <c r="E2298" t="s">
        <v>79</v>
      </c>
      <c r="F2298" cm="1">
        <f t="array" ref="F2298">_xlfn.XLOOKUP(Food_Orders[[#This Row],[Event_No]],Event_Master[[#All],[Event_No]],Event_Master[[#All],[Guest_Count]],,0)</f>
        <v>750</v>
      </c>
      <c r="G2298" cm="1">
        <f t="array" ref="G2298">Food_Orders[[#This Row],[Quantity_Orderd]]*_xlfn.XLOOKUP(Food_Orders[[#This Row],[Food_ID]],Food_Catalog[[#All],[Food_ID]],Food_Catalog[[#All],[Price_Per_Unit]],0,0)</f>
        <v>26250</v>
      </c>
      <c r="H2298" cm="1">
        <f t="array" ref="H2298">Food_Orders[[#This Row],[Quantity_Orderd]]*_xlfn.XLOOKUP(Food_Orders[[#This Row],[Food_ID]],Food_Catalog[[#All],[Food_ID]],Food_Catalog[[#All],[Client_Price_Per_Unit]],0,0)</f>
        <v>31500</v>
      </c>
      <c r="I2298">
        <f>Food_Orders[[#This Row],[Client_Price]]-Food_Orders[[#This Row],[Cost]]</f>
        <v>5250</v>
      </c>
    </row>
    <row r="2299" spans="1:9" x14ac:dyDescent="0.25">
      <c r="A2299">
        <v>98</v>
      </c>
      <c r="B2299" t="s">
        <v>96</v>
      </c>
      <c r="C2299" t="s">
        <v>83</v>
      </c>
      <c r="D2299" t="s">
        <v>97</v>
      </c>
      <c r="E2299" t="s">
        <v>79</v>
      </c>
      <c r="F2299" cm="1">
        <f t="array" ref="F2299">_xlfn.XLOOKUP(Food_Orders[[#This Row],[Event_No]],Event_Master[[#All],[Event_No]],Event_Master[[#All],[Guest_Count]],,0)</f>
        <v>750</v>
      </c>
      <c r="G2299" cm="1">
        <f t="array" ref="G2299">Food_Orders[[#This Row],[Quantity_Orderd]]*_xlfn.XLOOKUP(Food_Orders[[#This Row],[Food_ID]],Food_Catalog[[#All],[Food_ID]],Food_Catalog[[#All],[Price_Per_Unit]],0,0)</f>
        <v>22500</v>
      </c>
      <c r="H2299" cm="1">
        <f t="array" ref="H2299">Food_Orders[[#This Row],[Quantity_Orderd]]*_xlfn.XLOOKUP(Food_Orders[[#This Row],[Food_ID]],Food_Catalog[[#All],[Food_ID]],Food_Catalog[[#All],[Client_Price_Per_Unit]],0,0)</f>
        <v>27000</v>
      </c>
      <c r="I2299">
        <f>Food_Orders[[#This Row],[Client_Price]]-Food_Orders[[#This Row],[Cost]]</f>
        <v>4500</v>
      </c>
    </row>
    <row r="2300" spans="1:9" x14ac:dyDescent="0.25">
      <c r="A2300">
        <v>98</v>
      </c>
      <c r="B2300" t="s">
        <v>92</v>
      </c>
      <c r="C2300" t="s">
        <v>83</v>
      </c>
      <c r="D2300" t="s">
        <v>93</v>
      </c>
      <c r="E2300" t="s">
        <v>85</v>
      </c>
      <c r="F2300" cm="1">
        <f t="array" ref="F2300">_xlfn.XLOOKUP(Food_Orders[[#This Row],[Event_No]],Event_Master[[#All],[Event_No]],Event_Master[[#All],[Guest_Count]],,0)</f>
        <v>750</v>
      </c>
      <c r="G2300" cm="1">
        <f t="array" ref="G2300">Food_Orders[[#This Row],[Quantity_Orderd]]*_xlfn.XLOOKUP(Food_Orders[[#This Row],[Food_ID]],Food_Catalog[[#All],[Food_ID]],Food_Catalog[[#All],[Price_Per_Unit]],0,0)</f>
        <v>11250</v>
      </c>
      <c r="H2300" cm="1">
        <f t="array" ref="H2300">Food_Orders[[#This Row],[Quantity_Orderd]]*_xlfn.XLOOKUP(Food_Orders[[#This Row],[Food_ID]],Food_Catalog[[#All],[Food_ID]],Food_Catalog[[#All],[Client_Price_Per_Unit]],0,0)</f>
        <v>13500</v>
      </c>
      <c r="I2300">
        <f>Food_Orders[[#This Row],[Client_Price]]-Food_Orders[[#This Row],[Cost]]</f>
        <v>2250</v>
      </c>
    </row>
    <row r="2301" spans="1:9" x14ac:dyDescent="0.25">
      <c r="A2301">
        <v>98</v>
      </c>
      <c r="B2301" t="s">
        <v>102</v>
      </c>
      <c r="C2301" t="s">
        <v>83</v>
      </c>
      <c r="D2301" t="s">
        <v>103</v>
      </c>
      <c r="E2301" t="s">
        <v>85</v>
      </c>
      <c r="F2301" cm="1">
        <f t="array" ref="F2301">_xlfn.XLOOKUP(Food_Orders[[#This Row],[Event_No]],Event_Master[[#All],[Event_No]],Event_Master[[#All],[Guest_Count]],,0)</f>
        <v>750</v>
      </c>
      <c r="G2301" cm="1">
        <f t="array" ref="G2301">Food_Orders[[#This Row],[Quantity_Orderd]]*_xlfn.XLOOKUP(Food_Orders[[#This Row],[Food_ID]],Food_Catalog[[#All],[Food_ID]],Food_Catalog[[#All],[Price_Per_Unit]],0,0)</f>
        <v>15000</v>
      </c>
      <c r="H2301" cm="1">
        <f t="array" ref="H2301">Food_Orders[[#This Row],[Quantity_Orderd]]*_xlfn.XLOOKUP(Food_Orders[[#This Row],[Food_ID]],Food_Catalog[[#All],[Food_ID]],Food_Catalog[[#All],[Client_Price_Per_Unit]],0,0)</f>
        <v>18000</v>
      </c>
      <c r="I2301">
        <f>Food_Orders[[#This Row],[Client_Price]]-Food_Orders[[#This Row],[Cost]]</f>
        <v>3000</v>
      </c>
    </row>
    <row r="2302" spans="1:9" x14ac:dyDescent="0.25">
      <c r="A2302">
        <v>98</v>
      </c>
      <c r="B2302" t="s">
        <v>98</v>
      </c>
      <c r="C2302" t="s">
        <v>83</v>
      </c>
      <c r="D2302" t="s">
        <v>99</v>
      </c>
      <c r="E2302" t="s">
        <v>85</v>
      </c>
      <c r="F2302" cm="1">
        <f t="array" ref="F2302">_xlfn.XLOOKUP(Food_Orders[[#This Row],[Event_No]],Event_Master[[#All],[Event_No]],Event_Master[[#All],[Guest_Count]],,0)</f>
        <v>750</v>
      </c>
      <c r="G2302" cm="1">
        <f t="array" ref="G2302">Food_Orders[[#This Row],[Quantity_Orderd]]*_xlfn.XLOOKUP(Food_Orders[[#This Row],[Food_ID]],Food_Catalog[[#All],[Food_ID]],Food_Catalog[[#All],[Price_Per_Unit]],0,0)</f>
        <v>11250</v>
      </c>
      <c r="H2302" cm="1">
        <f t="array" ref="H2302">Food_Orders[[#This Row],[Quantity_Orderd]]*_xlfn.XLOOKUP(Food_Orders[[#This Row],[Food_ID]],Food_Catalog[[#All],[Food_ID]],Food_Catalog[[#All],[Client_Price_Per_Unit]],0,0)</f>
        <v>13500</v>
      </c>
      <c r="I2302">
        <f>Food_Orders[[#This Row],[Client_Price]]-Food_Orders[[#This Row],[Cost]]</f>
        <v>2250</v>
      </c>
    </row>
    <row r="2303" spans="1:9" x14ac:dyDescent="0.25">
      <c r="A2303">
        <v>98</v>
      </c>
      <c r="B2303" t="s">
        <v>104</v>
      </c>
      <c r="C2303" t="s">
        <v>105</v>
      </c>
      <c r="D2303" t="s">
        <v>106</v>
      </c>
      <c r="E2303" t="s">
        <v>107</v>
      </c>
      <c r="F2303" cm="1">
        <f t="array" ref="F2303">_xlfn.XLOOKUP(Food_Orders[[#This Row],[Event_No]],Event_Master[[#All],[Event_No]],Event_Master[[#All],[Guest_Count]],,0)</f>
        <v>750</v>
      </c>
      <c r="G2303" cm="1">
        <f t="array" ref="G2303">Food_Orders[[#This Row],[Quantity_Orderd]]*_xlfn.XLOOKUP(Food_Orders[[#This Row],[Food_ID]],Food_Catalog[[#All],[Food_ID]],Food_Catalog[[#All],[Price_Per_Unit]],0,0)</f>
        <v>7500</v>
      </c>
      <c r="H2303" cm="1">
        <f t="array" ref="H2303">Food_Orders[[#This Row],[Quantity_Orderd]]*_xlfn.XLOOKUP(Food_Orders[[#This Row],[Food_ID]],Food_Catalog[[#All],[Food_ID]],Food_Catalog[[#All],[Client_Price_Per_Unit]],0,0)</f>
        <v>9000</v>
      </c>
      <c r="I2303">
        <f>Food_Orders[[#This Row],[Client_Price]]-Food_Orders[[#This Row],[Cost]]</f>
        <v>1500</v>
      </c>
    </row>
    <row r="2304" spans="1:9" x14ac:dyDescent="0.25">
      <c r="A2304">
        <v>98</v>
      </c>
      <c r="B2304" t="s">
        <v>108</v>
      </c>
      <c r="C2304" t="s">
        <v>105</v>
      </c>
      <c r="D2304" t="s">
        <v>109</v>
      </c>
      <c r="E2304" t="s">
        <v>107</v>
      </c>
      <c r="F2304" cm="1">
        <f t="array" ref="F2304">_xlfn.XLOOKUP(Food_Orders[[#This Row],[Event_No]],Event_Master[[#All],[Event_No]],Event_Master[[#All],[Guest_Count]],,0)</f>
        <v>750</v>
      </c>
      <c r="G2304" cm="1">
        <f t="array" ref="G2304">Food_Orders[[#This Row],[Quantity_Orderd]]*_xlfn.XLOOKUP(Food_Orders[[#This Row],[Food_ID]],Food_Catalog[[#All],[Food_ID]],Food_Catalog[[#All],[Price_Per_Unit]],0,0)</f>
        <v>11250</v>
      </c>
      <c r="H2304" cm="1">
        <f t="array" ref="H2304">Food_Orders[[#This Row],[Quantity_Orderd]]*_xlfn.XLOOKUP(Food_Orders[[#This Row],[Food_ID]],Food_Catalog[[#All],[Food_ID]],Food_Catalog[[#All],[Client_Price_Per_Unit]],0,0)</f>
        <v>13500</v>
      </c>
      <c r="I2304">
        <f>Food_Orders[[#This Row],[Client_Price]]-Food_Orders[[#This Row],[Cost]]</f>
        <v>2250</v>
      </c>
    </row>
    <row r="2305" spans="1:9" x14ac:dyDescent="0.25">
      <c r="A2305">
        <v>98</v>
      </c>
      <c r="B2305" t="s">
        <v>115</v>
      </c>
      <c r="C2305" t="s">
        <v>105</v>
      </c>
      <c r="D2305" t="s">
        <v>116</v>
      </c>
      <c r="E2305" t="s">
        <v>117</v>
      </c>
      <c r="F2305" cm="1">
        <f t="array" ref="F2305">_xlfn.XLOOKUP(Food_Orders[[#This Row],[Event_No]],Event_Master[[#All],[Event_No]],Event_Master[[#All],[Guest_Count]],,0)</f>
        <v>750</v>
      </c>
      <c r="G2305" cm="1">
        <f t="array" ref="G2305">Food_Orders[[#This Row],[Quantity_Orderd]]*_xlfn.XLOOKUP(Food_Orders[[#This Row],[Food_ID]],Food_Catalog[[#All],[Food_ID]],Food_Catalog[[#All],[Price_Per_Unit]],0,0)</f>
        <v>18750</v>
      </c>
      <c r="H2305" cm="1">
        <f t="array" ref="H2305">Food_Orders[[#This Row],[Quantity_Orderd]]*_xlfn.XLOOKUP(Food_Orders[[#This Row],[Food_ID]],Food_Catalog[[#All],[Food_ID]],Food_Catalog[[#All],[Client_Price_Per_Unit]],0,0)</f>
        <v>22500</v>
      </c>
      <c r="I2305">
        <f>Food_Orders[[#This Row],[Client_Price]]-Food_Orders[[#This Row],[Cost]]</f>
        <v>3750</v>
      </c>
    </row>
    <row r="2306" spans="1:9" x14ac:dyDescent="0.25">
      <c r="A2306">
        <v>98</v>
      </c>
      <c r="B2306" t="s">
        <v>110</v>
      </c>
      <c r="C2306" t="s">
        <v>105</v>
      </c>
      <c r="D2306" t="s">
        <v>111</v>
      </c>
      <c r="E2306" t="s">
        <v>112</v>
      </c>
      <c r="F2306" cm="1">
        <f t="array" ref="F2306">_xlfn.XLOOKUP(Food_Orders[[#This Row],[Event_No]],Event_Master[[#All],[Event_No]],Event_Master[[#All],[Guest_Count]],,0)</f>
        <v>750</v>
      </c>
      <c r="G2306" cm="1">
        <f t="array" ref="G2306">Food_Orders[[#This Row],[Quantity_Orderd]]*_xlfn.XLOOKUP(Food_Orders[[#This Row],[Food_ID]],Food_Catalog[[#All],[Food_ID]],Food_Catalog[[#All],[Price_Per_Unit]],0,0)</f>
        <v>15000</v>
      </c>
      <c r="H2306" cm="1">
        <f t="array" ref="H2306">Food_Orders[[#This Row],[Quantity_Orderd]]*_xlfn.XLOOKUP(Food_Orders[[#This Row],[Food_ID]],Food_Catalog[[#All],[Food_ID]],Food_Catalog[[#All],[Client_Price_Per_Unit]],0,0)</f>
        <v>18000</v>
      </c>
      <c r="I2306">
        <f>Food_Orders[[#This Row],[Client_Price]]-Food_Orders[[#This Row],[Cost]]</f>
        <v>3000</v>
      </c>
    </row>
    <row r="2307" spans="1:9" x14ac:dyDescent="0.25">
      <c r="A2307">
        <v>98</v>
      </c>
      <c r="B2307" t="s">
        <v>118</v>
      </c>
      <c r="C2307" t="s">
        <v>119</v>
      </c>
      <c r="D2307" t="s">
        <v>120</v>
      </c>
      <c r="E2307" t="s">
        <v>112</v>
      </c>
      <c r="F2307" cm="1">
        <f t="array" ref="F2307">_xlfn.XLOOKUP(Food_Orders[[#This Row],[Event_No]],Event_Master[[#All],[Event_No]],Event_Master[[#All],[Guest_Count]],,0)</f>
        <v>750</v>
      </c>
      <c r="G2307" cm="1">
        <f t="array" ref="G2307">Food_Orders[[#This Row],[Quantity_Orderd]]*_xlfn.XLOOKUP(Food_Orders[[#This Row],[Food_ID]],Food_Catalog[[#All],[Food_ID]],Food_Catalog[[#All],[Price_Per_Unit]],0,0)</f>
        <v>7500</v>
      </c>
      <c r="H2307" cm="1">
        <f t="array" ref="H2307">Food_Orders[[#This Row],[Quantity_Orderd]]*_xlfn.XLOOKUP(Food_Orders[[#This Row],[Food_ID]],Food_Catalog[[#All],[Food_ID]],Food_Catalog[[#All],[Client_Price_Per_Unit]],0,0)</f>
        <v>9000</v>
      </c>
      <c r="I2307">
        <f>Food_Orders[[#This Row],[Client_Price]]-Food_Orders[[#This Row],[Cost]]</f>
        <v>1500</v>
      </c>
    </row>
    <row r="2308" spans="1:9" x14ac:dyDescent="0.25">
      <c r="A2308">
        <v>98</v>
      </c>
      <c r="B2308" t="s">
        <v>129</v>
      </c>
      <c r="C2308" t="s">
        <v>119</v>
      </c>
      <c r="D2308" t="s">
        <v>130</v>
      </c>
      <c r="E2308" t="s">
        <v>112</v>
      </c>
      <c r="F2308" cm="1">
        <f t="array" ref="F2308">_xlfn.XLOOKUP(Food_Orders[[#This Row],[Event_No]],Event_Master[[#All],[Event_No]],Event_Master[[#All],[Guest_Count]],,0)</f>
        <v>750</v>
      </c>
      <c r="G2308" cm="1">
        <f t="array" ref="G2308">Food_Orders[[#This Row],[Quantity_Orderd]]*_xlfn.XLOOKUP(Food_Orders[[#This Row],[Food_ID]],Food_Catalog[[#All],[Food_ID]],Food_Catalog[[#All],[Price_Per_Unit]],0,0)</f>
        <v>7500</v>
      </c>
      <c r="H2308" cm="1">
        <f t="array" ref="H2308">Food_Orders[[#This Row],[Quantity_Orderd]]*_xlfn.XLOOKUP(Food_Orders[[#This Row],[Food_ID]],Food_Catalog[[#All],[Food_ID]],Food_Catalog[[#All],[Client_Price_Per_Unit]],0,0)</f>
        <v>9000</v>
      </c>
      <c r="I2308">
        <f>Food_Orders[[#This Row],[Client_Price]]-Food_Orders[[#This Row],[Cost]]</f>
        <v>1500</v>
      </c>
    </row>
    <row r="2309" spans="1:9" x14ac:dyDescent="0.25">
      <c r="A2309">
        <v>98</v>
      </c>
      <c r="B2309" t="s">
        <v>124</v>
      </c>
      <c r="C2309" t="s">
        <v>119</v>
      </c>
      <c r="D2309" t="s">
        <v>125</v>
      </c>
      <c r="E2309" t="s">
        <v>126</v>
      </c>
      <c r="F2309" cm="1">
        <f t="array" ref="F2309">_xlfn.XLOOKUP(Food_Orders[[#This Row],[Event_No]],Event_Master[[#All],[Event_No]],Event_Master[[#All],[Guest_Count]],,0)</f>
        <v>750</v>
      </c>
      <c r="G2309" cm="1">
        <f t="array" ref="G2309">Food_Orders[[#This Row],[Quantity_Orderd]]*_xlfn.XLOOKUP(Food_Orders[[#This Row],[Food_ID]],Food_Catalog[[#All],[Food_ID]],Food_Catalog[[#All],[Price_Per_Unit]],0,0)</f>
        <v>15000</v>
      </c>
      <c r="H2309" cm="1">
        <f t="array" ref="H2309">Food_Orders[[#This Row],[Quantity_Orderd]]*_xlfn.XLOOKUP(Food_Orders[[#This Row],[Food_ID]],Food_Catalog[[#All],[Food_ID]],Food_Catalog[[#All],[Client_Price_Per_Unit]],0,0)</f>
        <v>18000</v>
      </c>
      <c r="I2309">
        <f>Food_Orders[[#This Row],[Client_Price]]-Food_Orders[[#This Row],[Cost]]</f>
        <v>3000</v>
      </c>
    </row>
    <row r="2310" spans="1:9" x14ac:dyDescent="0.25">
      <c r="A2310">
        <v>98</v>
      </c>
      <c r="B2310" t="s">
        <v>127</v>
      </c>
      <c r="C2310" t="s">
        <v>119</v>
      </c>
      <c r="D2310" t="s">
        <v>128</v>
      </c>
      <c r="E2310" t="s">
        <v>107</v>
      </c>
      <c r="F2310" cm="1">
        <f t="array" ref="F2310">_xlfn.XLOOKUP(Food_Orders[[#This Row],[Event_No]],Event_Master[[#All],[Event_No]],Event_Master[[#All],[Guest_Count]],,0)</f>
        <v>750</v>
      </c>
      <c r="G2310" cm="1">
        <f t="array" ref="G2310">Food_Orders[[#This Row],[Quantity_Orderd]]*_xlfn.XLOOKUP(Food_Orders[[#This Row],[Food_ID]],Food_Catalog[[#All],[Food_ID]],Food_Catalog[[#All],[Price_Per_Unit]],0,0)</f>
        <v>15000</v>
      </c>
      <c r="H2310" cm="1">
        <f t="array" ref="H2310">Food_Orders[[#This Row],[Quantity_Orderd]]*_xlfn.XLOOKUP(Food_Orders[[#This Row],[Food_ID]],Food_Catalog[[#All],[Food_ID]],Food_Catalog[[#All],[Client_Price_Per_Unit]],0,0)</f>
        <v>18000</v>
      </c>
      <c r="I2310">
        <f>Food_Orders[[#This Row],[Client_Price]]-Food_Orders[[#This Row],[Cost]]</f>
        <v>3000</v>
      </c>
    </row>
    <row r="2311" spans="1:9" x14ac:dyDescent="0.25">
      <c r="A2311">
        <v>99</v>
      </c>
      <c r="B2311" t="s">
        <v>73</v>
      </c>
      <c r="C2311" t="s">
        <v>61</v>
      </c>
      <c r="D2311" t="s">
        <v>74</v>
      </c>
      <c r="E2311" t="s">
        <v>10</v>
      </c>
      <c r="F2311" cm="1">
        <f t="array" ref="F2311">_xlfn.XLOOKUP(Food_Orders[[#This Row],[Event_No]],Event_Master[[#All],[Event_No]],Event_Master[[#All],[Guest_Count]],,0)</f>
        <v>60</v>
      </c>
      <c r="G2311" cm="1">
        <f t="array" ref="G2311">Food_Orders[[#This Row],[Quantity_Orderd]]*_xlfn.XLOOKUP(Food_Orders[[#This Row],[Food_ID]],Food_Catalog[[#All],[Food_ID]],Food_Catalog[[#All],[Price_Per_Unit]],0,0)</f>
        <v>2400</v>
      </c>
      <c r="H2311" cm="1">
        <f t="array" ref="H2311">Food_Orders[[#This Row],[Quantity_Orderd]]*_xlfn.XLOOKUP(Food_Orders[[#This Row],[Food_ID]],Food_Catalog[[#All],[Food_ID]],Food_Catalog[[#All],[Client_Price_Per_Unit]],0,0)</f>
        <v>2880</v>
      </c>
      <c r="I2311">
        <f>Food_Orders[[#This Row],[Client_Price]]-Food_Orders[[#This Row],[Cost]]</f>
        <v>480</v>
      </c>
    </row>
    <row r="2312" spans="1:9" x14ac:dyDescent="0.25">
      <c r="A2312">
        <v>99</v>
      </c>
      <c r="B2312" t="s">
        <v>75</v>
      </c>
      <c r="C2312" t="s">
        <v>61</v>
      </c>
      <c r="D2312" t="s">
        <v>76</v>
      </c>
      <c r="E2312" t="s">
        <v>10</v>
      </c>
      <c r="F2312" cm="1">
        <f t="array" ref="F2312">_xlfn.XLOOKUP(Food_Orders[[#This Row],[Event_No]],Event_Master[[#All],[Event_No]],Event_Master[[#All],[Guest_Count]],,0)</f>
        <v>60</v>
      </c>
      <c r="G2312" cm="1">
        <f t="array" ref="G2312">Food_Orders[[#This Row],[Quantity_Orderd]]*_xlfn.XLOOKUP(Food_Orders[[#This Row],[Food_ID]],Food_Catalog[[#All],[Food_ID]],Food_Catalog[[#All],[Price_Per_Unit]],0,0)</f>
        <v>2400</v>
      </c>
      <c r="H2312" cm="1">
        <f t="array" ref="H2312">Food_Orders[[#This Row],[Quantity_Orderd]]*_xlfn.XLOOKUP(Food_Orders[[#This Row],[Food_ID]],Food_Catalog[[#All],[Food_ID]],Food_Catalog[[#All],[Client_Price_Per_Unit]],0,0)</f>
        <v>2880</v>
      </c>
      <c r="I2312">
        <f>Food_Orders[[#This Row],[Client_Price]]-Food_Orders[[#This Row],[Cost]]</f>
        <v>480</v>
      </c>
    </row>
    <row r="2313" spans="1:9" x14ac:dyDescent="0.25">
      <c r="A2313">
        <v>99</v>
      </c>
      <c r="B2313" t="s">
        <v>69</v>
      </c>
      <c r="C2313" t="s">
        <v>61</v>
      </c>
      <c r="D2313" t="s">
        <v>70</v>
      </c>
      <c r="E2313" t="s">
        <v>10</v>
      </c>
      <c r="F2313" cm="1">
        <f t="array" ref="F2313">_xlfn.XLOOKUP(Food_Orders[[#This Row],[Event_No]],Event_Master[[#All],[Event_No]],Event_Master[[#All],[Guest_Count]],,0)</f>
        <v>60</v>
      </c>
      <c r="G2313" cm="1">
        <f t="array" ref="G2313">Food_Orders[[#This Row],[Quantity_Orderd]]*_xlfn.XLOOKUP(Food_Orders[[#This Row],[Food_ID]],Food_Catalog[[#All],[Food_ID]],Food_Catalog[[#All],[Price_Per_Unit]],0,0)</f>
        <v>3000</v>
      </c>
      <c r="H2313" cm="1">
        <f t="array" ref="H2313">Food_Orders[[#This Row],[Quantity_Orderd]]*_xlfn.XLOOKUP(Food_Orders[[#This Row],[Food_ID]],Food_Catalog[[#All],[Food_ID]],Food_Catalog[[#All],[Client_Price_Per_Unit]],0,0)</f>
        <v>3600</v>
      </c>
      <c r="I2313">
        <f>Food_Orders[[#This Row],[Client_Price]]-Food_Orders[[#This Row],[Cost]]</f>
        <v>600</v>
      </c>
    </row>
    <row r="2314" spans="1:9" x14ac:dyDescent="0.25">
      <c r="A2314">
        <v>99</v>
      </c>
      <c r="B2314" t="s">
        <v>58</v>
      </c>
      <c r="C2314" t="s">
        <v>40</v>
      </c>
      <c r="D2314" t="s">
        <v>59</v>
      </c>
      <c r="E2314" t="s">
        <v>10</v>
      </c>
      <c r="F2314" cm="1">
        <f t="array" ref="F2314">_xlfn.XLOOKUP(Food_Orders[[#This Row],[Event_No]],Event_Master[[#All],[Event_No]],Event_Master[[#All],[Guest_Count]],,0)</f>
        <v>60</v>
      </c>
      <c r="G2314" cm="1">
        <f t="array" ref="G2314">Food_Orders[[#This Row],[Quantity_Orderd]]*_xlfn.XLOOKUP(Food_Orders[[#This Row],[Food_ID]],Food_Catalog[[#All],[Food_ID]],Food_Catalog[[#All],[Price_Per_Unit]],0,0)</f>
        <v>5400</v>
      </c>
      <c r="H2314" cm="1">
        <f t="array" ref="H2314">Food_Orders[[#This Row],[Quantity_Orderd]]*_xlfn.XLOOKUP(Food_Orders[[#This Row],[Food_ID]],Food_Catalog[[#All],[Food_ID]],Food_Catalog[[#All],[Client_Price_Per_Unit]],0,0)</f>
        <v>6480</v>
      </c>
      <c r="I2314">
        <f>Food_Orders[[#This Row],[Client_Price]]-Food_Orders[[#This Row],[Cost]]</f>
        <v>1080</v>
      </c>
    </row>
    <row r="2315" spans="1:9" x14ac:dyDescent="0.25">
      <c r="A2315">
        <v>99</v>
      </c>
      <c r="B2315" t="s">
        <v>39</v>
      </c>
      <c r="C2315" t="s">
        <v>40</v>
      </c>
      <c r="D2315" t="s">
        <v>41</v>
      </c>
      <c r="E2315" t="s">
        <v>10</v>
      </c>
      <c r="F2315" cm="1">
        <f t="array" ref="F2315">_xlfn.XLOOKUP(Food_Orders[[#This Row],[Event_No]],Event_Master[[#All],[Event_No]],Event_Master[[#All],[Guest_Count]],,0)</f>
        <v>60</v>
      </c>
      <c r="G2315" cm="1">
        <f t="array" ref="G2315">Food_Orders[[#This Row],[Quantity_Orderd]]*_xlfn.XLOOKUP(Food_Orders[[#This Row],[Food_ID]],Food_Catalog[[#All],[Food_ID]],Food_Catalog[[#All],[Price_Per_Unit]],0,0)</f>
        <v>3600</v>
      </c>
      <c r="H2315" cm="1">
        <f t="array" ref="H2315">Food_Orders[[#This Row],[Quantity_Orderd]]*_xlfn.XLOOKUP(Food_Orders[[#This Row],[Food_ID]],Food_Catalog[[#All],[Food_ID]],Food_Catalog[[#All],[Client_Price_Per_Unit]],0,0)</f>
        <v>4320</v>
      </c>
      <c r="I2315">
        <f>Food_Orders[[#This Row],[Client_Price]]-Food_Orders[[#This Row],[Cost]]</f>
        <v>720</v>
      </c>
    </row>
    <row r="2316" spans="1:9" x14ac:dyDescent="0.25">
      <c r="A2316">
        <v>99</v>
      </c>
      <c r="B2316" t="s">
        <v>42</v>
      </c>
      <c r="C2316" t="s">
        <v>40</v>
      </c>
      <c r="D2316" t="s">
        <v>43</v>
      </c>
      <c r="E2316" t="s">
        <v>10</v>
      </c>
      <c r="F2316" cm="1">
        <f t="array" ref="F2316">_xlfn.XLOOKUP(Food_Orders[[#This Row],[Event_No]],Event_Master[[#All],[Event_No]],Event_Master[[#All],[Guest_Count]],,0)</f>
        <v>60</v>
      </c>
      <c r="G2316" cm="1">
        <f t="array" ref="G2316">Food_Orders[[#This Row],[Quantity_Orderd]]*_xlfn.XLOOKUP(Food_Orders[[#This Row],[Food_ID]],Food_Catalog[[#All],[Food_ID]],Food_Catalog[[#All],[Price_Per_Unit]],0,0)</f>
        <v>4200</v>
      </c>
      <c r="H2316" cm="1">
        <f t="array" ref="H2316">Food_Orders[[#This Row],[Quantity_Orderd]]*_xlfn.XLOOKUP(Food_Orders[[#This Row],[Food_ID]],Food_Catalog[[#All],[Food_ID]],Food_Catalog[[#All],[Client_Price_Per_Unit]],0,0)</f>
        <v>5040</v>
      </c>
      <c r="I2316">
        <f>Food_Orders[[#This Row],[Client_Price]]-Food_Orders[[#This Row],[Cost]]</f>
        <v>840</v>
      </c>
    </row>
    <row r="2317" spans="1:9" x14ac:dyDescent="0.25">
      <c r="A2317">
        <v>99</v>
      </c>
      <c r="B2317" t="s">
        <v>46</v>
      </c>
      <c r="C2317" t="s">
        <v>40</v>
      </c>
      <c r="D2317" t="s">
        <v>47</v>
      </c>
      <c r="E2317" t="s">
        <v>10</v>
      </c>
      <c r="F2317" cm="1">
        <f t="array" ref="F2317">_xlfn.XLOOKUP(Food_Orders[[#This Row],[Event_No]],Event_Master[[#All],[Event_No]],Event_Master[[#All],[Guest_Count]],,0)</f>
        <v>60</v>
      </c>
      <c r="G2317" cm="1">
        <f t="array" ref="G2317">Food_Orders[[#This Row],[Quantity_Orderd]]*_xlfn.XLOOKUP(Food_Orders[[#This Row],[Food_ID]],Food_Catalog[[#All],[Food_ID]],Food_Catalog[[#All],[Price_Per_Unit]],0,0)</f>
        <v>5400</v>
      </c>
      <c r="H2317" cm="1">
        <f t="array" ref="H2317">Food_Orders[[#This Row],[Quantity_Orderd]]*_xlfn.XLOOKUP(Food_Orders[[#This Row],[Food_ID]],Food_Catalog[[#All],[Food_ID]],Food_Catalog[[#All],[Client_Price_Per_Unit]],0,0)</f>
        <v>6480</v>
      </c>
      <c r="I2317">
        <f>Food_Orders[[#This Row],[Client_Price]]-Food_Orders[[#This Row],[Cost]]</f>
        <v>1080</v>
      </c>
    </row>
    <row r="2318" spans="1:9" x14ac:dyDescent="0.25">
      <c r="A2318">
        <v>99</v>
      </c>
      <c r="B2318" t="s">
        <v>50</v>
      </c>
      <c r="C2318" t="s">
        <v>40</v>
      </c>
      <c r="D2318" t="s">
        <v>51</v>
      </c>
      <c r="E2318" t="s">
        <v>10</v>
      </c>
      <c r="F2318" cm="1">
        <f t="array" ref="F2318">_xlfn.XLOOKUP(Food_Orders[[#This Row],[Event_No]],Event_Master[[#All],[Event_No]],Event_Master[[#All],[Guest_Count]],,0)</f>
        <v>60</v>
      </c>
      <c r="G2318" cm="1">
        <f t="array" ref="G2318">Food_Orders[[#This Row],[Quantity_Orderd]]*_xlfn.XLOOKUP(Food_Orders[[#This Row],[Food_ID]],Food_Catalog[[#All],[Food_ID]],Food_Catalog[[#All],[Price_Per_Unit]],0,0)</f>
        <v>4800</v>
      </c>
      <c r="H2318" cm="1">
        <f t="array" ref="H2318">Food_Orders[[#This Row],[Quantity_Orderd]]*_xlfn.XLOOKUP(Food_Orders[[#This Row],[Food_ID]],Food_Catalog[[#All],[Food_ID]],Food_Catalog[[#All],[Client_Price_Per_Unit]],0,0)</f>
        <v>5760</v>
      </c>
      <c r="I2318">
        <f>Food_Orders[[#This Row],[Client_Price]]-Food_Orders[[#This Row],[Cost]]</f>
        <v>960</v>
      </c>
    </row>
    <row r="2319" spans="1:9" x14ac:dyDescent="0.25">
      <c r="A2319">
        <v>99</v>
      </c>
      <c r="B2319" t="s">
        <v>52</v>
      </c>
      <c r="C2319" t="s">
        <v>40</v>
      </c>
      <c r="D2319" t="s">
        <v>53</v>
      </c>
      <c r="E2319" t="s">
        <v>10</v>
      </c>
      <c r="F2319" cm="1">
        <f t="array" ref="F2319">_xlfn.XLOOKUP(Food_Orders[[#This Row],[Event_No]],Event_Master[[#All],[Event_No]],Event_Master[[#All],[Guest_Count]],,0)</f>
        <v>60</v>
      </c>
      <c r="G2319" cm="1">
        <f t="array" ref="G2319">Food_Orders[[#This Row],[Quantity_Orderd]]*_xlfn.XLOOKUP(Food_Orders[[#This Row],[Food_ID]],Food_Catalog[[#All],[Food_ID]],Food_Catalog[[#All],[Price_Per_Unit]],0,0)</f>
        <v>6000</v>
      </c>
      <c r="H2319" cm="1">
        <f t="array" ref="H2319">Food_Orders[[#This Row],[Quantity_Orderd]]*_xlfn.XLOOKUP(Food_Orders[[#This Row],[Food_ID]],Food_Catalog[[#All],[Food_ID]],Food_Catalog[[#All],[Client_Price_Per_Unit]],0,0)</f>
        <v>7200</v>
      </c>
      <c r="I2319">
        <f>Food_Orders[[#This Row],[Client_Price]]-Food_Orders[[#This Row],[Cost]]</f>
        <v>1200</v>
      </c>
    </row>
    <row r="2320" spans="1:9" x14ac:dyDescent="0.25">
      <c r="A2320">
        <v>99</v>
      </c>
      <c r="B2320" t="s">
        <v>27</v>
      </c>
      <c r="C2320" t="s">
        <v>8</v>
      </c>
      <c r="D2320" t="s">
        <v>28</v>
      </c>
      <c r="E2320" t="s">
        <v>10</v>
      </c>
      <c r="F2320" cm="1">
        <f t="array" ref="F2320">_xlfn.XLOOKUP(Food_Orders[[#This Row],[Event_No]],Event_Master[[#All],[Event_No]],Event_Master[[#All],[Guest_Count]],,0)</f>
        <v>60</v>
      </c>
      <c r="G2320" cm="1">
        <f t="array" ref="G2320">Food_Orders[[#This Row],[Quantity_Orderd]]*_xlfn.XLOOKUP(Food_Orders[[#This Row],[Food_ID]],Food_Catalog[[#All],[Food_ID]],Food_Catalog[[#All],[Price_Per_Unit]],0,0)</f>
        <v>2400</v>
      </c>
      <c r="H2320" cm="1">
        <f t="array" ref="H2320">Food_Orders[[#This Row],[Quantity_Orderd]]*_xlfn.XLOOKUP(Food_Orders[[#This Row],[Food_ID]],Food_Catalog[[#All],[Food_ID]],Food_Catalog[[#All],[Client_Price_Per_Unit]],0,0)</f>
        <v>2880</v>
      </c>
      <c r="I2320">
        <f>Food_Orders[[#This Row],[Client_Price]]-Food_Orders[[#This Row],[Cost]]</f>
        <v>480</v>
      </c>
    </row>
    <row r="2321" spans="1:9" x14ac:dyDescent="0.25">
      <c r="A2321">
        <v>99</v>
      </c>
      <c r="B2321" t="s">
        <v>17</v>
      </c>
      <c r="C2321" t="s">
        <v>8</v>
      </c>
      <c r="D2321" t="s">
        <v>18</v>
      </c>
      <c r="E2321" t="s">
        <v>10</v>
      </c>
      <c r="F2321" cm="1">
        <f t="array" ref="F2321">_xlfn.XLOOKUP(Food_Orders[[#This Row],[Event_No]],Event_Master[[#All],[Event_No]],Event_Master[[#All],[Guest_Count]],,0)</f>
        <v>60</v>
      </c>
      <c r="G2321" cm="1">
        <f t="array" ref="G2321">Food_Orders[[#This Row],[Quantity_Orderd]]*_xlfn.XLOOKUP(Food_Orders[[#This Row],[Food_ID]],Food_Catalog[[#All],[Food_ID]],Food_Catalog[[#All],[Price_Per_Unit]],0,0)</f>
        <v>2400</v>
      </c>
      <c r="H2321" cm="1">
        <f t="array" ref="H2321">Food_Orders[[#This Row],[Quantity_Orderd]]*_xlfn.XLOOKUP(Food_Orders[[#This Row],[Food_ID]],Food_Catalog[[#All],[Food_ID]],Food_Catalog[[#All],[Client_Price_Per_Unit]],0,0)</f>
        <v>2880</v>
      </c>
      <c r="I2321">
        <f>Food_Orders[[#This Row],[Client_Price]]-Food_Orders[[#This Row],[Cost]]</f>
        <v>480</v>
      </c>
    </row>
    <row r="2322" spans="1:9" x14ac:dyDescent="0.25">
      <c r="A2322">
        <v>99</v>
      </c>
      <c r="B2322" t="s">
        <v>29</v>
      </c>
      <c r="C2322" t="s">
        <v>8</v>
      </c>
      <c r="D2322" t="s">
        <v>30</v>
      </c>
      <c r="E2322" t="s">
        <v>10</v>
      </c>
      <c r="F2322" cm="1">
        <f t="array" ref="F2322">_xlfn.XLOOKUP(Food_Orders[[#This Row],[Event_No]],Event_Master[[#All],[Event_No]],Event_Master[[#All],[Guest_Count]],,0)</f>
        <v>60</v>
      </c>
      <c r="G2322" cm="1">
        <f t="array" ref="G2322">Food_Orders[[#This Row],[Quantity_Orderd]]*_xlfn.XLOOKUP(Food_Orders[[#This Row],[Food_ID]],Food_Catalog[[#All],[Food_ID]],Food_Catalog[[#All],[Price_Per_Unit]],0,0)</f>
        <v>1800</v>
      </c>
      <c r="H2322" cm="1">
        <f t="array" ref="H2322">Food_Orders[[#This Row],[Quantity_Orderd]]*_xlfn.XLOOKUP(Food_Orders[[#This Row],[Food_ID]],Food_Catalog[[#All],[Food_ID]],Food_Catalog[[#All],[Client_Price_Per_Unit]],0,0)</f>
        <v>2160</v>
      </c>
      <c r="I2322">
        <f>Food_Orders[[#This Row],[Client_Price]]-Food_Orders[[#This Row],[Cost]]</f>
        <v>360</v>
      </c>
    </row>
    <row r="2323" spans="1:9" x14ac:dyDescent="0.25">
      <c r="A2323">
        <v>99</v>
      </c>
      <c r="B2323" t="s">
        <v>82</v>
      </c>
      <c r="C2323" t="s">
        <v>83</v>
      </c>
      <c r="D2323" t="s">
        <v>84</v>
      </c>
      <c r="E2323" t="s">
        <v>85</v>
      </c>
      <c r="F2323" cm="1">
        <f t="array" ref="F2323">_xlfn.XLOOKUP(Food_Orders[[#This Row],[Event_No]],Event_Master[[#All],[Event_No]],Event_Master[[#All],[Guest_Count]],,0)</f>
        <v>60</v>
      </c>
      <c r="G2323" cm="1">
        <f t="array" ref="G2323">Food_Orders[[#This Row],[Quantity_Orderd]]*_xlfn.XLOOKUP(Food_Orders[[#This Row],[Food_ID]],Food_Catalog[[#All],[Food_ID]],Food_Catalog[[#All],[Price_Per_Unit]],0,0)</f>
        <v>1200</v>
      </c>
      <c r="H2323" cm="1">
        <f t="array" ref="H2323">Food_Orders[[#This Row],[Quantity_Orderd]]*_xlfn.XLOOKUP(Food_Orders[[#This Row],[Food_ID]],Food_Catalog[[#All],[Food_ID]],Food_Catalog[[#All],[Client_Price_Per_Unit]],0,0)</f>
        <v>1440</v>
      </c>
      <c r="I2323">
        <f>Food_Orders[[#This Row],[Client_Price]]-Food_Orders[[#This Row],[Cost]]</f>
        <v>240</v>
      </c>
    </row>
    <row r="2324" spans="1:9" x14ac:dyDescent="0.25">
      <c r="A2324">
        <v>99</v>
      </c>
      <c r="B2324" t="s">
        <v>86</v>
      </c>
      <c r="C2324" t="s">
        <v>83</v>
      </c>
      <c r="D2324" t="s">
        <v>87</v>
      </c>
      <c r="E2324" t="s">
        <v>85</v>
      </c>
      <c r="F2324" cm="1">
        <f t="array" ref="F2324">_xlfn.XLOOKUP(Food_Orders[[#This Row],[Event_No]],Event_Master[[#All],[Event_No]],Event_Master[[#All],[Guest_Count]],,0)</f>
        <v>60</v>
      </c>
      <c r="G2324" cm="1">
        <f t="array" ref="G2324">Food_Orders[[#This Row],[Quantity_Orderd]]*_xlfn.XLOOKUP(Food_Orders[[#This Row],[Food_ID]],Food_Catalog[[#All],[Food_ID]],Food_Catalog[[#All],[Price_Per_Unit]],0,0)</f>
        <v>1200</v>
      </c>
      <c r="H2324" cm="1">
        <f t="array" ref="H2324">Food_Orders[[#This Row],[Quantity_Orderd]]*_xlfn.XLOOKUP(Food_Orders[[#This Row],[Food_ID]],Food_Catalog[[#All],[Food_ID]],Food_Catalog[[#All],[Client_Price_Per_Unit]],0,0)</f>
        <v>1440</v>
      </c>
      <c r="I2324">
        <f>Food_Orders[[#This Row],[Client_Price]]-Food_Orders[[#This Row],[Cost]]</f>
        <v>240</v>
      </c>
    </row>
    <row r="2325" spans="1:9" x14ac:dyDescent="0.25">
      <c r="A2325">
        <v>99</v>
      </c>
      <c r="B2325" t="s">
        <v>96</v>
      </c>
      <c r="C2325" t="s">
        <v>83</v>
      </c>
      <c r="D2325" t="s">
        <v>97</v>
      </c>
      <c r="E2325" t="s">
        <v>79</v>
      </c>
      <c r="F2325" cm="1">
        <f t="array" ref="F2325">_xlfn.XLOOKUP(Food_Orders[[#This Row],[Event_No]],Event_Master[[#All],[Event_No]],Event_Master[[#All],[Guest_Count]],,0)</f>
        <v>60</v>
      </c>
      <c r="G2325" cm="1">
        <f t="array" ref="G2325">Food_Orders[[#This Row],[Quantity_Orderd]]*_xlfn.XLOOKUP(Food_Orders[[#This Row],[Food_ID]],Food_Catalog[[#All],[Food_ID]],Food_Catalog[[#All],[Price_Per_Unit]],0,0)</f>
        <v>1800</v>
      </c>
      <c r="H2325" cm="1">
        <f t="array" ref="H2325">Food_Orders[[#This Row],[Quantity_Orderd]]*_xlfn.XLOOKUP(Food_Orders[[#This Row],[Food_ID]],Food_Catalog[[#All],[Food_ID]],Food_Catalog[[#All],[Client_Price_Per_Unit]],0,0)</f>
        <v>2160</v>
      </c>
      <c r="I2325">
        <f>Food_Orders[[#This Row],[Client_Price]]-Food_Orders[[#This Row],[Cost]]</f>
        <v>360</v>
      </c>
    </row>
    <row r="2326" spans="1:9" x14ac:dyDescent="0.25">
      <c r="A2326">
        <v>99</v>
      </c>
      <c r="B2326" t="s">
        <v>100</v>
      </c>
      <c r="C2326" t="s">
        <v>83</v>
      </c>
      <c r="D2326" t="s">
        <v>101</v>
      </c>
      <c r="E2326" t="s">
        <v>79</v>
      </c>
      <c r="F2326" cm="1">
        <f t="array" ref="F2326">_xlfn.XLOOKUP(Food_Orders[[#This Row],[Event_No]],Event_Master[[#All],[Event_No]],Event_Master[[#All],[Guest_Count]],,0)</f>
        <v>60</v>
      </c>
      <c r="G2326" cm="1">
        <f t="array" ref="G2326">Food_Orders[[#This Row],[Quantity_Orderd]]*_xlfn.XLOOKUP(Food_Orders[[#This Row],[Food_ID]],Food_Catalog[[#All],[Food_ID]],Food_Catalog[[#All],[Price_Per_Unit]],0,0)</f>
        <v>2100</v>
      </c>
      <c r="H2326" cm="1">
        <f t="array" ref="H2326">Food_Orders[[#This Row],[Quantity_Orderd]]*_xlfn.XLOOKUP(Food_Orders[[#This Row],[Food_ID]],Food_Catalog[[#All],[Food_ID]],Food_Catalog[[#All],[Client_Price_Per_Unit]],0,0)</f>
        <v>2520</v>
      </c>
      <c r="I2326">
        <f>Food_Orders[[#This Row],[Client_Price]]-Food_Orders[[#This Row],[Cost]]</f>
        <v>420</v>
      </c>
    </row>
    <row r="2327" spans="1:9" x14ac:dyDescent="0.25">
      <c r="A2327">
        <v>99</v>
      </c>
      <c r="B2327" t="s">
        <v>92</v>
      </c>
      <c r="C2327" t="s">
        <v>83</v>
      </c>
      <c r="D2327" t="s">
        <v>93</v>
      </c>
      <c r="E2327" t="s">
        <v>85</v>
      </c>
      <c r="F2327" cm="1">
        <f t="array" ref="F2327">_xlfn.XLOOKUP(Food_Orders[[#This Row],[Event_No]],Event_Master[[#All],[Event_No]],Event_Master[[#All],[Guest_Count]],,0)</f>
        <v>60</v>
      </c>
      <c r="G2327" cm="1">
        <f t="array" ref="G2327">Food_Orders[[#This Row],[Quantity_Orderd]]*_xlfn.XLOOKUP(Food_Orders[[#This Row],[Food_ID]],Food_Catalog[[#All],[Food_ID]],Food_Catalog[[#All],[Price_Per_Unit]],0,0)</f>
        <v>900</v>
      </c>
      <c r="H2327" cm="1">
        <f t="array" ref="H2327">Food_Orders[[#This Row],[Quantity_Orderd]]*_xlfn.XLOOKUP(Food_Orders[[#This Row],[Food_ID]],Food_Catalog[[#All],[Food_ID]],Food_Catalog[[#All],[Client_Price_Per_Unit]],0,0)</f>
        <v>1080</v>
      </c>
      <c r="I2327">
        <f>Food_Orders[[#This Row],[Client_Price]]-Food_Orders[[#This Row],[Cost]]</f>
        <v>180</v>
      </c>
    </row>
    <row r="2328" spans="1:9" x14ac:dyDescent="0.25">
      <c r="A2328">
        <v>99</v>
      </c>
      <c r="B2328" t="s">
        <v>98</v>
      </c>
      <c r="C2328" t="s">
        <v>83</v>
      </c>
      <c r="D2328" t="s">
        <v>99</v>
      </c>
      <c r="E2328" t="s">
        <v>85</v>
      </c>
      <c r="F2328" cm="1">
        <f t="array" ref="F2328">_xlfn.XLOOKUP(Food_Orders[[#This Row],[Event_No]],Event_Master[[#All],[Event_No]],Event_Master[[#All],[Guest_Count]],,0)</f>
        <v>60</v>
      </c>
      <c r="G2328" cm="1">
        <f t="array" ref="G2328">Food_Orders[[#This Row],[Quantity_Orderd]]*_xlfn.XLOOKUP(Food_Orders[[#This Row],[Food_ID]],Food_Catalog[[#All],[Food_ID]],Food_Catalog[[#All],[Price_Per_Unit]],0,0)</f>
        <v>900</v>
      </c>
      <c r="H2328" cm="1">
        <f t="array" ref="H2328">Food_Orders[[#This Row],[Quantity_Orderd]]*_xlfn.XLOOKUP(Food_Orders[[#This Row],[Food_ID]],Food_Catalog[[#All],[Food_ID]],Food_Catalog[[#All],[Client_Price_Per_Unit]],0,0)</f>
        <v>1080</v>
      </c>
      <c r="I2328">
        <f>Food_Orders[[#This Row],[Client_Price]]-Food_Orders[[#This Row],[Cost]]</f>
        <v>180</v>
      </c>
    </row>
    <row r="2329" spans="1:9" x14ac:dyDescent="0.25">
      <c r="A2329">
        <v>99</v>
      </c>
      <c r="B2329" t="s">
        <v>108</v>
      </c>
      <c r="C2329" t="s">
        <v>105</v>
      </c>
      <c r="D2329" t="s">
        <v>109</v>
      </c>
      <c r="E2329" t="s">
        <v>107</v>
      </c>
      <c r="F2329" cm="1">
        <f t="array" ref="F2329">_xlfn.XLOOKUP(Food_Orders[[#This Row],[Event_No]],Event_Master[[#All],[Event_No]],Event_Master[[#All],[Guest_Count]],,0)</f>
        <v>60</v>
      </c>
      <c r="G2329" cm="1">
        <f t="array" ref="G2329">Food_Orders[[#This Row],[Quantity_Orderd]]*_xlfn.XLOOKUP(Food_Orders[[#This Row],[Food_ID]],Food_Catalog[[#All],[Food_ID]],Food_Catalog[[#All],[Price_Per_Unit]],0,0)</f>
        <v>900</v>
      </c>
      <c r="H2329" cm="1">
        <f t="array" ref="H2329">Food_Orders[[#This Row],[Quantity_Orderd]]*_xlfn.XLOOKUP(Food_Orders[[#This Row],[Food_ID]],Food_Catalog[[#All],[Food_ID]],Food_Catalog[[#All],[Client_Price_Per_Unit]],0,0)</f>
        <v>1080</v>
      </c>
      <c r="I2329">
        <f>Food_Orders[[#This Row],[Client_Price]]-Food_Orders[[#This Row],[Cost]]</f>
        <v>180</v>
      </c>
    </row>
    <row r="2330" spans="1:9" x14ac:dyDescent="0.25">
      <c r="A2330">
        <v>99</v>
      </c>
      <c r="B2330" t="s">
        <v>118</v>
      </c>
      <c r="C2330" t="s">
        <v>119</v>
      </c>
      <c r="D2330" t="s">
        <v>120</v>
      </c>
      <c r="E2330" t="s">
        <v>112</v>
      </c>
      <c r="F2330" cm="1">
        <f t="array" ref="F2330">_xlfn.XLOOKUP(Food_Orders[[#This Row],[Event_No]],Event_Master[[#All],[Event_No]],Event_Master[[#All],[Guest_Count]],,0)</f>
        <v>60</v>
      </c>
      <c r="G2330" cm="1">
        <f t="array" ref="G2330">Food_Orders[[#This Row],[Quantity_Orderd]]*_xlfn.XLOOKUP(Food_Orders[[#This Row],[Food_ID]],Food_Catalog[[#All],[Food_ID]],Food_Catalog[[#All],[Price_Per_Unit]],0,0)</f>
        <v>600</v>
      </c>
      <c r="H2330" cm="1">
        <f t="array" ref="H2330">Food_Orders[[#This Row],[Quantity_Orderd]]*_xlfn.XLOOKUP(Food_Orders[[#This Row],[Food_ID]],Food_Catalog[[#All],[Food_ID]],Food_Catalog[[#All],[Client_Price_Per_Unit]],0,0)</f>
        <v>720</v>
      </c>
      <c r="I2330">
        <f>Food_Orders[[#This Row],[Client_Price]]-Food_Orders[[#This Row],[Cost]]</f>
        <v>120</v>
      </c>
    </row>
    <row r="2331" spans="1:9" x14ac:dyDescent="0.25">
      <c r="A2331">
        <v>99</v>
      </c>
      <c r="B2331" t="s">
        <v>129</v>
      </c>
      <c r="C2331" t="s">
        <v>119</v>
      </c>
      <c r="D2331" t="s">
        <v>130</v>
      </c>
      <c r="E2331" t="s">
        <v>112</v>
      </c>
      <c r="F2331" cm="1">
        <f t="array" ref="F2331">_xlfn.XLOOKUP(Food_Orders[[#This Row],[Event_No]],Event_Master[[#All],[Event_No]],Event_Master[[#All],[Guest_Count]],,0)</f>
        <v>60</v>
      </c>
      <c r="G2331" cm="1">
        <f t="array" ref="G2331">Food_Orders[[#This Row],[Quantity_Orderd]]*_xlfn.XLOOKUP(Food_Orders[[#This Row],[Food_ID]],Food_Catalog[[#All],[Food_ID]],Food_Catalog[[#All],[Price_Per_Unit]],0,0)</f>
        <v>600</v>
      </c>
      <c r="H2331" cm="1">
        <f t="array" ref="H2331">Food_Orders[[#This Row],[Quantity_Orderd]]*_xlfn.XLOOKUP(Food_Orders[[#This Row],[Food_ID]],Food_Catalog[[#All],[Food_ID]],Food_Catalog[[#All],[Client_Price_Per_Unit]],0,0)</f>
        <v>720</v>
      </c>
      <c r="I2331">
        <f>Food_Orders[[#This Row],[Client_Price]]-Food_Orders[[#This Row],[Cost]]</f>
        <v>120</v>
      </c>
    </row>
    <row r="2332" spans="1:9" x14ac:dyDescent="0.25">
      <c r="A2332">
        <v>99</v>
      </c>
      <c r="B2332" t="s">
        <v>127</v>
      </c>
      <c r="C2332" t="s">
        <v>119</v>
      </c>
      <c r="D2332" t="s">
        <v>128</v>
      </c>
      <c r="E2332" t="s">
        <v>107</v>
      </c>
      <c r="F2332" cm="1">
        <f t="array" ref="F2332">_xlfn.XLOOKUP(Food_Orders[[#This Row],[Event_No]],Event_Master[[#All],[Event_No]],Event_Master[[#All],[Guest_Count]],,0)</f>
        <v>60</v>
      </c>
      <c r="G2332" cm="1">
        <f t="array" ref="G2332">Food_Orders[[#This Row],[Quantity_Orderd]]*_xlfn.XLOOKUP(Food_Orders[[#This Row],[Food_ID]],Food_Catalog[[#All],[Food_ID]],Food_Catalog[[#All],[Price_Per_Unit]],0,0)</f>
        <v>1200</v>
      </c>
      <c r="H2332" cm="1">
        <f t="array" ref="H2332">Food_Orders[[#This Row],[Quantity_Orderd]]*_xlfn.XLOOKUP(Food_Orders[[#This Row],[Food_ID]],Food_Catalog[[#All],[Food_ID]],Food_Catalog[[#All],[Client_Price_Per_Unit]],0,0)</f>
        <v>1440</v>
      </c>
      <c r="I2332">
        <f>Food_Orders[[#This Row],[Client_Price]]-Food_Orders[[#This Row],[Cost]]</f>
        <v>240</v>
      </c>
    </row>
    <row r="2333" spans="1:9" x14ac:dyDescent="0.25">
      <c r="A2333">
        <v>99</v>
      </c>
      <c r="B2333" t="s">
        <v>124</v>
      </c>
      <c r="C2333" t="s">
        <v>119</v>
      </c>
      <c r="D2333" t="s">
        <v>125</v>
      </c>
      <c r="E2333" t="s">
        <v>126</v>
      </c>
      <c r="F2333" cm="1">
        <f t="array" ref="F2333">_xlfn.XLOOKUP(Food_Orders[[#This Row],[Event_No]],Event_Master[[#All],[Event_No]],Event_Master[[#All],[Guest_Count]],,0)</f>
        <v>60</v>
      </c>
      <c r="G2333" cm="1">
        <f t="array" ref="G2333">Food_Orders[[#This Row],[Quantity_Orderd]]*_xlfn.XLOOKUP(Food_Orders[[#This Row],[Food_ID]],Food_Catalog[[#All],[Food_ID]],Food_Catalog[[#All],[Price_Per_Unit]],0,0)</f>
        <v>1200</v>
      </c>
      <c r="H2333" cm="1">
        <f t="array" ref="H2333">Food_Orders[[#This Row],[Quantity_Orderd]]*_xlfn.XLOOKUP(Food_Orders[[#This Row],[Food_ID]],Food_Catalog[[#All],[Food_ID]],Food_Catalog[[#All],[Client_Price_Per_Unit]],0,0)</f>
        <v>1440</v>
      </c>
      <c r="I2333">
        <f>Food_Orders[[#This Row],[Client_Price]]-Food_Orders[[#This Row],[Cost]]</f>
        <v>240</v>
      </c>
    </row>
    <row r="2334" spans="1:9" x14ac:dyDescent="0.25">
      <c r="A2334">
        <v>99</v>
      </c>
      <c r="B2334" t="s">
        <v>121</v>
      </c>
      <c r="C2334" t="s">
        <v>119</v>
      </c>
      <c r="D2334" t="s">
        <v>122</v>
      </c>
      <c r="E2334" t="s">
        <v>123</v>
      </c>
      <c r="F2334" cm="1">
        <f t="array" ref="F2334">_xlfn.XLOOKUP(Food_Orders[[#This Row],[Event_No]],Event_Master[[#All],[Event_No]],Event_Master[[#All],[Guest_Count]],,0)</f>
        <v>60</v>
      </c>
      <c r="G2334" cm="1">
        <f t="array" ref="G2334">Food_Orders[[#This Row],[Quantity_Orderd]]*_xlfn.XLOOKUP(Food_Orders[[#This Row],[Food_ID]],Food_Catalog[[#All],[Food_ID]],Food_Catalog[[#All],[Price_Per_Unit]],0,0)</f>
        <v>600</v>
      </c>
      <c r="H2334" cm="1">
        <f t="array" ref="H2334">Food_Orders[[#This Row],[Quantity_Orderd]]*_xlfn.XLOOKUP(Food_Orders[[#This Row],[Food_ID]],Food_Catalog[[#All],[Food_ID]],Food_Catalog[[#All],[Client_Price_Per_Unit]],0,0)</f>
        <v>720</v>
      </c>
      <c r="I2334">
        <f>Food_Orders[[#This Row],[Client_Price]]-Food_Orders[[#This Row],[Cost]]</f>
        <v>120</v>
      </c>
    </row>
    <row r="2335" spans="1:9" x14ac:dyDescent="0.25">
      <c r="A2335">
        <v>100</v>
      </c>
      <c r="B2335" t="s">
        <v>75</v>
      </c>
      <c r="C2335" t="s">
        <v>61</v>
      </c>
      <c r="D2335" t="s">
        <v>76</v>
      </c>
      <c r="E2335" t="s">
        <v>10</v>
      </c>
      <c r="F2335" cm="1">
        <f t="array" ref="F2335">_xlfn.XLOOKUP(Food_Orders[[#This Row],[Event_No]],Event_Master[[#All],[Event_No]],Event_Master[[#All],[Guest_Count]],,0)</f>
        <v>40</v>
      </c>
      <c r="G2335" cm="1">
        <f t="array" ref="G2335">Food_Orders[[#This Row],[Quantity_Orderd]]*_xlfn.XLOOKUP(Food_Orders[[#This Row],[Food_ID]],Food_Catalog[[#All],[Food_ID]],Food_Catalog[[#All],[Price_Per_Unit]],0,0)</f>
        <v>1600</v>
      </c>
      <c r="H2335" cm="1">
        <f t="array" ref="H2335">Food_Orders[[#This Row],[Quantity_Orderd]]*_xlfn.XLOOKUP(Food_Orders[[#This Row],[Food_ID]],Food_Catalog[[#All],[Food_ID]],Food_Catalog[[#All],[Client_Price_Per_Unit]],0,0)</f>
        <v>1920</v>
      </c>
      <c r="I2335">
        <f>Food_Orders[[#This Row],[Client_Price]]-Food_Orders[[#This Row],[Cost]]</f>
        <v>320</v>
      </c>
    </row>
    <row r="2336" spans="1:9" x14ac:dyDescent="0.25">
      <c r="A2336">
        <v>100</v>
      </c>
      <c r="B2336" t="s">
        <v>69</v>
      </c>
      <c r="C2336" t="s">
        <v>61</v>
      </c>
      <c r="D2336" t="s">
        <v>70</v>
      </c>
      <c r="E2336" t="s">
        <v>10</v>
      </c>
      <c r="F2336" cm="1">
        <f t="array" ref="F2336">_xlfn.XLOOKUP(Food_Orders[[#This Row],[Event_No]],Event_Master[[#All],[Event_No]],Event_Master[[#All],[Guest_Count]],,0)</f>
        <v>40</v>
      </c>
      <c r="G2336" cm="1">
        <f t="array" ref="G2336">Food_Orders[[#This Row],[Quantity_Orderd]]*_xlfn.XLOOKUP(Food_Orders[[#This Row],[Food_ID]],Food_Catalog[[#All],[Food_ID]],Food_Catalog[[#All],[Price_Per_Unit]],0,0)</f>
        <v>2000</v>
      </c>
      <c r="H2336" cm="1">
        <f t="array" ref="H2336">Food_Orders[[#This Row],[Quantity_Orderd]]*_xlfn.XLOOKUP(Food_Orders[[#This Row],[Food_ID]],Food_Catalog[[#All],[Food_ID]],Food_Catalog[[#All],[Client_Price_Per_Unit]],0,0)</f>
        <v>2400</v>
      </c>
      <c r="I2336">
        <f>Food_Orders[[#This Row],[Client_Price]]-Food_Orders[[#This Row],[Cost]]</f>
        <v>400</v>
      </c>
    </row>
    <row r="2337" spans="1:9" x14ac:dyDescent="0.25">
      <c r="A2337">
        <v>100</v>
      </c>
      <c r="B2337" t="s">
        <v>17</v>
      </c>
      <c r="C2337" t="s">
        <v>8</v>
      </c>
      <c r="D2337" t="s">
        <v>18</v>
      </c>
      <c r="E2337" t="s">
        <v>10</v>
      </c>
      <c r="F2337" cm="1">
        <f t="array" ref="F2337">_xlfn.XLOOKUP(Food_Orders[[#This Row],[Event_No]],Event_Master[[#All],[Event_No]],Event_Master[[#All],[Guest_Count]],,0)</f>
        <v>40</v>
      </c>
      <c r="G2337" cm="1">
        <f t="array" ref="G2337">Food_Orders[[#This Row],[Quantity_Orderd]]*_xlfn.XLOOKUP(Food_Orders[[#This Row],[Food_ID]],Food_Catalog[[#All],[Food_ID]],Food_Catalog[[#All],[Price_Per_Unit]],0,0)</f>
        <v>1600</v>
      </c>
      <c r="H2337" cm="1">
        <f t="array" ref="H2337">Food_Orders[[#This Row],[Quantity_Orderd]]*_xlfn.XLOOKUP(Food_Orders[[#This Row],[Food_ID]],Food_Catalog[[#All],[Food_ID]],Food_Catalog[[#All],[Client_Price_Per_Unit]],0,0)</f>
        <v>1920</v>
      </c>
      <c r="I2337">
        <f>Food_Orders[[#This Row],[Client_Price]]-Food_Orders[[#This Row],[Cost]]</f>
        <v>320</v>
      </c>
    </row>
    <row r="2338" spans="1:9" x14ac:dyDescent="0.25">
      <c r="A2338">
        <v>100</v>
      </c>
      <c r="B2338" t="s">
        <v>27</v>
      </c>
      <c r="C2338" t="s">
        <v>8</v>
      </c>
      <c r="D2338" t="s">
        <v>28</v>
      </c>
      <c r="E2338" t="s">
        <v>10</v>
      </c>
      <c r="F2338" cm="1">
        <f t="array" ref="F2338">_xlfn.XLOOKUP(Food_Orders[[#This Row],[Event_No]],Event_Master[[#All],[Event_No]],Event_Master[[#All],[Guest_Count]],,0)</f>
        <v>40</v>
      </c>
      <c r="G2338" cm="1">
        <f t="array" ref="G2338">Food_Orders[[#This Row],[Quantity_Orderd]]*_xlfn.XLOOKUP(Food_Orders[[#This Row],[Food_ID]],Food_Catalog[[#All],[Food_ID]],Food_Catalog[[#All],[Price_Per_Unit]],0,0)</f>
        <v>1600</v>
      </c>
      <c r="H2338" cm="1">
        <f t="array" ref="H2338">Food_Orders[[#This Row],[Quantity_Orderd]]*_xlfn.XLOOKUP(Food_Orders[[#This Row],[Food_ID]],Food_Catalog[[#All],[Food_ID]],Food_Catalog[[#All],[Client_Price_Per_Unit]],0,0)</f>
        <v>1920</v>
      </c>
      <c r="I2338">
        <f>Food_Orders[[#This Row],[Client_Price]]-Food_Orders[[#This Row],[Cost]]</f>
        <v>320</v>
      </c>
    </row>
    <row r="2339" spans="1:9" x14ac:dyDescent="0.25">
      <c r="A2339">
        <v>100</v>
      </c>
      <c r="B2339" t="s">
        <v>42</v>
      </c>
      <c r="C2339" t="s">
        <v>40</v>
      </c>
      <c r="D2339" t="s">
        <v>43</v>
      </c>
      <c r="E2339" t="s">
        <v>10</v>
      </c>
      <c r="F2339" cm="1">
        <f t="array" ref="F2339">_xlfn.XLOOKUP(Food_Orders[[#This Row],[Event_No]],Event_Master[[#All],[Event_No]],Event_Master[[#All],[Guest_Count]],,0)</f>
        <v>40</v>
      </c>
      <c r="G2339" cm="1">
        <f t="array" ref="G2339">Food_Orders[[#This Row],[Quantity_Orderd]]*_xlfn.XLOOKUP(Food_Orders[[#This Row],[Food_ID]],Food_Catalog[[#All],[Food_ID]],Food_Catalog[[#All],[Price_Per_Unit]],0,0)</f>
        <v>2800</v>
      </c>
      <c r="H2339" cm="1">
        <f t="array" ref="H2339">Food_Orders[[#This Row],[Quantity_Orderd]]*_xlfn.XLOOKUP(Food_Orders[[#This Row],[Food_ID]],Food_Catalog[[#All],[Food_ID]],Food_Catalog[[#All],[Client_Price_Per_Unit]],0,0)</f>
        <v>3360</v>
      </c>
      <c r="I2339">
        <f>Food_Orders[[#This Row],[Client_Price]]-Food_Orders[[#This Row],[Cost]]</f>
        <v>560</v>
      </c>
    </row>
    <row r="2340" spans="1:9" x14ac:dyDescent="0.25">
      <c r="A2340">
        <v>100</v>
      </c>
      <c r="B2340" t="s">
        <v>58</v>
      </c>
      <c r="C2340" t="s">
        <v>40</v>
      </c>
      <c r="D2340" t="s">
        <v>59</v>
      </c>
      <c r="E2340" t="s">
        <v>10</v>
      </c>
      <c r="F2340" cm="1">
        <f t="array" ref="F2340">_xlfn.XLOOKUP(Food_Orders[[#This Row],[Event_No]],Event_Master[[#All],[Event_No]],Event_Master[[#All],[Guest_Count]],,0)</f>
        <v>40</v>
      </c>
      <c r="G2340" cm="1">
        <f t="array" ref="G2340">Food_Orders[[#This Row],[Quantity_Orderd]]*_xlfn.XLOOKUP(Food_Orders[[#This Row],[Food_ID]],Food_Catalog[[#All],[Food_ID]],Food_Catalog[[#All],[Price_Per_Unit]],0,0)</f>
        <v>3600</v>
      </c>
      <c r="H2340" cm="1">
        <f t="array" ref="H2340">Food_Orders[[#This Row],[Quantity_Orderd]]*_xlfn.XLOOKUP(Food_Orders[[#This Row],[Food_ID]],Food_Catalog[[#All],[Food_ID]],Food_Catalog[[#All],[Client_Price_Per_Unit]],0,0)</f>
        <v>4320</v>
      </c>
      <c r="I2340">
        <f>Food_Orders[[#This Row],[Client_Price]]-Food_Orders[[#This Row],[Cost]]</f>
        <v>720</v>
      </c>
    </row>
    <row r="2341" spans="1:9" x14ac:dyDescent="0.25">
      <c r="A2341">
        <v>100</v>
      </c>
      <c r="B2341" t="s">
        <v>82</v>
      </c>
      <c r="C2341" t="s">
        <v>83</v>
      </c>
      <c r="D2341" t="s">
        <v>84</v>
      </c>
      <c r="E2341" t="s">
        <v>85</v>
      </c>
      <c r="F2341" cm="1">
        <f t="array" ref="F2341">_xlfn.XLOOKUP(Food_Orders[[#This Row],[Event_No]],Event_Master[[#All],[Event_No]],Event_Master[[#All],[Guest_Count]],,0)</f>
        <v>40</v>
      </c>
      <c r="G2341" cm="1">
        <f t="array" ref="G2341">Food_Orders[[#This Row],[Quantity_Orderd]]*_xlfn.XLOOKUP(Food_Orders[[#This Row],[Food_ID]],Food_Catalog[[#All],[Food_ID]],Food_Catalog[[#All],[Price_Per_Unit]],0,0)</f>
        <v>800</v>
      </c>
      <c r="H2341" cm="1">
        <f t="array" ref="H2341">Food_Orders[[#This Row],[Quantity_Orderd]]*_xlfn.XLOOKUP(Food_Orders[[#This Row],[Food_ID]],Food_Catalog[[#All],[Food_ID]],Food_Catalog[[#All],[Client_Price_Per_Unit]],0,0)</f>
        <v>960</v>
      </c>
      <c r="I2341">
        <f>Food_Orders[[#This Row],[Client_Price]]-Food_Orders[[#This Row],[Cost]]</f>
        <v>160</v>
      </c>
    </row>
    <row r="2342" spans="1:9" x14ac:dyDescent="0.25">
      <c r="A2342">
        <v>100</v>
      </c>
      <c r="B2342" t="s">
        <v>100</v>
      </c>
      <c r="C2342" t="s">
        <v>83</v>
      </c>
      <c r="D2342" t="s">
        <v>101</v>
      </c>
      <c r="E2342" t="s">
        <v>79</v>
      </c>
      <c r="F2342" cm="1">
        <f t="array" ref="F2342">_xlfn.XLOOKUP(Food_Orders[[#This Row],[Event_No]],Event_Master[[#All],[Event_No]],Event_Master[[#All],[Guest_Count]],,0)</f>
        <v>40</v>
      </c>
      <c r="G2342" cm="1">
        <f t="array" ref="G2342">Food_Orders[[#This Row],[Quantity_Orderd]]*_xlfn.XLOOKUP(Food_Orders[[#This Row],[Food_ID]],Food_Catalog[[#All],[Food_ID]],Food_Catalog[[#All],[Price_Per_Unit]],0,0)</f>
        <v>1400</v>
      </c>
      <c r="H2342" cm="1">
        <f t="array" ref="H2342">Food_Orders[[#This Row],[Quantity_Orderd]]*_xlfn.XLOOKUP(Food_Orders[[#This Row],[Food_ID]],Food_Catalog[[#All],[Food_ID]],Food_Catalog[[#All],[Client_Price_Per_Unit]],0,0)</f>
        <v>1680</v>
      </c>
      <c r="I2342">
        <f>Food_Orders[[#This Row],[Client_Price]]-Food_Orders[[#This Row],[Cost]]</f>
        <v>280</v>
      </c>
    </row>
    <row r="2343" spans="1:9" x14ac:dyDescent="0.25">
      <c r="A2343">
        <v>100</v>
      </c>
      <c r="B2343" t="s">
        <v>108</v>
      </c>
      <c r="C2343" t="s">
        <v>105</v>
      </c>
      <c r="D2343" t="s">
        <v>109</v>
      </c>
      <c r="E2343" t="s">
        <v>107</v>
      </c>
      <c r="F2343" cm="1">
        <f t="array" ref="F2343">_xlfn.XLOOKUP(Food_Orders[[#This Row],[Event_No]],Event_Master[[#All],[Event_No]],Event_Master[[#All],[Guest_Count]],,0)</f>
        <v>40</v>
      </c>
      <c r="G2343" cm="1">
        <f t="array" ref="G2343">Food_Orders[[#This Row],[Quantity_Orderd]]*_xlfn.XLOOKUP(Food_Orders[[#This Row],[Food_ID]],Food_Catalog[[#All],[Food_ID]],Food_Catalog[[#All],[Price_Per_Unit]],0,0)</f>
        <v>600</v>
      </c>
      <c r="H2343" cm="1">
        <f t="array" ref="H2343">Food_Orders[[#This Row],[Quantity_Orderd]]*_xlfn.XLOOKUP(Food_Orders[[#This Row],[Food_ID]],Food_Catalog[[#All],[Food_ID]],Food_Catalog[[#All],[Client_Price_Per_Unit]],0,0)</f>
        <v>720</v>
      </c>
      <c r="I2343">
        <f>Food_Orders[[#This Row],[Client_Price]]-Food_Orders[[#This Row],[Cost]]</f>
        <v>120</v>
      </c>
    </row>
    <row r="2344" spans="1:9" x14ac:dyDescent="0.25">
      <c r="A2344">
        <v>100</v>
      </c>
      <c r="B2344" t="s">
        <v>118</v>
      </c>
      <c r="C2344" t="s">
        <v>119</v>
      </c>
      <c r="D2344" t="s">
        <v>120</v>
      </c>
      <c r="E2344" t="s">
        <v>112</v>
      </c>
      <c r="F2344" cm="1">
        <f t="array" ref="F2344">_xlfn.XLOOKUP(Food_Orders[[#This Row],[Event_No]],Event_Master[[#All],[Event_No]],Event_Master[[#All],[Guest_Count]],,0)</f>
        <v>40</v>
      </c>
      <c r="G2344" cm="1">
        <f t="array" ref="G2344">Food_Orders[[#This Row],[Quantity_Orderd]]*_xlfn.XLOOKUP(Food_Orders[[#This Row],[Food_ID]],Food_Catalog[[#All],[Food_ID]],Food_Catalog[[#All],[Price_Per_Unit]],0,0)</f>
        <v>400</v>
      </c>
      <c r="H2344" cm="1">
        <f t="array" ref="H2344">Food_Orders[[#This Row],[Quantity_Orderd]]*_xlfn.XLOOKUP(Food_Orders[[#This Row],[Food_ID]],Food_Catalog[[#All],[Food_ID]],Food_Catalog[[#All],[Client_Price_Per_Unit]],0,0)</f>
        <v>480</v>
      </c>
      <c r="I2344">
        <f>Food_Orders[[#This Row],[Client_Price]]-Food_Orders[[#This Row],[Cost]]</f>
        <v>80</v>
      </c>
    </row>
    <row r="2345" spans="1:9" x14ac:dyDescent="0.25">
      <c r="A2345">
        <v>101</v>
      </c>
      <c r="B2345" t="s">
        <v>118</v>
      </c>
      <c r="C2345" t="s">
        <v>119</v>
      </c>
      <c r="D2345" t="s">
        <v>120</v>
      </c>
      <c r="E2345" t="s">
        <v>112</v>
      </c>
      <c r="F2345" cm="1">
        <f t="array" ref="F2345">_xlfn.XLOOKUP(Food_Orders[[#This Row],[Event_No]],Event_Master[[#All],[Event_No]],Event_Master[[#All],[Guest_Count]],,0)</f>
        <v>150</v>
      </c>
      <c r="G2345" cm="1">
        <f t="array" ref="G2345">Food_Orders[[#This Row],[Quantity_Orderd]]*_xlfn.XLOOKUP(Food_Orders[[#This Row],[Food_ID]],Food_Catalog[[#All],[Food_ID]],Food_Catalog[[#All],[Price_Per_Unit]],0,0)</f>
        <v>1500</v>
      </c>
      <c r="H2345" cm="1">
        <f t="array" ref="H2345">Food_Orders[[#This Row],[Quantity_Orderd]]*_xlfn.XLOOKUP(Food_Orders[[#This Row],[Food_ID]],Food_Catalog[[#All],[Food_ID]],Food_Catalog[[#All],[Client_Price_Per_Unit]],0,0)</f>
        <v>1800</v>
      </c>
      <c r="I2345">
        <f>Food_Orders[[#This Row],[Client_Price]]-Food_Orders[[#This Row],[Cost]]</f>
        <v>300</v>
      </c>
    </row>
    <row r="2346" spans="1:9" x14ac:dyDescent="0.25">
      <c r="A2346">
        <v>101</v>
      </c>
      <c r="B2346" t="s">
        <v>129</v>
      </c>
      <c r="C2346" t="s">
        <v>119</v>
      </c>
      <c r="D2346" t="s">
        <v>130</v>
      </c>
      <c r="E2346" t="s">
        <v>112</v>
      </c>
      <c r="F2346" cm="1">
        <f t="array" ref="F2346">_xlfn.XLOOKUP(Food_Orders[[#This Row],[Event_No]],Event_Master[[#All],[Event_No]],Event_Master[[#All],[Guest_Count]],,0)</f>
        <v>150</v>
      </c>
      <c r="G2346" cm="1">
        <f t="array" ref="G2346">Food_Orders[[#This Row],[Quantity_Orderd]]*_xlfn.XLOOKUP(Food_Orders[[#This Row],[Food_ID]],Food_Catalog[[#All],[Food_ID]],Food_Catalog[[#All],[Price_Per_Unit]],0,0)</f>
        <v>1500</v>
      </c>
      <c r="H2346" cm="1">
        <f t="array" ref="H2346">Food_Orders[[#This Row],[Quantity_Orderd]]*_xlfn.XLOOKUP(Food_Orders[[#This Row],[Food_ID]],Food_Catalog[[#All],[Food_ID]],Food_Catalog[[#All],[Client_Price_Per_Unit]],0,0)</f>
        <v>1800</v>
      </c>
      <c r="I2346">
        <f>Food_Orders[[#This Row],[Client_Price]]-Food_Orders[[#This Row],[Cost]]</f>
        <v>300</v>
      </c>
    </row>
    <row r="2347" spans="1:9" x14ac:dyDescent="0.25">
      <c r="A2347">
        <v>101</v>
      </c>
      <c r="B2347" t="s">
        <v>104</v>
      </c>
      <c r="C2347" t="s">
        <v>105</v>
      </c>
      <c r="D2347" t="s">
        <v>106</v>
      </c>
      <c r="E2347" t="s">
        <v>107</v>
      </c>
      <c r="F2347" cm="1">
        <f t="array" ref="F2347">_xlfn.XLOOKUP(Food_Orders[[#This Row],[Event_No]],Event_Master[[#All],[Event_No]],Event_Master[[#All],[Guest_Count]],,0)</f>
        <v>150</v>
      </c>
      <c r="G2347" cm="1">
        <f t="array" ref="G2347">Food_Orders[[#This Row],[Quantity_Orderd]]*_xlfn.XLOOKUP(Food_Orders[[#This Row],[Food_ID]],Food_Catalog[[#All],[Food_ID]],Food_Catalog[[#All],[Price_Per_Unit]],0,0)</f>
        <v>1500</v>
      </c>
      <c r="H2347" cm="1">
        <f t="array" ref="H2347">Food_Orders[[#This Row],[Quantity_Orderd]]*_xlfn.XLOOKUP(Food_Orders[[#This Row],[Food_ID]],Food_Catalog[[#All],[Food_ID]],Food_Catalog[[#All],[Client_Price_Per_Unit]],0,0)</f>
        <v>1800</v>
      </c>
      <c r="I2347">
        <f>Food_Orders[[#This Row],[Client_Price]]-Food_Orders[[#This Row],[Cost]]</f>
        <v>300</v>
      </c>
    </row>
    <row r="2348" spans="1:9" x14ac:dyDescent="0.25">
      <c r="A2348">
        <v>101</v>
      </c>
      <c r="B2348" t="s">
        <v>108</v>
      </c>
      <c r="C2348" t="s">
        <v>105</v>
      </c>
      <c r="D2348" t="s">
        <v>109</v>
      </c>
      <c r="E2348" t="s">
        <v>107</v>
      </c>
      <c r="F2348" cm="1">
        <f t="array" ref="F2348">_xlfn.XLOOKUP(Food_Orders[[#This Row],[Event_No]],Event_Master[[#All],[Event_No]],Event_Master[[#All],[Guest_Count]],,0)</f>
        <v>150</v>
      </c>
      <c r="G2348" cm="1">
        <f t="array" ref="G2348">Food_Orders[[#This Row],[Quantity_Orderd]]*_xlfn.XLOOKUP(Food_Orders[[#This Row],[Food_ID]],Food_Catalog[[#All],[Food_ID]],Food_Catalog[[#All],[Price_Per_Unit]],0,0)</f>
        <v>2250</v>
      </c>
      <c r="H2348" cm="1">
        <f t="array" ref="H2348">Food_Orders[[#This Row],[Quantity_Orderd]]*_xlfn.XLOOKUP(Food_Orders[[#This Row],[Food_ID]],Food_Catalog[[#All],[Food_ID]],Food_Catalog[[#All],[Client_Price_Per_Unit]],0,0)</f>
        <v>2700</v>
      </c>
      <c r="I2348">
        <f>Food_Orders[[#This Row],[Client_Price]]-Food_Orders[[#This Row],[Cost]]</f>
        <v>450</v>
      </c>
    </row>
    <row r="2349" spans="1:9" x14ac:dyDescent="0.25">
      <c r="A2349">
        <v>101</v>
      </c>
      <c r="B2349" t="s">
        <v>127</v>
      </c>
      <c r="C2349" t="s">
        <v>119</v>
      </c>
      <c r="D2349" t="s">
        <v>128</v>
      </c>
      <c r="E2349" t="s">
        <v>107</v>
      </c>
      <c r="F2349" cm="1">
        <f t="array" ref="F2349">_xlfn.XLOOKUP(Food_Orders[[#This Row],[Event_No]],Event_Master[[#All],[Event_No]],Event_Master[[#All],[Guest_Count]],,0)</f>
        <v>150</v>
      </c>
      <c r="G2349" cm="1">
        <f t="array" ref="G2349">Food_Orders[[#This Row],[Quantity_Orderd]]*_xlfn.XLOOKUP(Food_Orders[[#This Row],[Food_ID]],Food_Catalog[[#All],[Food_ID]],Food_Catalog[[#All],[Price_Per_Unit]],0,0)</f>
        <v>3000</v>
      </c>
      <c r="H2349" cm="1">
        <f t="array" ref="H2349">Food_Orders[[#This Row],[Quantity_Orderd]]*_xlfn.XLOOKUP(Food_Orders[[#This Row],[Food_ID]],Food_Catalog[[#All],[Food_ID]],Food_Catalog[[#All],[Client_Price_Per_Unit]],0,0)</f>
        <v>3600</v>
      </c>
      <c r="I2349">
        <f>Food_Orders[[#This Row],[Client_Price]]-Food_Orders[[#This Row],[Cost]]</f>
        <v>600</v>
      </c>
    </row>
    <row r="2350" spans="1:9" x14ac:dyDescent="0.25">
      <c r="A2350">
        <v>101</v>
      </c>
      <c r="B2350" t="s">
        <v>124</v>
      </c>
      <c r="C2350" t="s">
        <v>119</v>
      </c>
      <c r="D2350" t="s">
        <v>125</v>
      </c>
      <c r="E2350" t="s">
        <v>126</v>
      </c>
      <c r="F2350" cm="1">
        <f t="array" ref="F2350">_xlfn.XLOOKUP(Food_Orders[[#This Row],[Event_No]],Event_Master[[#All],[Event_No]],Event_Master[[#All],[Guest_Count]],,0)</f>
        <v>150</v>
      </c>
      <c r="G2350" cm="1">
        <f t="array" ref="G2350">Food_Orders[[#This Row],[Quantity_Orderd]]*_xlfn.XLOOKUP(Food_Orders[[#This Row],[Food_ID]],Food_Catalog[[#All],[Food_ID]],Food_Catalog[[#All],[Price_Per_Unit]],0,0)</f>
        <v>3000</v>
      </c>
      <c r="H2350" cm="1">
        <f t="array" ref="H2350">Food_Orders[[#This Row],[Quantity_Orderd]]*_xlfn.XLOOKUP(Food_Orders[[#This Row],[Food_ID]],Food_Catalog[[#All],[Food_ID]],Food_Catalog[[#All],[Client_Price_Per_Unit]],0,0)</f>
        <v>3600</v>
      </c>
      <c r="I2350">
        <f>Food_Orders[[#This Row],[Client_Price]]-Food_Orders[[#This Row],[Cost]]</f>
        <v>600</v>
      </c>
    </row>
    <row r="2351" spans="1:9" x14ac:dyDescent="0.25">
      <c r="A2351">
        <v>101</v>
      </c>
      <c r="B2351" t="s">
        <v>121</v>
      </c>
      <c r="C2351" t="s">
        <v>119</v>
      </c>
      <c r="D2351" t="s">
        <v>122</v>
      </c>
      <c r="E2351" t="s">
        <v>123</v>
      </c>
      <c r="F2351" cm="1">
        <f t="array" ref="F2351">_xlfn.XLOOKUP(Food_Orders[[#This Row],[Event_No]],Event_Master[[#All],[Event_No]],Event_Master[[#All],[Guest_Count]],,0)</f>
        <v>150</v>
      </c>
      <c r="G2351" cm="1">
        <f t="array" ref="G2351">Food_Orders[[#This Row],[Quantity_Orderd]]*_xlfn.XLOOKUP(Food_Orders[[#This Row],[Food_ID]],Food_Catalog[[#All],[Food_ID]],Food_Catalog[[#All],[Price_Per_Unit]],0,0)</f>
        <v>1500</v>
      </c>
      <c r="H2351" cm="1">
        <f t="array" ref="H2351">Food_Orders[[#This Row],[Quantity_Orderd]]*_xlfn.XLOOKUP(Food_Orders[[#This Row],[Food_ID]],Food_Catalog[[#All],[Food_ID]],Food_Catalog[[#All],[Client_Price_Per_Unit]],0,0)</f>
        <v>1800</v>
      </c>
      <c r="I2351">
        <f>Food_Orders[[#This Row],[Client_Price]]-Food_Orders[[#This Row],[Cost]]</f>
        <v>300</v>
      </c>
    </row>
    <row r="2352" spans="1:9" x14ac:dyDescent="0.25">
      <c r="A2352">
        <v>101</v>
      </c>
      <c r="B2352" t="s">
        <v>63</v>
      </c>
      <c r="C2352" t="s">
        <v>61</v>
      </c>
      <c r="D2352" t="s">
        <v>64</v>
      </c>
      <c r="E2352" t="s">
        <v>10</v>
      </c>
      <c r="F2352" cm="1">
        <f t="array" ref="F2352">_xlfn.XLOOKUP(Food_Orders[[#This Row],[Event_No]],Event_Master[[#All],[Event_No]],Event_Master[[#All],[Guest_Count]],,0)</f>
        <v>150</v>
      </c>
      <c r="G2352" cm="1">
        <f t="array" ref="G2352">Food_Orders[[#This Row],[Quantity_Orderd]]*_xlfn.XLOOKUP(Food_Orders[[#This Row],[Food_ID]],Food_Catalog[[#All],[Food_ID]],Food_Catalog[[#All],[Price_Per_Unit]],0,0)</f>
        <v>4500</v>
      </c>
      <c r="H2352" cm="1">
        <f t="array" ref="H2352">Food_Orders[[#This Row],[Quantity_Orderd]]*_xlfn.XLOOKUP(Food_Orders[[#This Row],[Food_ID]],Food_Catalog[[#All],[Food_ID]],Food_Catalog[[#All],[Client_Price_Per_Unit]],0,0)</f>
        <v>5400</v>
      </c>
      <c r="I2352">
        <f>Food_Orders[[#This Row],[Client_Price]]-Food_Orders[[#This Row],[Cost]]</f>
        <v>900</v>
      </c>
    </row>
    <row r="2353" spans="1:9" x14ac:dyDescent="0.25">
      <c r="A2353">
        <v>101</v>
      </c>
      <c r="B2353" t="s">
        <v>71</v>
      </c>
      <c r="C2353" t="s">
        <v>61</v>
      </c>
      <c r="D2353" t="s">
        <v>72</v>
      </c>
      <c r="E2353" t="s">
        <v>10</v>
      </c>
      <c r="F2353" cm="1">
        <f t="array" ref="F2353">_xlfn.XLOOKUP(Food_Orders[[#This Row],[Event_No]],Event_Master[[#All],[Event_No]],Event_Master[[#All],[Guest_Count]],,0)</f>
        <v>150</v>
      </c>
      <c r="G2353" cm="1">
        <f t="array" ref="G2353">Food_Orders[[#This Row],[Quantity_Orderd]]*_xlfn.XLOOKUP(Food_Orders[[#This Row],[Food_ID]],Food_Catalog[[#All],[Food_ID]],Food_Catalog[[#All],[Price_Per_Unit]],0,0)</f>
        <v>3750</v>
      </c>
      <c r="H2353" cm="1">
        <f t="array" ref="H2353">Food_Orders[[#This Row],[Quantity_Orderd]]*_xlfn.XLOOKUP(Food_Orders[[#This Row],[Food_ID]],Food_Catalog[[#All],[Food_ID]],Food_Catalog[[#All],[Client_Price_Per_Unit]],0,0)</f>
        <v>4500</v>
      </c>
      <c r="I2353">
        <f>Food_Orders[[#This Row],[Client_Price]]-Food_Orders[[#This Row],[Cost]]</f>
        <v>750</v>
      </c>
    </row>
    <row r="2354" spans="1:9" x14ac:dyDescent="0.25">
      <c r="A2354">
        <v>101</v>
      </c>
      <c r="B2354" t="s">
        <v>29</v>
      </c>
      <c r="C2354" t="s">
        <v>8</v>
      </c>
      <c r="D2354" t="s">
        <v>30</v>
      </c>
      <c r="E2354" t="s">
        <v>10</v>
      </c>
      <c r="F2354" cm="1">
        <f t="array" ref="F2354">_xlfn.XLOOKUP(Food_Orders[[#This Row],[Event_No]],Event_Master[[#All],[Event_No]],Event_Master[[#All],[Guest_Count]],,0)</f>
        <v>150</v>
      </c>
      <c r="G2354" cm="1">
        <f t="array" ref="G2354">Food_Orders[[#This Row],[Quantity_Orderd]]*_xlfn.XLOOKUP(Food_Orders[[#This Row],[Food_ID]],Food_Catalog[[#All],[Food_ID]],Food_Catalog[[#All],[Price_Per_Unit]],0,0)</f>
        <v>4500</v>
      </c>
      <c r="H2354" cm="1">
        <f t="array" ref="H2354">Food_Orders[[#This Row],[Quantity_Orderd]]*_xlfn.XLOOKUP(Food_Orders[[#This Row],[Food_ID]],Food_Catalog[[#All],[Food_ID]],Food_Catalog[[#All],[Client_Price_Per_Unit]],0,0)</f>
        <v>5400</v>
      </c>
      <c r="I2354">
        <f>Food_Orders[[#This Row],[Client_Price]]-Food_Orders[[#This Row],[Cost]]</f>
        <v>900</v>
      </c>
    </row>
    <row r="2355" spans="1:9" x14ac:dyDescent="0.25">
      <c r="A2355">
        <v>101</v>
      </c>
      <c r="B2355" t="s">
        <v>37</v>
      </c>
      <c r="C2355" t="s">
        <v>8</v>
      </c>
      <c r="D2355" t="s">
        <v>38</v>
      </c>
      <c r="E2355" t="s">
        <v>10</v>
      </c>
      <c r="F2355" cm="1">
        <f t="array" ref="F2355">_xlfn.XLOOKUP(Food_Orders[[#This Row],[Event_No]],Event_Master[[#All],[Event_No]],Event_Master[[#All],[Guest_Count]],,0)</f>
        <v>150</v>
      </c>
      <c r="G2355" cm="1">
        <f t="array" ref="G2355">Food_Orders[[#This Row],[Quantity_Orderd]]*_xlfn.XLOOKUP(Food_Orders[[#This Row],[Food_ID]],Food_Catalog[[#All],[Food_ID]],Food_Catalog[[#All],[Price_Per_Unit]],0,0)</f>
        <v>3750</v>
      </c>
      <c r="H2355" cm="1">
        <f t="array" ref="H2355">Food_Orders[[#This Row],[Quantity_Orderd]]*_xlfn.XLOOKUP(Food_Orders[[#This Row],[Food_ID]],Food_Catalog[[#All],[Food_ID]],Food_Catalog[[#All],[Client_Price_Per_Unit]],0,0)</f>
        <v>4500</v>
      </c>
      <c r="I2355">
        <f>Food_Orders[[#This Row],[Client_Price]]-Food_Orders[[#This Row],[Cost]]</f>
        <v>750</v>
      </c>
    </row>
    <row r="2356" spans="1:9" x14ac:dyDescent="0.25">
      <c r="A2356">
        <v>101</v>
      </c>
      <c r="B2356" t="s">
        <v>92</v>
      </c>
      <c r="C2356" t="s">
        <v>83</v>
      </c>
      <c r="D2356" t="s">
        <v>93</v>
      </c>
      <c r="E2356" t="s">
        <v>85</v>
      </c>
      <c r="F2356" cm="1">
        <f t="array" ref="F2356">_xlfn.XLOOKUP(Food_Orders[[#This Row],[Event_No]],Event_Master[[#All],[Event_No]],Event_Master[[#All],[Guest_Count]],,0)</f>
        <v>150</v>
      </c>
      <c r="G2356" cm="1">
        <f t="array" ref="G2356">Food_Orders[[#This Row],[Quantity_Orderd]]*_xlfn.XLOOKUP(Food_Orders[[#This Row],[Food_ID]],Food_Catalog[[#All],[Food_ID]],Food_Catalog[[#All],[Price_Per_Unit]],0,0)</f>
        <v>2250</v>
      </c>
      <c r="H2356" cm="1">
        <f t="array" ref="H2356">Food_Orders[[#This Row],[Quantity_Orderd]]*_xlfn.XLOOKUP(Food_Orders[[#This Row],[Food_ID]],Food_Catalog[[#All],[Food_ID]],Food_Catalog[[#All],[Client_Price_Per_Unit]],0,0)</f>
        <v>2700</v>
      </c>
      <c r="I2356">
        <f>Food_Orders[[#This Row],[Client_Price]]-Food_Orders[[#This Row],[Cost]]</f>
        <v>450</v>
      </c>
    </row>
    <row r="2357" spans="1:9" x14ac:dyDescent="0.25">
      <c r="A2357">
        <v>101</v>
      </c>
      <c r="B2357" t="s">
        <v>98</v>
      </c>
      <c r="C2357" t="s">
        <v>83</v>
      </c>
      <c r="D2357" t="s">
        <v>99</v>
      </c>
      <c r="E2357" t="s">
        <v>85</v>
      </c>
      <c r="F2357" cm="1">
        <f t="array" ref="F2357">_xlfn.XLOOKUP(Food_Orders[[#This Row],[Event_No]],Event_Master[[#All],[Event_No]],Event_Master[[#All],[Guest_Count]],,0)</f>
        <v>150</v>
      </c>
      <c r="G2357" cm="1">
        <f t="array" ref="G2357">Food_Orders[[#This Row],[Quantity_Orderd]]*_xlfn.XLOOKUP(Food_Orders[[#This Row],[Food_ID]],Food_Catalog[[#All],[Food_ID]],Food_Catalog[[#All],[Price_Per_Unit]],0,0)</f>
        <v>2250</v>
      </c>
      <c r="H2357" cm="1">
        <f t="array" ref="H2357">Food_Orders[[#This Row],[Quantity_Orderd]]*_xlfn.XLOOKUP(Food_Orders[[#This Row],[Food_ID]],Food_Catalog[[#All],[Food_ID]],Food_Catalog[[#All],[Client_Price_Per_Unit]],0,0)</f>
        <v>2700</v>
      </c>
      <c r="I2357">
        <f>Food_Orders[[#This Row],[Client_Price]]-Food_Orders[[#This Row],[Cost]]</f>
        <v>450</v>
      </c>
    </row>
    <row r="2358" spans="1:9" x14ac:dyDescent="0.25">
      <c r="A2358">
        <v>101</v>
      </c>
      <c r="B2358" t="s">
        <v>82</v>
      </c>
      <c r="C2358" t="s">
        <v>83</v>
      </c>
      <c r="D2358" t="s">
        <v>84</v>
      </c>
      <c r="E2358" t="s">
        <v>85</v>
      </c>
      <c r="F2358" cm="1">
        <f t="array" ref="F2358">_xlfn.XLOOKUP(Food_Orders[[#This Row],[Event_No]],Event_Master[[#All],[Event_No]],Event_Master[[#All],[Guest_Count]],,0)</f>
        <v>150</v>
      </c>
      <c r="G2358" cm="1">
        <f t="array" ref="G2358">Food_Orders[[#This Row],[Quantity_Orderd]]*_xlfn.XLOOKUP(Food_Orders[[#This Row],[Food_ID]],Food_Catalog[[#All],[Food_ID]],Food_Catalog[[#All],[Price_Per_Unit]],0,0)</f>
        <v>3000</v>
      </c>
      <c r="H2358" cm="1">
        <f t="array" ref="H2358">Food_Orders[[#This Row],[Quantity_Orderd]]*_xlfn.XLOOKUP(Food_Orders[[#This Row],[Food_ID]],Food_Catalog[[#All],[Food_ID]],Food_Catalog[[#All],[Client_Price_Per_Unit]],0,0)</f>
        <v>3600</v>
      </c>
      <c r="I2358">
        <f>Food_Orders[[#This Row],[Client_Price]]-Food_Orders[[#This Row],[Cost]]</f>
        <v>600</v>
      </c>
    </row>
    <row r="2359" spans="1:9" x14ac:dyDescent="0.25">
      <c r="A2359">
        <v>101</v>
      </c>
      <c r="B2359" t="s">
        <v>96</v>
      </c>
      <c r="C2359" t="s">
        <v>83</v>
      </c>
      <c r="D2359" t="s">
        <v>97</v>
      </c>
      <c r="E2359" t="s">
        <v>79</v>
      </c>
      <c r="F2359" cm="1">
        <f t="array" ref="F2359">_xlfn.XLOOKUP(Food_Orders[[#This Row],[Event_No]],Event_Master[[#All],[Event_No]],Event_Master[[#All],[Guest_Count]],,0)</f>
        <v>150</v>
      </c>
      <c r="G2359" cm="1">
        <f t="array" ref="G2359">Food_Orders[[#This Row],[Quantity_Orderd]]*_xlfn.XLOOKUP(Food_Orders[[#This Row],[Food_ID]],Food_Catalog[[#All],[Food_ID]],Food_Catalog[[#All],[Price_Per_Unit]],0,0)</f>
        <v>4500</v>
      </c>
      <c r="H2359" cm="1">
        <f t="array" ref="H2359">Food_Orders[[#This Row],[Quantity_Orderd]]*_xlfn.XLOOKUP(Food_Orders[[#This Row],[Food_ID]],Food_Catalog[[#All],[Food_ID]],Food_Catalog[[#All],[Client_Price_Per_Unit]],0,0)</f>
        <v>5400</v>
      </c>
      <c r="I2359">
        <f>Food_Orders[[#This Row],[Client_Price]]-Food_Orders[[#This Row],[Cost]]</f>
        <v>900</v>
      </c>
    </row>
    <row r="2360" spans="1:9" x14ac:dyDescent="0.25">
      <c r="A2360">
        <v>101</v>
      </c>
      <c r="B2360" t="s">
        <v>115</v>
      </c>
      <c r="C2360" t="s">
        <v>105</v>
      </c>
      <c r="D2360" t="s">
        <v>116</v>
      </c>
      <c r="E2360" t="s">
        <v>117</v>
      </c>
      <c r="F2360" cm="1">
        <f t="array" ref="F2360">_xlfn.XLOOKUP(Food_Orders[[#This Row],[Event_No]],Event_Master[[#All],[Event_No]],Event_Master[[#All],[Guest_Count]],,0)</f>
        <v>150</v>
      </c>
      <c r="G2360" cm="1">
        <f t="array" ref="G2360">Food_Orders[[#This Row],[Quantity_Orderd]]*_xlfn.XLOOKUP(Food_Orders[[#This Row],[Food_ID]],Food_Catalog[[#All],[Food_ID]],Food_Catalog[[#All],[Price_Per_Unit]],0,0)</f>
        <v>3750</v>
      </c>
      <c r="H2360" cm="1">
        <f t="array" ref="H2360">Food_Orders[[#This Row],[Quantity_Orderd]]*_xlfn.XLOOKUP(Food_Orders[[#This Row],[Food_ID]],Food_Catalog[[#All],[Food_ID]],Food_Catalog[[#All],[Client_Price_Per_Unit]],0,0)</f>
        <v>4500</v>
      </c>
      <c r="I2360">
        <f>Food_Orders[[#This Row],[Client_Price]]-Food_Orders[[#This Row],[Cost]]</f>
        <v>750</v>
      </c>
    </row>
    <row r="2361" spans="1:9" x14ac:dyDescent="0.25">
      <c r="A2361">
        <v>101</v>
      </c>
      <c r="B2361" t="s">
        <v>110</v>
      </c>
      <c r="C2361" t="s">
        <v>105</v>
      </c>
      <c r="D2361" t="s">
        <v>111</v>
      </c>
      <c r="E2361" t="s">
        <v>112</v>
      </c>
      <c r="F2361" cm="1">
        <f t="array" ref="F2361">_xlfn.XLOOKUP(Food_Orders[[#This Row],[Event_No]],Event_Master[[#All],[Event_No]],Event_Master[[#All],[Guest_Count]],,0)</f>
        <v>150</v>
      </c>
      <c r="G2361" cm="1">
        <f t="array" ref="G2361">Food_Orders[[#This Row],[Quantity_Orderd]]*_xlfn.XLOOKUP(Food_Orders[[#This Row],[Food_ID]],Food_Catalog[[#All],[Food_ID]],Food_Catalog[[#All],[Price_Per_Unit]],0,0)</f>
        <v>3000</v>
      </c>
      <c r="H2361" cm="1">
        <f t="array" ref="H2361">Food_Orders[[#This Row],[Quantity_Orderd]]*_xlfn.XLOOKUP(Food_Orders[[#This Row],[Food_ID]],Food_Catalog[[#All],[Food_ID]],Food_Catalog[[#All],[Client_Price_Per_Unit]],0,0)</f>
        <v>3600</v>
      </c>
      <c r="I2361">
        <f>Food_Orders[[#This Row],[Client_Price]]-Food_Orders[[#This Row],[Cost]]</f>
        <v>600</v>
      </c>
    </row>
    <row r="2362" spans="1:9" x14ac:dyDescent="0.25">
      <c r="A2362">
        <v>102</v>
      </c>
      <c r="B2362" t="s">
        <v>60</v>
      </c>
      <c r="C2362" t="s">
        <v>61</v>
      </c>
      <c r="D2362" t="s">
        <v>62</v>
      </c>
      <c r="E2362" t="s">
        <v>10</v>
      </c>
      <c r="F2362" cm="1">
        <f t="array" ref="F2362">_xlfn.XLOOKUP(Food_Orders[[#This Row],[Event_No]],Event_Master[[#All],[Event_No]],Event_Master[[#All],[Guest_Count]],,0)</f>
        <v>980</v>
      </c>
      <c r="G2362" cm="1">
        <f t="array" ref="G2362">Food_Orders[[#This Row],[Quantity_Orderd]]*_xlfn.XLOOKUP(Food_Orders[[#This Row],[Food_ID]],Food_Catalog[[#All],[Food_ID]],Food_Catalog[[#All],[Price_Per_Unit]],0,0)</f>
        <v>19600</v>
      </c>
      <c r="H2362" cm="1">
        <f t="array" ref="H2362">Food_Orders[[#This Row],[Quantity_Orderd]]*_xlfn.XLOOKUP(Food_Orders[[#This Row],[Food_ID]],Food_Catalog[[#All],[Food_ID]],Food_Catalog[[#All],[Client_Price_Per_Unit]],0,0)</f>
        <v>23520</v>
      </c>
      <c r="I2362">
        <f>Food_Orders[[#This Row],[Client_Price]]-Food_Orders[[#This Row],[Cost]]</f>
        <v>3920</v>
      </c>
    </row>
    <row r="2363" spans="1:9" x14ac:dyDescent="0.25">
      <c r="A2363">
        <v>102</v>
      </c>
      <c r="B2363" t="s">
        <v>63</v>
      </c>
      <c r="C2363" t="s">
        <v>61</v>
      </c>
      <c r="D2363" t="s">
        <v>64</v>
      </c>
      <c r="E2363" t="s">
        <v>10</v>
      </c>
      <c r="F2363" cm="1">
        <f t="array" ref="F2363">_xlfn.XLOOKUP(Food_Orders[[#This Row],[Event_No]],Event_Master[[#All],[Event_No]],Event_Master[[#All],[Guest_Count]],,0)</f>
        <v>980</v>
      </c>
      <c r="G2363" cm="1">
        <f t="array" ref="G2363">Food_Orders[[#This Row],[Quantity_Orderd]]*_xlfn.XLOOKUP(Food_Orders[[#This Row],[Food_ID]],Food_Catalog[[#All],[Food_ID]],Food_Catalog[[#All],[Price_Per_Unit]],0,0)</f>
        <v>29400</v>
      </c>
      <c r="H2363" cm="1">
        <f t="array" ref="H2363">Food_Orders[[#This Row],[Quantity_Orderd]]*_xlfn.XLOOKUP(Food_Orders[[#This Row],[Food_ID]],Food_Catalog[[#All],[Food_ID]],Food_Catalog[[#All],[Client_Price_Per_Unit]],0,0)</f>
        <v>35280</v>
      </c>
      <c r="I2363">
        <f>Food_Orders[[#This Row],[Client_Price]]-Food_Orders[[#This Row],[Cost]]</f>
        <v>5880</v>
      </c>
    </row>
    <row r="2364" spans="1:9" x14ac:dyDescent="0.25">
      <c r="A2364">
        <v>102</v>
      </c>
      <c r="B2364" t="s">
        <v>71</v>
      </c>
      <c r="C2364" t="s">
        <v>61</v>
      </c>
      <c r="D2364" t="s">
        <v>72</v>
      </c>
      <c r="E2364" t="s">
        <v>10</v>
      </c>
      <c r="F2364" cm="1">
        <f t="array" ref="F2364">_xlfn.XLOOKUP(Food_Orders[[#This Row],[Event_No]],Event_Master[[#All],[Event_No]],Event_Master[[#All],[Guest_Count]],,0)</f>
        <v>980</v>
      </c>
      <c r="G2364" cm="1">
        <f t="array" ref="G2364">Food_Orders[[#This Row],[Quantity_Orderd]]*_xlfn.XLOOKUP(Food_Orders[[#This Row],[Food_ID]],Food_Catalog[[#All],[Food_ID]],Food_Catalog[[#All],[Price_Per_Unit]],0,0)</f>
        <v>24500</v>
      </c>
      <c r="H2364" cm="1">
        <f t="array" ref="H2364">Food_Orders[[#This Row],[Quantity_Orderd]]*_xlfn.XLOOKUP(Food_Orders[[#This Row],[Food_ID]],Food_Catalog[[#All],[Food_ID]],Food_Catalog[[#All],[Client_Price_Per_Unit]],0,0)</f>
        <v>29400</v>
      </c>
      <c r="I2364">
        <f>Food_Orders[[#This Row],[Client_Price]]-Food_Orders[[#This Row],[Cost]]</f>
        <v>4900</v>
      </c>
    </row>
    <row r="2365" spans="1:9" x14ac:dyDescent="0.25">
      <c r="A2365">
        <v>102</v>
      </c>
      <c r="B2365" t="s">
        <v>80</v>
      </c>
      <c r="C2365" t="s">
        <v>61</v>
      </c>
      <c r="D2365" t="s">
        <v>81</v>
      </c>
      <c r="E2365" t="s">
        <v>10</v>
      </c>
      <c r="F2365" cm="1">
        <f t="array" ref="F2365">_xlfn.XLOOKUP(Food_Orders[[#This Row],[Event_No]],Event_Master[[#All],[Event_No]],Event_Master[[#All],[Guest_Count]],,0)</f>
        <v>980</v>
      </c>
      <c r="G2365" cm="1">
        <f t="array" ref="G2365">Food_Orders[[#This Row],[Quantity_Orderd]]*_xlfn.XLOOKUP(Food_Orders[[#This Row],[Food_ID]],Food_Catalog[[#All],[Food_ID]],Food_Catalog[[#All],[Price_Per_Unit]],0,0)</f>
        <v>29400</v>
      </c>
      <c r="H2365" cm="1">
        <f t="array" ref="H2365">Food_Orders[[#This Row],[Quantity_Orderd]]*_xlfn.XLOOKUP(Food_Orders[[#This Row],[Food_ID]],Food_Catalog[[#All],[Food_ID]],Food_Catalog[[#All],[Client_Price_Per_Unit]],0,0)</f>
        <v>35280</v>
      </c>
      <c r="I2365">
        <f>Food_Orders[[#This Row],[Client_Price]]-Food_Orders[[#This Row],[Cost]]</f>
        <v>5880</v>
      </c>
    </row>
    <row r="2366" spans="1:9" x14ac:dyDescent="0.25">
      <c r="A2366">
        <v>102</v>
      </c>
      <c r="B2366" t="s">
        <v>73</v>
      </c>
      <c r="C2366" t="s">
        <v>61</v>
      </c>
      <c r="D2366" t="s">
        <v>74</v>
      </c>
      <c r="E2366" t="s">
        <v>10</v>
      </c>
      <c r="F2366" cm="1">
        <f t="array" ref="F2366">_xlfn.XLOOKUP(Food_Orders[[#This Row],[Event_No]],Event_Master[[#All],[Event_No]],Event_Master[[#All],[Guest_Count]],,0)</f>
        <v>980</v>
      </c>
      <c r="G2366" cm="1">
        <f t="array" ref="G2366">Food_Orders[[#This Row],[Quantity_Orderd]]*_xlfn.XLOOKUP(Food_Orders[[#This Row],[Food_ID]],Food_Catalog[[#All],[Food_ID]],Food_Catalog[[#All],[Price_Per_Unit]],0,0)</f>
        <v>39200</v>
      </c>
      <c r="H2366" cm="1">
        <f t="array" ref="H2366">Food_Orders[[#This Row],[Quantity_Orderd]]*_xlfn.XLOOKUP(Food_Orders[[#This Row],[Food_ID]],Food_Catalog[[#All],[Food_ID]],Food_Catalog[[#All],[Client_Price_Per_Unit]],0,0)</f>
        <v>47040</v>
      </c>
      <c r="I2366">
        <f>Food_Orders[[#This Row],[Client_Price]]-Food_Orders[[#This Row],[Cost]]</f>
        <v>7840</v>
      </c>
    </row>
    <row r="2367" spans="1:9" x14ac:dyDescent="0.25">
      <c r="A2367">
        <v>102</v>
      </c>
      <c r="B2367" t="s">
        <v>75</v>
      </c>
      <c r="C2367" t="s">
        <v>61</v>
      </c>
      <c r="D2367" t="s">
        <v>76</v>
      </c>
      <c r="E2367" t="s">
        <v>10</v>
      </c>
      <c r="F2367" cm="1">
        <f t="array" ref="F2367">_xlfn.XLOOKUP(Food_Orders[[#This Row],[Event_No]],Event_Master[[#All],[Event_No]],Event_Master[[#All],[Guest_Count]],,0)</f>
        <v>980</v>
      </c>
      <c r="G2367" cm="1">
        <f t="array" ref="G2367">Food_Orders[[#This Row],[Quantity_Orderd]]*_xlfn.XLOOKUP(Food_Orders[[#This Row],[Food_ID]],Food_Catalog[[#All],[Food_ID]],Food_Catalog[[#All],[Price_Per_Unit]],0,0)</f>
        <v>39200</v>
      </c>
      <c r="H2367" cm="1">
        <f t="array" ref="H2367">Food_Orders[[#This Row],[Quantity_Orderd]]*_xlfn.XLOOKUP(Food_Orders[[#This Row],[Food_ID]],Food_Catalog[[#All],[Food_ID]],Food_Catalog[[#All],[Client_Price_Per_Unit]],0,0)</f>
        <v>47040</v>
      </c>
      <c r="I2367">
        <f>Food_Orders[[#This Row],[Client_Price]]-Food_Orders[[#This Row],[Cost]]</f>
        <v>7840</v>
      </c>
    </row>
    <row r="2368" spans="1:9" x14ac:dyDescent="0.25">
      <c r="A2368">
        <v>102</v>
      </c>
      <c r="B2368" t="s">
        <v>69</v>
      </c>
      <c r="C2368" t="s">
        <v>61</v>
      </c>
      <c r="D2368" t="s">
        <v>70</v>
      </c>
      <c r="E2368" t="s">
        <v>10</v>
      </c>
      <c r="F2368" cm="1">
        <f t="array" ref="F2368">_xlfn.XLOOKUP(Food_Orders[[#This Row],[Event_No]],Event_Master[[#All],[Event_No]],Event_Master[[#All],[Guest_Count]],,0)</f>
        <v>980</v>
      </c>
      <c r="G2368" cm="1">
        <f t="array" ref="G2368">Food_Orders[[#This Row],[Quantity_Orderd]]*_xlfn.XLOOKUP(Food_Orders[[#This Row],[Food_ID]],Food_Catalog[[#All],[Food_ID]],Food_Catalog[[#All],[Price_Per_Unit]],0,0)</f>
        <v>49000</v>
      </c>
      <c r="H2368" cm="1">
        <f t="array" ref="H2368">Food_Orders[[#This Row],[Quantity_Orderd]]*_xlfn.XLOOKUP(Food_Orders[[#This Row],[Food_ID]],Food_Catalog[[#All],[Food_ID]],Food_Catalog[[#All],[Client_Price_Per_Unit]],0,0)</f>
        <v>58800</v>
      </c>
      <c r="I2368">
        <f>Food_Orders[[#This Row],[Client_Price]]-Food_Orders[[#This Row],[Cost]]</f>
        <v>9800</v>
      </c>
    </row>
    <row r="2369" spans="1:9" x14ac:dyDescent="0.25">
      <c r="A2369">
        <v>102</v>
      </c>
      <c r="B2369" t="s">
        <v>67</v>
      </c>
      <c r="C2369" t="s">
        <v>61</v>
      </c>
      <c r="D2369" t="s">
        <v>68</v>
      </c>
      <c r="E2369" t="s">
        <v>10</v>
      </c>
      <c r="F2369" cm="1">
        <f t="array" ref="F2369">_xlfn.XLOOKUP(Food_Orders[[#This Row],[Event_No]],Event_Master[[#All],[Event_No]],Event_Master[[#All],[Guest_Count]],,0)</f>
        <v>980</v>
      </c>
      <c r="G2369" cm="1">
        <f t="array" ref="G2369">Food_Orders[[#This Row],[Quantity_Orderd]]*_xlfn.XLOOKUP(Food_Orders[[#This Row],[Food_ID]],Food_Catalog[[#All],[Food_ID]],Food_Catalog[[#All],[Price_Per_Unit]],0,0)</f>
        <v>29400</v>
      </c>
      <c r="H2369" cm="1">
        <f t="array" ref="H2369">Food_Orders[[#This Row],[Quantity_Orderd]]*_xlfn.XLOOKUP(Food_Orders[[#This Row],[Food_ID]],Food_Catalog[[#All],[Food_ID]],Food_Catalog[[#All],[Client_Price_Per_Unit]],0,0)</f>
        <v>35280</v>
      </c>
      <c r="I2369">
        <f>Food_Orders[[#This Row],[Client_Price]]-Food_Orders[[#This Row],[Cost]]</f>
        <v>5880</v>
      </c>
    </row>
    <row r="2370" spans="1:9" x14ac:dyDescent="0.25">
      <c r="A2370">
        <v>102</v>
      </c>
      <c r="B2370" t="s">
        <v>77</v>
      </c>
      <c r="C2370" t="s">
        <v>61</v>
      </c>
      <c r="D2370" t="s">
        <v>78</v>
      </c>
      <c r="E2370" t="s">
        <v>79</v>
      </c>
      <c r="F2370" cm="1">
        <f t="array" ref="F2370">_xlfn.XLOOKUP(Food_Orders[[#This Row],[Event_No]],Event_Master[[#All],[Event_No]],Event_Master[[#All],[Guest_Count]],,0)</f>
        <v>980</v>
      </c>
      <c r="G2370" cm="1">
        <f t="array" ref="G2370">Food_Orders[[#This Row],[Quantity_Orderd]]*_xlfn.XLOOKUP(Food_Orders[[#This Row],[Food_ID]],Food_Catalog[[#All],[Food_ID]],Food_Catalog[[#All],[Price_Per_Unit]],0,0)</f>
        <v>34300</v>
      </c>
      <c r="H2370" cm="1">
        <f t="array" ref="H2370">Food_Orders[[#This Row],[Quantity_Orderd]]*_xlfn.XLOOKUP(Food_Orders[[#This Row],[Food_ID]],Food_Catalog[[#All],[Food_ID]],Food_Catalog[[#All],[Client_Price_Per_Unit]],0,0)</f>
        <v>41160</v>
      </c>
      <c r="I2370">
        <f>Food_Orders[[#This Row],[Client_Price]]-Food_Orders[[#This Row],[Cost]]</f>
        <v>6860</v>
      </c>
    </row>
    <row r="2371" spans="1:9" x14ac:dyDescent="0.25">
      <c r="A2371">
        <v>102</v>
      </c>
      <c r="B2371" t="s">
        <v>7</v>
      </c>
      <c r="C2371" t="s">
        <v>8</v>
      </c>
      <c r="D2371" t="s">
        <v>9</v>
      </c>
      <c r="E2371" t="s">
        <v>10</v>
      </c>
      <c r="F2371" cm="1">
        <f t="array" ref="F2371">_xlfn.XLOOKUP(Food_Orders[[#This Row],[Event_No]],Event_Master[[#All],[Event_No]],Event_Master[[#All],[Guest_Count]],,0)</f>
        <v>980</v>
      </c>
      <c r="G2371" cm="1">
        <f t="array" ref="G2371">Food_Orders[[#This Row],[Quantity_Orderd]]*_xlfn.XLOOKUP(Food_Orders[[#This Row],[Food_ID]],Food_Catalog[[#All],[Food_ID]],Food_Catalog[[#All],[Price_Per_Unit]],0,0)</f>
        <v>24500</v>
      </c>
      <c r="H2371" cm="1">
        <f t="array" ref="H2371">Food_Orders[[#This Row],[Quantity_Orderd]]*_xlfn.XLOOKUP(Food_Orders[[#This Row],[Food_ID]],Food_Catalog[[#All],[Food_ID]],Food_Catalog[[#All],[Client_Price_Per_Unit]],0,0)</f>
        <v>29400</v>
      </c>
      <c r="I2371">
        <f>Food_Orders[[#This Row],[Client_Price]]-Food_Orders[[#This Row],[Cost]]</f>
        <v>4900</v>
      </c>
    </row>
    <row r="2372" spans="1:9" x14ac:dyDescent="0.25">
      <c r="A2372">
        <v>102</v>
      </c>
      <c r="B2372" t="s">
        <v>13</v>
      </c>
      <c r="C2372" t="s">
        <v>8</v>
      </c>
      <c r="D2372" t="s">
        <v>14</v>
      </c>
      <c r="E2372" t="s">
        <v>10</v>
      </c>
      <c r="F2372" cm="1">
        <f t="array" ref="F2372">_xlfn.XLOOKUP(Food_Orders[[#This Row],[Event_No]],Event_Master[[#All],[Event_No]],Event_Master[[#All],[Guest_Count]],,0)</f>
        <v>980</v>
      </c>
      <c r="G2372" cm="1">
        <f t="array" ref="G2372">Food_Orders[[#This Row],[Quantity_Orderd]]*_xlfn.XLOOKUP(Food_Orders[[#This Row],[Food_ID]],Food_Catalog[[#All],[Food_ID]],Food_Catalog[[#All],[Price_Per_Unit]],0,0)</f>
        <v>34300</v>
      </c>
      <c r="H2372" cm="1">
        <f t="array" ref="H2372">Food_Orders[[#This Row],[Quantity_Orderd]]*_xlfn.XLOOKUP(Food_Orders[[#This Row],[Food_ID]],Food_Catalog[[#All],[Food_ID]],Food_Catalog[[#All],[Client_Price_Per_Unit]],0,0)</f>
        <v>41160</v>
      </c>
      <c r="I2372">
        <f>Food_Orders[[#This Row],[Client_Price]]-Food_Orders[[#This Row],[Cost]]</f>
        <v>6860</v>
      </c>
    </row>
    <row r="2373" spans="1:9" x14ac:dyDescent="0.25">
      <c r="A2373">
        <v>102</v>
      </c>
      <c r="B2373" t="s">
        <v>25</v>
      </c>
      <c r="C2373" t="s">
        <v>8</v>
      </c>
      <c r="D2373" t="s">
        <v>26</v>
      </c>
      <c r="E2373" t="s">
        <v>10</v>
      </c>
      <c r="F2373" cm="1">
        <f t="array" ref="F2373">_xlfn.XLOOKUP(Food_Orders[[#This Row],[Event_No]],Event_Master[[#All],[Event_No]],Event_Master[[#All],[Guest_Count]],,0)</f>
        <v>980</v>
      </c>
      <c r="G2373" cm="1">
        <f t="array" ref="G2373">Food_Orders[[#This Row],[Quantity_Orderd]]*_xlfn.XLOOKUP(Food_Orders[[#This Row],[Food_ID]],Food_Catalog[[#All],[Food_ID]],Food_Catalog[[#All],[Price_Per_Unit]],0,0)</f>
        <v>29400</v>
      </c>
      <c r="H2373" cm="1">
        <f t="array" ref="H2373">Food_Orders[[#This Row],[Quantity_Orderd]]*_xlfn.XLOOKUP(Food_Orders[[#This Row],[Food_ID]],Food_Catalog[[#All],[Food_ID]],Food_Catalog[[#All],[Client_Price_Per_Unit]],0,0)</f>
        <v>35280</v>
      </c>
      <c r="I2373">
        <f>Food_Orders[[#This Row],[Client_Price]]-Food_Orders[[#This Row],[Cost]]</f>
        <v>5880</v>
      </c>
    </row>
    <row r="2374" spans="1:9" x14ac:dyDescent="0.25">
      <c r="A2374">
        <v>102</v>
      </c>
      <c r="B2374" t="s">
        <v>15</v>
      </c>
      <c r="C2374" t="s">
        <v>8</v>
      </c>
      <c r="D2374" t="s">
        <v>16</v>
      </c>
      <c r="E2374" t="s">
        <v>10</v>
      </c>
      <c r="F2374" cm="1">
        <f t="array" ref="F2374">_xlfn.XLOOKUP(Food_Orders[[#This Row],[Event_No]],Event_Master[[#All],[Event_No]],Event_Master[[#All],[Guest_Count]],,0)</f>
        <v>980</v>
      </c>
      <c r="G2374" cm="1">
        <f t="array" ref="G2374">Food_Orders[[#This Row],[Quantity_Orderd]]*_xlfn.XLOOKUP(Food_Orders[[#This Row],[Food_ID]],Food_Catalog[[#All],[Food_ID]],Food_Catalog[[#All],[Price_Per_Unit]],0,0)</f>
        <v>29400</v>
      </c>
      <c r="H2374" cm="1">
        <f t="array" ref="H2374">Food_Orders[[#This Row],[Quantity_Orderd]]*_xlfn.XLOOKUP(Food_Orders[[#This Row],[Food_ID]],Food_Catalog[[#All],[Food_ID]],Food_Catalog[[#All],[Client_Price_Per_Unit]],0,0)</f>
        <v>35280</v>
      </c>
      <c r="I2374">
        <f>Food_Orders[[#This Row],[Client_Price]]-Food_Orders[[#This Row],[Cost]]</f>
        <v>5880</v>
      </c>
    </row>
    <row r="2375" spans="1:9" x14ac:dyDescent="0.25">
      <c r="A2375">
        <v>102</v>
      </c>
      <c r="B2375" t="s">
        <v>35</v>
      </c>
      <c r="C2375" t="s">
        <v>8</v>
      </c>
      <c r="D2375" t="s">
        <v>36</v>
      </c>
      <c r="E2375" t="s">
        <v>10</v>
      </c>
      <c r="F2375" cm="1">
        <f t="array" ref="F2375">_xlfn.XLOOKUP(Food_Orders[[#This Row],[Event_No]],Event_Master[[#All],[Event_No]],Event_Master[[#All],[Guest_Count]],,0)</f>
        <v>980</v>
      </c>
      <c r="G2375" cm="1">
        <f t="array" ref="G2375">Food_Orders[[#This Row],[Quantity_Orderd]]*_xlfn.XLOOKUP(Food_Orders[[#This Row],[Food_ID]],Food_Catalog[[#All],[Food_ID]],Food_Catalog[[#All],[Price_Per_Unit]],0,0)</f>
        <v>29400</v>
      </c>
      <c r="H2375" cm="1">
        <f t="array" ref="H2375">Food_Orders[[#This Row],[Quantity_Orderd]]*_xlfn.XLOOKUP(Food_Orders[[#This Row],[Food_ID]],Food_Catalog[[#All],[Food_ID]],Food_Catalog[[#All],[Client_Price_Per_Unit]],0,0)</f>
        <v>35280</v>
      </c>
      <c r="I2375">
        <f>Food_Orders[[#This Row],[Client_Price]]-Food_Orders[[#This Row],[Cost]]</f>
        <v>5880</v>
      </c>
    </row>
    <row r="2376" spans="1:9" x14ac:dyDescent="0.25">
      <c r="A2376">
        <v>102</v>
      </c>
      <c r="B2376" t="s">
        <v>27</v>
      </c>
      <c r="C2376" t="s">
        <v>8</v>
      </c>
      <c r="D2376" t="s">
        <v>28</v>
      </c>
      <c r="E2376" t="s">
        <v>10</v>
      </c>
      <c r="F2376" cm="1">
        <f t="array" ref="F2376">_xlfn.XLOOKUP(Food_Orders[[#This Row],[Event_No]],Event_Master[[#All],[Event_No]],Event_Master[[#All],[Guest_Count]],,0)</f>
        <v>980</v>
      </c>
      <c r="G2376" cm="1">
        <f t="array" ref="G2376">Food_Orders[[#This Row],[Quantity_Orderd]]*_xlfn.XLOOKUP(Food_Orders[[#This Row],[Food_ID]],Food_Catalog[[#All],[Food_ID]],Food_Catalog[[#All],[Price_Per_Unit]],0,0)</f>
        <v>39200</v>
      </c>
      <c r="H2376" cm="1">
        <f t="array" ref="H2376">Food_Orders[[#This Row],[Quantity_Orderd]]*_xlfn.XLOOKUP(Food_Orders[[#This Row],[Food_ID]],Food_Catalog[[#All],[Food_ID]],Food_Catalog[[#All],[Client_Price_Per_Unit]],0,0)</f>
        <v>47040</v>
      </c>
      <c r="I2376">
        <f>Food_Orders[[#This Row],[Client_Price]]-Food_Orders[[#This Row],[Cost]]</f>
        <v>7840</v>
      </c>
    </row>
    <row r="2377" spans="1:9" x14ac:dyDescent="0.25">
      <c r="A2377">
        <v>102</v>
      </c>
      <c r="B2377" t="s">
        <v>31</v>
      </c>
      <c r="C2377" t="s">
        <v>8</v>
      </c>
      <c r="D2377" t="s">
        <v>32</v>
      </c>
      <c r="E2377" t="s">
        <v>10</v>
      </c>
      <c r="F2377" cm="1">
        <f t="array" ref="F2377">_xlfn.XLOOKUP(Food_Orders[[#This Row],[Event_No]],Event_Master[[#All],[Event_No]],Event_Master[[#All],[Guest_Count]],,0)</f>
        <v>980</v>
      </c>
      <c r="G2377" cm="1">
        <f t="array" ref="G2377">Food_Orders[[#This Row],[Quantity_Orderd]]*_xlfn.XLOOKUP(Food_Orders[[#This Row],[Food_ID]],Food_Catalog[[#All],[Food_ID]],Food_Catalog[[#All],[Price_Per_Unit]],0,0)</f>
        <v>29400</v>
      </c>
      <c r="H2377" cm="1">
        <f t="array" ref="H2377">Food_Orders[[#This Row],[Quantity_Orderd]]*_xlfn.XLOOKUP(Food_Orders[[#This Row],[Food_ID]],Food_Catalog[[#All],[Food_ID]],Food_Catalog[[#All],[Client_Price_Per_Unit]],0,0)</f>
        <v>35280</v>
      </c>
      <c r="I2377">
        <f>Food_Orders[[#This Row],[Client_Price]]-Food_Orders[[#This Row],[Cost]]</f>
        <v>5880</v>
      </c>
    </row>
    <row r="2378" spans="1:9" x14ac:dyDescent="0.25">
      <c r="A2378">
        <v>102</v>
      </c>
      <c r="B2378" t="s">
        <v>33</v>
      </c>
      <c r="C2378" t="s">
        <v>8</v>
      </c>
      <c r="D2378" t="s">
        <v>34</v>
      </c>
      <c r="E2378" t="s">
        <v>10</v>
      </c>
      <c r="F2378" cm="1">
        <f t="array" ref="F2378">_xlfn.XLOOKUP(Food_Orders[[#This Row],[Event_No]],Event_Master[[#All],[Event_No]],Event_Master[[#All],[Guest_Count]],,0)</f>
        <v>980</v>
      </c>
      <c r="G2378" cm="1">
        <f t="array" ref="G2378">Food_Orders[[#This Row],[Quantity_Orderd]]*_xlfn.XLOOKUP(Food_Orders[[#This Row],[Food_ID]],Food_Catalog[[#All],[Food_ID]],Food_Catalog[[#All],[Price_Per_Unit]],0,0)</f>
        <v>29400</v>
      </c>
      <c r="H2378" cm="1">
        <f t="array" ref="H2378">Food_Orders[[#This Row],[Quantity_Orderd]]*_xlfn.XLOOKUP(Food_Orders[[#This Row],[Food_ID]],Food_Catalog[[#All],[Food_ID]],Food_Catalog[[#All],[Client_Price_Per_Unit]],0,0)</f>
        <v>35280</v>
      </c>
      <c r="I2378">
        <f>Food_Orders[[#This Row],[Client_Price]]-Food_Orders[[#This Row],[Cost]]</f>
        <v>5880</v>
      </c>
    </row>
    <row r="2379" spans="1:9" x14ac:dyDescent="0.25">
      <c r="A2379">
        <v>102</v>
      </c>
      <c r="B2379" t="s">
        <v>17</v>
      </c>
      <c r="C2379" t="s">
        <v>8</v>
      </c>
      <c r="D2379" t="s">
        <v>18</v>
      </c>
      <c r="E2379" t="s">
        <v>10</v>
      </c>
      <c r="F2379" cm="1">
        <f t="array" ref="F2379">_xlfn.XLOOKUP(Food_Orders[[#This Row],[Event_No]],Event_Master[[#All],[Event_No]],Event_Master[[#All],[Guest_Count]],,0)</f>
        <v>980</v>
      </c>
      <c r="G2379" cm="1">
        <f t="array" ref="G2379">Food_Orders[[#This Row],[Quantity_Orderd]]*_xlfn.XLOOKUP(Food_Orders[[#This Row],[Food_ID]],Food_Catalog[[#All],[Food_ID]],Food_Catalog[[#All],[Price_Per_Unit]],0,0)</f>
        <v>39200</v>
      </c>
      <c r="H2379" cm="1">
        <f t="array" ref="H2379">Food_Orders[[#This Row],[Quantity_Orderd]]*_xlfn.XLOOKUP(Food_Orders[[#This Row],[Food_ID]],Food_Catalog[[#All],[Food_ID]],Food_Catalog[[#All],[Client_Price_Per_Unit]],0,0)</f>
        <v>47040</v>
      </c>
      <c r="I2379">
        <f>Food_Orders[[#This Row],[Client_Price]]-Food_Orders[[#This Row],[Cost]]</f>
        <v>7840</v>
      </c>
    </row>
    <row r="2380" spans="1:9" x14ac:dyDescent="0.25">
      <c r="A2380">
        <v>102</v>
      </c>
      <c r="B2380" t="s">
        <v>21</v>
      </c>
      <c r="C2380" t="s">
        <v>8</v>
      </c>
      <c r="D2380" t="s">
        <v>22</v>
      </c>
      <c r="E2380" t="s">
        <v>10</v>
      </c>
      <c r="F2380" cm="1">
        <f t="array" ref="F2380">_xlfn.XLOOKUP(Food_Orders[[#This Row],[Event_No]],Event_Master[[#All],[Event_No]],Event_Master[[#All],[Guest_Count]],,0)</f>
        <v>980</v>
      </c>
      <c r="G2380" cm="1">
        <f t="array" ref="G2380">Food_Orders[[#This Row],[Quantity_Orderd]]*_xlfn.XLOOKUP(Food_Orders[[#This Row],[Food_ID]],Food_Catalog[[#All],[Food_ID]],Food_Catalog[[#All],[Price_Per_Unit]],0,0)</f>
        <v>34300</v>
      </c>
      <c r="H2380" cm="1">
        <f t="array" ref="H2380">Food_Orders[[#This Row],[Quantity_Orderd]]*_xlfn.XLOOKUP(Food_Orders[[#This Row],[Food_ID]],Food_Catalog[[#All],[Food_ID]],Food_Catalog[[#All],[Client_Price_Per_Unit]],0,0)</f>
        <v>41160</v>
      </c>
      <c r="I2380">
        <f>Food_Orders[[#This Row],[Client_Price]]-Food_Orders[[#This Row],[Cost]]</f>
        <v>6860</v>
      </c>
    </row>
    <row r="2381" spans="1:9" x14ac:dyDescent="0.25">
      <c r="A2381">
        <v>102</v>
      </c>
      <c r="B2381" t="s">
        <v>19</v>
      </c>
      <c r="C2381" t="s">
        <v>8</v>
      </c>
      <c r="D2381" t="s">
        <v>20</v>
      </c>
      <c r="E2381" t="s">
        <v>10</v>
      </c>
      <c r="F2381" cm="1">
        <f t="array" ref="F2381">_xlfn.XLOOKUP(Food_Orders[[#This Row],[Event_No]],Event_Master[[#All],[Event_No]],Event_Master[[#All],[Guest_Count]],,0)</f>
        <v>980</v>
      </c>
      <c r="G2381" cm="1">
        <f t="array" ref="G2381">Food_Orders[[#This Row],[Quantity_Orderd]]*_xlfn.XLOOKUP(Food_Orders[[#This Row],[Food_ID]],Food_Catalog[[#All],[Food_ID]],Food_Catalog[[#All],[Price_Per_Unit]],0,0)</f>
        <v>34300</v>
      </c>
      <c r="H2381" cm="1">
        <f t="array" ref="H2381">Food_Orders[[#This Row],[Quantity_Orderd]]*_xlfn.XLOOKUP(Food_Orders[[#This Row],[Food_ID]],Food_Catalog[[#All],[Food_ID]],Food_Catalog[[#All],[Client_Price_Per_Unit]],0,0)</f>
        <v>41160</v>
      </c>
      <c r="I2381">
        <f>Food_Orders[[#This Row],[Client_Price]]-Food_Orders[[#This Row],[Cost]]</f>
        <v>6860</v>
      </c>
    </row>
    <row r="2382" spans="1:9" x14ac:dyDescent="0.25">
      <c r="A2382">
        <v>102</v>
      </c>
      <c r="B2382" t="s">
        <v>29</v>
      </c>
      <c r="C2382" t="s">
        <v>8</v>
      </c>
      <c r="D2382" t="s">
        <v>30</v>
      </c>
      <c r="E2382" t="s">
        <v>10</v>
      </c>
      <c r="F2382" cm="1">
        <f t="array" ref="F2382">_xlfn.XLOOKUP(Food_Orders[[#This Row],[Event_No]],Event_Master[[#All],[Event_No]],Event_Master[[#All],[Guest_Count]],,0)</f>
        <v>980</v>
      </c>
      <c r="G2382" cm="1">
        <f t="array" ref="G2382">Food_Orders[[#This Row],[Quantity_Orderd]]*_xlfn.XLOOKUP(Food_Orders[[#This Row],[Food_ID]],Food_Catalog[[#All],[Food_ID]],Food_Catalog[[#All],[Price_Per_Unit]],0,0)</f>
        <v>29400</v>
      </c>
      <c r="H2382" cm="1">
        <f t="array" ref="H2382">Food_Orders[[#This Row],[Quantity_Orderd]]*_xlfn.XLOOKUP(Food_Orders[[#This Row],[Food_ID]],Food_Catalog[[#All],[Food_ID]],Food_Catalog[[#All],[Client_Price_Per_Unit]],0,0)</f>
        <v>35280</v>
      </c>
      <c r="I2382">
        <f>Food_Orders[[#This Row],[Client_Price]]-Food_Orders[[#This Row],[Cost]]</f>
        <v>5880</v>
      </c>
    </row>
    <row r="2383" spans="1:9" x14ac:dyDescent="0.25">
      <c r="A2383">
        <v>102</v>
      </c>
      <c r="B2383" t="s">
        <v>37</v>
      </c>
      <c r="C2383" t="s">
        <v>8</v>
      </c>
      <c r="D2383" t="s">
        <v>38</v>
      </c>
      <c r="E2383" t="s">
        <v>10</v>
      </c>
      <c r="F2383" cm="1">
        <f t="array" ref="F2383">_xlfn.XLOOKUP(Food_Orders[[#This Row],[Event_No]],Event_Master[[#All],[Event_No]],Event_Master[[#All],[Guest_Count]],,0)</f>
        <v>980</v>
      </c>
      <c r="G2383" cm="1">
        <f t="array" ref="G2383">Food_Orders[[#This Row],[Quantity_Orderd]]*_xlfn.XLOOKUP(Food_Orders[[#This Row],[Food_ID]],Food_Catalog[[#All],[Food_ID]],Food_Catalog[[#All],[Price_Per_Unit]],0,0)</f>
        <v>24500</v>
      </c>
      <c r="H2383" cm="1">
        <f t="array" ref="H2383">Food_Orders[[#This Row],[Quantity_Orderd]]*_xlfn.XLOOKUP(Food_Orders[[#This Row],[Food_ID]],Food_Catalog[[#All],[Food_ID]],Food_Catalog[[#All],[Client_Price_Per_Unit]],0,0)</f>
        <v>29400</v>
      </c>
      <c r="I2383">
        <f>Food_Orders[[#This Row],[Client_Price]]-Food_Orders[[#This Row],[Cost]]</f>
        <v>4900</v>
      </c>
    </row>
    <row r="2384" spans="1:9" x14ac:dyDescent="0.25">
      <c r="A2384">
        <v>102</v>
      </c>
      <c r="B2384" t="s">
        <v>39</v>
      </c>
      <c r="C2384" t="s">
        <v>40</v>
      </c>
      <c r="D2384" t="s">
        <v>41</v>
      </c>
      <c r="E2384" t="s">
        <v>10</v>
      </c>
      <c r="F2384" cm="1">
        <f t="array" ref="F2384">_xlfn.XLOOKUP(Food_Orders[[#This Row],[Event_No]],Event_Master[[#All],[Event_No]],Event_Master[[#All],[Guest_Count]],,0)</f>
        <v>980</v>
      </c>
      <c r="G2384" cm="1">
        <f t="array" ref="G2384">Food_Orders[[#This Row],[Quantity_Orderd]]*_xlfn.XLOOKUP(Food_Orders[[#This Row],[Food_ID]],Food_Catalog[[#All],[Food_ID]],Food_Catalog[[#All],[Price_Per_Unit]],0,0)</f>
        <v>58800</v>
      </c>
      <c r="H2384" cm="1">
        <f t="array" ref="H2384">Food_Orders[[#This Row],[Quantity_Orderd]]*_xlfn.XLOOKUP(Food_Orders[[#This Row],[Food_ID]],Food_Catalog[[#All],[Food_ID]],Food_Catalog[[#All],[Client_Price_Per_Unit]],0,0)</f>
        <v>70560</v>
      </c>
      <c r="I2384">
        <f>Food_Orders[[#This Row],[Client_Price]]-Food_Orders[[#This Row],[Cost]]</f>
        <v>11760</v>
      </c>
    </row>
    <row r="2385" spans="1:9" x14ac:dyDescent="0.25">
      <c r="A2385">
        <v>102</v>
      </c>
      <c r="B2385" t="s">
        <v>42</v>
      </c>
      <c r="C2385" t="s">
        <v>40</v>
      </c>
      <c r="D2385" t="s">
        <v>43</v>
      </c>
      <c r="E2385" t="s">
        <v>10</v>
      </c>
      <c r="F2385" cm="1">
        <f t="array" ref="F2385">_xlfn.XLOOKUP(Food_Orders[[#This Row],[Event_No]],Event_Master[[#All],[Event_No]],Event_Master[[#All],[Guest_Count]],,0)</f>
        <v>980</v>
      </c>
      <c r="G2385" cm="1">
        <f t="array" ref="G2385">Food_Orders[[#This Row],[Quantity_Orderd]]*_xlfn.XLOOKUP(Food_Orders[[#This Row],[Food_ID]],Food_Catalog[[#All],[Food_ID]],Food_Catalog[[#All],[Price_Per_Unit]],0,0)</f>
        <v>68600</v>
      </c>
      <c r="H2385" cm="1">
        <f t="array" ref="H2385">Food_Orders[[#This Row],[Quantity_Orderd]]*_xlfn.XLOOKUP(Food_Orders[[#This Row],[Food_ID]],Food_Catalog[[#All],[Food_ID]],Food_Catalog[[#All],[Client_Price_Per_Unit]],0,0)</f>
        <v>82320</v>
      </c>
      <c r="I2385">
        <f>Food_Orders[[#This Row],[Client_Price]]-Food_Orders[[#This Row],[Cost]]</f>
        <v>13720</v>
      </c>
    </row>
    <row r="2386" spans="1:9" x14ac:dyDescent="0.25">
      <c r="A2386">
        <v>102</v>
      </c>
      <c r="B2386" t="s">
        <v>46</v>
      </c>
      <c r="C2386" t="s">
        <v>40</v>
      </c>
      <c r="D2386" t="s">
        <v>47</v>
      </c>
      <c r="E2386" t="s">
        <v>10</v>
      </c>
      <c r="F2386" cm="1">
        <f t="array" ref="F2386">_xlfn.XLOOKUP(Food_Orders[[#This Row],[Event_No]],Event_Master[[#All],[Event_No]],Event_Master[[#All],[Guest_Count]],,0)</f>
        <v>980</v>
      </c>
      <c r="G2386" cm="1">
        <f t="array" ref="G2386">Food_Orders[[#This Row],[Quantity_Orderd]]*_xlfn.XLOOKUP(Food_Orders[[#This Row],[Food_ID]],Food_Catalog[[#All],[Food_ID]],Food_Catalog[[#All],[Price_Per_Unit]],0,0)</f>
        <v>88200</v>
      </c>
      <c r="H2386" cm="1">
        <f t="array" ref="H2386">Food_Orders[[#This Row],[Quantity_Orderd]]*_xlfn.XLOOKUP(Food_Orders[[#This Row],[Food_ID]],Food_Catalog[[#All],[Food_ID]],Food_Catalog[[#All],[Client_Price_Per_Unit]],0,0)</f>
        <v>105840</v>
      </c>
      <c r="I2386">
        <f>Food_Orders[[#This Row],[Client_Price]]-Food_Orders[[#This Row],[Cost]]</f>
        <v>17640</v>
      </c>
    </row>
    <row r="2387" spans="1:9" x14ac:dyDescent="0.25">
      <c r="A2387">
        <v>102</v>
      </c>
      <c r="B2387" t="s">
        <v>48</v>
      </c>
      <c r="C2387" t="s">
        <v>40</v>
      </c>
      <c r="D2387" t="s">
        <v>49</v>
      </c>
      <c r="E2387" t="s">
        <v>10</v>
      </c>
      <c r="F2387" cm="1">
        <f t="array" ref="F2387">_xlfn.XLOOKUP(Food_Orders[[#This Row],[Event_No]],Event_Master[[#All],[Event_No]],Event_Master[[#All],[Guest_Count]],,0)</f>
        <v>980</v>
      </c>
      <c r="G2387" cm="1">
        <f t="array" ref="G2387">Food_Orders[[#This Row],[Quantity_Orderd]]*_xlfn.XLOOKUP(Food_Orders[[#This Row],[Food_ID]],Food_Catalog[[#All],[Food_ID]],Food_Catalog[[#All],[Price_Per_Unit]],0,0)</f>
        <v>98000</v>
      </c>
      <c r="H2387" cm="1">
        <f t="array" ref="H2387">Food_Orders[[#This Row],[Quantity_Orderd]]*_xlfn.XLOOKUP(Food_Orders[[#This Row],[Food_ID]],Food_Catalog[[#All],[Food_ID]],Food_Catalog[[#All],[Client_Price_Per_Unit]],0,0)</f>
        <v>117600</v>
      </c>
      <c r="I2387">
        <f>Food_Orders[[#This Row],[Client_Price]]-Food_Orders[[#This Row],[Cost]]</f>
        <v>19600</v>
      </c>
    </row>
    <row r="2388" spans="1:9" x14ac:dyDescent="0.25">
      <c r="A2388">
        <v>102</v>
      </c>
      <c r="B2388" t="s">
        <v>50</v>
      </c>
      <c r="C2388" t="s">
        <v>40</v>
      </c>
      <c r="D2388" t="s">
        <v>51</v>
      </c>
      <c r="E2388" t="s">
        <v>10</v>
      </c>
      <c r="F2388" cm="1">
        <f t="array" ref="F2388">_xlfn.XLOOKUP(Food_Orders[[#This Row],[Event_No]],Event_Master[[#All],[Event_No]],Event_Master[[#All],[Guest_Count]],,0)</f>
        <v>980</v>
      </c>
      <c r="G2388" cm="1">
        <f t="array" ref="G2388">Food_Orders[[#This Row],[Quantity_Orderd]]*_xlfn.XLOOKUP(Food_Orders[[#This Row],[Food_ID]],Food_Catalog[[#All],[Food_ID]],Food_Catalog[[#All],[Price_Per_Unit]],0,0)</f>
        <v>78400</v>
      </c>
      <c r="H2388" cm="1">
        <f t="array" ref="H2388">Food_Orders[[#This Row],[Quantity_Orderd]]*_xlfn.XLOOKUP(Food_Orders[[#This Row],[Food_ID]],Food_Catalog[[#All],[Food_ID]],Food_Catalog[[#All],[Client_Price_Per_Unit]],0,0)</f>
        <v>94080</v>
      </c>
      <c r="I2388">
        <f>Food_Orders[[#This Row],[Client_Price]]-Food_Orders[[#This Row],[Cost]]</f>
        <v>15680</v>
      </c>
    </row>
    <row r="2389" spans="1:9" x14ac:dyDescent="0.25">
      <c r="A2389">
        <v>102</v>
      </c>
      <c r="B2389" t="s">
        <v>52</v>
      </c>
      <c r="C2389" t="s">
        <v>40</v>
      </c>
      <c r="D2389" t="s">
        <v>53</v>
      </c>
      <c r="E2389" t="s">
        <v>10</v>
      </c>
      <c r="F2389" cm="1">
        <f t="array" ref="F2389">_xlfn.XLOOKUP(Food_Orders[[#This Row],[Event_No]],Event_Master[[#All],[Event_No]],Event_Master[[#All],[Guest_Count]],,0)</f>
        <v>980</v>
      </c>
      <c r="G2389" cm="1">
        <f t="array" ref="G2389">Food_Orders[[#This Row],[Quantity_Orderd]]*_xlfn.XLOOKUP(Food_Orders[[#This Row],[Food_ID]],Food_Catalog[[#All],[Food_ID]],Food_Catalog[[#All],[Price_Per_Unit]],0,0)</f>
        <v>98000</v>
      </c>
      <c r="H2389" cm="1">
        <f t="array" ref="H2389">Food_Orders[[#This Row],[Quantity_Orderd]]*_xlfn.XLOOKUP(Food_Orders[[#This Row],[Food_ID]],Food_Catalog[[#All],[Food_ID]],Food_Catalog[[#All],[Client_Price_Per_Unit]],0,0)</f>
        <v>117600</v>
      </c>
      <c r="I2389">
        <f>Food_Orders[[#This Row],[Client_Price]]-Food_Orders[[#This Row],[Cost]]</f>
        <v>19600</v>
      </c>
    </row>
    <row r="2390" spans="1:9" x14ac:dyDescent="0.25">
      <c r="A2390">
        <v>102</v>
      </c>
      <c r="B2390" t="s">
        <v>54</v>
      </c>
      <c r="C2390" t="s">
        <v>40</v>
      </c>
      <c r="D2390" t="s">
        <v>55</v>
      </c>
      <c r="E2390" t="s">
        <v>10</v>
      </c>
      <c r="F2390" cm="1">
        <f t="array" ref="F2390">_xlfn.XLOOKUP(Food_Orders[[#This Row],[Event_No]],Event_Master[[#All],[Event_No]],Event_Master[[#All],[Guest_Count]],,0)</f>
        <v>980</v>
      </c>
      <c r="G2390" cm="1">
        <f t="array" ref="G2390">Food_Orders[[#This Row],[Quantity_Orderd]]*_xlfn.XLOOKUP(Food_Orders[[#This Row],[Food_ID]],Food_Catalog[[#All],[Food_ID]],Food_Catalog[[#All],[Price_Per_Unit]],0,0)</f>
        <v>39200</v>
      </c>
      <c r="H2390" cm="1">
        <f t="array" ref="H2390">Food_Orders[[#This Row],[Quantity_Orderd]]*_xlfn.XLOOKUP(Food_Orders[[#This Row],[Food_ID]],Food_Catalog[[#All],[Food_ID]],Food_Catalog[[#All],[Client_Price_Per_Unit]],0,0)</f>
        <v>47040</v>
      </c>
      <c r="I2390">
        <f>Food_Orders[[#This Row],[Client_Price]]-Food_Orders[[#This Row],[Cost]]</f>
        <v>7840</v>
      </c>
    </row>
    <row r="2391" spans="1:9" x14ac:dyDescent="0.25">
      <c r="A2391">
        <v>102</v>
      </c>
      <c r="B2391" t="s">
        <v>58</v>
      </c>
      <c r="C2391" t="s">
        <v>40</v>
      </c>
      <c r="D2391" t="s">
        <v>59</v>
      </c>
      <c r="E2391" t="s">
        <v>10</v>
      </c>
      <c r="F2391" cm="1">
        <f t="array" ref="F2391">_xlfn.XLOOKUP(Food_Orders[[#This Row],[Event_No]],Event_Master[[#All],[Event_No]],Event_Master[[#All],[Guest_Count]],,0)</f>
        <v>980</v>
      </c>
      <c r="G2391" cm="1">
        <f t="array" ref="G2391">Food_Orders[[#This Row],[Quantity_Orderd]]*_xlfn.XLOOKUP(Food_Orders[[#This Row],[Food_ID]],Food_Catalog[[#All],[Food_ID]],Food_Catalog[[#All],[Price_Per_Unit]],0,0)</f>
        <v>88200</v>
      </c>
      <c r="H2391" cm="1">
        <f t="array" ref="H2391">Food_Orders[[#This Row],[Quantity_Orderd]]*_xlfn.XLOOKUP(Food_Orders[[#This Row],[Food_ID]],Food_Catalog[[#All],[Food_ID]],Food_Catalog[[#All],[Client_Price_Per_Unit]],0,0)</f>
        <v>105840</v>
      </c>
      <c r="I2391">
        <f>Food_Orders[[#This Row],[Client_Price]]-Food_Orders[[#This Row],[Cost]]</f>
        <v>17640</v>
      </c>
    </row>
    <row r="2392" spans="1:9" x14ac:dyDescent="0.25">
      <c r="A2392">
        <v>102</v>
      </c>
      <c r="B2392" t="s">
        <v>82</v>
      </c>
      <c r="C2392" t="s">
        <v>83</v>
      </c>
      <c r="D2392" t="s">
        <v>84</v>
      </c>
      <c r="E2392" t="s">
        <v>85</v>
      </c>
      <c r="F2392" cm="1">
        <f t="array" ref="F2392">_xlfn.XLOOKUP(Food_Orders[[#This Row],[Event_No]],Event_Master[[#All],[Event_No]],Event_Master[[#All],[Guest_Count]],,0)</f>
        <v>980</v>
      </c>
      <c r="G2392" cm="1">
        <f t="array" ref="G2392">Food_Orders[[#This Row],[Quantity_Orderd]]*_xlfn.XLOOKUP(Food_Orders[[#This Row],[Food_ID]],Food_Catalog[[#All],[Food_ID]],Food_Catalog[[#All],[Price_Per_Unit]],0,0)</f>
        <v>19600</v>
      </c>
      <c r="H2392" cm="1">
        <f t="array" ref="H2392">Food_Orders[[#This Row],[Quantity_Orderd]]*_xlfn.XLOOKUP(Food_Orders[[#This Row],[Food_ID]],Food_Catalog[[#All],[Food_ID]],Food_Catalog[[#All],[Client_Price_Per_Unit]],0,0)</f>
        <v>23520</v>
      </c>
      <c r="I2392">
        <f>Food_Orders[[#This Row],[Client_Price]]-Food_Orders[[#This Row],[Cost]]</f>
        <v>3920</v>
      </c>
    </row>
    <row r="2393" spans="1:9" x14ac:dyDescent="0.25">
      <c r="A2393">
        <v>102</v>
      </c>
      <c r="B2393" t="s">
        <v>86</v>
      </c>
      <c r="C2393" t="s">
        <v>83</v>
      </c>
      <c r="D2393" t="s">
        <v>87</v>
      </c>
      <c r="E2393" t="s">
        <v>85</v>
      </c>
      <c r="F2393" cm="1">
        <f t="array" ref="F2393">_xlfn.XLOOKUP(Food_Orders[[#This Row],[Event_No]],Event_Master[[#All],[Event_No]],Event_Master[[#All],[Guest_Count]],,0)</f>
        <v>980</v>
      </c>
      <c r="G2393" cm="1">
        <f t="array" ref="G2393">Food_Orders[[#This Row],[Quantity_Orderd]]*_xlfn.XLOOKUP(Food_Orders[[#This Row],[Food_ID]],Food_Catalog[[#All],[Food_ID]],Food_Catalog[[#All],[Price_Per_Unit]],0,0)</f>
        <v>19600</v>
      </c>
      <c r="H2393" cm="1">
        <f t="array" ref="H2393">Food_Orders[[#This Row],[Quantity_Orderd]]*_xlfn.XLOOKUP(Food_Orders[[#This Row],[Food_ID]],Food_Catalog[[#All],[Food_ID]],Food_Catalog[[#All],[Client_Price_Per_Unit]],0,0)</f>
        <v>23520</v>
      </c>
      <c r="I2393">
        <f>Food_Orders[[#This Row],[Client_Price]]-Food_Orders[[#This Row],[Cost]]</f>
        <v>3920</v>
      </c>
    </row>
    <row r="2394" spans="1:9" x14ac:dyDescent="0.25">
      <c r="A2394">
        <v>102</v>
      </c>
      <c r="B2394" t="s">
        <v>88</v>
      </c>
      <c r="C2394" t="s">
        <v>83</v>
      </c>
      <c r="D2394" t="s">
        <v>89</v>
      </c>
      <c r="E2394" t="s">
        <v>85</v>
      </c>
      <c r="F2394" cm="1">
        <f t="array" ref="F2394">_xlfn.XLOOKUP(Food_Orders[[#This Row],[Event_No]],Event_Master[[#All],[Event_No]],Event_Master[[#All],[Guest_Count]],,0)</f>
        <v>980</v>
      </c>
      <c r="G2394" cm="1">
        <f t="array" ref="G2394">Food_Orders[[#This Row],[Quantity_Orderd]]*_xlfn.XLOOKUP(Food_Orders[[#This Row],[Food_ID]],Food_Catalog[[#All],[Food_ID]],Food_Catalog[[#All],[Price_Per_Unit]],0,0)</f>
        <v>14700</v>
      </c>
      <c r="H2394" cm="1">
        <f t="array" ref="H2394">Food_Orders[[#This Row],[Quantity_Orderd]]*_xlfn.XLOOKUP(Food_Orders[[#This Row],[Food_ID]],Food_Catalog[[#All],[Food_ID]],Food_Catalog[[#All],[Client_Price_Per_Unit]],0,0)</f>
        <v>17640</v>
      </c>
      <c r="I2394">
        <f>Food_Orders[[#This Row],[Client_Price]]-Food_Orders[[#This Row],[Cost]]</f>
        <v>2940</v>
      </c>
    </row>
    <row r="2395" spans="1:9" x14ac:dyDescent="0.25">
      <c r="A2395">
        <v>102</v>
      </c>
      <c r="B2395" t="s">
        <v>100</v>
      </c>
      <c r="C2395" t="s">
        <v>83</v>
      </c>
      <c r="D2395" t="s">
        <v>101</v>
      </c>
      <c r="E2395" t="s">
        <v>79</v>
      </c>
      <c r="F2395" cm="1">
        <f t="array" ref="F2395">_xlfn.XLOOKUP(Food_Orders[[#This Row],[Event_No]],Event_Master[[#All],[Event_No]],Event_Master[[#All],[Guest_Count]],,0)</f>
        <v>980</v>
      </c>
      <c r="G2395" cm="1">
        <f t="array" ref="G2395">Food_Orders[[#This Row],[Quantity_Orderd]]*_xlfn.XLOOKUP(Food_Orders[[#This Row],[Food_ID]],Food_Catalog[[#All],[Food_ID]],Food_Catalog[[#All],[Price_Per_Unit]],0,0)</f>
        <v>34300</v>
      </c>
      <c r="H2395" cm="1">
        <f t="array" ref="H2395">Food_Orders[[#This Row],[Quantity_Orderd]]*_xlfn.XLOOKUP(Food_Orders[[#This Row],[Food_ID]],Food_Catalog[[#All],[Food_ID]],Food_Catalog[[#All],[Client_Price_Per_Unit]],0,0)</f>
        <v>41160</v>
      </c>
      <c r="I2395">
        <f>Food_Orders[[#This Row],[Client_Price]]-Food_Orders[[#This Row],[Cost]]</f>
        <v>6860</v>
      </c>
    </row>
    <row r="2396" spans="1:9" x14ac:dyDescent="0.25">
      <c r="A2396">
        <v>102</v>
      </c>
      <c r="B2396" t="s">
        <v>96</v>
      </c>
      <c r="C2396" t="s">
        <v>83</v>
      </c>
      <c r="D2396" t="s">
        <v>97</v>
      </c>
      <c r="E2396" t="s">
        <v>79</v>
      </c>
      <c r="F2396" cm="1">
        <f t="array" ref="F2396">_xlfn.XLOOKUP(Food_Orders[[#This Row],[Event_No]],Event_Master[[#All],[Event_No]],Event_Master[[#All],[Guest_Count]],,0)</f>
        <v>980</v>
      </c>
      <c r="G2396" cm="1">
        <f t="array" ref="G2396">Food_Orders[[#This Row],[Quantity_Orderd]]*_xlfn.XLOOKUP(Food_Orders[[#This Row],[Food_ID]],Food_Catalog[[#All],[Food_ID]],Food_Catalog[[#All],[Price_Per_Unit]],0,0)</f>
        <v>29400</v>
      </c>
      <c r="H2396" cm="1">
        <f t="array" ref="H2396">Food_Orders[[#This Row],[Quantity_Orderd]]*_xlfn.XLOOKUP(Food_Orders[[#This Row],[Food_ID]],Food_Catalog[[#All],[Food_ID]],Food_Catalog[[#All],[Client_Price_Per_Unit]],0,0)</f>
        <v>35280</v>
      </c>
      <c r="I2396">
        <f>Food_Orders[[#This Row],[Client_Price]]-Food_Orders[[#This Row],[Cost]]</f>
        <v>5880</v>
      </c>
    </row>
    <row r="2397" spans="1:9" x14ac:dyDescent="0.25">
      <c r="A2397">
        <v>102</v>
      </c>
      <c r="B2397" t="s">
        <v>92</v>
      </c>
      <c r="C2397" t="s">
        <v>83</v>
      </c>
      <c r="D2397" t="s">
        <v>93</v>
      </c>
      <c r="E2397" t="s">
        <v>85</v>
      </c>
      <c r="F2397" cm="1">
        <f t="array" ref="F2397">_xlfn.XLOOKUP(Food_Orders[[#This Row],[Event_No]],Event_Master[[#All],[Event_No]],Event_Master[[#All],[Guest_Count]],,0)</f>
        <v>980</v>
      </c>
      <c r="G2397" cm="1">
        <f t="array" ref="G2397">Food_Orders[[#This Row],[Quantity_Orderd]]*_xlfn.XLOOKUP(Food_Orders[[#This Row],[Food_ID]],Food_Catalog[[#All],[Food_ID]],Food_Catalog[[#All],[Price_Per_Unit]],0,0)</f>
        <v>14700</v>
      </c>
      <c r="H2397" cm="1">
        <f t="array" ref="H2397">Food_Orders[[#This Row],[Quantity_Orderd]]*_xlfn.XLOOKUP(Food_Orders[[#This Row],[Food_ID]],Food_Catalog[[#All],[Food_ID]],Food_Catalog[[#All],[Client_Price_Per_Unit]],0,0)</f>
        <v>17640</v>
      </c>
      <c r="I2397">
        <f>Food_Orders[[#This Row],[Client_Price]]-Food_Orders[[#This Row],[Cost]]</f>
        <v>2940</v>
      </c>
    </row>
    <row r="2398" spans="1:9" x14ac:dyDescent="0.25">
      <c r="A2398">
        <v>102</v>
      </c>
      <c r="B2398" t="s">
        <v>102</v>
      </c>
      <c r="C2398" t="s">
        <v>83</v>
      </c>
      <c r="D2398" t="s">
        <v>103</v>
      </c>
      <c r="E2398" t="s">
        <v>85</v>
      </c>
      <c r="F2398" cm="1">
        <f t="array" ref="F2398">_xlfn.XLOOKUP(Food_Orders[[#This Row],[Event_No]],Event_Master[[#All],[Event_No]],Event_Master[[#All],[Guest_Count]],,0)</f>
        <v>980</v>
      </c>
      <c r="G2398" cm="1">
        <f t="array" ref="G2398">Food_Orders[[#This Row],[Quantity_Orderd]]*_xlfn.XLOOKUP(Food_Orders[[#This Row],[Food_ID]],Food_Catalog[[#All],[Food_ID]],Food_Catalog[[#All],[Price_Per_Unit]],0,0)</f>
        <v>19600</v>
      </c>
      <c r="H2398" cm="1">
        <f t="array" ref="H2398">Food_Orders[[#This Row],[Quantity_Orderd]]*_xlfn.XLOOKUP(Food_Orders[[#This Row],[Food_ID]],Food_Catalog[[#All],[Food_ID]],Food_Catalog[[#All],[Client_Price_Per_Unit]],0,0)</f>
        <v>23520</v>
      </c>
      <c r="I2398">
        <f>Food_Orders[[#This Row],[Client_Price]]-Food_Orders[[#This Row],[Cost]]</f>
        <v>3920</v>
      </c>
    </row>
    <row r="2399" spans="1:9" x14ac:dyDescent="0.25">
      <c r="A2399">
        <v>102</v>
      </c>
      <c r="B2399" t="s">
        <v>98</v>
      </c>
      <c r="C2399" t="s">
        <v>83</v>
      </c>
      <c r="D2399" t="s">
        <v>99</v>
      </c>
      <c r="E2399" t="s">
        <v>85</v>
      </c>
      <c r="F2399" cm="1">
        <f t="array" ref="F2399">_xlfn.XLOOKUP(Food_Orders[[#This Row],[Event_No]],Event_Master[[#All],[Event_No]],Event_Master[[#All],[Guest_Count]],,0)</f>
        <v>980</v>
      </c>
      <c r="G2399" cm="1">
        <f t="array" ref="G2399">Food_Orders[[#This Row],[Quantity_Orderd]]*_xlfn.XLOOKUP(Food_Orders[[#This Row],[Food_ID]],Food_Catalog[[#All],[Food_ID]],Food_Catalog[[#All],[Price_Per_Unit]],0,0)</f>
        <v>14700</v>
      </c>
      <c r="H2399" cm="1">
        <f t="array" ref="H2399">Food_Orders[[#This Row],[Quantity_Orderd]]*_xlfn.XLOOKUP(Food_Orders[[#This Row],[Food_ID]],Food_Catalog[[#All],[Food_ID]],Food_Catalog[[#All],[Client_Price_Per_Unit]],0,0)</f>
        <v>17640</v>
      </c>
      <c r="I2399">
        <f>Food_Orders[[#This Row],[Client_Price]]-Food_Orders[[#This Row],[Cost]]</f>
        <v>2940</v>
      </c>
    </row>
    <row r="2400" spans="1:9" x14ac:dyDescent="0.25">
      <c r="A2400">
        <v>102</v>
      </c>
      <c r="B2400" t="s">
        <v>104</v>
      </c>
      <c r="C2400" t="s">
        <v>105</v>
      </c>
      <c r="D2400" t="s">
        <v>106</v>
      </c>
      <c r="E2400" t="s">
        <v>107</v>
      </c>
      <c r="F2400" cm="1">
        <f t="array" ref="F2400">_xlfn.XLOOKUP(Food_Orders[[#This Row],[Event_No]],Event_Master[[#All],[Event_No]],Event_Master[[#All],[Guest_Count]],,0)</f>
        <v>980</v>
      </c>
      <c r="G2400" cm="1">
        <f t="array" ref="G2400">Food_Orders[[#This Row],[Quantity_Orderd]]*_xlfn.XLOOKUP(Food_Orders[[#This Row],[Food_ID]],Food_Catalog[[#All],[Food_ID]],Food_Catalog[[#All],[Price_Per_Unit]],0,0)</f>
        <v>9800</v>
      </c>
      <c r="H2400" cm="1">
        <f t="array" ref="H2400">Food_Orders[[#This Row],[Quantity_Orderd]]*_xlfn.XLOOKUP(Food_Orders[[#This Row],[Food_ID]],Food_Catalog[[#All],[Food_ID]],Food_Catalog[[#All],[Client_Price_Per_Unit]],0,0)</f>
        <v>11760</v>
      </c>
      <c r="I2400">
        <f>Food_Orders[[#This Row],[Client_Price]]-Food_Orders[[#This Row],[Cost]]</f>
        <v>1960</v>
      </c>
    </row>
    <row r="2401" spans="1:9" x14ac:dyDescent="0.25">
      <c r="A2401">
        <v>102</v>
      </c>
      <c r="B2401" t="s">
        <v>108</v>
      </c>
      <c r="C2401" t="s">
        <v>105</v>
      </c>
      <c r="D2401" t="s">
        <v>109</v>
      </c>
      <c r="E2401" t="s">
        <v>107</v>
      </c>
      <c r="F2401" cm="1">
        <f t="array" ref="F2401">_xlfn.XLOOKUP(Food_Orders[[#This Row],[Event_No]],Event_Master[[#All],[Event_No]],Event_Master[[#All],[Guest_Count]],,0)</f>
        <v>980</v>
      </c>
      <c r="G2401" cm="1">
        <f t="array" ref="G2401">Food_Orders[[#This Row],[Quantity_Orderd]]*_xlfn.XLOOKUP(Food_Orders[[#This Row],[Food_ID]],Food_Catalog[[#All],[Food_ID]],Food_Catalog[[#All],[Price_Per_Unit]],0,0)</f>
        <v>14700</v>
      </c>
      <c r="H2401" cm="1">
        <f t="array" ref="H2401">Food_Orders[[#This Row],[Quantity_Orderd]]*_xlfn.XLOOKUP(Food_Orders[[#This Row],[Food_ID]],Food_Catalog[[#All],[Food_ID]],Food_Catalog[[#All],[Client_Price_Per_Unit]],0,0)</f>
        <v>17640</v>
      </c>
      <c r="I2401">
        <f>Food_Orders[[#This Row],[Client_Price]]-Food_Orders[[#This Row],[Cost]]</f>
        <v>2940</v>
      </c>
    </row>
    <row r="2402" spans="1:9" x14ac:dyDescent="0.25">
      <c r="A2402">
        <v>102</v>
      </c>
      <c r="B2402" t="s">
        <v>115</v>
      </c>
      <c r="C2402" t="s">
        <v>105</v>
      </c>
      <c r="D2402" t="s">
        <v>116</v>
      </c>
      <c r="E2402" t="s">
        <v>117</v>
      </c>
      <c r="F2402" cm="1">
        <f t="array" ref="F2402">_xlfn.XLOOKUP(Food_Orders[[#This Row],[Event_No]],Event_Master[[#All],[Event_No]],Event_Master[[#All],[Guest_Count]],,0)</f>
        <v>980</v>
      </c>
      <c r="G2402" cm="1">
        <f t="array" ref="G2402">Food_Orders[[#This Row],[Quantity_Orderd]]*_xlfn.XLOOKUP(Food_Orders[[#This Row],[Food_ID]],Food_Catalog[[#All],[Food_ID]],Food_Catalog[[#All],[Price_Per_Unit]],0,0)</f>
        <v>24500</v>
      </c>
      <c r="H2402" cm="1">
        <f t="array" ref="H2402">Food_Orders[[#This Row],[Quantity_Orderd]]*_xlfn.XLOOKUP(Food_Orders[[#This Row],[Food_ID]],Food_Catalog[[#All],[Food_ID]],Food_Catalog[[#All],[Client_Price_Per_Unit]],0,0)</f>
        <v>29400</v>
      </c>
      <c r="I2402">
        <f>Food_Orders[[#This Row],[Client_Price]]-Food_Orders[[#This Row],[Cost]]</f>
        <v>4900</v>
      </c>
    </row>
    <row r="2403" spans="1:9" x14ac:dyDescent="0.25">
      <c r="A2403">
        <v>102</v>
      </c>
      <c r="B2403" t="s">
        <v>110</v>
      </c>
      <c r="C2403" t="s">
        <v>105</v>
      </c>
      <c r="D2403" t="s">
        <v>111</v>
      </c>
      <c r="E2403" t="s">
        <v>112</v>
      </c>
      <c r="F2403" cm="1">
        <f t="array" ref="F2403">_xlfn.XLOOKUP(Food_Orders[[#This Row],[Event_No]],Event_Master[[#All],[Event_No]],Event_Master[[#All],[Guest_Count]],,0)</f>
        <v>980</v>
      </c>
      <c r="G2403" cm="1">
        <f t="array" ref="G2403">Food_Orders[[#This Row],[Quantity_Orderd]]*_xlfn.XLOOKUP(Food_Orders[[#This Row],[Food_ID]],Food_Catalog[[#All],[Food_ID]],Food_Catalog[[#All],[Price_Per_Unit]],0,0)</f>
        <v>19600</v>
      </c>
      <c r="H2403" cm="1">
        <f t="array" ref="H2403">Food_Orders[[#This Row],[Quantity_Orderd]]*_xlfn.XLOOKUP(Food_Orders[[#This Row],[Food_ID]],Food_Catalog[[#All],[Food_ID]],Food_Catalog[[#All],[Client_Price_Per_Unit]],0,0)</f>
        <v>23520</v>
      </c>
      <c r="I2403">
        <f>Food_Orders[[#This Row],[Client_Price]]-Food_Orders[[#This Row],[Cost]]</f>
        <v>3920</v>
      </c>
    </row>
    <row r="2404" spans="1:9" x14ac:dyDescent="0.25">
      <c r="A2404">
        <v>102</v>
      </c>
      <c r="B2404" t="s">
        <v>118</v>
      </c>
      <c r="C2404" t="s">
        <v>119</v>
      </c>
      <c r="D2404" t="s">
        <v>120</v>
      </c>
      <c r="E2404" t="s">
        <v>112</v>
      </c>
      <c r="F2404" cm="1">
        <f t="array" ref="F2404">_xlfn.XLOOKUP(Food_Orders[[#This Row],[Event_No]],Event_Master[[#All],[Event_No]],Event_Master[[#All],[Guest_Count]],,0)</f>
        <v>980</v>
      </c>
      <c r="G2404" cm="1">
        <f t="array" ref="G2404">Food_Orders[[#This Row],[Quantity_Orderd]]*_xlfn.XLOOKUP(Food_Orders[[#This Row],[Food_ID]],Food_Catalog[[#All],[Food_ID]],Food_Catalog[[#All],[Price_Per_Unit]],0,0)</f>
        <v>9800</v>
      </c>
      <c r="H2404" cm="1">
        <f t="array" ref="H2404">Food_Orders[[#This Row],[Quantity_Orderd]]*_xlfn.XLOOKUP(Food_Orders[[#This Row],[Food_ID]],Food_Catalog[[#All],[Food_ID]],Food_Catalog[[#All],[Client_Price_Per_Unit]],0,0)</f>
        <v>11760</v>
      </c>
      <c r="I2404">
        <f>Food_Orders[[#This Row],[Client_Price]]-Food_Orders[[#This Row],[Cost]]</f>
        <v>1960</v>
      </c>
    </row>
    <row r="2405" spans="1:9" x14ac:dyDescent="0.25">
      <c r="A2405">
        <v>102</v>
      </c>
      <c r="B2405" t="s">
        <v>129</v>
      </c>
      <c r="C2405" t="s">
        <v>119</v>
      </c>
      <c r="D2405" t="s">
        <v>130</v>
      </c>
      <c r="E2405" t="s">
        <v>112</v>
      </c>
      <c r="F2405" cm="1">
        <f t="array" ref="F2405">_xlfn.XLOOKUP(Food_Orders[[#This Row],[Event_No]],Event_Master[[#All],[Event_No]],Event_Master[[#All],[Guest_Count]],,0)</f>
        <v>980</v>
      </c>
      <c r="G2405" cm="1">
        <f t="array" ref="G2405">Food_Orders[[#This Row],[Quantity_Orderd]]*_xlfn.XLOOKUP(Food_Orders[[#This Row],[Food_ID]],Food_Catalog[[#All],[Food_ID]],Food_Catalog[[#All],[Price_Per_Unit]],0,0)</f>
        <v>9800</v>
      </c>
      <c r="H2405" cm="1">
        <f t="array" ref="H2405">Food_Orders[[#This Row],[Quantity_Orderd]]*_xlfn.XLOOKUP(Food_Orders[[#This Row],[Food_ID]],Food_Catalog[[#All],[Food_ID]],Food_Catalog[[#All],[Client_Price_Per_Unit]],0,0)</f>
        <v>11760</v>
      </c>
      <c r="I2405">
        <f>Food_Orders[[#This Row],[Client_Price]]-Food_Orders[[#This Row],[Cost]]</f>
        <v>1960</v>
      </c>
    </row>
    <row r="2406" spans="1:9" x14ac:dyDescent="0.25">
      <c r="A2406">
        <v>102</v>
      </c>
      <c r="B2406" t="s">
        <v>124</v>
      </c>
      <c r="C2406" t="s">
        <v>119</v>
      </c>
      <c r="D2406" t="s">
        <v>125</v>
      </c>
      <c r="E2406" t="s">
        <v>126</v>
      </c>
      <c r="F2406" cm="1">
        <f t="array" ref="F2406">_xlfn.XLOOKUP(Food_Orders[[#This Row],[Event_No]],Event_Master[[#All],[Event_No]],Event_Master[[#All],[Guest_Count]],,0)</f>
        <v>980</v>
      </c>
      <c r="G2406" cm="1">
        <f t="array" ref="G2406">Food_Orders[[#This Row],[Quantity_Orderd]]*_xlfn.XLOOKUP(Food_Orders[[#This Row],[Food_ID]],Food_Catalog[[#All],[Food_ID]],Food_Catalog[[#All],[Price_Per_Unit]],0,0)</f>
        <v>19600</v>
      </c>
      <c r="H2406" cm="1">
        <f t="array" ref="H2406">Food_Orders[[#This Row],[Quantity_Orderd]]*_xlfn.XLOOKUP(Food_Orders[[#This Row],[Food_ID]],Food_Catalog[[#All],[Food_ID]],Food_Catalog[[#All],[Client_Price_Per_Unit]],0,0)</f>
        <v>23520</v>
      </c>
      <c r="I2406">
        <f>Food_Orders[[#This Row],[Client_Price]]-Food_Orders[[#This Row],[Cost]]</f>
        <v>3920</v>
      </c>
    </row>
    <row r="2407" spans="1:9" x14ac:dyDescent="0.25">
      <c r="A2407">
        <v>102</v>
      </c>
      <c r="B2407" t="s">
        <v>127</v>
      </c>
      <c r="C2407" t="s">
        <v>119</v>
      </c>
      <c r="D2407" t="s">
        <v>128</v>
      </c>
      <c r="E2407" t="s">
        <v>107</v>
      </c>
      <c r="F2407" cm="1">
        <f t="array" ref="F2407">_xlfn.XLOOKUP(Food_Orders[[#This Row],[Event_No]],Event_Master[[#All],[Event_No]],Event_Master[[#All],[Guest_Count]],,0)</f>
        <v>980</v>
      </c>
      <c r="G2407" cm="1">
        <f t="array" ref="G2407">Food_Orders[[#This Row],[Quantity_Orderd]]*_xlfn.XLOOKUP(Food_Orders[[#This Row],[Food_ID]],Food_Catalog[[#All],[Food_ID]],Food_Catalog[[#All],[Price_Per_Unit]],0,0)</f>
        <v>19600</v>
      </c>
      <c r="H2407" cm="1">
        <f t="array" ref="H2407">Food_Orders[[#This Row],[Quantity_Orderd]]*_xlfn.XLOOKUP(Food_Orders[[#This Row],[Food_ID]],Food_Catalog[[#All],[Food_ID]],Food_Catalog[[#All],[Client_Price_Per_Unit]],0,0)</f>
        <v>23520</v>
      </c>
      <c r="I2407">
        <f>Food_Orders[[#This Row],[Client_Price]]-Food_Orders[[#This Row],[Cost]]</f>
        <v>3920</v>
      </c>
    </row>
    <row r="2408" spans="1:9" x14ac:dyDescent="0.25">
      <c r="A2408">
        <v>103</v>
      </c>
      <c r="B2408" t="s">
        <v>118</v>
      </c>
      <c r="C2408" t="s">
        <v>119</v>
      </c>
      <c r="D2408" t="s">
        <v>120</v>
      </c>
      <c r="E2408" t="s">
        <v>112</v>
      </c>
      <c r="F2408" cm="1">
        <f t="array" ref="F2408">_xlfn.XLOOKUP(Food_Orders[[#This Row],[Event_No]],Event_Master[[#All],[Event_No]],Event_Master[[#All],[Guest_Count]],,0)</f>
        <v>120</v>
      </c>
      <c r="G2408" cm="1">
        <f t="array" ref="G2408">Food_Orders[[#This Row],[Quantity_Orderd]]*_xlfn.XLOOKUP(Food_Orders[[#This Row],[Food_ID]],Food_Catalog[[#All],[Food_ID]],Food_Catalog[[#All],[Price_Per_Unit]],0,0)</f>
        <v>1200</v>
      </c>
      <c r="H2408" cm="1">
        <f t="array" ref="H2408">Food_Orders[[#This Row],[Quantity_Orderd]]*_xlfn.XLOOKUP(Food_Orders[[#This Row],[Food_ID]],Food_Catalog[[#All],[Food_ID]],Food_Catalog[[#All],[Client_Price_Per_Unit]],0,0)</f>
        <v>1440</v>
      </c>
      <c r="I2408">
        <f>Food_Orders[[#This Row],[Client_Price]]-Food_Orders[[#This Row],[Cost]]</f>
        <v>240</v>
      </c>
    </row>
    <row r="2409" spans="1:9" x14ac:dyDescent="0.25">
      <c r="A2409">
        <v>103</v>
      </c>
      <c r="B2409" t="s">
        <v>129</v>
      </c>
      <c r="C2409" t="s">
        <v>119</v>
      </c>
      <c r="D2409" t="s">
        <v>130</v>
      </c>
      <c r="E2409" t="s">
        <v>112</v>
      </c>
      <c r="F2409" cm="1">
        <f t="array" ref="F2409">_xlfn.XLOOKUP(Food_Orders[[#This Row],[Event_No]],Event_Master[[#All],[Event_No]],Event_Master[[#All],[Guest_Count]],,0)</f>
        <v>120</v>
      </c>
      <c r="G2409" cm="1">
        <f t="array" ref="G2409">Food_Orders[[#This Row],[Quantity_Orderd]]*_xlfn.XLOOKUP(Food_Orders[[#This Row],[Food_ID]],Food_Catalog[[#All],[Food_ID]],Food_Catalog[[#All],[Price_Per_Unit]],0,0)</f>
        <v>1200</v>
      </c>
      <c r="H2409" cm="1">
        <f t="array" ref="H2409">Food_Orders[[#This Row],[Quantity_Orderd]]*_xlfn.XLOOKUP(Food_Orders[[#This Row],[Food_ID]],Food_Catalog[[#All],[Food_ID]],Food_Catalog[[#All],[Client_Price_Per_Unit]],0,0)</f>
        <v>1440</v>
      </c>
      <c r="I2409">
        <f>Food_Orders[[#This Row],[Client_Price]]-Food_Orders[[#This Row],[Cost]]</f>
        <v>240</v>
      </c>
    </row>
    <row r="2410" spans="1:9" x14ac:dyDescent="0.25">
      <c r="A2410">
        <v>103</v>
      </c>
      <c r="B2410" t="s">
        <v>104</v>
      </c>
      <c r="C2410" t="s">
        <v>105</v>
      </c>
      <c r="D2410" t="s">
        <v>106</v>
      </c>
      <c r="E2410" t="s">
        <v>107</v>
      </c>
      <c r="F2410" cm="1">
        <f t="array" ref="F2410">_xlfn.XLOOKUP(Food_Orders[[#This Row],[Event_No]],Event_Master[[#All],[Event_No]],Event_Master[[#All],[Guest_Count]],,0)</f>
        <v>120</v>
      </c>
      <c r="G2410" cm="1">
        <f t="array" ref="G2410">Food_Orders[[#This Row],[Quantity_Orderd]]*_xlfn.XLOOKUP(Food_Orders[[#This Row],[Food_ID]],Food_Catalog[[#All],[Food_ID]],Food_Catalog[[#All],[Price_Per_Unit]],0,0)</f>
        <v>1200</v>
      </c>
      <c r="H2410" cm="1">
        <f t="array" ref="H2410">Food_Orders[[#This Row],[Quantity_Orderd]]*_xlfn.XLOOKUP(Food_Orders[[#This Row],[Food_ID]],Food_Catalog[[#All],[Food_ID]],Food_Catalog[[#All],[Client_Price_Per_Unit]],0,0)</f>
        <v>1440</v>
      </c>
      <c r="I2410">
        <f>Food_Orders[[#This Row],[Client_Price]]-Food_Orders[[#This Row],[Cost]]</f>
        <v>240</v>
      </c>
    </row>
    <row r="2411" spans="1:9" x14ac:dyDescent="0.25">
      <c r="A2411">
        <v>103</v>
      </c>
      <c r="B2411" t="s">
        <v>108</v>
      </c>
      <c r="C2411" t="s">
        <v>105</v>
      </c>
      <c r="D2411" t="s">
        <v>109</v>
      </c>
      <c r="E2411" t="s">
        <v>107</v>
      </c>
      <c r="F2411" cm="1">
        <f t="array" ref="F2411">_xlfn.XLOOKUP(Food_Orders[[#This Row],[Event_No]],Event_Master[[#All],[Event_No]],Event_Master[[#All],[Guest_Count]],,0)</f>
        <v>120</v>
      </c>
      <c r="G2411" cm="1">
        <f t="array" ref="G2411">Food_Orders[[#This Row],[Quantity_Orderd]]*_xlfn.XLOOKUP(Food_Orders[[#This Row],[Food_ID]],Food_Catalog[[#All],[Food_ID]],Food_Catalog[[#All],[Price_Per_Unit]],0,0)</f>
        <v>1800</v>
      </c>
      <c r="H2411" cm="1">
        <f t="array" ref="H2411">Food_Orders[[#This Row],[Quantity_Orderd]]*_xlfn.XLOOKUP(Food_Orders[[#This Row],[Food_ID]],Food_Catalog[[#All],[Food_ID]],Food_Catalog[[#All],[Client_Price_Per_Unit]],0,0)</f>
        <v>2160</v>
      </c>
      <c r="I2411">
        <f>Food_Orders[[#This Row],[Client_Price]]-Food_Orders[[#This Row],[Cost]]</f>
        <v>360</v>
      </c>
    </row>
    <row r="2412" spans="1:9" x14ac:dyDescent="0.25">
      <c r="A2412">
        <v>103</v>
      </c>
      <c r="B2412" t="s">
        <v>127</v>
      </c>
      <c r="C2412" t="s">
        <v>119</v>
      </c>
      <c r="D2412" t="s">
        <v>128</v>
      </c>
      <c r="E2412" t="s">
        <v>107</v>
      </c>
      <c r="F2412" cm="1">
        <f t="array" ref="F2412">_xlfn.XLOOKUP(Food_Orders[[#This Row],[Event_No]],Event_Master[[#All],[Event_No]],Event_Master[[#All],[Guest_Count]],,0)</f>
        <v>120</v>
      </c>
      <c r="G2412" cm="1">
        <f t="array" ref="G2412">Food_Orders[[#This Row],[Quantity_Orderd]]*_xlfn.XLOOKUP(Food_Orders[[#This Row],[Food_ID]],Food_Catalog[[#All],[Food_ID]],Food_Catalog[[#All],[Price_Per_Unit]],0,0)</f>
        <v>2400</v>
      </c>
      <c r="H2412" cm="1">
        <f t="array" ref="H2412">Food_Orders[[#This Row],[Quantity_Orderd]]*_xlfn.XLOOKUP(Food_Orders[[#This Row],[Food_ID]],Food_Catalog[[#All],[Food_ID]],Food_Catalog[[#All],[Client_Price_Per_Unit]],0,0)</f>
        <v>2880</v>
      </c>
      <c r="I2412">
        <f>Food_Orders[[#This Row],[Client_Price]]-Food_Orders[[#This Row],[Cost]]</f>
        <v>480</v>
      </c>
    </row>
    <row r="2413" spans="1:9" x14ac:dyDescent="0.25">
      <c r="A2413">
        <v>103</v>
      </c>
      <c r="B2413" t="s">
        <v>124</v>
      </c>
      <c r="C2413" t="s">
        <v>119</v>
      </c>
      <c r="D2413" t="s">
        <v>125</v>
      </c>
      <c r="E2413" t="s">
        <v>126</v>
      </c>
      <c r="F2413" cm="1">
        <f t="array" ref="F2413">_xlfn.XLOOKUP(Food_Orders[[#This Row],[Event_No]],Event_Master[[#All],[Event_No]],Event_Master[[#All],[Guest_Count]],,0)</f>
        <v>120</v>
      </c>
      <c r="G2413" cm="1">
        <f t="array" ref="G2413">Food_Orders[[#This Row],[Quantity_Orderd]]*_xlfn.XLOOKUP(Food_Orders[[#This Row],[Food_ID]],Food_Catalog[[#All],[Food_ID]],Food_Catalog[[#All],[Price_Per_Unit]],0,0)</f>
        <v>2400</v>
      </c>
      <c r="H2413" cm="1">
        <f t="array" ref="H2413">Food_Orders[[#This Row],[Quantity_Orderd]]*_xlfn.XLOOKUP(Food_Orders[[#This Row],[Food_ID]],Food_Catalog[[#All],[Food_ID]],Food_Catalog[[#All],[Client_Price_Per_Unit]],0,0)</f>
        <v>2880</v>
      </c>
      <c r="I2413">
        <f>Food_Orders[[#This Row],[Client_Price]]-Food_Orders[[#This Row],[Cost]]</f>
        <v>480</v>
      </c>
    </row>
    <row r="2414" spans="1:9" x14ac:dyDescent="0.25">
      <c r="A2414">
        <v>103</v>
      </c>
      <c r="B2414" t="s">
        <v>121</v>
      </c>
      <c r="C2414" t="s">
        <v>119</v>
      </c>
      <c r="D2414" t="s">
        <v>122</v>
      </c>
      <c r="E2414" t="s">
        <v>123</v>
      </c>
      <c r="F2414" cm="1">
        <f t="array" ref="F2414">_xlfn.XLOOKUP(Food_Orders[[#This Row],[Event_No]],Event_Master[[#All],[Event_No]],Event_Master[[#All],[Guest_Count]],,0)</f>
        <v>120</v>
      </c>
      <c r="G2414" cm="1">
        <f t="array" ref="G2414">Food_Orders[[#This Row],[Quantity_Orderd]]*_xlfn.XLOOKUP(Food_Orders[[#This Row],[Food_ID]],Food_Catalog[[#All],[Food_ID]],Food_Catalog[[#All],[Price_Per_Unit]],0,0)</f>
        <v>1200</v>
      </c>
      <c r="H2414" cm="1">
        <f t="array" ref="H2414">Food_Orders[[#This Row],[Quantity_Orderd]]*_xlfn.XLOOKUP(Food_Orders[[#This Row],[Food_ID]],Food_Catalog[[#All],[Food_ID]],Food_Catalog[[#All],[Client_Price_Per_Unit]],0,0)</f>
        <v>1440</v>
      </c>
      <c r="I2414">
        <f>Food_Orders[[#This Row],[Client_Price]]-Food_Orders[[#This Row],[Cost]]</f>
        <v>240</v>
      </c>
    </row>
    <row r="2415" spans="1:9" x14ac:dyDescent="0.25">
      <c r="A2415">
        <v>103</v>
      </c>
      <c r="B2415" t="s">
        <v>92</v>
      </c>
      <c r="C2415" t="s">
        <v>83</v>
      </c>
      <c r="D2415" t="s">
        <v>93</v>
      </c>
      <c r="E2415" t="s">
        <v>85</v>
      </c>
      <c r="F2415" cm="1">
        <f t="array" ref="F2415">_xlfn.XLOOKUP(Food_Orders[[#This Row],[Event_No]],Event_Master[[#All],[Event_No]],Event_Master[[#All],[Guest_Count]],,0)</f>
        <v>120</v>
      </c>
      <c r="G2415" cm="1">
        <f t="array" ref="G2415">Food_Orders[[#This Row],[Quantity_Orderd]]*_xlfn.XLOOKUP(Food_Orders[[#This Row],[Food_ID]],Food_Catalog[[#All],[Food_ID]],Food_Catalog[[#All],[Price_Per_Unit]],0,0)</f>
        <v>1800</v>
      </c>
      <c r="H2415" cm="1">
        <f t="array" ref="H2415">Food_Orders[[#This Row],[Quantity_Orderd]]*_xlfn.XLOOKUP(Food_Orders[[#This Row],[Food_ID]],Food_Catalog[[#All],[Food_ID]],Food_Catalog[[#All],[Client_Price_Per_Unit]],0,0)</f>
        <v>2160</v>
      </c>
      <c r="I2415">
        <f>Food_Orders[[#This Row],[Client_Price]]-Food_Orders[[#This Row],[Cost]]</f>
        <v>360</v>
      </c>
    </row>
    <row r="2416" spans="1:9" x14ac:dyDescent="0.25">
      <c r="A2416">
        <v>103</v>
      </c>
      <c r="B2416" t="s">
        <v>98</v>
      </c>
      <c r="C2416" t="s">
        <v>83</v>
      </c>
      <c r="D2416" t="s">
        <v>99</v>
      </c>
      <c r="E2416" t="s">
        <v>85</v>
      </c>
      <c r="F2416" cm="1">
        <f t="array" ref="F2416">_xlfn.XLOOKUP(Food_Orders[[#This Row],[Event_No]],Event_Master[[#All],[Event_No]],Event_Master[[#All],[Guest_Count]],,0)</f>
        <v>120</v>
      </c>
      <c r="G2416" cm="1">
        <f t="array" ref="G2416">Food_Orders[[#This Row],[Quantity_Orderd]]*_xlfn.XLOOKUP(Food_Orders[[#This Row],[Food_ID]],Food_Catalog[[#All],[Food_ID]],Food_Catalog[[#All],[Price_Per_Unit]],0,0)</f>
        <v>1800</v>
      </c>
      <c r="H2416" cm="1">
        <f t="array" ref="H2416">Food_Orders[[#This Row],[Quantity_Orderd]]*_xlfn.XLOOKUP(Food_Orders[[#This Row],[Food_ID]],Food_Catalog[[#All],[Food_ID]],Food_Catalog[[#All],[Client_Price_Per_Unit]],0,0)</f>
        <v>2160</v>
      </c>
      <c r="I2416">
        <f>Food_Orders[[#This Row],[Client_Price]]-Food_Orders[[#This Row],[Cost]]</f>
        <v>360</v>
      </c>
    </row>
    <row r="2417" spans="1:9" x14ac:dyDescent="0.25">
      <c r="A2417">
        <v>103</v>
      </c>
      <c r="B2417" t="s">
        <v>82</v>
      </c>
      <c r="C2417" t="s">
        <v>83</v>
      </c>
      <c r="D2417" t="s">
        <v>84</v>
      </c>
      <c r="E2417" t="s">
        <v>85</v>
      </c>
      <c r="F2417" cm="1">
        <f t="array" ref="F2417">_xlfn.XLOOKUP(Food_Orders[[#This Row],[Event_No]],Event_Master[[#All],[Event_No]],Event_Master[[#All],[Guest_Count]],,0)</f>
        <v>120</v>
      </c>
      <c r="G2417" cm="1">
        <f t="array" ref="G2417">Food_Orders[[#This Row],[Quantity_Orderd]]*_xlfn.XLOOKUP(Food_Orders[[#This Row],[Food_ID]],Food_Catalog[[#All],[Food_ID]],Food_Catalog[[#All],[Price_Per_Unit]],0,0)</f>
        <v>2400</v>
      </c>
      <c r="H2417" cm="1">
        <f t="array" ref="H2417">Food_Orders[[#This Row],[Quantity_Orderd]]*_xlfn.XLOOKUP(Food_Orders[[#This Row],[Food_ID]],Food_Catalog[[#All],[Food_ID]],Food_Catalog[[#All],[Client_Price_Per_Unit]],0,0)</f>
        <v>2880</v>
      </c>
      <c r="I2417">
        <f>Food_Orders[[#This Row],[Client_Price]]-Food_Orders[[#This Row],[Cost]]</f>
        <v>480</v>
      </c>
    </row>
    <row r="2418" spans="1:9" x14ac:dyDescent="0.25">
      <c r="A2418">
        <v>103</v>
      </c>
      <c r="B2418" t="s">
        <v>96</v>
      </c>
      <c r="C2418" t="s">
        <v>83</v>
      </c>
      <c r="D2418" t="s">
        <v>97</v>
      </c>
      <c r="E2418" t="s">
        <v>79</v>
      </c>
      <c r="F2418" cm="1">
        <f t="array" ref="F2418">_xlfn.XLOOKUP(Food_Orders[[#This Row],[Event_No]],Event_Master[[#All],[Event_No]],Event_Master[[#All],[Guest_Count]],,0)</f>
        <v>120</v>
      </c>
      <c r="G2418" cm="1">
        <f t="array" ref="G2418">Food_Orders[[#This Row],[Quantity_Orderd]]*_xlfn.XLOOKUP(Food_Orders[[#This Row],[Food_ID]],Food_Catalog[[#All],[Food_ID]],Food_Catalog[[#All],[Price_Per_Unit]],0,0)</f>
        <v>3600</v>
      </c>
      <c r="H2418" cm="1">
        <f t="array" ref="H2418">Food_Orders[[#This Row],[Quantity_Orderd]]*_xlfn.XLOOKUP(Food_Orders[[#This Row],[Food_ID]],Food_Catalog[[#All],[Food_ID]],Food_Catalog[[#All],[Client_Price_Per_Unit]],0,0)</f>
        <v>4320</v>
      </c>
      <c r="I2418">
        <f>Food_Orders[[#This Row],[Client_Price]]-Food_Orders[[#This Row],[Cost]]</f>
        <v>720</v>
      </c>
    </row>
    <row r="2419" spans="1:9" x14ac:dyDescent="0.25">
      <c r="A2419">
        <v>103</v>
      </c>
      <c r="B2419" t="s">
        <v>63</v>
      </c>
      <c r="C2419" t="s">
        <v>61</v>
      </c>
      <c r="D2419" t="s">
        <v>64</v>
      </c>
      <c r="E2419" t="s">
        <v>10</v>
      </c>
      <c r="F2419" cm="1">
        <f t="array" ref="F2419">_xlfn.XLOOKUP(Food_Orders[[#This Row],[Event_No]],Event_Master[[#All],[Event_No]],Event_Master[[#All],[Guest_Count]],,0)</f>
        <v>120</v>
      </c>
      <c r="G2419" cm="1">
        <f t="array" ref="G2419">Food_Orders[[#This Row],[Quantity_Orderd]]*_xlfn.XLOOKUP(Food_Orders[[#This Row],[Food_ID]],Food_Catalog[[#All],[Food_ID]],Food_Catalog[[#All],[Price_Per_Unit]],0,0)</f>
        <v>3600</v>
      </c>
      <c r="H2419" cm="1">
        <f t="array" ref="H2419">Food_Orders[[#This Row],[Quantity_Orderd]]*_xlfn.XLOOKUP(Food_Orders[[#This Row],[Food_ID]],Food_Catalog[[#All],[Food_ID]],Food_Catalog[[#All],[Client_Price_Per_Unit]],0,0)</f>
        <v>4320</v>
      </c>
      <c r="I2419">
        <f>Food_Orders[[#This Row],[Client_Price]]-Food_Orders[[#This Row],[Cost]]</f>
        <v>720</v>
      </c>
    </row>
    <row r="2420" spans="1:9" x14ac:dyDescent="0.25">
      <c r="A2420">
        <v>103</v>
      </c>
      <c r="B2420" t="s">
        <v>71</v>
      </c>
      <c r="C2420" t="s">
        <v>61</v>
      </c>
      <c r="D2420" t="s">
        <v>72</v>
      </c>
      <c r="E2420" t="s">
        <v>10</v>
      </c>
      <c r="F2420" cm="1">
        <f t="array" ref="F2420">_xlfn.XLOOKUP(Food_Orders[[#This Row],[Event_No]],Event_Master[[#All],[Event_No]],Event_Master[[#All],[Guest_Count]],,0)</f>
        <v>120</v>
      </c>
      <c r="G2420" cm="1">
        <f t="array" ref="G2420">Food_Orders[[#This Row],[Quantity_Orderd]]*_xlfn.XLOOKUP(Food_Orders[[#This Row],[Food_ID]],Food_Catalog[[#All],[Food_ID]],Food_Catalog[[#All],[Price_Per_Unit]],0,0)</f>
        <v>3000</v>
      </c>
      <c r="H2420" cm="1">
        <f t="array" ref="H2420">Food_Orders[[#This Row],[Quantity_Orderd]]*_xlfn.XLOOKUP(Food_Orders[[#This Row],[Food_ID]],Food_Catalog[[#All],[Food_ID]],Food_Catalog[[#All],[Client_Price_Per_Unit]],0,0)</f>
        <v>3600</v>
      </c>
      <c r="I2420">
        <f>Food_Orders[[#This Row],[Client_Price]]-Food_Orders[[#This Row],[Cost]]</f>
        <v>600</v>
      </c>
    </row>
    <row r="2421" spans="1:9" x14ac:dyDescent="0.25">
      <c r="A2421">
        <v>103</v>
      </c>
      <c r="B2421" t="s">
        <v>29</v>
      </c>
      <c r="C2421" t="s">
        <v>8</v>
      </c>
      <c r="D2421" t="s">
        <v>30</v>
      </c>
      <c r="E2421" t="s">
        <v>10</v>
      </c>
      <c r="F2421" cm="1">
        <f t="array" ref="F2421">_xlfn.XLOOKUP(Food_Orders[[#This Row],[Event_No]],Event_Master[[#All],[Event_No]],Event_Master[[#All],[Guest_Count]],,0)</f>
        <v>120</v>
      </c>
      <c r="G2421" cm="1">
        <f t="array" ref="G2421">Food_Orders[[#This Row],[Quantity_Orderd]]*_xlfn.XLOOKUP(Food_Orders[[#This Row],[Food_ID]],Food_Catalog[[#All],[Food_ID]],Food_Catalog[[#All],[Price_Per_Unit]],0,0)</f>
        <v>3600</v>
      </c>
      <c r="H2421" cm="1">
        <f t="array" ref="H2421">Food_Orders[[#This Row],[Quantity_Orderd]]*_xlfn.XLOOKUP(Food_Orders[[#This Row],[Food_ID]],Food_Catalog[[#All],[Food_ID]],Food_Catalog[[#All],[Client_Price_Per_Unit]],0,0)</f>
        <v>4320</v>
      </c>
      <c r="I2421">
        <f>Food_Orders[[#This Row],[Client_Price]]-Food_Orders[[#This Row],[Cost]]</f>
        <v>720</v>
      </c>
    </row>
    <row r="2422" spans="1:9" x14ac:dyDescent="0.25">
      <c r="A2422">
        <v>103</v>
      </c>
      <c r="B2422" t="s">
        <v>37</v>
      </c>
      <c r="C2422" t="s">
        <v>8</v>
      </c>
      <c r="D2422" t="s">
        <v>38</v>
      </c>
      <c r="E2422" t="s">
        <v>10</v>
      </c>
      <c r="F2422" cm="1">
        <f t="array" ref="F2422">_xlfn.XLOOKUP(Food_Orders[[#This Row],[Event_No]],Event_Master[[#All],[Event_No]],Event_Master[[#All],[Guest_Count]],,0)</f>
        <v>120</v>
      </c>
      <c r="G2422" cm="1">
        <f t="array" ref="G2422">Food_Orders[[#This Row],[Quantity_Orderd]]*_xlfn.XLOOKUP(Food_Orders[[#This Row],[Food_ID]],Food_Catalog[[#All],[Food_ID]],Food_Catalog[[#All],[Price_Per_Unit]],0,0)</f>
        <v>3000</v>
      </c>
      <c r="H2422" cm="1">
        <f t="array" ref="H2422">Food_Orders[[#This Row],[Quantity_Orderd]]*_xlfn.XLOOKUP(Food_Orders[[#This Row],[Food_ID]],Food_Catalog[[#All],[Food_ID]],Food_Catalog[[#All],[Client_Price_Per_Unit]],0,0)</f>
        <v>3600</v>
      </c>
      <c r="I2422">
        <f>Food_Orders[[#This Row],[Client_Price]]-Food_Orders[[#This Row],[Cost]]</f>
        <v>600</v>
      </c>
    </row>
    <row r="2423" spans="1:9" x14ac:dyDescent="0.25">
      <c r="A2423">
        <v>104</v>
      </c>
      <c r="B2423" t="s">
        <v>63</v>
      </c>
      <c r="C2423" t="s">
        <v>61</v>
      </c>
      <c r="D2423" t="s">
        <v>64</v>
      </c>
      <c r="E2423" t="s">
        <v>10</v>
      </c>
      <c r="F2423" cm="1">
        <f t="array" ref="F2423">_xlfn.XLOOKUP(Food_Orders[[#This Row],[Event_No]],Event_Master[[#All],[Event_No]],Event_Master[[#All],[Guest_Count]],,0)</f>
        <v>80</v>
      </c>
      <c r="G2423" cm="1">
        <f t="array" ref="G2423">Food_Orders[[#This Row],[Quantity_Orderd]]*_xlfn.XLOOKUP(Food_Orders[[#This Row],[Food_ID]],Food_Catalog[[#All],[Food_ID]],Food_Catalog[[#All],[Price_Per_Unit]],0,0)</f>
        <v>2400</v>
      </c>
      <c r="H2423" cm="1">
        <f t="array" ref="H2423">Food_Orders[[#This Row],[Quantity_Orderd]]*_xlfn.XLOOKUP(Food_Orders[[#This Row],[Food_ID]],Food_Catalog[[#All],[Food_ID]],Food_Catalog[[#All],[Client_Price_Per_Unit]],0,0)</f>
        <v>2880</v>
      </c>
      <c r="I2423">
        <f>Food_Orders[[#This Row],[Client_Price]]-Food_Orders[[#This Row],[Cost]]</f>
        <v>480</v>
      </c>
    </row>
    <row r="2424" spans="1:9" x14ac:dyDescent="0.25">
      <c r="A2424">
        <v>104</v>
      </c>
      <c r="B2424" t="s">
        <v>71</v>
      </c>
      <c r="C2424" t="s">
        <v>61</v>
      </c>
      <c r="D2424" t="s">
        <v>72</v>
      </c>
      <c r="E2424" t="s">
        <v>10</v>
      </c>
      <c r="F2424" cm="1">
        <f t="array" ref="F2424">_xlfn.XLOOKUP(Food_Orders[[#This Row],[Event_No]],Event_Master[[#All],[Event_No]],Event_Master[[#All],[Guest_Count]],,0)</f>
        <v>80</v>
      </c>
      <c r="G2424" cm="1">
        <f t="array" ref="G2424">Food_Orders[[#This Row],[Quantity_Orderd]]*_xlfn.XLOOKUP(Food_Orders[[#This Row],[Food_ID]],Food_Catalog[[#All],[Food_ID]],Food_Catalog[[#All],[Price_Per_Unit]],0,0)</f>
        <v>2000</v>
      </c>
      <c r="H2424" cm="1">
        <f t="array" ref="H2424">Food_Orders[[#This Row],[Quantity_Orderd]]*_xlfn.XLOOKUP(Food_Orders[[#This Row],[Food_ID]],Food_Catalog[[#All],[Food_ID]],Food_Catalog[[#All],[Client_Price_Per_Unit]],0,0)</f>
        <v>2400</v>
      </c>
      <c r="I2424">
        <f>Food_Orders[[#This Row],[Client_Price]]-Food_Orders[[#This Row],[Cost]]</f>
        <v>400</v>
      </c>
    </row>
    <row r="2425" spans="1:9" x14ac:dyDescent="0.25">
      <c r="A2425">
        <v>104</v>
      </c>
      <c r="B2425" t="s">
        <v>69</v>
      </c>
      <c r="C2425" t="s">
        <v>61</v>
      </c>
      <c r="D2425" t="s">
        <v>70</v>
      </c>
      <c r="E2425" t="s">
        <v>10</v>
      </c>
      <c r="F2425" cm="1">
        <f t="array" ref="F2425">_xlfn.XLOOKUP(Food_Orders[[#This Row],[Event_No]],Event_Master[[#All],[Event_No]],Event_Master[[#All],[Guest_Count]],,0)</f>
        <v>80</v>
      </c>
      <c r="G2425" cm="1">
        <f t="array" ref="G2425">Food_Orders[[#This Row],[Quantity_Orderd]]*_xlfn.XLOOKUP(Food_Orders[[#This Row],[Food_ID]],Food_Catalog[[#All],[Food_ID]],Food_Catalog[[#All],[Price_Per_Unit]],0,0)</f>
        <v>4000</v>
      </c>
      <c r="H2425" cm="1">
        <f t="array" ref="H2425">Food_Orders[[#This Row],[Quantity_Orderd]]*_xlfn.XLOOKUP(Food_Orders[[#This Row],[Food_ID]],Food_Catalog[[#All],[Food_ID]],Food_Catalog[[#All],[Client_Price_Per_Unit]],0,0)</f>
        <v>4800</v>
      </c>
      <c r="I2425">
        <f>Food_Orders[[#This Row],[Client_Price]]-Food_Orders[[#This Row],[Cost]]</f>
        <v>800</v>
      </c>
    </row>
    <row r="2426" spans="1:9" x14ac:dyDescent="0.25">
      <c r="A2426">
        <v>104</v>
      </c>
      <c r="B2426" t="s">
        <v>67</v>
      </c>
      <c r="C2426" t="s">
        <v>61</v>
      </c>
      <c r="D2426" t="s">
        <v>68</v>
      </c>
      <c r="E2426" t="s">
        <v>10</v>
      </c>
      <c r="F2426" cm="1">
        <f t="array" ref="F2426">_xlfn.XLOOKUP(Food_Orders[[#This Row],[Event_No]],Event_Master[[#All],[Event_No]],Event_Master[[#All],[Guest_Count]],,0)</f>
        <v>80</v>
      </c>
      <c r="G2426" cm="1">
        <f t="array" ref="G2426">Food_Orders[[#This Row],[Quantity_Orderd]]*_xlfn.XLOOKUP(Food_Orders[[#This Row],[Food_ID]],Food_Catalog[[#All],[Food_ID]],Food_Catalog[[#All],[Price_Per_Unit]],0,0)</f>
        <v>2400</v>
      </c>
      <c r="H2426" cm="1">
        <f t="array" ref="H2426">Food_Orders[[#This Row],[Quantity_Orderd]]*_xlfn.XLOOKUP(Food_Orders[[#This Row],[Food_ID]],Food_Catalog[[#All],[Food_ID]],Food_Catalog[[#All],[Client_Price_Per_Unit]],0,0)</f>
        <v>2880</v>
      </c>
      <c r="I2426">
        <f>Food_Orders[[#This Row],[Client_Price]]-Food_Orders[[#This Row],[Cost]]</f>
        <v>480</v>
      </c>
    </row>
    <row r="2427" spans="1:9" x14ac:dyDescent="0.25">
      <c r="A2427">
        <v>104</v>
      </c>
      <c r="B2427" t="s">
        <v>13</v>
      </c>
      <c r="C2427" t="s">
        <v>8</v>
      </c>
      <c r="D2427" t="s">
        <v>14</v>
      </c>
      <c r="E2427" t="s">
        <v>10</v>
      </c>
      <c r="F2427" cm="1">
        <f t="array" ref="F2427">_xlfn.XLOOKUP(Food_Orders[[#This Row],[Event_No]],Event_Master[[#All],[Event_No]],Event_Master[[#All],[Guest_Count]],,0)</f>
        <v>80</v>
      </c>
      <c r="G2427" cm="1">
        <f t="array" ref="G2427">Food_Orders[[#This Row],[Quantity_Orderd]]*_xlfn.XLOOKUP(Food_Orders[[#This Row],[Food_ID]],Food_Catalog[[#All],[Food_ID]],Food_Catalog[[#All],[Price_Per_Unit]],0,0)</f>
        <v>2800</v>
      </c>
      <c r="H2427" cm="1">
        <f t="array" ref="H2427">Food_Orders[[#This Row],[Quantity_Orderd]]*_xlfn.XLOOKUP(Food_Orders[[#This Row],[Food_ID]],Food_Catalog[[#All],[Food_ID]],Food_Catalog[[#All],[Client_Price_Per_Unit]],0,0)</f>
        <v>3360</v>
      </c>
      <c r="I2427">
        <f>Food_Orders[[#This Row],[Client_Price]]-Food_Orders[[#This Row],[Cost]]</f>
        <v>560</v>
      </c>
    </row>
    <row r="2428" spans="1:9" x14ac:dyDescent="0.25">
      <c r="A2428">
        <v>104</v>
      </c>
      <c r="B2428" t="s">
        <v>27</v>
      </c>
      <c r="C2428" t="s">
        <v>8</v>
      </c>
      <c r="D2428" t="s">
        <v>28</v>
      </c>
      <c r="E2428" t="s">
        <v>10</v>
      </c>
      <c r="F2428" cm="1">
        <f t="array" ref="F2428">_xlfn.XLOOKUP(Food_Orders[[#This Row],[Event_No]],Event_Master[[#All],[Event_No]],Event_Master[[#All],[Guest_Count]],,0)</f>
        <v>80</v>
      </c>
      <c r="G2428" cm="1">
        <f t="array" ref="G2428">Food_Orders[[#This Row],[Quantity_Orderd]]*_xlfn.XLOOKUP(Food_Orders[[#This Row],[Food_ID]],Food_Catalog[[#All],[Food_ID]],Food_Catalog[[#All],[Price_Per_Unit]],0,0)</f>
        <v>3200</v>
      </c>
      <c r="H2428" cm="1">
        <f t="array" ref="H2428">Food_Orders[[#This Row],[Quantity_Orderd]]*_xlfn.XLOOKUP(Food_Orders[[#This Row],[Food_ID]],Food_Catalog[[#All],[Food_ID]],Food_Catalog[[#All],[Client_Price_Per_Unit]],0,0)</f>
        <v>3840</v>
      </c>
      <c r="I2428">
        <f>Food_Orders[[#This Row],[Client_Price]]-Food_Orders[[#This Row],[Cost]]</f>
        <v>640</v>
      </c>
    </row>
    <row r="2429" spans="1:9" x14ac:dyDescent="0.25">
      <c r="A2429">
        <v>104</v>
      </c>
      <c r="B2429" t="s">
        <v>31</v>
      </c>
      <c r="C2429" t="s">
        <v>8</v>
      </c>
      <c r="D2429" t="s">
        <v>32</v>
      </c>
      <c r="E2429" t="s">
        <v>10</v>
      </c>
      <c r="F2429" cm="1">
        <f t="array" ref="F2429">_xlfn.XLOOKUP(Food_Orders[[#This Row],[Event_No]],Event_Master[[#All],[Event_No]],Event_Master[[#All],[Guest_Count]],,0)</f>
        <v>80</v>
      </c>
      <c r="G2429" cm="1">
        <f t="array" ref="G2429">Food_Orders[[#This Row],[Quantity_Orderd]]*_xlfn.XLOOKUP(Food_Orders[[#This Row],[Food_ID]],Food_Catalog[[#All],[Food_ID]],Food_Catalog[[#All],[Price_Per_Unit]],0,0)</f>
        <v>2400</v>
      </c>
      <c r="H2429" cm="1">
        <f t="array" ref="H2429">Food_Orders[[#This Row],[Quantity_Orderd]]*_xlfn.XLOOKUP(Food_Orders[[#This Row],[Food_ID]],Food_Catalog[[#All],[Food_ID]],Food_Catalog[[#All],[Client_Price_Per_Unit]],0,0)</f>
        <v>2880</v>
      </c>
      <c r="I2429">
        <f>Food_Orders[[#This Row],[Client_Price]]-Food_Orders[[#This Row],[Cost]]</f>
        <v>480</v>
      </c>
    </row>
    <row r="2430" spans="1:9" x14ac:dyDescent="0.25">
      <c r="A2430">
        <v>104</v>
      </c>
      <c r="B2430" t="s">
        <v>17</v>
      </c>
      <c r="C2430" t="s">
        <v>8</v>
      </c>
      <c r="D2430" t="s">
        <v>18</v>
      </c>
      <c r="E2430" t="s">
        <v>10</v>
      </c>
      <c r="F2430" cm="1">
        <f t="array" ref="F2430">_xlfn.XLOOKUP(Food_Orders[[#This Row],[Event_No]],Event_Master[[#All],[Event_No]],Event_Master[[#All],[Guest_Count]],,0)</f>
        <v>80</v>
      </c>
      <c r="G2430" cm="1">
        <f t="array" ref="G2430">Food_Orders[[#This Row],[Quantity_Orderd]]*_xlfn.XLOOKUP(Food_Orders[[#This Row],[Food_ID]],Food_Catalog[[#All],[Food_ID]],Food_Catalog[[#All],[Price_Per_Unit]],0,0)</f>
        <v>3200</v>
      </c>
      <c r="H2430" cm="1">
        <f t="array" ref="H2430">Food_Orders[[#This Row],[Quantity_Orderd]]*_xlfn.XLOOKUP(Food_Orders[[#This Row],[Food_ID]],Food_Catalog[[#All],[Food_ID]],Food_Catalog[[#All],[Client_Price_Per_Unit]],0,0)</f>
        <v>3840</v>
      </c>
      <c r="I2430">
        <f>Food_Orders[[#This Row],[Client_Price]]-Food_Orders[[#This Row],[Cost]]</f>
        <v>640</v>
      </c>
    </row>
    <row r="2431" spans="1:9" x14ac:dyDescent="0.25">
      <c r="A2431">
        <v>104</v>
      </c>
      <c r="B2431" t="s">
        <v>39</v>
      </c>
      <c r="C2431" t="s">
        <v>40</v>
      </c>
      <c r="D2431" t="s">
        <v>41</v>
      </c>
      <c r="E2431" t="s">
        <v>10</v>
      </c>
      <c r="F2431" cm="1">
        <f t="array" ref="F2431">_xlfn.XLOOKUP(Food_Orders[[#This Row],[Event_No]],Event_Master[[#All],[Event_No]],Event_Master[[#All],[Guest_Count]],,0)</f>
        <v>80</v>
      </c>
      <c r="G2431" cm="1">
        <f t="array" ref="G2431">Food_Orders[[#This Row],[Quantity_Orderd]]*_xlfn.XLOOKUP(Food_Orders[[#This Row],[Food_ID]],Food_Catalog[[#All],[Food_ID]],Food_Catalog[[#All],[Price_Per_Unit]],0,0)</f>
        <v>4800</v>
      </c>
      <c r="H2431" cm="1">
        <f t="array" ref="H2431">Food_Orders[[#This Row],[Quantity_Orderd]]*_xlfn.XLOOKUP(Food_Orders[[#This Row],[Food_ID]],Food_Catalog[[#All],[Food_ID]],Food_Catalog[[#All],[Client_Price_Per_Unit]],0,0)</f>
        <v>5760</v>
      </c>
      <c r="I2431">
        <f>Food_Orders[[#This Row],[Client_Price]]-Food_Orders[[#This Row],[Cost]]</f>
        <v>960</v>
      </c>
    </row>
    <row r="2432" spans="1:9" x14ac:dyDescent="0.25">
      <c r="A2432">
        <v>104</v>
      </c>
      <c r="B2432" t="s">
        <v>42</v>
      </c>
      <c r="C2432" t="s">
        <v>40</v>
      </c>
      <c r="D2432" t="s">
        <v>43</v>
      </c>
      <c r="E2432" t="s">
        <v>10</v>
      </c>
      <c r="F2432" cm="1">
        <f t="array" ref="F2432">_xlfn.XLOOKUP(Food_Orders[[#This Row],[Event_No]],Event_Master[[#All],[Event_No]],Event_Master[[#All],[Guest_Count]],,0)</f>
        <v>80</v>
      </c>
      <c r="G2432" cm="1">
        <f t="array" ref="G2432">Food_Orders[[#This Row],[Quantity_Orderd]]*_xlfn.XLOOKUP(Food_Orders[[#This Row],[Food_ID]],Food_Catalog[[#All],[Food_ID]],Food_Catalog[[#All],[Price_Per_Unit]],0,0)</f>
        <v>5600</v>
      </c>
      <c r="H2432" cm="1">
        <f t="array" ref="H2432">Food_Orders[[#This Row],[Quantity_Orderd]]*_xlfn.XLOOKUP(Food_Orders[[#This Row],[Food_ID]],Food_Catalog[[#All],[Food_ID]],Food_Catalog[[#All],[Client_Price_Per_Unit]],0,0)</f>
        <v>6720</v>
      </c>
      <c r="I2432">
        <f>Food_Orders[[#This Row],[Client_Price]]-Food_Orders[[#This Row],[Cost]]</f>
        <v>1120</v>
      </c>
    </row>
    <row r="2433" spans="1:9" x14ac:dyDescent="0.25">
      <c r="A2433">
        <v>104</v>
      </c>
      <c r="B2433" t="s">
        <v>58</v>
      </c>
      <c r="C2433" t="s">
        <v>40</v>
      </c>
      <c r="D2433" t="s">
        <v>59</v>
      </c>
      <c r="E2433" t="s">
        <v>10</v>
      </c>
      <c r="F2433" cm="1">
        <f t="array" ref="F2433">_xlfn.XLOOKUP(Food_Orders[[#This Row],[Event_No]],Event_Master[[#All],[Event_No]],Event_Master[[#All],[Guest_Count]],,0)</f>
        <v>80</v>
      </c>
      <c r="G2433" cm="1">
        <f t="array" ref="G2433">Food_Orders[[#This Row],[Quantity_Orderd]]*_xlfn.XLOOKUP(Food_Orders[[#This Row],[Food_ID]],Food_Catalog[[#All],[Food_ID]],Food_Catalog[[#All],[Price_Per_Unit]],0,0)</f>
        <v>7200</v>
      </c>
      <c r="H2433" cm="1">
        <f t="array" ref="H2433">Food_Orders[[#This Row],[Quantity_Orderd]]*_xlfn.XLOOKUP(Food_Orders[[#This Row],[Food_ID]],Food_Catalog[[#All],[Food_ID]],Food_Catalog[[#All],[Client_Price_Per_Unit]],0,0)</f>
        <v>8640</v>
      </c>
      <c r="I2433">
        <f>Food_Orders[[#This Row],[Client_Price]]-Food_Orders[[#This Row],[Cost]]</f>
        <v>1440</v>
      </c>
    </row>
    <row r="2434" spans="1:9" x14ac:dyDescent="0.25">
      <c r="A2434">
        <v>104</v>
      </c>
      <c r="B2434" t="s">
        <v>46</v>
      </c>
      <c r="C2434" t="s">
        <v>40</v>
      </c>
      <c r="D2434" t="s">
        <v>47</v>
      </c>
      <c r="E2434" t="s">
        <v>10</v>
      </c>
      <c r="F2434" cm="1">
        <f t="array" ref="F2434">_xlfn.XLOOKUP(Food_Orders[[#This Row],[Event_No]],Event_Master[[#All],[Event_No]],Event_Master[[#All],[Guest_Count]],,0)</f>
        <v>80</v>
      </c>
      <c r="G2434" cm="1">
        <f t="array" ref="G2434">Food_Orders[[#This Row],[Quantity_Orderd]]*_xlfn.XLOOKUP(Food_Orders[[#This Row],[Food_ID]],Food_Catalog[[#All],[Food_ID]],Food_Catalog[[#All],[Price_Per_Unit]],0,0)</f>
        <v>7200</v>
      </c>
      <c r="H2434" cm="1">
        <f t="array" ref="H2434">Food_Orders[[#This Row],[Quantity_Orderd]]*_xlfn.XLOOKUP(Food_Orders[[#This Row],[Food_ID]],Food_Catalog[[#All],[Food_ID]],Food_Catalog[[#All],[Client_Price_Per_Unit]],0,0)</f>
        <v>8640</v>
      </c>
      <c r="I2434">
        <f>Food_Orders[[#This Row],[Client_Price]]-Food_Orders[[#This Row],[Cost]]</f>
        <v>1440</v>
      </c>
    </row>
    <row r="2435" spans="1:9" x14ac:dyDescent="0.25">
      <c r="A2435">
        <v>104</v>
      </c>
      <c r="B2435" t="s">
        <v>50</v>
      </c>
      <c r="C2435" t="s">
        <v>40</v>
      </c>
      <c r="D2435" t="s">
        <v>51</v>
      </c>
      <c r="E2435" t="s">
        <v>10</v>
      </c>
      <c r="F2435" cm="1">
        <f t="array" ref="F2435">_xlfn.XLOOKUP(Food_Orders[[#This Row],[Event_No]],Event_Master[[#All],[Event_No]],Event_Master[[#All],[Guest_Count]],,0)</f>
        <v>80</v>
      </c>
      <c r="G2435" cm="1">
        <f t="array" ref="G2435">Food_Orders[[#This Row],[Quantity_Orderd]]*_xlfn.XLOOKUP(Food_Orders[[#This Row],[Food_ID]],Food_Catalog[[#All],[Food_ID]],Food_Catalog[[#All],[Price_Per_Unit]],0,0)</f>
        <v>6400</v>
      </c>
      <c r="H2435" cm="1">
        <f t="array" ref="H2435">Food_Orders[[#This Row],[Quantity_Orderd]]*_xlfn.XLOOKUP(Food_Orders[[#This Row],[Food_ID]],Food_Catalog[[#All],[Food_ID]],Food_Catalog[[#All],[Client_Price_Per_Unit]],0,0)</f>
        <v>7680</v>
      </c>
      <c r="I2435">
        <f>Food_Orders[[#This Row],[Client_Price]]-Food_Orders[[#This Row],[Cost]]</f>
        <v>1280</v>
      </c>
    </row>
    <row r="2436" spans="1:9" x14ac:dyDescent="0.25">
      <c r="A2436">
        <v>104</v>
      </c>
      <c r="B2436" t="s">
        <v>82</v>
      </c>
      <c r="C2436" t="s">
        <v>83</v>
      </c>
      <c r="D2436" t="s">
        <v>84</v>
      </c>
      <c r="E2436" t="s">
        <v>85</v>
      </c>
      <c r="F2436" cm="1">
        <f t="array" ref="F2436">_xlfn.XLOOKUP(Food_Orders[[#This Row],[Event_No]],Event_Master[[#All],[Event_No]],Event_Master[[#All],[Guest_Count]],,0)</f>
        <v>80</v>
      </c>
      <c r="G2436" cm="1">
        <f t="array" ref="G2436">Food_Orders[[#This Row],[Quantity_Orderd]]*_xlfn.XLOOKUP(Food_Orders[[#This Row],[Food_ID]],Food_Catalog[[#All],[Food_ID]],Food_Catalog[[#All],[Price_Per_Unit]],0,0)</f>
        <v>1600</v>
      </c>
      <c r="H2436" cm="1">
        <f t="array" ref="H2436">Food_Orders[[#This Row],[Quantity_Orderd]]*_xlfn.XLOOKUP(Food_Orders[[#This Row],[Food_ID]],Food_Catalog[[#All],[Food_ID]],Food_Catalog[[#All],[Client_Price_Per_Unit]],0,0)</f>
        <v>1920</v>
      </c>
      <c r="I2436">
        <f>Food_Orders[[#This Row],[Client_Price]]-Food_Orders[[#This Row],[Cost]]</f>
        <v>320</v>
      </c>
    </row>
    <row r="2437" spans="1:9" x14ac:dyDescent="0.25">
      <c r="A2437">
        <v>104</v>
      </c>
      <c r="B2437" t="s">
        <v>86</v>
      </c>
      <c r="C2437" t="s">
        <v>83</v>
      </c>
      <c r="D2437" t="s">
        <v>87</v>
      </c>
      <c r="E2437" t="s">
        <v>85</v>
      </c>
      <c r="F2437" cm="1">
        <f t="array" ref="F2437">_xlfn.XLOOKUP(Food_Orders[[#This Row],[Event_No]],Event_Master[[#All],[Event_No]],Event_Master[[#All],[Guest_Count]],,0)</f>
        <v>80</v>
      </c>
      <c r="G2437" cm="1">
        <f t="array" ref="G2437">Food_Orders[[#This Row],[Quantity_Orderd]]*_xlfn.XLOOKUP(Food_Orders[[#This Row],[Food_ID]],Food_Catalog[[#All],[Food_ID]],Food_Catalog[[#All],[Price_Per_Unit]],0,0)</f>
        <v>1600</v>
      </c>
      <c r="H2437" cm="1">
        <f t="array" ref="H2437">Food_Orders[[#This Row],[Quantity_Orderd]]*_xlfn.XLOOKUP(Food_Orders[[#This Row],[Food_ID]],Food_Catalog[[#All],[Food_ID]],Food_Catalog[[#All],[Client_Price_Per_Unit]],0,0)</f>
        <v>1920</v>
      </c>
      <c r="I2437">
        <f>Food_Orders[[#This Row],[Client_Price]]-Food_Orders[[#This Row],[Cost]]</f>
        <v>320</v>
      </c>
    </row>
    <row r="2438" spans="1:9" x14ac:dyDescent="0.25">
      <c r="A2438">
        <v>104</v>
      </c>
      <c r="B2438" t="s">
        <v>96</v>
      </c>
      <c r="C2438" t="s">
        <v>83</v>
      </c>
      <c r="D2438" t="s">
        <v>97</v>
      </c>
      <c r="E2438" t="s">
        <v>79</v>
      </c>
      <c r="F2438" cm="1">
        <f t="array" ref="F2438">_xlfn.XLOOKUP(Food_Orders[[#This Row],[Event_No]],Event_Master[[#All],[Event_No]],Event_Master[[#All],[Guest_Count]],,0)</f>
        <v>80</v>
      </c>
      <c r="G2438" cm="1">
        <f t="array" ref="G2438">Food_Orders[[#This Row],[Quantity_Orderd]]*_xlfn.XLOOKUP(Food_Orders[[#This Row],[Food_ID]],Food_Catalog[[#All],[Food_ID]],Food_Catalog[[#All],[Price_Per_Unit]],0,0)</f>
        <v>2400</v>
      </c>
      <c r="H2438" cm="1">
        <f t="array" ref="H2438">Food_Orders[[#This Row],[Quantity_Orderd]]*_xlfn.XLOOKUP(Food_Orders[[#This Row],[Food_ID]],Food_Catalog[[#All],[Food_ID]],Food_Catalog[[#All],[Client_Price_Per_Unit]],0,0)</f>
        <v>2880</v>
      </c>
      <c r="I2438">
        <f>Food_Orders[[#This Row],[Client_Price]]-Food_Orders[[#This Row],[Cost]]</f>
        <v>480</v>
      </c>
    </row>
    <row r="2439" spans="1:9" x14ac:dyDescent="0.25">
      <c r="A2439">
        <v>104</v>
      </c>
      <c r="B2439" t="s">
        <v>100</v>
      </c>
      <c r="C2439" t="s">
        <v>83</v>
      </c>
      <c r="D2439" t="s">
        <v>101</v>
      </c>
      <c r="E2439" t="s">
        <v>79</v>
      </c>
      <c r="F2439" cm="1">
        <f t="array" ref="F2439">_xlfn.XLOOKUP(Food_Orders[[#This Row],[Event_No]],Event_Master[[#All],[Event_No]],Event_Master[[#All],[Guest_Count]],,0)</f>
        <v>80</v>
      </c>
      <c r="G2439" cm="1">
        <f t="array" ref="G2439">Food_Orders[[#This Row],[Quantity_Orderd]]*_xlfn.XLOOKUP(Food_Orders[[#This Row],[Food_ID]],Food_Catalog[[#All],[Food_ID]],Food_Catalog[[#All],[Price_Per_Unit]],0,0)</f>
        <v>2800</v>
      </c>
      <c r="H2439" cm="1">
        <f t="array" ref="H2439">Food_Orders[[#This Row],[Quantity_Orderd]]*_xlfn.XLOOKUP(Food_Orders[[#This Row],[Food_ID]],Food_Catalog[[#All],[Food_ID]],Food_Catalog[[#All],[Client_Price_Per_Unit]],0,0)</f>
        <v>3360</v>
      </c>
      <c r="I2439">
        <f>Food_Orders[[#This Row],[Client_Price]]-Food_Orders[[#This Row],[Cost]]</f>
        <v>560</v>
      </c>
    </row>
    <row r="2440" spans="1:9" x14ac:dyDescent="0.25">
      <c r="A2440">
        <v>104</v>
      </c>
      <c r="B2440" t="s">
        <v>98</v>
      </c>
      <c r="C2440" t="s">
        <v>83</v>
      </c>
      <c r="D2440" t="s">
        <v>99</v>
      </c>
      <c r="E2440" t="s">
        <v>85</v>
      </c>
      <c r="F2440" cm="1">
        <f t="array" ref="F2440">_xlfn.XLOOKUP(Food_Orders[[#This Row],[Event_No]],Event_Master[[#All],[Event_No]],Event_Master[[#All],[Guest_Count]],,0)</f>
        <v>80</v>
      </c>
      <c r="G2440" cm="1">
        <f t="array" ref="G2440">Food_Orders[[#This Row],[Quantity_Orderd]]*_xlfn.XLOOKUP(Food_Orders[[#This Row],[Food_ID]],Food_Catalog[[#All],[Food_ID]],Food_Catalog[[#All],[Price_Per_Unit]],0,0)</f>
        <v>1200</v>
      </c>
      <c r="H2440" cm="1">
        <f t="array" ref="H2440">Food_Orders[[#This Row],[Quantity_Orderd]]*_xlfn.XLOOKUP(Food_Orders[[#This Row],[Food_ID]],Food_Catalog[[#All],[Food_ID]],Food_Catalog[[#All],[Client_Price_Per_Unit]],0,0)</f>
        <v>1440</v>
      </c>
      <c r="I2440">
        <f>Food_Orders[[#This Row],[Client_Price]]-Food_Orders[[#This Row],[Cost]]</f>
        <v>240</v>
      </c>
    </row>
    <row r="2441" spans="1:9" x14ac:dyDescent="0.25">
      <c r="A2441">
        <v>105</v>
      </c>
      <c r="B2441" t="s">
        <v>60</v>
      </c>
      <c r="C2441" t="s">
        <v>61</v>
      </c>
      <c r="D2441" t="s">
        <v>62</v>
      </c>
      <c r="E2441" t="s">
        <v>10</v>
      </c>
      <c r="F2441" cm="1">
        <f t="array" ref="F2441">_xlfn.XLOOKUP(Food_Orders[[#This Row],[Event_No]],Event_Master[[#All],[Event_No]],Event_Master[[#All],[Guest_Count]],,0)</f>
        <v>380</v>
      </c>
      <c r="G2441" cm="1">
        <f t="array" ref="G2441">Food_Orders[[#This Row],[Quantity_Orderd]]*_xlfn.XLOOKUP(Food_Orders[[#This Row],[Food_ID]],Food_Catalog[[#All],[Food_ID]],Food_Catalog[[#All],[Price_Per_Unit]],0,0)</f>
        <v>7600</v>
      </c>
      <c r="H2441" cm="1">
        <f t="array" ref="H2441">Food_Orders[[#This Row],[Quantity_Orderd]]*_xlfn.XLOOKUP(Food_Orders[[#This Row],[Food_ID]],Food_Catalog[[#All],[Food_ID]],Food_Catalog[[#All],[Client_Price_Per_Unit]],0,0)</f>
        <v>9120</v>
      </c>
      <c r="I2441">
        <f>Food_Orders[[#This Row],[Client_Price]]-Food_Orders[[#This Row],[Cost]]</f>
        <v>1520</v>
      </c>
    </row>
    <row r="2442" spans="1:9" x14ac:dyDescent="0.25">
      <c r="A2442">
        <v>105</v>
      </c>
      <c r="B2442" t="s">
        <v>71</v>
      </c>
      <c r="C2442" t="s">
        <v>61</v>
      </c>
      <c r="D2442" t="s">
        <v>72</v>
      </c>
      <c r="E2442" t="s">
        <v>10</v>
      </c>
      <c r="F2442" cm="1">
        <f t="array" ref="F2442">_xlfn.XLOOKUP(Food_Orders[[#This Row],[Event_No]],Event_Master[[#All],[Event_No]],Event_Master[[#All],[Guest_Count]],,0)</f>
        <v>380</v>
      </c>
      <c r="G2442" cm="1">
        <f t="array" ref="G2442">Food_Orders[[#This Row],[Quantity_Orderd]]*_xlfn.XLOOKUP(Food_Orders[[#This Row],[Food_ID]],Food_Catalog[[#All],[Food_ID]],Food_Catalog[[#All],[Price_Per_Unit]],0,0)</f>
        <v>9500</v>
      </c>
      <c r="H2442" cm="1">
        <f t="array" ref="H2442">Food_Orders[[#This Row],[Quantity_Orderd]]*_xlfn.XLOOKUP(Food_Orders[[#This Row],[Food_ID]],Food_Catalog[[#All],[Food_ID]],Food_Catalog[[#All],[Client_Price_Per_Unit]],0,0)</f>
        <v>11400</v>
      </c>
      <c r="I2442">
        <f>Food_Orders[[#This Row],[Client_Price]]-Food_Orders[[#This Row],[Cost]]</f>
        <v>1900</v>
      </c>
    </row>
    <row r="2443" spans="1:9" x14ac:dyDescent="0.25">
      <c r="A2443">
        <v>105</v>
      </c>
      <c r="B2443" t="s">
        <v>80</v>
      </c>
      <c r="C2443" t="s">
        <v>61</v>
      </c>
      <c r="D2443" t="s">
        <v>81</v>
      </c>
      <c r="E2443" t="s">
        <v>10</v>
      </c>
      <c r="F2443" cm="1">
        <f t="array" ref="F2443">_xlfn.XLOOKUP(Food_Orders[[#This Row],[Event_No]],Event_Master[[#All],[Event_No]],Event_Master[[#All],[Guest_Count]],,0)</f>
        <v>380</v>
      </c>
      <c r="G2443" cm="1">
        <f t="array" ref="G2443">Food_Orders[[#This Row],[Quantity_Orderd]]*_xlfn.XLOOKUP(Food_Orders[[#This Row],[Food_ID]],Food_Catalog[[#All],[Food_ID]],Food_Catalog[[#All],[Price_Per_Unit]],0,0)</f>
        <v>11400</v>
      </c>
      <c r="H2443" cm="1">
        <f t="array" ref="H2443">Food_Orders[[#This Row],[Quantity_Orderd]]*_xlfn.XLOOKUP(Food_Orders[[#This Row],[Food_ID]],Food_Catalog[[#All],[Food_ID]],Food_Catalog[[#All],[Client_Price_Per_Unit]],0,0)</f>
        <v>13680</v>
      </c>
      <c r="I2443">
        <f>Food_Orders[[#This Row],[Client_Price]]-Food_Orders[[#This Row],[Cost]]</f>
        <v>2280</v>
      </c>
    </row>
    <row r="2444" spans="1:9" x14ac:dyDescent="0.25">
      <c r="A2444">
        <v>105</v>
      </c>
      <c r="B2444" t="s">
        <v>73</v>
      </c>
      <c r="C2444" t="s">
        <v>61</v>
      </c>
      <c r="D2444" t="s">
        <v>74</v>
      </c>
      <c r="E2444" t="s">
        <v>10</v>
      </c>
      <c r="F2444" cm="1">
        <f t="array" ref="F2444">_xlfn.XLOOKUP(Food_Orders[[#This Row],[Event_No]],Event_Master[[#All],[Event_No]],Event_Master[[#All],[Guest_Count]],,0)</f>
        <v>380</v>
      </c>
      <c r="G2444" cm="1">
        <f t="array" ref="G2444">Food_Orders[[#This Row],[Quantity_Orderd]]*_xlfn.XLOOKUP(Food_Orders[[#This Row],[Food_ID]],Food_Catalog[[#All],[Food_ID]],Food_Catalog[[#All],[Price_Per_Unit]],0,0)</f>
        <v>15200</v>
      </c>
      <c r="H2444" cm="1">
        <f t="array" ref="H2444">Food_Orders[[#This Row],[Quantity_Orderd]]*_xlfn.XLOOKUP(Food_Orders[[#This Row],[Food_ID]],Food_Catalog[[#All],[Food_ID]],Food_Catalog[[#All],[Client_Price_Per_Unit]],0,0)</f>
        <v>18240</v>
      </c>
      <c r="I2444">
        <f>Food_Orders[[#This Row],[Client_Price]]-Food_Orders[[#This Row],[Cost]]</f>
        <v>3040</v>
      </c>
    </row>
    <row r="2445" spans="1:9" x14ac:dyDescent="0.25">
      <c r="A2445">
        <v>105</v>
      </c>
      <c r="B2445" t="s">
        <v>69</v>
      </c>
      <c r="C2445" t="s">
        <v>61</v>
      </c>
      <c r="D2445" t="s">
        <v>70</v>
      </c>
      <c r="E2445" t="s">
        <v>10</v>
      </c>
      <c r="F2445" cm="1">
        <f t="array" ref="F2445">_xlfn.XLOOKUP(Food_Orders[[#This Row],[Event_No]],Event_Master[[#All],[Event_No]],Event_Master[[#All],[Guest_Count]],,0)</f>
        <v>380</v>
      </c>
      <c r="G2445" cm="1">
        <f t="array" ref="G2445">Food_Orders[[#This Row],[Quantity_Orderd]]*_xlfn.XLOOKUP(Food_Orders[[#This Row],[Food_ID]],Food_Catalog[[#All],[Food_ID]],Food_Catalog[[#All],[Price_Per_Unit]],0,0)</f>
        <v>19000</v>
      </c>
      <c r="H2445" cm="1">
        <f t="array" ref="H2445">Food_Orders[[#This Row],[Quantity_Orderd]]*_xlfn.XLOOKUP(Food_Orders[[#This Row],[Food_ID]],Food_Catalog[[#All],[Food_ID]],Food_Catalog[[#All],[Client_Price_Per_Unit]],0,0)</f>
        <v>22800</v>
      </c>
      <c r="I2445">
        <f>Food_Orders[[#This Row],[Client_Price]]-Food_Orders[[#This Row],[Cost]]</f>
        <v>3800</v>
      </c>
    </row>
    <row r="2446" spans="1:9" x14ac:dyDescent="0.25">
      <c r="A2446">
        <v>105</v>
      </c>
      <c r="B2446" t="s">
        <v>67</v>
      </c>
      <c r="C2446" t="s">
        <v>61</v>
      </c>
      <c r="D2446" t="s">
        <v>68</v>
      </c>
      <c r="E2446" t="s">
        <v>10</v>
      </c>
      <c r="F2446" cm="1">
        <f t="array" ref="F2446">_xlfn.XLOOKUP(Food_Orders[[#This Row],[Event_No]],Event_Master[[#All],[Event_No]],Event_Master[[#All],[Guest_Count]],,0)</f>
        <v>380</v>
      </c>
      <c r="G2446" cm="1">
        <f t="array" ref="G2446">Food_Orders[[#This Row],[Quantity_Orderd]]*_xlfn.XLOOKUP(Food_Orders[[#This Row],[Food_ID]],Food_Catalog[[#All],[Food_ID]],Food_Catalog[[#All],[Price_Per_Unit]],0,0)</f>
        <v>11400</v>
      </c>
      <c r="H2446" cm="1">
        <f t="array" ref="H2446">Food_Orders[[#This Row],[Quantity_Orderd]]*_xlfn.XLOOKUP(Food_Orders[[#This Row],[Food_ID]],Food_Catalog[[#All],[Food_ID]],Food_Catalog[[#All],[Client_Price_Per_Unit]],0,0)</f>
        <v>13680</v>
      </c>
      <c r="I2446">
        <f>Food_Orders[[#This Row],[Client_Price]]-Food_Orders[[#This Row],[Cost]]</f>
        <v>2280</v>
      </c>
    </row>
    <row r="2447" spans="1:9" x14ac:dyDescent="0.25">
      <c r="A2447">
        <v>105</v>
      </c>
      <c r="B2447" t="s">
        <v>77</v>
      </c>
      <c r="C2447" t="s">
        <v>61</v>
      </c>
      <c r="D2447" t="s">
        <v>78</v>
      </c>
      <c r="E2447" t="s">
        <v>79</v>
      </c>
      <c r="F2447" cm="1">
        <f t="array" ref="F2447">_xlfn.XLOOKUP(Food_Orders[[#This Row],[Event_No]],Event_Master[[#All],[Event_No]],Event_Master[[#All],[Guest_Count]],,0)</f>
        <v>380</v>
      </c>
      <c r="G2447" cm="1">
        <f t="array" ref="G2447">Food_Orders[[#This Row],[Quantity_Orderd]]*_xlfn.XLOOKUP(Food_Orders[[#This Row],[Food_ID]],Food_Catalog[[#All],[Food_ID]],Food_Catalog[[#All],[Price_Per_Unit]],0,0)</f>
        <v>13300</v>
      </c>
      <c r="H2447" cm="1">
        <f t="array" ref="H2447">Food_Orders[[#This Row],[Quantity_Orderd]]*_xlfn.XLOOKUP(Food_Orders[[#This Row],[Food_ID]],Food_Catalog[[#All],[Food_ID]],Food_Catalog[[#All],[Client_Price_Per_Unit]],0,0)</f>
        <v>15960</v>
      </c>
      <c r="I2447">
        <f>Food_Orders[[#This Row],[Client_Price]]-Food_Orders[[#This Row],[Cost]]</f>
        <v>2660</v>
      </c>
    </row>
    <row r="2448" spans="1:9" x14ac:dyDescent="0.25">
      <c r="A2448">
        <v>105</v>
      </c>
      <c r="B2448" t="s">
        <v>7</v>
      </c>
      <c r="C2448" t="s">
        <v>8</v>
      </c>
      <c r="D2448" t="s">
        <v>9</v>
      </c>
      <c r="E2448" t="s">
        <v>10</v>
      </c>
      <c r="F2448" cm="1">
        <f t="array" ref="F2448">_xlfn.XLOOKUP(Food_Orders[[#This Row],[Event_No]],Event_Master[[#All],[Event_No]],Event_Master[[#All],[Guest_Count]],,0)</f>
        <v>380</v>
      </c>
      <c r="G2448" cm="1">
        <f t="array" ref="G2448">Food_Orders[[#This Row],[Quantity_Orderd]]*_xlfn.XLOOKUP(Food_Orders[[#This Row],[Food_ID]],Food_Catalog[[#All],[Food_ID]],Food_Catalog[[#All],[Price_Per_Unit]],0,0)</f>
        <v>9500</v>
      </c>
      <c r="H2448" cm="1">
        <f t="array" ref="H2448">Food_Orders[[#This Row],[Quantity_Orderd]]*_xlfn.XLOOKUP(Food_Orders[[#This Row],[Food_ID]],Food_Catalog[[#All],[Food_ID]],Food_Catalog[[#All],[Client_Price_Per_Unit]],0,0)</f>
        <v>11400</v>
      </c>
      <c r="I2448">
        <f>Food_Orders[[#This Row],[Client_Price]]-Food_Orders[[#This Row],[Cost]]</f>
        <v>1900</v>
      </c>
    </row>
    <row r="2449" spans="1:9" x14ac:dyDescent="0.25">
      <c r="A2449">
        <v>105</v>
      </c>
      <c r="B2449" t="s">
        <v>13</v>
      </c>
      <c r="C2449" t="s">
        <v>8</v>
      </c>
      <c r="D2449" t="s">
        <v>14</v>
      </c>
      <c r="E2449" t="s">
        <v>10</v>
      </c>
      <c r="F2449" cm="1">
        <f t="array" ref="F2449">_xlfn.XLOOKUP(Food_Orders[[#This Row],[Event_No]],Event_Master[[#All],[Event_No]],Event_Master[[#All],[Guest_Count]],,0)</f>
        <v>380</v>
      </c>
      <c r="G2449" cm="1">
        <f t="array" ref="G2449">Food_Orders[[#This Row],[Quantity_Orderd]]*_xlfn.XLOOKUP(Food_Orders[[#This Row],[Food_ID]],Food_Catalog[[#All],[Food_ID]],Food_Catalog[[#All],[Price_Per_Unit]],0,0)</f>
        <v>13300</v>
      </c>
      <c r="H2449" cm="1">
        <f t="array" ref="H2449">Food_Orders[[#This Row],[Quantity_Orderd]]*_xlfn.XLOOKUP(Food_Orders[[#This Row],[Food_ID]],Food_Catalog[[#All],[Food_ID]],Food_Catalog[[#All],[Client_Price_Per_Unit]],0,0)</f>
        <v>15960</v>
      </c>
      <c r="I2449">
        <f>Food_Orders[[#This Row],[Client_Price]]-Food_Orders[[#This Row],[Cost]]</f>
        <v>2660</v>
      </c>
    </row>
    <row r="2450" spans="1:9" x14ac:dyDescent="0.25">
      <c r="A2450">
        <v>105</v>
      </c>
      <c r="B2450" t="s">
        <v>25</v>
      </c>
      <c r="C2450" t="s">
        <v>8</v>
      </c>
      <c r="D2450" t="s">
        <v>26</v>
      </c>
      <c r="E2450" t="s">
        <v>10</v>
      </c>
      <c r="F2450" cm="1">
        <f t="array" ref="F2450">_xlfn.XLOOKUP(Food_Orders[[#This Row],[Event_No]],Event_Master[[#All],[Event_No]],Event_Master[[#All],[Guest_Count]],,0)</f>
        <v>380</v>
      </c>
      <c r="G2450" cm="1">
        <f t="array" ref="G2450">Food_Orders[[#This Row],[Quantity_Orderd]]*_xlfn.XLOOKUP(Food_Orders[[#This Row],[Food_ID]],Food_Catalog[[#All],[Food_ID]],Food_Catalog[[#All],[Price_Per_Unit]],0,0)</f>
        <v>11400</v>
      </c>
      <c r="H2450" cm="1">
        <f t="array" ref="H2450">Food_Orders[[#This Row],[Quantity_Orderd]]*_xlfn.XLOOKUP(Food_Orders[[#This Row],[Food_ID]],Food_Catalog[[#All],[Food_ID]],Food_Catalog[[#All],[Client_Price_Per_Unit]],0,0)</f>
        <v>13680</v>
      </c>
      <c r="I2450">
        <f>Food_Orders[[#This Row],[Client_Price]]-Food_Orders[[#This Row],[Cost]]</f>
        <v>2280</v>
      </c>
    </row>
    <row r="2451" spans="1:9" x14ac:dyDescent="0.25">
      <c r="A2451">
        <v>105</v>
      </c>
      <c r="B2451" t="s">
        <v>15</v>
      </c>
      <c r="C2451" t="s">
        <v>8</v>
      </c>
      <c r="D2451" t="s">
        <v>16</v>
      </c>
      <c r="E2451" t="s">
        <v>10</v>
      </c>
      <c r="F2451" cm="1">
        <f t="array" ref="F2451">_xlfn.XLOOKUP(Food_Orders[[#This Row],[Event_No]],Event_Master[[#All],[Event_No]],Event_Master[[#All],[Guest_Count]],,0)</f>
        <v>380</v>
      </c>
      <c r="G2451" cm="1">
        <f t="array" ref="G2451">Food_Orders[[#This Row],[Quantity_Orderd]]*_xlfn.XLOOKUP(Food_Orders[[#This Row],[Food_ID]],Food_Catalog[[#All],[Food_ID]],Food_Catalog[[#All],[Price_Per_Unit]],0,0)</f>
        <v>11400</v>
      </c>
      <c r="H2451" cm="1">
        <f t="array" ref="H2451">Food_Orders[[#This Row],[Quantity_Orderd]]*_xlfn.XLOOKUP(Food_Orders[[#This Row],[Food_ID]],Food_Catalog[[#All],[Food_ID]],Food_Catalog[[#All],[Client_Price_Per_Unit]],0,0)</f>
        <v>13680</v>
      </c>
      <c r="I2451">
        <f>Food_Orders[[#This Row],[Client_Price]]-Food_Orders[[#This Row],[Cost]]</f>
        <v>2280</v>
      </c>
    </row>
    <row r="2452" spans="1:9" x14ac:dyDescent="0.25">
      <c r="A2452">
        <v>105</v>
      </c>
      <c r="B2452" t="s">
        <v>35</v>
      </c>
      <c r="C2452" t="s">
        <v>8</v>
      </c>
      <c r="D2452" t="s">
        <v>36</v>
      </c>
      <c r="E2452" t="s">
        <v>10</v>
      </c>
      <c r="F2452" cm="1">
        <f t="array" ref="F2452">_xlfn.XLOOKUP(Food_Orders[[#This Row],[Event_No]],Event_Master[[#All],[Event_No]],Event_Master[[#All],[Guest_Count]],,0)</f>
        <v>380</v>
      </c>
      <c r="G2452" cm="1">
        <f t="array" ref="G2452">Food_Orders[[#This Row],[Quantity_Orderd]]*_xlfn.XLOOKUP(Food_Orders[[#This Row],[Food_ID]],Food_Catalog[[#All],[Food_ID]],Food_Catalog[[#All],[Price_Per_Unit]],0,0)</f>
        <v>11400</v>
      </c>
      <c r="H2452" cm="1">
        <f t="array" ref="H2452">Food_Orders[[#This Row],[Quantity_Orderd]]*_xlfn.XLOOKUP(Food_Orders[[#This Row],[Food_ID]],Food_Catalog[[#All],[Food_ID]],Food_Catalog[[#All],[Client_Price_Per_Unit]],0,0)</f>
        <v>13680</v>
      </c>
      <c r="I2452">
        <f>Food_Orders[[#This Row],[Client_Price]]-Food_Orders[[#This Row],[Cost]]</f>
        <v>2280</v>
      </c>
    </row>
    <row r="2453" spans="1:9" x14ac:dyDescent="0.25">
      <c r="A2453">
        <v>105</v>
      </c>
      <c r="B2453" t="s">
        <v>27</v>
      </c>
      <c r="C2453" t="s">
        <v>8</v>
      </c>
      <c r="D2453" t="s">
        <v>28</v>
      </c>
      <c r="E2453" t="s">
        <v>10</v>
      </c>
      <c r="F2453" cm="1">
        <f t="array" ref="F2453">_xlfn.XLOOKUP(Food_Orders[[#This Row],[Event_No]],Event_Master[[#All],[Event_No]],Event_Master[[#All],[Guest_Count]],,0)</f>
        <v>380</v>
      </c>
      <c r="G2453" cm="1">
        <f t="array" ref="G2453">Food_Orders[[#This Row],[Quantity_Orderd]]*_xlfn.XLOOKUP(Food_Orders[[#This Row],[Food_ID]],Food_Catalog[[#All],[Food_ID]],Food_Catalog[[#All],[Price_Per_Unit]],0,0)</f>
        <v>15200</v>
      </c>
      <c r="H2453" cm="1">
        <f t="array" ref="H2453">Food_Orders[[#This Row],[Quantity_Orderd]]*_xlfn.XLOOKUP(Food_Orders[[#This Row],[Food_ID]],Food_Catalog[[#All],[Food_ID]],Food_Catalog[[#All],[Client_Price_Per_Unit]],0,0)</f>
        <v>18240</v>
      </c>
      <c r="I2453">
        <f>Food_Orders[[#This Row],[Client_Price]]-Food_Orders[[#This Row],[Cost]]</f>
        <v>3040</v>
      </c>
    </row>
    <row r="2454" spans="1:9" x14ac:dyDescent="0.25">
      <c r="A2454">
        <v>105</v>
      </c>
      <c r="B2454" t="s">
        <v>17</v>
      </c>
      <c r="C2454" t="s">
        <v>8</v>
      </c>
      <c r="D2454" t="s">
        <v>18</v>
      </c>
      <c r="E2454" t="s">
        <v>10</v>
      </c>
      <c r="F2454" cm="1">
        <f t="array" ref="F2454">_xlfn.XLOOKUP(Food_Orders[[#This Row],[Event_No]],Event_Master[[#All],[Event_No]],Event_Master[[#All],[Guest_Count]],,0)</f>
        <v>380</v>
      </c>
      <c r="G2454" cm="1">
        <f t="array" ref="G2454">Food_Orders[[#This Row],[Quantity_Orderd]]*_xlfn.XLOOKUP(Food_Orders[[#This Row],[Food_ID]],Food_Catalog[[#All],[Food_ID]],Food_Catalog[[#All],[Price_Per_Unit]],0,0)</f>
        <v>15200</v>
      </c>
      <c r="H2454" cm="1">
        <f t="array" ref="H2454">Food_Orders[[#This Row],[Quantity_Orderd]]*_xlfn.XLOOKUP(Food_Orders[[#This Row],[Food_ID]],Food_Catalog[[#All],[Food_ID]],Food_Catalog[[#All],[Client_Price_Per_Unit]],0,0)</f>
        <v>18240</v>
      </c>
      <c r="I2454">
        <f>Food_Orders[[#This Row],[Client_Price]]-Food_Orders[[#This Row],[Cost]]</f>
        <v>3040</v>
      </c>
    </row>
    <row r="2455" spans="1:9" x14ac:dyDescent="0.25">
      <c r="A2455">
        <v>105</v>
      </c>
      <c r="B2455" t="s">
        <v>21</v>
      </c>
      <c r="C2455" t="s">
        <v>8</v>
      </c>
      <c r="D2455" t="s">
        <v>22</v>
      </c>
      <c r="E2455" t="s">
        <v>10</v>
      </c>
      <c r="F2455" cm="1">
        <f t="array" ref="F2455">_xlfn.XLOOKUP(Food_Orders[[#This Row],[Event_No]],Event_Master[[#All],[Event_No]],Event_Master[[#All],[Guest_Count]],,0)</f>
        <v>380</v>
      </c>
      <c r="G2455" cm="1">
        <f t="array" ref="G2455">Food_Orders[[#This Row],[Quantity_Orderd]]*_xlfn.XLOOKUP(Food_Orders[[#This Row],[Food_ID]],Food_Catalog[[#All],[Food_ID]],Food_Catalog[[#All],[Price_Per_Unit]],0,0)</f>
        <v>13300</v>
      </c>
      <c r="H2455" cm="1">
        <f t="array" ref="H2455">Food_Orders[[#This Row],[Quantity_Orderd]]*_xlfn.XLOOKUP(Food_Orders[[#This Row],[Food_ID]],Food_Catalog[[#All],[Food_ID]],Food_Catalog[[#All],[Client_Price_Per_Unit]],0,0)</f>
        <v>15960</v>
      </c>
      <c r="I2455">
        <f>Food_Orders[[#This Row],[Client_Price]]-Food_Orders[[#This Row],[Cost]]</f>
        <v>2660</v>
      </c>
    </row>
    <row r="2456" spans="1:9" x14ac:dyDescent="0.25">
      <c r="A2456">
        <v>105</v>
      </c>
      <c r="B2456" t="s">
        <v>19</v>
      </c>
      <c r="C2456" t="s">
        <v>8</v>
      </c>
      <c r="D2456" t="s">
        <v>20</v>
      </c>
      <c r="E2456" t="s">
        <v>10</v>
      </c>
      <c r="F2456" cm="1">
        <f t="array" ref="F2456">_xlfn.XLOOKUP(Food_Orders[[#This Row],[Event_No]],Event_Master[[#All],[Event_No]],Event_Master[[#All],[Guest_Count]],,0)</f>
        <v>380</v>
      </c>
      <c r="G2456" cm="1">
        <f t="array" ref="G2456">Food_Orders[[#This Row],[Quantity_Orderd]]*_xlfn.XLOOKUP(Food_Orders[[#This Row],[Food_ID]],Food_Catalog[[#All],[Food_ID]],Food_Catalog[[#All],[Price_Per_Unit]],0,0)</f>
        <v>13300</v>
      </c>
      <c r="H2456" cm="1">
        <f t="array" ref="H2456">Food_Orders[[#This Row],[Quantity_Orderd]]*_xlfn.XLOOKUP(Food_Orders[[#This Row],[Food_ID]],Food_Catalog[[#All],[Food_ID]],Food_Catalog[[#All],[Client_Price_Per_Unit]],0,0)</f>
        <v>15960</v>
      </c>
      <c r="I2456">
        <f>Food_Orders[[#This Row],[Client_Price]]-Food_Orders[[#This Row],[Cost]]</f>
        <v>2660</v>
      </c>
    </row>
    <row r="2457" spans="1:9" x14ac:dyDescent="0.25">
      <c r="A2457">
        <v>105</v>
      </c>
      <c r="B2457" t="s">
        <v>29</v>
      </c>
      <c r="C2457" t="s">
        <v>8</v>
      </c>
      <c r="D2457" t="s">
        <v>30</v>
      </c>
      <c r="E2457" t="s">
        <v>10</v>
      </c>
      <c r="F2457" cm="1">
        <f t="array" ref="F2457">_xlfn.XLOOKUP(Food_Orders[[#This Row],[Event_No]],Event_Master[[#All],[Event_No]],Event_Master[[#All],[Guest_Count]],,0)</f>
        <v>380</v>
      </c>
      <c r="G2457" cm="1">
        <f t="array" ref="G2457">Food_Orders[[#This Row],[Quantity_Orderd]]*_xlfn.XLOOKUP(Food_Orders[[#This Row],[Food_ID]],Food_Catalog[[#All],[Food_ID]],Food_Catalog[[#All],[Price_Per_Unit]],0,0)</f>
        <v>11400</v>
      </c>
      <c r="H2457" cm="1">
        <f t="array" ref="H2457">Food_Orders[[#This Row],[Quantity_Orderd]]*_xlfn.XLOOKUP(Food_Orders[[#This Row],[Food_ID]],Food_Catalog[[#All],[Food_ID]],Food_Catalog[[#All],[Client_Price_Per_Unit]],0,0)</f>
        <v>13680</v>
      </c>
      <c r="I2457">
        <f>Food_Orders[[#This Row],[Client_Price]]-Food_Orders[[#This Row],[Cost]]</f>
        <v>2280</v>
      </c>
    </row>
    <row r="2458" spans="1:9" x14ac:dyDescent="0.25">
      <c r="A2458">
        <v>105</v>
      </c>
      <c r="B2458" t="s">
        <v>42</v>
      </c>
      <c r="C2458" t="s">
        <v>40</v>
      </c>
      <c r="D2458" t="s">
        <v>43</v>
      </c>
      <c r="E2458" t="s">
        <v>10</v>
      </c>
      <c r="F2458" cm="1">
        <f t="array" ref="F2458">_xlfn.XLOOKUP(Food_Orders[[#This Row],[Event_No]],Event_Master[[#All],[Event_No]],Event_Master[[#All],[Guest_Count]],,0)</f>
        <v>380</v>
      </c>
      <c r="G2458" cm="1">
        <f t="array" ref="G2458">Food_Orders[[#This Row],[Quantity_Orderd]]*_xlfn.XLOOKUP(Food_Orders[[#This Row],[Food_ID]],Food_Catalog[[#All],[Food_ID]],Food_Catalog[[#All],[Price_Per_Unit]],0,0)</f>
        <v>26600</v>
      </c>
      <c r="H2458" cm="1">
        <f t="array" ref="H2458">Food_Orders[[#This Row],[Quantity_Orderd]]*_xlfn.XLOOKUP(Food_Orders[[#This Row],[Food_ID]],Food_Catalog[[#All],[Food_ID]],Food_Catalog[[#All],[Client_Price_Per_Unit]],0,0)</f>
        <v>31920</v>
      </c>
      <c r="I2458">
        <f>Food_Orders[[#This Row],[Client_Price]]-Food_Orders[[#This Row],[Cost]]</f>
        <v>5320</v>
      </c>
    </row>
    <row r="2459" spans="1:9" x14ac:dyDescent="0.25">
      <c r="A2459">
        <v>105</v>
      </c>
      <c r="B2459" t="s">
        <v>46</v>
      </c>
      <c r="C2459" t="s">
        <v>40</v>
      </c>
      <c r="D2459" t="s">
        <v>47</v>
      </c>
      <c r="E2459" t="s">
        <v>10</v>
      </c>
      <c r="F2459" cm="1">
        <f t="array" ref="F2459">_xlfn.XLOOKUP(Food_Orders[[#This Row],[Event_No]],Event_Master[[#All],[Event_No]],Event_Master[[#All],[Guest_Count]],,0)</f>
        <v>380</v>
      </c>
      <c r="G2459" cm="1">
        <f t="array" ref="G2459">Food_Orders[[#This Row],[Quantity_Orderd]]*_xlfn.XLOOKUP(Food_Orders[[#This Row],[Food_ID]],Food_Catalog[[#All],[Food_ID]],Food_Catalog[[#All],[Price_Per_Unit]],0,0)</f>
        <v>34200</v>
      </c>
      <c r="H2459" cm="1">
        <f t="array" ref="H2459">Food_Orders[[#This Row],[Quantity_Orderd]]*_xlfn.XLOOKUP(Food_Orders[[#This Row],[Food_ID]],Food_Catalog[[#All],[Food_ID]],Food_Catalog[[#All],[Client_Price_Per_Unit]],0,0)</f>
        <v>41040</v>
      </c>
      <c r="I2459">
        <f>Food_Orders[[#This Row],[Client_Price]]-Food_Orders[[#This Row],[Cost]]</f>
        <v>6840</v>
      </c>
    </row>
    <row r="2460" spans="1:9" x14ac:dyDescent="0.25">
      <c r="A2460">
        <v>105</v>
      </c>
      <c r="B2460" t="s">
        <v>48</v>
      </c>
      <c r="C2460" t="s">
        <v>40</v>
      </c>
      <c r="D2460" t="s">
        <v>49</v>
      </c>
      <c r="E2460" t="s">
        <v>10</v>
      </c>
      <c r="F2460" cm="1">
        <f t="array" ref="F2460">_xlfn.XLOOKUP(Food_Orders[[#This Row],[Event_No]],Event_Master[[#All],[Event_No]],Event_Master[[#All],[Guest_Count]],,0)</f>
        <v>380</v>
      </c>
      <c r="G2460" cm="1">
        <f t="array" ref="G2460">Food_Orders[[#This Row],[Quantity_Orderd]]*_xlfn.XLOOKUP(Food_Orders[[#This Row],[Food_ID]],Food_Catalog[[#All],[Food_ID]],Food_Catalog[[#All],[Price_Per_Unit]],0,0)</f>
        <v>38000</v>
      </c>
      <c r="H2460" cm="1">
        <f t="array" ref="H2460">Food_Orders[[#This Row],[Quantity_Orderd]]*_xlfn.XLOOKUP(Food_Orders[[#This Row],[Food_ID]],Food_Catalog[[#All],[Food_ID]],Food_Catalog[[#All],[Client_Price_Per_Unit]],0,0)</f>
        <v>45600</v>
      </c>
      <c r="I2460">
        <f>Food_Orders[[#This Row],[Client_Price]]-Food_Orders[[#This Row],[Cost]]</f>
        <v>7600</v>
      </c>
    </row>
    <row r="2461" spans="1:9" x14ac:dyDescent="0.25">
      <c r="A2461">
        <v>105</v>
      </c>
      <c r="B2461" t="s">
        <v>58</v>
      </c>
      <c r="C2461" t="s">
        <v>40</v>
      </c>
      <c r="D2461" t="s">
        <v>59</v>
      </c>
      <c r="E2461" t="s">
        <v>10</v>
      </c>
      <c r="F2461" cm="1">
        <f t="array" ref="F2461">_xlfn.XLOOKUP(Food_Orders[[#This Row],[Event_No]],Event_Master[[#All],[Event_No]],Event_Master[[#All],[Guest_Count]],,0)</f>
        <v>380</v>
      </c>
      <c r="G2461" cm="1">
        <f t="array" ref="G2461">Food_Orders[[#This Row],[Quantity_Orderd]]*_xlfn.XLOOKUP(Food_Orders[[#This Row],[Food_ID]],Food_Catalog[[#All],[Food_ID]],Food_Catalog[[#All],[Price_Per_Unit]],0,0)</f>
        <v>34200</v>
      </c>
      <c r="H2461" cm="1">
        <f t="array" ref="H2461">Food_Orders[[#This Row],[Quantity_Orderd]]*_xlfn.XLOOKUP(Food_Orders[[#This Row],[Food_ID]],Food_Catalog[[#All],[Food_ID]],Food_Catalog[[#All],[Client_Price_Per_Unit]],0,0)</f>
        <v>41040</v>
      </c>
      <c r="I2461">
        <f>Food_Orders[[#This Row],[Client_Price]]-Food_Orders[[#This Row],[Cost]]</f>
        <v>6840</v>
      </c>
    </row>
    <row r="2462" spans="1:9" x14ac:dyDescent="0.25">
      <c r="A2462">
        <v>105</v>
      </c>
      <c r="B2462" t="s">
        <v>86</v>
      </c>
      <c r="C2462" t="s">
        <v>83</v>
      </c>
      <c r="D2462" t="s">
        <v>87</v>
      </c>
      <c r="E2462" t="s">
        <v>85</v>
      </c>
      <c r="F2462" cm="1">
        <f t="array" ref="F2462">_xlfn.XLOOKUP(Food_Orders[[#This Row],[Event_No]],Event_Master[[#All],[Event_No]],Event_Master[[#All],[Guest_Count]],,0)</f>
        <v>380</v>
      </c>
      <c r="G2462" cm="1">
        <f t="array" ref="G2462">Food_Orders[[#This Row],[Quantity_Orderd]]*_xlfn.XLOOKUP(Food_Orders[[#This Row],[Food_ID]],Food_Catalog[[#All],[Food_ID]],Food_Catalog[[#All],[Price_Per_Unit]],0,0)</f>
        <v>7600</v>
      </c>
      <c r="H2462" cm="1">
        <f t="array" ref="H2462">Food_Orders[[#This Row],[Quantity_Orderd]]*_xlfn.XLOOKUP(Food_Orders[[#This Row],[Food_ID]],Food_Catalog[[#All],[Food_ID]],Food_Catalog[[#All],[Client_Price_Per_Unit]],0,0)</f>
        <v>9120</v>
      </c>
      <c r="I2462">
        <f>Food_Orders[[#This Row],[Client_Price]]-Food_Orders[[#This Row],[Cost]]</f>
        <v>1520</v>
      </c>
    </row>
    <row r="2463" spans="1:9" x14ac:dyDescent="0.25">
      <c r="A2463">
        <v>105</v>
      </c>
      <c r="B2463" t="s">
        <v>88</v>
      </c>
      <c r="C2463" t="s">
        <v>83</v>
      </c>
      <c r="D2463" t="s">
        <v>89</v>
      </c>
      <c r="E2463" t="s">
        <v>85</v>
      </c>
      <c r="F2463" cm="1">
        <f t="array" ref="F2463">_xlfn.XLOOKUP(Food_Orders[[#This Row],[Event_No]],Event_Master[[#All],[Event_No]],Event_Master[[#All],[Guest_Count]],,0)</f>
        <v>380</v>
      </c>
      <c r="G2463" cm="1">
        <f t="array" ref="G2463">Food_Orders[[#This Row],[Quantity_Orderd]]*_xlfn.XLOOKUP(Food_Orders[[#This Row],[Food_ID]],Food_Catalog[[#All],[Food_ID]],Food_Catalog[[#All],[Price_Per_Unit]],0,0)</f>
        <v>5700</v>
      </c>
      <c r="H2463" cm="1">
        <f t="array" ref="H2463">Food_Orders[[#This Row],[Quantity_Orderd]]*_xlfn.XLOOKUP(Food_Orders[[#This Row],[Food_ID]],Food_Catalog[[#All],[Food_ID]],Food_Catalog[[#All],[Client_Price_Per_Unit]],0,0)</f>
        <v>6840</v>
      </c>
      <c r="I2463">
        <f>Food_Orders[[#This Row],[Client_Price]]-Food_Orders[[#This Row],[Cost]]</f>
        <v>1140</v>
      </c>
    </row>
    <row r="2464" spans="1:9" x14ac:dyDescent="0.25">
      <c r="A2464">
        <v>105</v>
      </c>
      <c r="B2464" t="s">
        <v>100</v>
      </c>
      <c r="C2464" t="s">
        <v>83</v>
      </c>
      <c r="D2464" t="s">
        <v>101</v>
      </c>
      <c r="E2464" t="s">
        <v>79</v>
      </c>
      <c r="F2464" cm="1">
        <f t="array" ref="F2464">_xlfn.XLOOKUP(Food_Orders[[#This Row],[Event_No]],Event_Master[[#All],[Event_No]],Event_Master[[#All],[Guest_Count]],,0)</f>
        <v>380</v>
      </c>
      <c r="G2464" cm="1">
        <f t="array" ref="G2464">Food_Orders[[#This Row],[Quantity_Orderd]]*_xlfn.XLOOKUP(Food_Orders[[#This Row],[Food_ID]],Food_Catalog[[#All],[Food_ID]],Food_Catalog[[#All],[Price_Per_Unit]],0,0)</f>
        <v>13300</v>
      </c>
      <c r="H2464" cm="1">
        <f t="array" ref="H2464">Food_Orders[[#This Row],[Quantity_Orderd]]*_xlfn.XLOOKUP(Food_Orders[[#This Row],[Food_ID]],Food_Catalog[[#All],[Food_ID]],Food_Catalog[[#All],[Client_Price_Per_Unit]],0,0)</f>
        <v>15960</v>
      </c>
      <c r="I2464">
        <f>Food_Orders[[#This Row],[Client_Price]]-Food_Orders[[#This Row],[Cost]]</f>
        <v>2660</v>
      </c>
    </row>
    <row r="2465" spans="1:9" x14ac:dyDescent="0.25">
      <c r="A2465">
        <v>105</v>
      </c>
      <c r="B2465" t="s">
        <v>92</v>
      </c>
      <c r="C2465" t="s">
        <v>83</v>
      </c>
      <c r="D2465" t="s">
        <v>93</v>
      </c>
      <c r="E2465" t="s">
        <v>85</v>
      </c>
      <c r="F2465" cm="1">
        <f t="array" ref="F2465">_xlfn.XLOOKUP(Food_Orders[[#This Row],[Event_No]],Event_Master[[#All],[Event_No]],Event_Master[[#All],[Guest_Count]],,0)</f>
        <v>380</v>
      </c>
      <c r="G2465" cm="1">
        <f t="array" ref="G2465">Food_Orders[[#This Row],[Quantity_Orderd]]*_xlfn.XLOOKUP(Food_Orders[[#This Row],[Food_ID]],Food_Catalog[[#All],[Food_ID]],Food_Catalog[[#All],[Price_Per_Unit]],0,0)</f>
        <v>5700</v>
      </c>
      <c r="H2465" cm="1">
        <f t="array" ref="H2465">Food_Orders[[#This Row],[Quantity_Orderd]]*_xlfn.XLOOKUP(Food_Orders[[#This Row],[Food_ID]],Food_Catalog[[#All],[Food_ID]],Food_Catalog[[#All],[Client_Price_Per_Unit]],0,0)</f>
        <v>6840</v>
      </c>
      <c r="I2465">
        <f>Food_Orders[[#This Row],[Client_Price]]-Food_Orders[[#This Row],[Cost]]</f>
        <v>1140</v>
      </c>
    </row>
    <row r="2466" spans="1:9" x14ac:dyDescent="0.25">
      <c r="A2466">
        <v>105</v>
      </c>
      <c r="B2466" t="s">
        <v>102</v>
      </c>
      <c r="C2466" t="s">
        <v>83</v>
      </c>
      <c r="D2466" t="s">
        <v>103</v>
      </c>
      <c r="E2466" t="s">
        <v>85</v>
      </c>
      <c r="F2466" cm="1">
        <f t="array" ref="F2466">_xlfn.XLOOKUP(Food_Orders[[#This Row],[Event_No]],Event_Master[[#All],[Event_No]],Event_Master[[#All],[Guest_Count]],,0)</f>
        <v>380</v>
      </c>
      <c r="G2466" cm="1">
        <f t="array" ref="G2466">Food_Orders[[#This Row],[Quantity_Orderd]]*_xlfn.XLOOKUP(Food_Orders[[#This Row],[Food_ID]],Food_Catalog[[#All],[Food_ID]],Food_Catalog[[#All],[Price_Per_Unit]],0,0)</f>
        <v>7600</v>
      </c>
      <c r="H2466" cm="1">
        <f t="array" ref="H2466">Food_Orders[[#This Row],[Quantity_Orderd]]*_xlfn.XLOOKUP(Food_Orders[[#This Row],[Food_ID]],Food_Catalog[[#All],[Food_ID]],Food_Catalog[[#All],[Client_Price_Per_Unit]],0,0)</f>
        <v>9120</v>
      </c>
      <c r="I2466">
        <f>Food_Orders[[#This Row],[Client_Price]]-Food_Orders[[#This Row],[Cost]]</f>
        <v>1520</v>
      </c>
    </row>
    <row r="2467" spans="1:9" x14ac:dyDescent="0.25">
      <c r="A2467">
        <v>105</v>
      </c>
      <c r="B2467" t="s">
        <v>98</v>
      </c>
      <c r="C2467" t="s">
        <v>83</v>
      </c>
      <c r="D2467" t="s">
        <v>99</v>
      </c>
      <c r="E2467" t="s">
        <v>85</v>
      </c>
      <c r="F2467" cm="1">
        <f t="array" ref="F2467">_xlfn.XLOOKUP(Food_Orders[[#This Row],[Event_No]],Event_Master[[#All],[Event_No]],Event_Master[[#All],[Guest_Count]],,0)</f>
        <v>380</v>
      </c>
      <c r="G2467" cm="1">
        <f t="array" ref="G2467">Food_Orders[[#This Row],[Quantity_Orderd]]*_xlfn.XLOOKUP(Food_Orders[[#This Row],[Food_ID]],Food_Catalog[[#All],[Food_ID]],Food_Catalog[[#All],[Price_Per_Unit]],0,0)</f>
        <v>5700</v>
      </c>
      <c r="H2467" cm="1">
        <f t="array" ref="H2467">Food_Orders[[#This Row],[Quantity_Orderd]]*_xlfn.XLOOKUP(Food_Orders[[#This Row],[Food_ID]],Food_Catalog[[#All],[Food_ID]],Food_Catalog[[#All],[Client_Price_Per_Unit]],0,0)</f>
        <v>6840</v>
      </c>
      <c r="I2467">
        <f>Food_Orders[[#This Row],[Client_Price]]-Food_Orders[[#This Row],[Cost]]</f>
        <v>1140</v>
      </c>
    </row>
    <row r="2468" spans="1:9" x14ac:dyDescent="0.25">
      <c r="A2468">
        <v>105</v>
      </c>
      <c r="B2468" t="s">
        <v>104</v>
      </c>
      <c r="C2468" t="s">
        <v>105</v>
      </c>
      <c r="D2468" t="s">
        <v>106</v>
      </c>
      <c r="E2468" t="s">
        <v>107</v>
      </c>
      <c r="F2468" cm="1">
        <f t="array" ref="F2468">_xlfn.XLOOKUP(Food_Orders[[#This Row],[Event_No]],Event_Master[[#All],[Event_No]],Event_Master[[#All],[Guest_Count]],,0)</f>
        <v>380</v>
      </c>
      <c r="G2468" cm="1">
        <f t="array" ref="G2468">Food_Orders[[#This Row],[Quantity_Orderd]]*_xlfn.XLOOKUP(Food_Orders[[#This Row],[Food_ID]],Food_Catalog[[#All],[Food_ID]],Food_Catalog[[#All],[Price_Per_Unit]],0,0)</f>
        <v>3800</v>
      </c>
      <c r="H2468" cm="1">
        <f t="array" ref="H2468">Food_Orders[[#This Row],[Quantity_Orderd]]*_xlfn.XLOOKUP(Food_Orders[[#This Row],[Food_ID]],Food_Catalog[[#All],[Food_ID]],Food_Catalog[[#All],[Client_Price_Per_Unit]],0,0)</f>
        <v>4560</v>
      </c>
      <c r="I2468">
        <f>Food_Orders[[#This Row],[Client_Price]]-Food_Orders[[#This Row],[Cost]]</f>
        <v>760</v>
      </c>
    </row>
    <row r="2469" spans="1:9" x14ac:dyDescent="0.25">
      <c r="A2469">
        <v>105</v>
      </c>
      <c r="B2469" t="s">
        <v>115</v>
      </c>
      <c r="C2469" t="s">
        <v>105</v>
      </c>
      <c r="D2469" t="s">
        <v>116</v>
      </c>
      <c r="E2469" t="s">
        <v>117</v>
      </c>
      <c r="F2469" cm="1">
        <f t="array" ref="F2469">_xlfn.XLOOKUP(Food_Orders[[#This Row],[Event_No]],Event_Master[[#All],[Event_No]],Event_Master[[#All],[Guest_Count]],,0)</f>
        <v>380</v>
      </c>
      <c r="G2469" cm="1">
        <f t="array" ref="G2469">Food_Orders[[#This Row],[Quantity_Orderd]]*_xlfn.XLOOKUP(Food_Orders[[#This Row],[Food_ID]],Food_Catalog[[#All],[Food_ID]],Food_Catalog[[#All],[Price_Per_Unit]],0,0)</f>
        <v>9500</v>
      </c>
      <c r="H2469" cm="1">
        <f t="array" ref="H2469">Food_Orders[[#This Row],[Quantity_Orderd]]*_xlfn.XLOOKUP(Food_Orders[[#This Row],[Food_ID]],Food_Catalog[[#All],[Food_ID]],Food_Catalog[[#All],[Client_Price_Per_Unit]],0,0)</f>
        <v>11400</v>
      </c>
      <c r="I2469">
        <f>Food_Orders[[#This Row],[Client_Price]]-Food_Orders[[#This Row],[Cost]]</f>
        <v>1900</v>
      </c>
    </row>
    <row r="2470" spans="1:9" x14ac:dyDescent="0.25">
      <c r="A2470">
        <v>105</v>
      </c>
      <c r="B2470" t="s">
        <v>110</v>
      </c>
      <c r="C2470" t="s">
        <v>105</v>
      </c>
      <c r="D2470" t="s">
        <v>111</v>
      </c>
      <c r="E2470" t="s">
        <v>112</v>
      </c>
      <c r="F2470" cm="1">
        <f t="array" ref="F2470">_xlfn.XLOOKUP(Food_Orders[[#This Row],[Event_No]],Event_Master[[#All],[Event_No]],Event_Master[[#All],[Guest_Count]],,0)</f>
        <v>380</v>
      </c>
      <c r="G2470" cm="1">
        <f t="array" ref="G2470">Food_Orders[[#This Row],[Quantity_Orderd]]*_xlfn.XLOOKUP(Food_Orders[[#This Row],[Food_ID]],Food_Catalog[[#All],[Food_ID]],Food_Catalog[[#All],[Price_Per_Unit]],0,0)</f>
        <v>7600</v>
      </c>
      <c r="H2470" cm="1">
        <f t="array" ref="H2470">Food_Orders[[#This Row],[Quantity_Orderd]]*_xlfn.XLOOKUP(Food_Orders[[#This Row],[Food_ID]],Food_Catalog[[#All],[Food_ID]],Food_Catalog[[#All],[Client_Price_Per_Unit]],0,0)</f>
        <v>9120</v>
      </c>
      <c r="I2470">
        <f>Food_Orders[[#This Row],[Client_Price]]-Food_Orders[[#This Row],[Cost]]</f>
        <v>1520</v>
      </c>
    </row>
    <row r="2471" spans="1:9" x14ac:dyDescent="0.25">
      <c r="A2471">
        <v>105</v>
      </c>
      <c r="B2471" t="s">
        <v>118</v>
      </c>
      <c r="C2471" t="s">
        <v>119</v>
      </c>
      <c r="D2471" t="s">
        <v>120</v>
      </c>
      <c r="E2471" t="s">
        <v>112</v>
      </c>
      <c r="F2471" cm="1">
        <f t="array" ref="F2471">_xlfn.XLOOKUP(Food_Orders[[#This Row],[Event_No]],Event_Master[[#All],[Event_No]],Event_Master[[#All],[Guest_Count]],,0)</f>
        <v>380</v>
      </c>
      <c r="G2471" cm="1">
        <f t="array" ref="G2471">Food_Orders[[#This Row],[Quantity_Orderd]]*_xlfn.XLOOKUP(Food_Orders[[#This Row],[Food_ID]],Food_Catalog[[#All],[Food_ID]],Food_Catalog[[#All],[Price_Per_Unit]],0,0)</f>
        <v>3800</v>
      </c>
      <c r="H2471" cm="1">
        <f t="array" ref="H2471">Food_Orders[[#This Row],[Quantity_Orderd]]*_xlfn.XLOOKUP(Food_Orders[[#This Row],[Food_ID]],Food_Catalog[[#All],[Food_ID]],Food_Catalog[[#All],[Client_Price_Per_Unit]],0,0)</f>
        <v>4560</v>
      </c>
      <c r="I2471">
        <f>Food_Orders[[#This Row],[Client_Price]]-Food_Orders[[#This Row],[Cost]]</f>
        <v>760</v>
      </c>
    </row>
    <row r="2472" spans="1:9" x14ac:dyDescent="0.25">
      <c r="A2472">
        <v>105</v>
      </c>
      <c r="B2472" t="s">
        <v>127</v>
      </c>
      <c r="C2472" t="s">
        <v>119</v>
      </c>
      <c r="D2472" t="s">
        <v>128</v>
      </c>
      <c r="E2472" t="s">
        <v>107</v>
      </c>
      <c r="F2472" cm="1">
        <f t="array" ref="F2472">_xlfn.XLOOKUP(Food_Orders[[#This Row],[Event_No]],Event_Master[[#All],[Event_No]],Event_Master[[#All],[Guest_Count]],,0)</f>
        <v>380</v>
      </c>
      <c r="G2472" cm="1">
        <f t="array" ref="G2472">Food_Orders[[#This Row],[Quantity_Orderd]]*_xlfn.XLOOKUP(Food_Orders[[#This Row],[Food_ID]],Food_Catalog[[#All],[Food_ID]],Food_Catalog[[#All],[Price_Per_Unit]],0,0)</f>
        <v>7600</v>
      </c>
      <c r="H2472" cm="1">
        <f t="array" ref="H2472">Food_Orders[[#This Row],[Quantity_Orderd]]*_xlfn.XLOOKUP(Food_Orders[[#This Row],[Food_ID]],Food_Catalog[[#All],[Food_ID]],Food_Catalog[[#All],[Client_Price_Per_Unit]],0,0)</f>
        <v>9120</v>
      </c>
      <c r="I2472">
        <f>Food_Orders[[#This Row],[Client_Price]]-Food_Orders[[#This Row],[Cost]]</f>
        <v>1520</v>
      </c>
    </row>
    <row r="2473" spans="1:9" x14ac:dyDescent="0.25">
      <c r="A2473">
        <v>106</v>
      </c>
      <c r="B2473" t="s">
        <v>118</v>
      </c>
      <c r="C2473" t="s">
        <v>119</v>
      </c>
      <c r="D2473" t="s">
        <v>120</v>
      </c>
      <c r="E2473" t="s">
        <v>112</v>
      </c>
      <c r="F2473" cm="1">
        <f t="array" ref="F2473">_xlfn.XLOOKUP(Food_Orders[[#This Row],[Event_No]],Event_Master[[#All],[Event_No]],Event_Master[[#All],[Guest_Count]],,0)</f>
        <v>100</v>
      </c>
      <c r="G2473" cm="1">
        <f t="array" ref="G2473">Food_Orders[[#This Row],[Quantity_Orderd]]*_xlfn.XLOOKUP(Food_Orders[[#This Row],[Food_ID]],Food_Catalog[[#All],[Food_ID]],Food_Catalog[[#All],[Price_Per_Unit]],0,0)</f>
        <v>1000</v>
      </c>
      <c r="H2473" cm="1">
        <f t="array" ref="H2473">Food_Orders[[#This Row],[Quantity_Orderd]]*_xlfn.XLOOKUP(Food_Orders[[#This Row],[Food_ID]],Food_Catalog[[#All],[Food_ID]],Food_Catalog[[#All],[Client_Price_Per_Unit]],0,0)</f>
        <v>1200</v>
      </c>
      <c r="I2473">
        <f>Food_Orders[[#This Row],[Client_Price]]-Food_Orders[[#This Row],[Cost]]</f>
        <v>200</v>
      </c>
    </row>
    <row r="2474" spans="1:9" x14ac:dyDescent="0.25">
      <c r="A2474">
        <v>106</v>
      </c>
      <c r="B2474" t="s">
        <v>129</v>
      </c>
      <c r="C2474" t="s">
        <v>119</v>
      </c>
      <c r="D2474" t="s">
        <v>130</v>
      </c>
      <c r="E2474" t="s">
        <v>112</v>
      </c>
      <c r="F2474" cm="1">
        <f t="array" ref="F2474">_xlfn.XLOOKUP(Food_Orders[[#This Row],[Event_No]],Event_Master[[#All],[Event_No]],Event_Master[[#All],[Guest_Count]],,0)</f>
        <v>100</v>
      </c>
      <c r="G2474" cm="1">
        <f t="array" ref="G2474">Food_Orders[[#This Row],[Quantity_Orderd]]*_xlfn.XLOOKUP(Food_Orders[[#This Row],[Food_ID]],Food_Catalog[[#All],[Food_ID]],Food_Catalog[[#All],[Price_Per_Unit]],0,0)</f>
        <v>1000</v>
      </c>
      <c r="H2474" cm="1">
        <f t="array" ref="H2474">Food_Orders[[#This Row],[Quantity_Orderd]]*_xlfn.XLOOKUP(Food_Orders[[#This Row],[Food_ID]],Food_Catalog[[#All],[Food_ID]],Food_Catalog[[#All],[Client_Price_Per_Unit]],0,0)</f>
        <v>1200</v>
      </c>
      <c r="I2474">
        <f>Food_Orders[[#This Row],[Client_Price]]-Food_Orders[[#This Row],[Cost]]</f>
        <v>200</v>
      </c>
    </row>
    <row r="2475" spans="1:9" x14ac:dyDescent="0.25">
      <c r="A2475">
        <v>106</v>
      </c>
      <c r="B2475" t="s">
        <v>104</v>
      </c>
      <c r="C2475" t="s">
        <v>105</v>
      </c>
      <c r="D2475" t="s">
        <v>106</v>
      </c>
      <c r="E2475" t="s">
        <v>107</v>
      </c>
      <c r="F2475" cm="1">
        <f t="array" ref="F2475">_xlfn.XLOOKUP(Food_Orders[[#This Row],[Event_No]],Event_Master[[#All],[Event_No]],Event_Master[[#All],[Guest_Count]],,0)</f>
        <v>100</v>
      </c>
      <c r="G2475" cm="1">
        <f t="array" ref="G2475">Food_Orders[[#This Row],[Quantity_Orderd]]*_xlfn.XLOOKUP(Food_Orders[[#This Row],[Food_ID]],Food_Catalog[[#All],[Food_ID]],Food_Catalog[[#All],[Price_Per_Unit]],0,0)</f>
        <v>1000</v>
      </c>
      <c r="H2475" cm="1">
        <f t="array" ref="H2475">Food_Orders[[#This Row],[Quantity_Orderd]]*_xlfn.XLOOKUP(Food_Orders[[#This Row],[Food_ID]],Food_Catalog[[#All],[Food_ID]],Food_Catalog[[#All],[Client_Price_Per_Unit]],0,0)</f>
        <v>1200</v>
      </c>
      <c r="I2475">
        <f>Food_Orders[[#This Row],[Client_Price]]-Food_Orders[[#This Row],[Cost]]</f>
        <v>200</v>
      </c>
    </row>
    <row r="2476" spans="1:9" x14ac:dyDescent="0.25">
      <c r="A2476">
        <v>106</v>
      </c>
      <c r="B2476" t="s">
        <v>108</v>
      </c>
      <c r="C2476" t="s">
        <v>105</v>
      </c>
      <c r="D2476" t="s">
        <v>109</v>
      </c>
      <c r="E2476" t="s">
        <v>107</v>
      </c>
      <c r="F2476" cm="1">
        <f t="array" ref="F2476">_xlfn.XLOOKUP(Food_Orders[[#This Row],[Event_No]],Event_Master[[#All],[Event_No]],Event_Master[[#All],[Guest_Count]],,0)</f>
        <v>100</v>
      </c>
      <c r="G2476" cm="1">
        <f t="array" ref="G2476">Food_Orders[[#This Row],[Quantity_Orderd]]*_xlfn.XLOOKUP(Food_Orders[[#This Row],[Food_ID]],Food_Catalog[[#All],[Food_ID]],Food_Catalog[[#All],[Price_Per_Unit]],0,0)</f>
        <v>1500</v>
      </c>
      <c r="H2476" cm="1">
        <f t="array" ref="H2476">Food_Orders[[#This Row],[Quantity_Orderd]]*_xlfn.XLOOKUP(Food_Orders[[#This Row],[Food_ID]],Food_Catalog[[#All],[Food_ID]],Food_Catalog[[#All],[Client_Price_Per_Unit]],0,0)</f>
        <v>1800</v>
      </c>
      <c r="I2476">
        <f>Food_Orders[[#This Row],[Client_Price]]-Food_Orders[[#This Row],[Cost]]</f>
        <v>300</v>
      </c>
    </row>
    <row r="2477" spans="1:9" x14ac:dyDescent="0.25">
      <c r="A2477">
        <v>106</v>
      </c>
      <c r="B2477" t="s">
        <v>124</v>
      </c>
      <c r="C2477" t="s">
        <v>119</v>
      </c>
      <c r="D2477" t="s">
        <v>125</v>
      </c>
      <c r="E2477" t="s">
        <v>126</v>
      </c>
      <c r="F2477" cm="1">
        <f t="array" ref="F2477">_xlfn.XLOOKUP(Food_Orders[[#This Row],[Event_No]],Event_Master[[#All],[Event_No]],Event_Master[[#All],[Guest_Count]],,0)</f>
        <v>100</v>
      </c>
      <c r="G2477" cm="1">
        <f t="array" ref="G2477">Food_Orders[[#This Row],[Quantity_Orderd]]*_xlfn.XLOOKUP(Food_Orders[[#This Row],[Food_ID]],Food_Catalog[[#All],[Food_ID]],Food_Catalog[[#All],[Price_Per_Unit]],0,0)</f>
        <v>2000</v>
      </c>
      <c r="H2477" cm="1">
        <f t="array" ref="H2477">Food_Orders[[#This Row],[Quantity_Orderd]]*_xlfn.XLOOKUP(Food_Orders[[#This Row],[Food_ID]],Food_Catalog[[#All],[Food_ID]],Food_Catalog[[#All],[Client_Price_Per_Unit]],0,0)</f>
        <v>2400</v>
      </c>
      <c r="I2477">
        <f>Food_Orders[[#This Row],[Client_Price]]-Food_Orders[[#This Row],[Cost]]</f>
        <v>400</v>
      </c>
    </row>
    <row r="2478" spans="1:9" x14ac:dyDescent="0.25">
      <c r="A2478">
        <v>106</v>
      </c>
      <c r="B2478" t="s">
        <v>121</v>
      </c>
      <c r="C2478" t="s">
        <v>119</v>
      </c>
      <c r="D2478" t="s">
        <v>122</v>
      </c>
      <c r="E2478" t="s">
        <v>123</v>
      </c>
      <c r="F2478" cm="1">
        <f t="array" ref="F2478">_xlfn.XLOOKUP(Food_Orders[[#This Row],[Event_No]],Event_Master[[#All],[Event_No]],Event_Master[[#All],[Guest_Count]],,0)</f>
        <v>100</v>
      </c>
      <c r="G2478" cm="1">
        <f t="array" ref="G2478">Food_Orders[[#This Row],[Quantity_Orderd]]*_xlfn.XLOOKUP(Food_Orders[[#This Row],[Food_ID]],Food_Catalog[[#All],[Food_ID]],Food_Catalog[[#All],[Price_Per_Unit]],0,0)</f>
        <v>1000</v>
      </c>
      <c r="H2478" cm="1">
        <f t="array" ref="H2478">Food_Orders[[#This Row],[Quantity_Orderd]]*_xlfn.XLOOKUP(Food_Orders[[#This Row],[Food_ID]],Food_Catalog[[#All],[Food_ID]],Food_Catalog[[#All],[Client_Price_Per_Unit]],0,0)</f>
        <v>1200</v>
      </c>
      <c r="I2478">
        <f>Food_Orders[[#This Row],[Client_Price]]-Food_Orders[[#This Row],[Cost]]</f>
        <v>200</v>
      </c>
    </row>
    <row r="2479" spans="1:9" x14ac:dyDescent="0.25">
      <c r="A2479">
        <v>106</v>
      </c>
      <c r="B2479" t="s">
        <v>63</v>
      </c>
      <c r="C2479" t="s">
        <v>61</v>
      </c>
      <c r="D2479" t="s">
        <v>64</v>
      </c>
      <c r="E2479" t="s">
        <v>10</v>
      </c>
      <c r="F2479" cm="1">
        <f t="array" ref="F2479">_xlfn.XLOOKUP(Food_Orders[[#This Row],[Event_No]],Event_Master[[#All],[Event_No]],Event_Master[[#All],[Guest_Count]],,0)</f>
        <v>100</v>
      </c>
      <c r="G2479" cm="1">
        <f t="array" ref="G2479">Food_Orders[[#This Row],[Quantity_Orderd]]*_xlfn.XLOOKUP(Food_Orders[[#This Row],[Food_ID]],Food_Catalog[[#All],[Food_ID]],Food_Catalog[[#All],[Price_Per_Unit]],0,0)</f>
        <v>3000</v>
      </c>
      <c r="H2479" cm="1">
        <f t="array" ref="H2479">Food_Orders[[#This Row],[Quantity_Orderd]]*_xlfn.XLOOKUP(Food_Orders[[#This Row],[Food_ID]],Food_Catalog[[#All],[Food_ID]],Food_Catalog[[#All],[Client_Price_Per_Unit]],0,0)</f>
        <v>3600</v>
      </c>
      <c r="I2479">
        <f>Food_Orders[[#This Row],[Client_Price]]-Food_Orders[[#This Row],[Cost]]</f>
        <v>600</v>
      </c>
    </row>
    <row r="2480" spans="1:9" x14ac:dyDescent="0.25">
      <c r="A2480">
        <v>106</v>
      </c>
      <c r="B2480" t="s">
        <v>71</v>
      </c>
      <c r="C2480" t="s">
        <v>61</v>
      </c>
      <c r="D2480" t="s">
        <v>72</v>
      </c>
      <c r="E2480" t="s">
        <v>10</v>
      </c>
      <c r="F2480" cm="1">
        <f t="array" ref="F2480">_xlfn.XLOOKUP(Food_Orders[[#This Row],[Event_No]],Event_Master[[#All],[Event_No]],Event_Master[[#All],[Guest_Count]],,0)</f>
        <v>100</v>
      </c>
      <c r="G2480" cm="1">
        <f t="array" ref="G2480">Food_Orders[[#This Row],[Quantity_Orderd]]*_xlfn.XLOOKUP(Food_Orders[[#This Row],[Food_ID]],Food_Catalog[[#All],[Food_ID]],Food_Catalog[[#All],[Price_Per_Unit]],0,0)</f>
        <v>2500</v>
      </c>
      <c r="H2480" cm="1">
        <f t="array" ref="H2480">Food_Orders[[#This Row],[Quantity_Orderd]]*_xlfn.XLOOKUP(Food_Orders[[#This Row],[Food_ID]],Food_Catalog[[#All],[Food_ID]],Food_Catalog[[#All],[Client_Price_Per_Unit]],0,0)</f>
        <v>3000</v>
      </c>
      <c r="I2480">
        <f>Food_Orders[[#This Row],[Client_Price]]-Food_Orders[[#This Row],[Cost]]</f>
        <v>500</v>
      </c>
    </row>
    <row r="2481" spans="1:9" x14ac:dyDescent="0.25">
      <c r="A2481">
        <v>106</v>
      </c>
      <c r="B2481" t="s">
        <v>29</v>
      </c>
      <c r="C2481" t="s">
        <v>8</v>
      </c>
      <c r="D2481" t="s">
        <v>30</v>
      </c>
      <c r="E2481" t="s">
        <v>10</v>
      </c>
      <c r="F2481" cm="1">
        <f t="array" ref="F2481">_xlfn.XLOOKUP(Food_Orders[[#This Row],[Event_No]],Event_Master[[#All],[Event_No]],Event_Master[[#All],[Guest_Count]],,0)</f>
        <v>100</v>
      </c>
      <c r="G2481" cm="1">
        <f t="array" ref="G2481">Food_Orders[[#This Row],[Quantity_Orderd]]*_xlfn.XLOOKUP(Food_Orders[[#This Row],[Food_ID]],Food_Catalog[[#All],[Food_ID]],Food_Catalog[[#All],[Price_Per_Unit]],0,0)</f>
        <v>3000</v>
      </c>
      <c r="H2481" cm="1">
        <f t="array" ref="H2481">Food_Orders[[#This Row],[Quantity_Orderd]]*_xlfn.XLOOKUP(Food_Orders[[#This Row],[Food_ID]],Food_Catalog[[#All],[Food_ID]],Food_Catalog[[#All],[Client_Price_Per_Unit]],0,0)</f>
        <v>3600</v>
      </c>
      <c r="I2481">
        <f>Food_Orders[[#This Row],[Client_Price]]-Food_Orders[[#This Row],[Cost]]</f>
        <v>600</v>
      </c>
    </row>
    <row r="2482" spans="1:9" x14ac:dyDescent="0.25">
      <c r="A2482">
        <v>106</v>
      </c>
      <c r="B2482" t="s">
        <v>37</v>
      </c>
      <c r="C2482" t="s">
        <v>8</v>
      </c>
      <c r="D2482" t="s">
        <v>38</v>
      </c>
      <c r="E2482" t="s">
        <v>10</v>
      </c>
      <c r="F2482" cm="1">
        <f t="array" ref="F2482">_xlfn.XLOOKUP(Food_Orders[[#This Row],[Event_No]],Event_Master[[#All],[Event_No]],Event_Master[[#All],[Guest_Count]],,0)</f>
        <v>100</v>
      </c>
      <c r="G2482" cm="1">
        <f t="array" ref="G2482">Food_Orders[[#This Row],[Quantity_Orderd]]*_xlfn.XLOOKUP(Food_Orders[[#This Row],[Food_ID]],Food_Catalog[[#All],[Food_ID]],Food_Catalog[[#All],[Price_Per_Unit]],0,0)</f>
        <v>2500</v>
      </c>
      <c r="H2482" cm="1">
        <f t="array" ref="H2482">Food_Orders[[#This Row],[Quantity_Orderd]]*_xlfn.XLOOKUP(Food_Orders[[#This Row],[Food_ID]],Food_Catalog[[#All],[Food_ID]],Food_Catalog[[#All],[Client_Price_Per_Unit]],0,0)</f>
        <v>3000</v>
      </c>
      <c r="I2482">
        <f>Food_Orders[[#This Row],[Client_Price]]-Food_Orders[[#This Row],[Cost]]</f>
        <v>500</v>
      </c>
    </row>
    <row r="2483" spans="1:9" x14ac:dyDescent="0.25">
      <c r="A2483">
        <v>106</v>
      </c>
      <c r="B2483" t="s">
        <v>82</v>
      </c>
      <c r="C2483" t="s">
        <v>83</v>
      </c>
      <c r="D2483" t="s">
        <v>84</v>
      </c>
      <c r="E2483" t="s">
        <v>85</v>
      </c>
      <c r="F2483" cm="1">
        <f t="array" ref="F2483">_xlfn.XLOOKUP(Food_Orders[[#This Row],[Event_No]],Event_Master[[#All],[Event_No]],Event_Master[[#All],[Guest_Count]],,0)</f>
        <v>100</v>
      </c>
      <c r="G2483" cm="1">
        <f t="array" ref="G2483">Food_Orders[[#This Row],[Quantity_Orderd]]*_xlfn.XLOOKUP(Food_Orders[[#This Row],[Food_ID]],Food_Catalog[[#All],[Food_ID]],Food_Catalog[[#All],[Price_Per_Unit]],0,0)</f>
        <v>2000</v>
      </c>
      <c r="H2483" cm="1">
        <f t="array" ref="H2483">Food_Orders[[#This Row],[Quantity_Orderd]]*_xlfn.XLOOKUP(Food_Orders[[#This Row],[Food_ID]],Food_Catalog[[#All],[Food_ID]],Food_Catalog[[#All],[Client_Price_Per_Unit]],0,0)</f>
        <v>2400</v>
      </c>
      <c r="I2483">
        <f>Food_Orders[[#This Row],[Client_Price]]-Food_Orders[[#This Row],[Cost]]</f>
        <v>400</v>
      </c>
    </row>
    <row r="2484" spans="1:9" x14ac:dyDescent="0.25">
      <c r="A2484">
        <v>106</v>
      </c>
      <c r="B2484" t="s">
        <v>96</v>
      </c>
      <c r="C2484" t="s">
        <v>83</v>
      </c>
      <c r="D2484" t="s">
        <v>97</v>
      </c>
      <c r="E2484" t="s">
        <v>79</v>
      </c>
      <c r="F2484" cm="1">
        <f t="array" ref="F2484">_xlfn.XLOOKUP(Food_Orders[[#This Row],[Event_No]],Event_Master[[#All],[Event_No]],Event_Master[[#All],[Guest_Count]],,0)</f>
        <v>100</v>
      </c>
      <c r="G2484" cm="1">
        <f t="array" ref="G2484">Food_Orders[[#This Row],[Quantity_Orderd]]*_xlfn.XLOOKUP(Food_Orders[[#This Row],[Food_ID]],Food_Catalog[[#All],[Food_ID]],Food_Catalog[[#All],[Price_Per_Unit]],0,0)</f>
        <v>3000</v>
      </c>
      <c r="H2484" cm="1">
        <f t="array" ref="H2484">Food_Orders[[#This Row],[Quantity_Orderd]]*_xlfn.XLOOKUP(Food_Orders[[#This Row],[Food_ID]],Food_Catalog[[#All],[Food_ID]],Food_Catalog[[#All],[Client_Price_Per_Unit]],0,0)</f>
        <v>3600</v>
      </c>
      <c r="I2484">
        <f>Food_Orders[[#This Row],[Client_Price]]-Food_Orders[[#This Row],[Cost]]</f>
        <v>600</v>
      </c>
    </row>
    <row r="2485" spans="1:9" x14ac:dyDescent="0.25">
      <c r="A2485">
        <v>106</v>
      </c>
      <c r="B2485" t="s">
        <v>92</v>
      </c>
      <c r="C2485" t="s">
        <v>83</v>
      </c>
      <c r="D2485" t="s">
        <v>93</v>
      </c>
      <c r="E2485" t="s">
        <v>85</v>
      </c>
      <c r="F2485" cm="1">
        <f t="array" ref="F2485">_xlfn.XLOOKUP(Food_Orders[[#This Row],[Event_No]],Event_Master[[#All],[Event_No]],Event_Master[[#All],[Guest_Count]],,0)</f>
        <v>100</v>
      </c>
      <c r="G2485" cm="1">
        <f t="array" ref="G2485">Food_Orders[[#This Row],[Quantity_Orderd]]*_xlfn.XLOOKUP(Food_Orders[[#This Row],[Food_ID]],Food_Catalog[[#All],[Food_ID]],Food_Catalog[[#All],[Price_Per_Unit]],0,0)</f>
        <v>1500</v>
      </c>
      <c r="H2485" cm="1">
        <f t="array" ref="H2485">Food_Orders[[#This Row],[Quantity_Orderd]]*_xlfn.XLOOKUP(Food_Orders[[#This Row],[Food_ID]],Food_Catalog[[#All],[Food_ID]],Food_Catalog[[#All],[Client_Price_Per_Unit]],0,0)</f>
        <v>1800</v>
      </c>
      <c r="I2485">
        <f>Food_Orders[[#This Row],[Client_Price]]-Food_Orders[[#This Row],[Cost]]</f>
        <v>300</v>
      </c>
    </row>
    <row r="2486" spans="1:9" x14ac:dyDescent="0.25">
      <c r="A2486">
        <v>107</v>
      </c>
      <c r="B2486" t="s">
        <v>60</v>
      </c>
      <c r="C2486" t="s">
        <v>61</v>
      </c>
      <c r="D2486" t="s">
        <v>62</v>
      </c>
      <c r="E2486" t="s">
        <v>10</v>
      </c>
      <c r="F2486" cm="1">
        <f t="array" ref="F2486">_xlfn.XLOOKUP(Food_Orders[[#This Row],[Event_No]],Event_Master[[#All],[Event_No]],Event_Master[[#All],[Guest_Count]],,0)</f>
        <v>950</v>
      </c>
      <c r="G2486" cm="1">
        <f t="array" ref="G2486">Food_Orders[[#This Row],[Quantity_Orderd]]*_xlfn.XLOOKUP(Food_Orders[[#This Row],[Food_ID]],Food_Catalog[[#All],[Food_ID]],Food_Catalog[[#All],[Price_Per_Unit]],0,0)</f>
        <v>19000</v>
      </c>
      <c r="H2486" cm="1">
        <f t="array" ref="H2486">Food_Orders[[#This Row],[Quantity_Orderd]]*_xlfn.XLOOKUP(Food_Orders[[#This Row],[Food_ID]],Food_Catalog[[#All],[Food_ID]],Food_Catalog[[#All],[Client_Price_Per_Unit]],0,0)</f>
        <v>22800</v>
      </c>
      <c r="I2486">
        <f>Food_Orders[[#This Row],[Client_Price]]-Food_Orders[[#This Row],[Cost]]</f>
        <v>3800</v>
      </c>
    </row>
    <row r="2487" spans="1:9" x14ac:dyDescent="0.25">
      <c r="A2487">
        <v>107</v>
      </c>
      <c r="B2487" t="s">
        <v>63</v>
      </c>
      <c r="C2487" t="s">
        <v>61</v>
      </c>
      <c r="D2487" t="s">
        <v>64</v>
      </c>
      <c r="E2487" t="s">
        <v>10</v>
      </c>
      <c r="F2487" cm="1">
        <f t="array" ref="F2487">_xlfn.XLOOKUP(Food_Orders[[#This Row],[Event_No]],Event_Master[[#All],[Event_No]],Event_Master[[#All],[Guest_Count]],,0)</f>
        <v>950</v>
      </c>
      <c r="G2487" cm="1">
        <f t="array" ref="G2487">Food_Orders[[#This Row],[Quantity_Orderd]]*_xlfn.XLOOKUP(Food_Orders[[#This Row],[Food_ID]],Food_Catalog[[#All],[Food_ID]],Food_Catalog[[#All],[Price_Per_Unit]],0,0)</f>
        <v>28500</v>
      </c>
      <c r="H2487" cm="1">
        <f t="array" ref="H2487">Food_Orders[[#This Row],[Quantity_Orderd]]*_xlfn.XLOOKUP(Food_Orders[[#This Row],[Food_ID]],Food_Catalog[[#All],[Food_ID]],Food_Catalog[[#All],[Client_Price_Per_Unit]],0,0)</f>
        <v>34200</v>
      </c>
      <c r="I2487">
        <f>Food_Orders[[#This Row],[Client_Price]]-Food_Orders[[#This Row],[Cost]]</f>
        <v>5700</v>
      </c>
    </row>
    <row r="2488" spans="1:9" x14ac:dyDescent="0.25">
      <c r="A2488">
        <v>107</v>
      </c>
      <c r="B2488" t="s">
        <v>71</v>
      </c>
      <c r="C2488" t="s">
        <v>61</v>
      </c>
      <c r="D2488" t="s">
        <v>72</v>
      </c>
      <c r="E2488" t="s">
        <v>10</v>
      </c>
      <c r="F2488" cm="1">
        <f t="array" ref="F2488">_xlfn.XLOOKUP(Food_Orders[[#This Row],[Event_No]],Event_Master[[#All],[Event_No]],Event_Master[[#All],[Guest_Count]],,0)</f>
        <v>950</v>
      </c>
      <c r="G2488" cm="1">
        <f t="array" ref="G2488">Food_Orders[[#This Row],[Quantity_Orderd]]*_xlfn.XLOOKUP(Food_Orders[[#This Row],[Food_ID]],Food_Catalog[[#All],[Food_ID]],Food_Catalog[[#All],[Price_Per_Unit]],0,0)</f>
        <v>23750</v>
      </c>
      <c r="H2488" cm="1">
        <f t="array" ref="H2488">Food_Orders[[#This Row],[Quantity_Orderd]]*_xlfn.XLOOKUP(Food_Orders[[#This Row],[Food_ID]],Food_Catalog[[#All],[Food_ID]],Food_Catalog[[#All],[Client_Price_Per_Unit]],0,0)</f>
        <v>28500</v>
      </c>
      <c r="I2488">
        <f>Food_Orders[[#This Row],[Client_Price]]-Food_Orders[[#This Row],[Cost]]</f>
        <v>4750</v>
      </c>
    </row>
    <row r="2489" spans="1:9" x14ac:dyDescent="0.25">
      <c r="A2489">
        <v>107</v>
      </c>
      <c r="B2489" t="s">
        <v>80</v>
      </c>
      <c r="C2489" t="s">
        <v>61</v>
      </c>
      <c r="D2489" t="s">
        <v>81</v>
      </c>
      <c r="E2489" t="s">
        <v>10</v>
      </c>
      <c r="F2489" cm="1">
        <f t="array" ref="F2489">_xlfn.XLOOKUP(Food_Orders[[#This Row],[Event_No]],Event_Master[[#All],[Event_No]],Event_Master[[#All],[Guest_Count]],,0)</f>
        <v>950</v>
      </c>
      <c r="G2489" cm="1">
        <f t="array" ref="G2489">Food_Orders[[#This Row],[Quantity_Orderd]]*_xlfn.XLOOKUP(Food_Orders[[#This Row],[Food_ID]],Food_Catalog[[#All],[Food_ID]],Food_Catalog[[#All],[Price_Per_Unit]],0,0)</f>
        <v>28500</v>
      </c>
      <c r="H2489" cm="1">
        <f t="array" ref="H2489">Food_Orders[[#This Row],[Quantity_Orderd]]*_xlfn.XLOOKUP(Food_Orders[[#This Row],[Food_ID]],Food_Catalog[[#All],[Food_ID]],Food_Catalog[[#All],[Client_Price_Per_Unit]],0,0)</f>
        <v>34200</v>
      </c>
      <c r="I2489">
        <f>Food_Orders[[#This Row],[Client_Price]]-Food_Orders[[#This Row],[Cost]]</f>
        <v>5700</v>
      </c>
    </row>
    <row r="2490" spans="1:9" x14ac:dyDescent="0.25">
      <c r="A2490">
        <v>107</v>
      </c>
      <c r="B2490" t="s">
        <v>73</v>
      </c>
      <c r="C2490" t="s">
        <v>61</v>
      </c>
      <c r="D2490" t="s">
        <v>74</v>
      </c>
      <c r="E2490" t="s">
        <v>10</v>
      </c>
      <c r="F2490" cm="1">
        <f t="array" ref="F2490">_xlfn.XLOOKUP(Food_Orders[[#This Row],[Event_No]],Event_Master[[#All],[Event_No]],Event_Master[[#All],[Guest_Count]],,0)</f>
        <v>950</v>
      </c>
      <c r="G2490" cm="1">
        <f t="array" ref="G2490">Food_Orders[[#This Row],[Quantity_Orderd]]*_xlfn.XLOOKUP(Food_Orders[[#This Row],[Food_ID]],Food_Catalog[[#All],[Food_ID]],Food_Catalog[[#All],[Price_Per_Unit]],0,0)</f>
        <v>38000</v>
      </c>
      <c r="H2490" cm="1">
        <f t="array" ref="H2490">Food_Orders[[#This Row],[Quantity_Orderd]]*_xlfn.XLOOKUP(Food_Orders[[#This Row],[Food_ID]],Food_Catalog[[#All],[Food_ID]],Food_Catalog[[#All],[Client_Price_Per_Unit]],0,0)</f>
        <v>45600</v>
      </c>
      <c r="I2490">
        <f>Food_Orders[[#This Row],[Client_Price]]-Food_Orders[[#This Row],[Cost]]</f>
        <v>7600</v>
      </c>
    </row>
    <row r="2491" spans="1:9" x14ac:dyDescent="0.25">
      <c r="A2491">
        <v>107</v>
      </c>
      <c r="B2491" t="s">
        <v>75</v>
      </c>
      <c r="C2491" t="s">
        <v>61</v>
      </c>
      <c r="D2491" t="s">
        <v>76</v>
      </c>
      <c r="E2491" t="s">
        <v>10</v>
      </c>
      <c r="F2491" cm="1">
        <f t="array" ref="F2491">_xlfn.XLOOKUP(Food_Orders[[#This Row],[Event_No]],Event_Master[[#All],[Event_No]],Event_Master[[#All],[Guest_Count]],,0)</f>
        <v>950</v>
      </c>
      <c r="G2491" cm="1">
        <f t="array" ref="G2491">Food_Orders[[#This Row],[Quantity_Orderd]]*_xlfn.XLOOKUP(Food_Orders[[#This Row],[Food_ID]],Food_Catalog[[#All],[Food_ID]],Food_Catalog[[#All],[Price_Per_Unit]],0,0)</f>
        <v>38000</v>
      </c>
      <c r="H2491" cm="1">
        <f t="array" ref="H2491">Food_Orders[[#This Row],[Quantity_Orderd]]*_xlfn.XLOOKUP(Food_Orders[[#This Row],[Food_ID]],Food_Catalog[[#All],[Food_ID]],Food_Catalog[[#All],[Client_Price_Per_Unit]],0,0)</f>
        <v>45600</v>
      </c>
      <c r="I2491">
        <f>Food_Orders[[#This Row],[Client_Price]]-Food_Orders[[#This Row],[Cost]]</f>
        <v>7600</v>
      </c>
    </row>
    <row r="2492" spans="1:9" x14ac:dyDescent="0.25">
      <c r="A2492">
        <v>107</v>
      </c>
      <c r="B2492" t="s">
        <v>69</v>
      </c>
      <c r="C2492" t="s">
        <v>61</v>
      </c>
      <c r="D2492" t="s">
        <v>70</v>
      </c>
      <c r="E2492" t="s">
        <v>10</v>
      </c>
      <c r="F2492" cm="1">
        <f t="array" ref="F2492">_xlfn.XLOOKUP(Food_Orders[[#This Row],[Event_No]],Event_Master[[#All],[Event_No]],Event_Master[[#All],[Guest_Count]],,0)</f>
        <v>950</v>
      </c>
      <c r="G2492" cm="1">
        <f t="array" ref="G2492">Food_Orders[[#This Row],[Quantity_Orderd]]*_xlfn.XLOOKUP(Food_Orders[[#This Row],[Food_ID]],Food_Catalog[[#All],[Food_ID]],Food_Catalog[[#All],[Price_Per_Unit]],0,0)</f>
        <v>47500</v>
      </c>
      <c r="H2492" cm="1">
        <f t="array" ref="H2492">Food_Orders[[#This Row],[Quantity_Orderd]]*_xlfn.XLOOKUP(Food_Orders[[#This Row],[Food_ID]],Food_Catalog[[#All],[Food_ID]],Food_Catalog[[#All],[Client_Price_Per_Unit]],0,0)</f>
        <v>57000</v>
      </c>
      <c r="I2492">
        <f>Food_Orders[[#This Row],[Client_Price]]-Food_Orders[[#This Row],[Cost]]</f>
        <v>9500</v>
      </c>
    </row>
    <row r="2493" spans="1:9" x14ac:dyDescent="0.25">
      <c r="A2493">
        <v>107</v>
      </c>
      <c r="B2493" t="s">
        <v>67</v>
      </c>
      <c r="C2493" t="s">
        <v>61</v>
      </c>
      <c r="D2493" t="s">
        <v>68</v>
      </c>
      <c r="E2493" t="s">
        <v>10</v>
      </c>
      <c r="F2493" cm="1">
        <f t="array" ref="F2493">_xlfn.XLOOKUP(Food_Orders[[#This Row],[Event_No]],Event_Master[[#All],[Event_No]],Event_Master[[#All],[Guest_Count]],,0)</f>
        <v>950</v>
      </c>
      <c r="G2493" cm="1">
        <f t="array" ref="G2493">Food_Orders[[#This Row],[Quantity_Orderd]]*_xlfn.XLOOKUP(Food_Orders[[#This Row],[Food_ID]],Food_Catalog[[#All],[Food_ID]],Food_Catalog[[#All],[Price_Per_Unit]],0,0)</f>
        <v>28500</v>
      </c>
      <c r="H2493" cm="1">
        <f t="array" ref="H2493">Food_Orders[[#This Row],[Quantity_Orderd]]*_xlfn.XLOOKUP(Food_Orders[[#This Row],[Food_ID]],Food_Catalog[[#All],[Food_ID]],Food_Catalog[[#All],[Client_Price_Per_Unit]],0,0)</f>
        <v>34200</v>
      </c>
      <c r="I2493">
        <f>Food_Orders[[#This Row],[Client_Price]]-Food_Orders[[#This Row],[Cost]]</f>
        <v>5700</v>
      </c>
    </row>
    <row r="2494" spans="1:9" x14ac:dyDescent="0.25">
      <c r="A2494">
        <v>107</v>
      </c>
      <c r="B2494" t="s">
        <v>77</v>
      </c>
      <c r="C2494" t="s">
        <v>61</v>
      </c>
      <c r="D2494" t="s">
        <v>78</v>
      </c>
      <c r="E2494" t="s">
        <v>79</v>
      </c>
      <c r="F2494" cm="1">
        <f t="array" ref="F2494">_xlfn.XLOOKUP(Food_Orders[[#This Row],[Event_No]],Event_Master[[#All],[Event_No]],Event_Master[[#All],[Guest_Count]],,0)</f>
        <v>950</v>
      </c>
      <c r="G2494" cm="1">
        <f t="array" ref="G2494">Food_Orders[[#This Row],[Quantity_Orderd]]*_xlfn.XLOOKUP(Food_Orders[[#This Row],[Food_ID]],Food_Catalog[[#All],[Food_ID]],Food_Catalog[[#All],[Price_Per_Unit]],0,0)</f>
        <v>33250</v>
      </c>
      <c r="H2494" cm="1">
        <f t="array" ref="H2494">Food_Orders[[#This Row],[Quantity_Orderd]]*_xlfn.XLOOKUP(Food_Orders[[#This Row],[Food_ID]],Food_Catalog[[#All],[Food_ID]],Food_Catalog[[#All],[Client_Price_Per_Unit]],0,0)</f>
        <v>39900</v>
      </c>
      <c r="I2494">
        <f>Food_Orders[[#This Row],[Client_Price]]-Food_Orders[[#This Row],[Cost]]</f>
        <v>6650</v>
      </c>
    </row>
    <row r="2495" spans="1:9" x14ac:dyDescent="0.25">
      <c r="A2495">
        <v>107</v>
      </c>
      <c r="B2495" t="s">
        <v>7</v>
      </c>
      <c r="C2495" t="s">
        <v>8</v>
      </c>
      <c r="D2495" t="s">
        <v>9</v>
      </c>
      <c r="E2495" t="s">
        <v>10</v>
      </c>
      <c r="F2495" cm="1">
        <f t="array" ref="F2495">_xlfn.XLOOKUP(Food_Orders[[#This Row],[Event_No]],Event_Master[[#All],[Event_No]],Event_Master[[#All],[Guest_Count]],,0)</f>
        <v>950</v>
      </c>
      <c r="G2495" cm="1">
        <f t="array" ref="G2495">Food_Orders[[#This Row],[Quantity_Orderd]]*_xlfn.XLOOKUP(Food_Orders[[#This Row],[Food_ID]],Food_Catalog[[#All],[Food_ID]],Food_Catalog[[#All],[Price_Per_Unit]],0,0)</f>
        <v>23750</v>
      </c>
      <c r="H2495" cm="1">
        <f t="array" ref="H2495">Food_Orders[[#This Row],[Quantity_Orderd]]*_xlfn.XLOOKUP(Food_Orders[[#This Row],[Food_ID]],Food_Catalog[[#All],[Food_ID]],Food_Catalog[[#All],[Client_Price_Per_Unit]],0,0)</f>
        <v>28500</v>
      </c>
      <c r="I2495">
        <f>Food_Orders[[#This Row],[Client_Price]]-Food_Orders[[#This Row],[Cost]]</f>
        <v>4750</v>
      </c>
    </row>
    <row r="2496" spans="1:9" x14ac:dyDescent="0.25">
      <c r="A2496">
        <v>107</v>
      </c>
      <c r="B2496" t="s">
        <v>13</v>
      </c>
      <c r="C2496" t="s">
        <v>8</v>
      </c>
      <c r="D2496" t="s">
        <v>14</v>
      </c>
      <c r="E2496" t="s">
        <v>10</v>
      </c>
      <c r="F2496" cm="1">
        <f t="array" ref="F2496">_xlfn.XLOOKUP(Food_Orders[[#This Row],[Event_No]],Event_Master[[#All],[Event_No]],Event_Master[[#All],[Guest_Count]],,0)</f>
        <v>950</v>
      </c>
      <c r="G2496" cm="1">
        <f t="array" ref="G2496">Food_Orders[[#This Row],[Quantity_Orderd]]*_xlfn.XLOOKUP(Food_Orders[[#This Row],[Food_ID]],Food_Catalog[[#All],[Food_ID]],Food_Catalog[[#All],[Price_Per_Unit]],0,0)</f>
        <v>33250</v>
      </c>
      <c r="H2496" cm="1">
        <f t="array" ref="H2496">Food_Orders[[#This Row],[Quantity_Orderd]]*_xlfn.XLOOKUP(Food_Orders[[#This Row],[Food_ID]],Food_Catalog[[#All],[Food_ID]],Food_Catalog[[#All],[Client_Price_Per_Unit]],0,0)</f>
        <v>39900</v>
      </c>
      <c r="I2496">
        <f>Food_Orders[[#This Row],[Client_Price]]-Food_Orders[[#This Row],[Cost]]</f>
        <v>6650</v>
      </c>
    </row>
    <row r="2497" spans="1:9" x14ac:dyDescent="0.25">
      <c r="A2497">
        <v>107</v>
      </c>
      <c r="B2497" t="s">
        <v>25</v>
      </c>
      <c r="C2497" t="s">
        <v>8</v>
      </c>
      <c r="D2497" t="s">
        <v>26</v>
      </c>
      <c r="E2497" t="s">
        <v>10</v>
      </c>
      <c r="F2497" cm="1">
        <f t="array" ref="F2497">_xlfn.XLOOKUP(Food_Orders[[#This Row],[Event_No]],Event_Master[[#All],[Event_No]],Event_Master[[#All],[Guest_Count]],,0)</f>
        <v>950</v>
      </c>
      <c r="G2497" cm="1">
        <f t="array" ref="G2497">Food_Orders[[#This Row],[Quantity_Orderd]]*_xlfn.XLOOKUP(Food_Orders[[#This Row],[Food_ID]],Food_Catalog[[#All],[Food_ID]],Food_Catalog[[#All],[Price_Per_Unit]],0,0)</f>
        <v>28500</v>
      </c>
      <c r="H2497" cm="1">
        <f t="array" ref="H2497">Food_Orders[[#This Row],[Quantity_Orderd]]*_xlfn.XLOOKUP(Food_Orders[[#This Row],[Food_ID]],Food_Catalog[[#All],[Food_ID]],Food_Catalog[[#All],[Client_Price_Per_Unit]],0,0)</f>
        <v>34200</v>
      </c>
      <c r="I2497">
        <f>Food_Orders[[#This Row],[Client_Price]]-Food_Orders[[#This Row],[Cost]]</f>
        <v>5700</v>
      </c>
    </row>
    <row r="2498" spans="1:9" x14ac:dyDescent="0.25">
      <c r="A2498">
        <v>107</v>
      </c>
      <c r="B2498" t="s">
        <v>15</v>
      </c>
      <c r="C2498" t="s">
        <v>8</v>
      </c>
      <c r="D2498" t="s">
        <v>16</v>
      </c>
      <c r="E2498" t="s">
        <v>10</v>
      </c>
      <c r="F2498" cm="1">
        <f t="array" ref="F2498">_xlfn.XLOOKUP(Food_Orders[[#This Row],[Event_No]],Event_Master[[#All],[Event_No]],Event_Master[[#All],[Guest_Count]],,0)</f>
        <v>950</v>
      </c>
      <c r="G2498" cm="1">
        <f t="array" ref="G2498">Food_Orders[[#This Row],[Quantity_Orderd]]*_xlfn.XLOOKUP(Food_Orders[[#This Row],[Food_ID]],Food_Catalog[[#All],[Food_ID]],Food_Catalog[[#All],[Price_Per_Unit]],0,0)</f>
        <v>28500</v>
      </c>
      <c r="H2498" cm="1">
        <f t="array" ref="H2498">Food_Orders[[#This Row],[Quantity_Orderd]]*_xlfn.XLOOKUP(Food_Orders[[#This Row],[Food_ID]],Food_Catalog[[#All],[Food_ID]],Food_Catalog[[#All],[Client_Price_Per_Unit]],0,0)</f>
        <v>34200</v>
      </c>
      <c r="I2498">
        <f>Food_Orders[[#This Row],[Client_Price]]-Food_Orders[[#This Row],[Cost]]</f>
        <v>5700</v>
      </c>
    </row>
    <row r="2499" spans="1:9" x14ac:dyDescent="0.25">
      <c r="A2499">
        <v>107</v>
      </c>
      <c r="B2499" t="s">
        <v>35</v>
      </c>
      <c r="C2499" t="s">
        <v>8</v>
      </c>
      <c r="D2499" t="s">
        <v>36</v>
      </c>
      <c r="E2499" t="s">
        <v>10</v>
      </c>
      <c r="F2499" cm="1">
        <f t="array" ref="F2499">_xlfn.XLOOKUP(Food_Orders[[#This Row],[Event_No]],Event_Master[[#All],[Event_No]],Event_Master[[#All],[Guest_Count]],,0)</f>
        <v>950</v>
      </c>
      <c r="G2499" cm="1">
        <f t="array" ref="G2499">Food_Orders[[#This Row],[Quantity_Orderd]]*_xlfn.XLOOKUP(Food_Orders[[#This Row],[Food_ID]],Food_Catalog[[#All],[Food_ID]],Food_Catalog[[#All],[Price_Per_Unit]],0,0)</f>
        <v>28500</v>
      </c>
      <c r="H2499" cm="1">
        <f t="array" ref="H2499">Food_Orders[[#This Row],[Quantity_Orderd]]*_xlfn.XLOOKUP(Food_Orders[[#This Row],[Food_ID]],Food_Catalog[[#All],[Food_ID]],Food_Catalog[[#All],[Client_Price_Per_Unit]],0,0)</f>
        <v>34200</v>
      </c>
      <c r="I2499">
        <f>Food_Orders[[#This Row],[Client_Price]]-Food_Orders[[#This Row],[Cost]]</f>
        <v>5700</v>
      </c>
    </row>
    <row r="2500" spans="1:9" x14ac:dyDescent="0.25">
      <c r="A2500">
        <v>107</v>
      </c>
      <c r="B2500" t="s">
        <v>27</v>
      </c>
      <c r="C2500" t="s">
        <v>8</v>
      </c>
      <c r="D2500" t="s">
        <v>28</v>
      </c>
      <c r="E2500" t="s">
        <v>10</v>
      </c>
      <c r="F2500" cm="1">
        <f t="array" ref="F2500">_xlfn.XLOOKUP(Food_Orders[[#This Row],[Event_No]],Event_Master[[#All],[Event_No]],Event_Master[[#All],[Guest_Count]],,0)</f>
        <v>950</v>
      </c>
      <c r="G2500" cm="1">
        <f t="array" ref="G2500">Food_Orders[[#This Row],[Quantity_Orderd]]*_xlfn.XLOOKUP(Food_Orders[[#This Row],[Food_ID]],Food_Catalog[[#All],[Food_ID]],Food_Catalog[[#All],[Price_Per_Unit]],0,0)</f>
        <v>38000</v>
      </c>
      <c r="H2500" cm="1">
        <f t="array" ref="H2500">Food_Orders[[#This Row],[Quantity_Orderd]]*_xlfn.XLOOKUP(Food_Orders[[#This Row],[Food_ID]],Food_Catalog[[#All],[Food_ID]],Food_Catalog[[#All],[Client_Price_Per_Unit]],0,0)</f>
        <v>45600</v>
      </c>
      <c r="I2500">
        <f>Food_Orders[[#This Row],[Client_Price]]-Food_Orders[[#This Row],[Cost]]</f>
        <v>7600</v>
      </c>
    </row>
    <row r="2501" spans="1:9" x14ac:dyDescent="0.25">
      <c r="A2501">
        <v>107</v>
      </c>
      <c r="B2501" t="s">
        <v>31</v>
      </c>
      <c r="C2501" t="s">
        <v>8</v>
      </c>
      <c r="D2501" t="s">
        <v>32</v>
      </c>
      <c r="E2501" t="s">
        <v>10</v>
      </c>
      <c r="F2501" cm="1">
        <f t="array" ref="F2501">_xlfn.XLOOKUP(Food_Orders[[#This Row],[Event_No]],Event_Master[[#All],[Event_No]],Event_Master[[#All],[Guest_Count]],,0)</f>
        <v>950</v>
      </c>
      <c r="G2501" cm="1">
        <f t="array" ref="G2501">Food_Orders[[#This Row],[Quantity_Orderd]]*_xlfn.XLOOKUP(Food_Orders[[#This Row],[Food_ID]],Food_Catalog[[#All],[Food_ID]],Food_Catalog[[#All],[Price_Per_Unit]],0,0)</f>
        <v>28500</v>
      </c>
      <c r="H2501" cm="1">
        <f t="array" ref="H2501">Food_Orders[[#This Row],[Quantity_Orderd]]*_xlfn.XLOOKUP(Food_Orders[[#This Row],[Food_ID]],Food_Catalog[[#All],[Food_ID]],Food_Catalog[[#All],[Client_Price_Per_Unit]],0,0)</f>
        <v>34200</v>
      </c>
      <c r="I2501">
        <f>Food_Orders[[#This Row],[Client_Price]]-Food_Orders[[#This Row],[Cost]]</f>
        <v>5700</v>
      </c>
    </row>
    <row r="2502" spans="1:9" x14ac:dyDescent="0.25">
      <c r="A2502">
        <v>107</v>
      </c>
      <c r="B2502" t="s">
        <v>33</v>
      </c>
      <c r="C2502" t="s">
        <v>8</v>
      </c>
      <c r="D2502" t="s">
        <v>34</v>
      </c>
      <c r="E2502" t="s">
        <v>10</v>
      </c>
      <c r="F2502" cm="1">
        <f t="array" ref="F2502">_xlfn.XLOOKUP(Food_Orders[[#This Row],[Event_No]],Event_Master[[#All],[Event_No]],Event_Master[[#All],[Guest_Count]],,0)</f>
        <v>950</v>
      </c>
      <c r="G2502" cm="1">
        <f t="array" ref="G2502">Food_Orders[[#This Row],[Quantity_Orderd]]*_xlfn.XLOOKUP(Food_Orders[[#This Row],[Food_ID]],Food_Catalog[[#All],[Food_ID]],Food_Catalog[[#All],[Price_Per_Unit]],0,0)</f>
        <v>28500</v>
      </c>
      <c r="H2502" cm="1">
        <f t="array" ref="H2502">Food_Orders[[#This Row],[Quantity_Orderd]]*_xlfn.XLOOKUP(Food_Orders[[#This Row],[Food_ID]],Food_Catalog[[#All],[Food_ID]],Food_Catalog[[#All],[Client_Price_Per_Unit]],0,0)</f>
        <v>34200</v>
      </c>
      <c r="I2502">
        <f>Food_Orders[[#This Row],[Client_Price]]-Food_Orders[[#This Row],[Cost]]</f>
        <v>5700</v>
      </c>
    </row>
    <row r="2503" spans="1:9" x14ac:dyDescent="0.25">
      <c r="A2503">
        <v>107</v>
      </c>
      <c r="B2503" t="s">
        <v>17</v>
      </c>
      <c r="C2503" t="s">
        <v>8</v>
      </c>
      <c r="D2503" t="s">
        <v>18</v>
      </c>
      <c r="E2503" t="s">
        <v>10</v>
      </c>
      <c r="F2503" cm="1">
        <f t="array" ref="F2503">_xlfn.XLOOKUP(Food_Orders[[#This Row],[Event_No]],Event_Master[[#All],[Event_No]],Event_Master[[#All],[Guest_Count]],,0)</f>
        <v>950</v>
      </c>
      <c r="G2503" cm="1">
        <f t="array" ref="G2503">Food_Orders[[#This Row],[Quantity_Orderd]]*_xlfn.XLOOKUP(Food_Orders[[#This Row],[Food_ID]],Food_Catalog[[#All],[Food_ID]],Food_Catalog[[#All],[Price_Per_Unit]],0,0)</f>
        <v>38000</v>
      </c>
      <c r="H2503" cm="1">
        <f t="array" ref="H2503">Food_Orders[[#This Row],[Quantity_Orderd]]*_xlfn.XLOOKUP(Food_Orders[[#This Row],[Food_ID]],Food_Catalog[[#All],[Food_ID]],Food_Catalog[[#All],[Client_Price_Per_Unit]],0,0)</f>
        <v>45600</v>
      </c>
      <c r="I2503">
        <f>Food_Orders[[#This Row],[Client_Price]]-Food_Orders[[#This Row],[Cost]]</f>
        <v>7600</v>
      </c>
    </row>
    <row r="2504" spans="1:9" x14ac:dyDescent="0.25">
      <c r="A2504">
        <v>107</v>
      </c>
      <c r="B2504" t="s">
        <v>21</v>
      </c>
      <c r="C2504" t="s">
        <v>8</v>
      </c>
      <c r="D2504" t="s">
        <v>22</v>
      </c>
      <c r="E2504" t="s">
        <v>10</v>
      </c>
      <c r="F2504" cm="1">
        <f t="array" ref="F2504">_xlfn.XLOOKUP(Food_Orders[[#This Row],[Event_No]],Event_Master[[#All],[Event_No]],Event_Master[[#All],[Guest_Count]],,0)</f>
        <v>950</v>
      </c>
      <c r="G2504" cm="1">
        <f t="array" ref="G2504">Food_Orders[[#This Row],[Quantity_Orderd]]*_xlfn.XLOOKUP(Food_Orders[[#This Row],[Food_ID]],Food_Catalog[[#All],[Food_ID]],Food_Catalog[[#All],[Price_Per_Unit]],0,0)</f>
        <v>33250</v>
      </c>
      <c r="H2504" cm="1">
        <f t="array" ref="H2504">Food_Orders[[#This Row],[Quantity_Orderd]]*_xlfn.XLOOKUP(Food_Orders[[#This Row],[Food_ID]],Food_Catalog[[#All],[Food_ID]],Food_Catalog[[#All],[Client_Price_Per_Unit]],0,0)</f>
        <v>39900</v>
      </c>
      <c r="I2504">
        <f>Food_Orders[[#This Row],[Client_Price]]-Food_Orders[[#This Row],[Cost]]</f>
        <v>6650</v>
      </c>
    </row>
    <row r="2505" spans="1:9" x14ac:dyDescent="0.25">
      <c r="A2505">
        <v>107</v>
      </c>
      <c r="B2505" t="s">
        <v>19</v>
      </c>
      <c r="C2505" t="s">
        <v>8</v>
      </c>
      <c r="D2505" t="s">
        <v>20</v>
      </c>
      <c r="E2505" t="s">
        <v>10</v>
      </c>
      <c r="F2505" cm="1">
        <f t="array" ref="F2505">_xlfn.XLOOKUP(Food_Orders[[#This Row],[Event_No]],Event_Master[[#All],[Event_No]],Event_Master[[#All],[Guest_Count]],,0)</f>
        <v>950</v>
      </c>
      <c r="G2505" cm="1">
        <f t="array" ref="G2505">Food_Orders[[#This Row],[Quantity_Orderd]]*_xlfn.XLOOKUP(Food_Orders[[#This Row],[Food_ID]],Food_Catalog[[#All],[Food_ID]],Food_Catalog[[#All],[Price_Per_Unit]],0,0)</f>
        <v>33250</v>
      </c>
      <c r="H2505" cm="1">
        <f t="array" ref="H2505">Food_Orders[[#This Row],[Quantity_Orderd]]*_xlfn.XLOOKUP(Food_Orders[[#This Row],[Food_ID]],Food_Catalog[[#All],[Food_ID]],Food_Catalog[[#All],[Client_Price_Per_Unit]],0,0)</f>
        <v>39900</v>
      </c>
      <c r="I2505">
        <f>Food_Orders[[#This Row],[Client_Price]]-Food_Orders[[#This Row],[Cost]]</f>
        <v>6650</v>
      </c>
    </row>
    <row r="2506" spans="1:9" x14ac:dyDescent="0.25">
      <c r="A2506">
        <v>107</v>
      </c>
      <c r="B2506" t="s">
        <v>29</v>
      </c>
      <c r="C2506" t="s">
        <v>8</v>
      </c>
      <c r="D2506" t="s">
        <v>30</v>
      </c>
      <c r="E2506" t="s">
        <v>10</v>
      </c>
      <c r="F2506" cm="1">
        <f t="array" ref="F2506">_xlfn.XLOOKUP(Food_Orders[[#This Row],[Event_No]],Event_Master[[#All],[Event_No]],Event_Master[[#All],[Guest_Count]],,0)</f>
        <v>950</v>
      </c>
      <c r="G2506" cm="1">
        <f t="array" ref="G2506">Food_Orders[[#This Row],[Quantity_Orderd]]*_xlfn.XLOOKUP(Food_Orders[[#This Row],[Food_ID]],Food_Catalog[[#All],[Food_ID]],Food_Catalog[[#All],[Price_Per_Unit]],0,0)</f>
        <v>28500</v>
      </c>
      <c r="H2506" cm="1">
        <f t="array" ref="H2506">Food_Orders[[#This Row],[Quantity_Orderd]]*_xlfn.XLOOKUP(Food_Orders[[#This Row],[Food_ID]],Food_Catalog[[#All],[Food_ID]],Food_Catalog[[#All],[Client_Price_Per_Unit]],0,0)</f>
        <v>34200</v>
      </c>
      <c r="I2506">
        <f>Food_Orders[[#This Row],[Client_Price]]-Food_Orders[[#This Row],[Cost]]</f>
        <v>5700</v>
      </c>
    </row>
    <row r="2507" spans="1:9" x14ac:dyDescent="0.25">
      <c r="A2507">
        <v>107</v>
      </c>
      <c r="B2507" t="s">
        <v>37</v>
      </c>
      <c r="C2507" t="s">
        <v>8</v>
      </c>
      <c r="D2507" t="s">
        <v>38</v>
      </c>
      <c r="E2507" t="s">
        <v>10</v>
      </c>
      <c r="F2507" cm="1">
        <f t="array" ref="F2507">_xlfn.XLOOKUP(Food_Orders[[#This Row],[Event_No]],Event_Master[[#All],[Event_No]],Event_Master[[#All],[Guest_Count]],,0)</f>
        <v>950</v>
      </c>
      <c r="G2507" cm="1">
        <f t="array" ref="G2507">Food_Orders[[#This Row],[Quantity_Orderd]]*_xlfn.XLOOKUP(Food_Orders[[#This Row],[Food_ID]],Food_Catalog[[#All],[Food_ID]],Food_Catalog[[#All],[Price_Per_Unit]],0,0)</f>
        <v>23750</v>
      </c>
      <c r="H2507" cm="1">
        <f t="array" ref="H2507">Food_Orders[[#This Row],[Quantity_Orderd]]*_xlfn.XLOOKUP(Food_Orders[[#This Row],[Food_ID]],Food_Catalog[[#All],[Food_ID]],Food_Catalog[[#All],[Client_Price_Per_Unit]],0,0)</f>
        <v>28500</v>
      </c>
      <c r="I2507">
        <f>Food_Orders[[#This Row],[Client_Price]]-Food_Orders[[#This Row],[Cost]]</f>
        <v>4750</v>
      </c>
    </row>
    <row r="2508" spans="1:9" x14ac:dyDescent="0.25">
      <c r="A2508">
        <v>107</v>
      </c>
      <c r="B2508" t="s">
        <v>39</v>
      </c>
      <c r="C2508" t="s">
        <v>40</v>
      </c>
      <c r="D2508" t="s">
        <v>41</v>
      </c>
      <c r="E2508" t="s">
        <v>10</v>
      </c>
      <c r="F2508" cm="1">
        <f t="array" ref="F2508">_xlfn.XLOOKUP(Food_Orders[[#This Row],[Event_No]],Event_Master[[#All],[Event_No]],Event_Master[[#All],[Guest_Count]],,0)</f>
        <v>950</v>
      </c>
      <c r="G2508" cm="1">
        <f t="array" ref="G2508">Food_Orders[[#This Row],[Quantity_Orderd]]*_xlfn.XLOOKUP(Food_Orders[[#This Row],[Food_ID]],Food_Catalog[[#All],[Food_ID]],Food_Catalog[[#All],[Price_Per_Unit]],0,0)</f>
        <v>57000</v>
      </c>
      <c r="H2508" cm="1">
        <f t="array" ref="H2508">Food_Orders[[#This Row],[Quantity_Orderd]]*_xlfn.XLOOKUP(Food_Orders[[#This Row],[Food_ID]],Food_Catalog[[#All],[Food_ID]],Food_Catalog[[#All],[Client_Price_Per_Unit]],0,0)</f>
        <v>68400</v>
      </c>
      <c r="I2508">
        <f>Food_Orders[[#This Row],[Client_Price]]-Food_Orders[[#This Row],[Cost]]</f>
        <v>11400</v>
      </c>
    </row>
    <row r="2509" spans="1:9" x14ac:dyDescent="0.25">
      <c r="A2509">
        <v>107</v>
      </c>
      <c r="B2509" t="s">
        <v>42</v>
      </c>
      <c r="C2509" t="s">
        <v>40</v>
      </c>
      <c r="D2509" t="s">
        <v>43</v>
      </c>
      <c r="E2509" t="s">
        <v>10</v>
      </c>
      <c r="F2509" cm="1">
        <f t="array" ref="F2509">_xlfn.XLOOKUP(Food_Orders[[#This Row],[Event_No]],Event_Master[[#All],[Event_No]],Event_Master[[#All],[Guest_Count]],,0)</f>
        <v>950</v>
      </c>
      <c r="G2509" cm="1">
        <f t="array" ref="G2509">Food_Orders[[#This Row],[Quantity_Orderd]]*_xlfn.XLOOKUP(Food_Orders[[#This Row],[Food_ID]],Food_Catalog[[#All],[Food_ID]],Food_Catalog[[#All],[Price_Per_Unit]],0,0)</f>
        <v>66500</v>
      </c>
      <c r="H2509" cm="1">
        <f t="array" ref="H2509">Food_Orders[[#This Row],[Quantity_Orderd]]*_xlfn.XLOOKUP(Food_Orders[[#This Row],[Food_ID]],Food_Catalog[[#All],[Food_ID]],Food_Catalog[[#All],[Client_Price_Per_Unit]],0,0)</f>
        <v>79800</v>
      </c>
      <c r="I2509">
        <f>Food_Orders[[#This Row],[Client_Price]]-Food_Orders[[#This Row],[Cost]]</f>
        <v>13300</v>
      </c>
    </row>
    <row r="2510" spans="1:9" x14ac:dyDescent="0.25">
      <c r="A2510">
        <v>107</v>
      </c>
      <c r="B2510" t="s">
        <v>46</v>
      </c>
      <c r="C2510" t="s">
        <v>40</v>
      </c>
      <c r="D2510" t="s">
        <v>47</v>
      </c>
      <c r="E2510" t="s">
        <v>10</v>
      </c>
      <c r="F2510" cm="1">
        <f t="array" ref="F2510">_xlfn.XLOOKUP(Food_Orders[[#This Row],[Event_No]],Event_Master[[#All],[Event_No]],Event_Master[[#All],[Guest_Count]],,0)</f>
        <v>950</v>
      </c>
      <c r="G2510" cm="1">
        <f t="array" ref="G2510">Food_Orders[[#This Row],[Quantity_Orderd]]*_xlfn.XLOOKUP(Food_Orders[[#This Row],[Food_ID]],Food_Catalog[[#All],[Food_ID]],Food_Catalog[[#All],[Price_Per_Unit]],0,0)</f>
        <v>85500</v>
      </c>
      <c r="H2510" cm="1">
        <f t="array" ref="H2510">Food_Orders[[#This Row],[Quantity_Orderd]]*_xlfn.XLOOKUP(Food_Orders[[#This Row],[Food_ID]],Food_Catalog[[#All],[Food_ID]],Food_Catalog[[#All],[Client_Price_Per_Unit]],0,0)</f>
        <v>102600</v>
      </c>
      <c r="I2510">
        <f>Food_Orders[[#This Row],[Client_Price]]-Food_Orders[[#This Row],[Cost]]</f>
        <v>17100</v>
      </c>
    </row>
    <row r="2511" spans="1:9" x14ac:dyDescent="0.25">
      <c r="A2511">
        <v>107</v>
      </c>
      <c r="B2511" t="s">
        <v>48</v>
      </c>
      <c r="C2511" t="s">
        <v>40</v>
      </c>
      <c r="D2511" t="s">
        <v>49</v>
      </c>
      <c r="E2511" t="s">
        <v>10</v>
      </c>
      <c r="F2511" cm="1">
        <f t="array" ref="F2511">_xlfn.XLOOKUP(Food_Orders[[#This Row],[Event_No]],Event_Master[[#All],[Event_No]],Event_Master[[#All],[Guest_Count]],,0)</f>
        <v>950</v>
      </c>
      <c r="G2511" cm="1">
        <f t="array" ref="G2511">Food_Orders[[#This Row],[Quantity_Orderd]]*_xlfn.XLOOKUP(Food_Orders[[#This Row],[Food_ID]],Food_Catalog[[#All],[Food_ID]],Food_Catalog[[#All],[Price_Per_Unit]],0,0)</f>
        <v>95000</v>
      </c>
      <c r="H2511" cm="1">
        <f t="array" ref="H2511">Food_Orders[[#This Row],[Quantity_Orderd]]*_xlfn.XLOOKUP(Food_Orders[[#This Row],[Food_ID]],Food_Catalog[[#All],[Food_ID]],Food_Catalog[[#All],[Client_Price_Per_Unit]],0,0)</f>
        <v>114000</v>
      </c>
      <c r="I2511">
        <f>Food_Orders[[#This Row],[Client_Price]]-Food_Orders[[#This Row],[Cost]]</f>
        <v>19000</v>
      </c>
    </row>
    <row r="2512" spans="1:9" x14ac:dyDescent="0.25">
      <c r="A2512">
        <v>107</v>
      </c>
      <c r="B2512" t="s">
        <v>50</v>
      </c>
      <c r="C2512" t="s">
        <v>40</v>
      </c>
      <c r="D2512" t="s">
        <v>51</v>
      </c>
      <c r="E2512" t="s">
        <v>10</v>
      </c>
      <c r="F2512" cm="1">
        <f t="array" ref="F2512">_xlfn.XLOOKUP(Food_Orders[[#This Row],[Event_No]],Event_Master[[#All],[Event_No]],Event_Master[[#All],[Guest_Count]],,0)</f>
        <v>950</v>
      </c>
      <c r="G2512" cm="1">
        <f t="array" ref="G2512">Food_Orders[[#This Row],[Quantity_Orderd]]*_xlfn.XLOOKUP(Food_Orders[[#This Row],[Food_ID]],Food_Catalog[[#All],[Food_ID]],Food_Catalog[[#All],[Price_Per_Unit]],0,0)</f>
        <v>76000</v>
      </c>
      <c r="H2512" cm="1">
        <f t="array" ref="H2512">Food_Orders[[#This Row],[Quantity_Orderd]]*_xlfn.XLOOKUP(Food_Orders[[#This Row],[Food_ID]],Food_Catalog[[#All],[Food_ID]],Food_Catalog[[#All],[Client_Price_Per_Unit]],0,0)</f>
        <v>91200</v>
      </c>
      <c r="I2512">
        <f>Food_Orders[[#This Row],[Client_Price]]-Food_Orders[[#This Row],[Cost]]</f>
        <v>15200</v>
      </c>
    </row>
    <row r="2513" spans="1:9" x14ac:dyDescent="0.25">
      <c r="A2513">
        <v>107</v>
      </c>
      <c r="B2513" t="s">
        <v>52</v>
      </c>
      <c r="C2513" t="s">
        <v>40</v>
      </c>
      <c r="D2513" t="s">
        <v>53</v>
      </c>
      <c r="E2513" t="s">
        <v>10</v>
      </c>
      <c r="F2513" cm="1">
        <f t="array" ref="F2513">_xlfn.XLOOKUP(Food_Orders[[#This Row],[Event_No]],Event_Master[[#All],[Event_No]],Event_Master[[#All],[Guest_Count]],,0)</f>
        <v>950</v>
      </c>
      <c r="G2513" cm="1">
        <f t="array" ref="G2513">Food_Orders[[#This Row],[Quantity_Orderd]]*_xlfn.XLOOKUP(Food_Orders[[#This Row],[Food_ID]],Food_Catalog[[#All],[Food_ID]],Food_Catalog[[#All],[Price_Per_Unit]],0,0)</f>
        <v>95000</v>
      </c>
      <c r="H2513" cm="1">
        <f t="array" ref="H2513">Food_Orders[[#This Row],[Quantity_Orderd]]*_xlfn.XLOOKUP(Food_Orders[[#This Row],[Food_ID]],Food_Catalog[[#All],[Food_ID]],Food_Catalog[[#All],[Client_Price_Per_Unit]],0,0)</f>
        <v>114000</v>
      </c>
      <c r="I2513">
        <f>Food_Orders[[#This Row],[Client_Price]]-Food_Orders[[#This Row],[Cost]]</f>
        <v>19000</v>
      </c>
    </row>
    <row r="2514" spans="1:9" x14ac:dyDescent="0.25">
      <c r="A2514">
        <v>107</v>
      </c>
      <c r="B2514" t="s">
        <v>54</v>
      </c>
      <c r="C2514" t="s">
        <v>40</v>
      </c>
      <c r="D2514" t="s">
        <v>55</v>
      </c>
      <c r="E2514" t="s">
        <v>10</v>
      </c>
      <c r="F2514" cm="1">
        <f t="array" ref="F2514">_xlfn.XLOOKUP(Food_Orders[[#This Row],[Event_No]],Event_Master[[#All],[Event_No]],Event_Master[[#All],[Guest_Count]],,0)</f>
        <v>950</v>
      </c>
      <c r="G2514" cm="1">
        <f t="array" ref="G2514">Food_Orders[[#This Row],[Quantity_Orderd]]*_xlfn.XLOOKUP(Food_Orders[[#This Row],[Food_ID]],Food_Catalog[[#All],[Food_ID]],Food_Catalog[[#All],[Price_Per_Unit]],0,0)</f>
        <v>38000</v>
      </c>
      <c r="H2514" cm="1">
        <f t="array" ref="H2514">Food_Orders[[#This Row],[Quantity_Orderd]]*_xlfn.XLOOKUP(Food_Orders[[#This Row],[Food_ID]],Food_Catalog[[#All],[Food_ID]],Food_Catalog[[#All],[Client_Price_Per_Unit]],0,0)</f>
        <v>45600</v>
      </c>
      <c r="I2514">
        <f>Food_Orders[[#This Row],[Client_Price]]-Food_Orders[[#This Row],[Cost]]</f>
        <v>7600</v>
      </c>
    </row>
    <row r="2515" spans="1:9" x14ac:dyDescent="0.25">
      <c r="A2515">
        <v>107</v>
      </c>
      <c r="B2515" t="s">
        <v>58</v>
      </c>
      <c r="C2515" t="s">
        <v>40</v>
      </c>
      <c r="D2515" t="s">
        <v>59</v>
      </c>
      <c r="E2515" t="s">
        <v>10</v>
      </c>
      <c r="F2515" cm="1">
        <f t="array" ref="F2515">_xlfn.XLOOKUP(Food_Orders[[#This Row],[Event_No]],Event_Master[[#All],[Event_No]],Event_Master[[#All],[Guest_Count]],,0)</f>
        <v>950</v>
      </c>
      <c r="G2515" cm="1">
        <f t="array" ref="G2515">Food_Orders[[#This Row],[Quantity_Orderd]]*_xlfn.XLOOKUP(Food_Orders[[#This Row],[Food_ID]],Food_Catalog[[#All],[Food_ID]],Food_Catalog[[#All],[Price_Per_Unit]],0,0)</f>
        <v>85500</v>
      </c>
      <c r="H2515" cm="1">
        <f t="array" ref="H2515">Food_Orders[[#This Row],[Quantity_Orderd]]*_xlfn.XLOOKUP(Food_Orders[[#This Row],[Food_ID]],Food_Catalog[[#All],[Food_ID]],Food_Catalog[[#All],[Client_Price_Per_Unit]],0,0)</f>
        <v>102600</v>
      </c>
      <c r="I2515">
        <f>Food_Orders[[#This Row],[Client_Price]]-Food_Orders[[#This Row],[Cost]]</f>
        <v>17100</v>
      </c>
    </row>
    <row r="2516" spans="1:9" x14ac:dyDescent="0.25">
      <c r="A2516">
        <v>107</v>
      </c>
      <c r="B2516" t="s">
        <v>82</v>
      </c>
      <c r="C2516" t="s">
        <v>83</v>
      </c>
      <c r="D2516" t="s">
        <v>84</v>
      </c>
      <c r="E2516" t="s">
        <v>85</v>
      </c>
      <c r="F2516" cm="1">
        <f t="array" ref="F2516">_xlfn.XLOOKUP(Food_Orders[[#This Row],[Event_No]],Event_Master[[#All],[Event_No]],Event_Master[[#All],[Guest_Count]],,0)</f>
        <v>950</v>
      </c>
      <c r="G2516" cm="1">
        <f t="array" ref="G2516">Food_Orders[[#This Row],[Quantity_Orderd]]*_xlfn.XLOOKUP(Food_Orders[[#This Row],[Food_ID]],Food_Catalog[[#All],[Food_ID]],Food_Catalog[[#All],[Price_Per_Unit]],0,0)</f>
        <v>19000</v>
      </c>
      <c r="H2516" cm="1">
        <f t="array" ref="H2516">Food_Orders[[#This Row],[Quantity_Orderd]]*_xlfn.XLOOKUP(Food_Orders[[#This Row],[Food_ID]],Food_Catalog[[#All],[Food_ID]],Food_Catalog[[#All],[Client_Price_Per_Unit]],0,0)</f>
        <v>22800</v>
      </c>
      <c r="I2516">
        <f>Food_Orders[[#This Row],[Client_Price]]-Food_Orders[[#This Row],[Cost]]</f>
        <v>3800</v>
      </c>
    </row>
    <row r="2517" spans="1:9" x14ac:dyDescent="0.25">
      <c r="A2517">
        <v>107</v>
      </c>
      <c r="B2517" t="s">
        <v>86</v>
      </c>
      <c r="C2517" t="s">
        <v>83</v>
      </c>
      <c r="D2517" t="s">
        <v>87</v>
      </c>
      <c r="E2517" t="s">
        <v>85</v>
      </c>
      <c r="F2517" cm="1">
        <f t="array" ref="F2517">_xlfn.XLOOKUP(Food_Orders[[#This Row],[Event_No]],Event_Master[[#All],[Event_No]],Event_Master[[#All],[Guest_Count]],,0)</f>
        <v>950</v>
      </c>
      <c r="G2517" cm="1">
        <f t="array" ref="G2517">Food_Orders[[#This Row],[Quantity_Orderd]]*_xlfn.XLOOKUP(Food_Orders[[#This Row],[Food_ID]],Food_Catalog[[#All],[Food_ID]],Food_Catalog[[#All],[Price_Per_Unit]],0,0)</f>
        <v>19000</v>
      </c>
      <c r="H2517" cm="1">
        <f t="array" ref="H2517">Food_Orders[[#This Row],[Quantity_Orderd]]*_xlfn.XLOOKUP(Food_Orders[[#This Row],[Food_ID]],Food_Catalog[[#All],[Food_ID]],Food_Catalog[[#All],[Client_Price_Per_Unit]],0,0)</f>
        <v>22800</v>
      </c>
      <c r="I2517">
        <f>Food_Orders[[#This Row],[Client_Price]]-Food_Orders[[#This Row],[Cost]]</f>
        <v>3800</v>
      </c>
    </row>
    <row r="2518" spans="1:9" x14ac:dyDescent="0.25">
      <c r="A2518">
        <v>107</v>
      </c>
      <c r="B2518" t="s">
        <v>88</v>
      </c>
      <c r="C2518" t="s">
        <v>83</v>
      </c>
      <c r="D2518" t="s">
        <v>89</v>
      </c>
      <c r="E2518" t="s">
        <v>85</v>
      </c>
      <c r="F2518" cm="1">
        <f t="array" ref="F2518">_xlfn.XLOOKUP(Food_Orders[[#This Row],[Event_No]],Event_Master[[#All],[Event_No]],Event_Master[[#All],[Guest_Count]],,0)</f>
        <v>950</v>
      </c>
      <c r="G2518" cm="1">
        <f t="array" ref="G2518">Food_Orders[[#This Row],[Quantity_Orderd]]*_xlfn.XLOOKUP(Food_Orders[[#This Row],[Food_ID]],Food_Catalog[[#All],[Food_ID]],Food_Catalog[[#All],[Price_Per_Unit]],0,0)</f>
        <v>14250</v>
      </c>
      <c r="H2518" cm="1">
        <f t="array" ref="H2518">Food_Orders[[#This Row],[Quantity_Orderd]]*_xlfn.XLOOKUP(Food_Orders[[#This Row],[Food_ID]],Food_Catalog[[#All],[Food_ID]],Food_Catalog[[#All],[Client_Price_Per_Unit]],0,0)</f>
        <v>17100</v>
      </c>
      <c r="I2518">
        <f>Food_Orders[[#This Row],[Client_Price]]-Food_Orders[[#This Row],[Cost]]</f>
        <v>2850</v>
      </c>
    </row>
    <row r="2519" spans="1:9" x14ac:dyDescent="0.25">
      <c r="A2519">
        <v>107</v>
      </c>
      <c r="B2519" t="s">
        <v>100</v>
      </c>
      <c r="C2519" t="s">
        <v>83</v>
      </c>
      <c r="D2519" t="s">
        <v>101</v>
      </c>
      <c r="E2519" t="s">
        <v>79</v>
      </c>
      <c r="F2519" cm="1">
        <f t="array" ref="F2519">_xlfn.XLOOKUP(Food_Orders[[#This Row],[Event_No]],Event_Master[[#All],[Event_No]],Event_Master[[#All],[Guest_Count]],,0)</f>
        <v>950</v>
      </c>
      <c r="G2519" cm="1">
        <f t="array" ref="G2519">Food_Orders[[#This Row],[Quantity_Orderd]]*_xlfn.XLOOKUP(Food_Orders[[#This Row],[Food_ID]],Food_Catalog[[#All],[Food_ID]],Food_Catalog[[#All],[Price_Per_Unit]],0,0)</f>
        <v>33250</v>
      </c>
      <c r="H2519" cm="1">
        <f t="array" ref="H2519">Food_Orders[[#This Row],[Quantity_Orderd]]*_xlfn.XLOOKUP(Food_Orders[[#This Row],[Food_ID]],Food_Catalog[[#All],[Food_ID]],Food_Catalog[[#All],[Client_Price_Per_Unit]],0,0)</f>
        <v>39900</v>
      </c>
      <c r="I2519">
        <f>Food_Orders[[#This Row],[Client_Price]]-Food_Orders[[#This Row],[Cost]]</f>
        <v>6650</v>
      </c>
    </row>
    <row r="2520" spans="1:9" x14ac:dyDescent="0.25">
      <c r="A2520">
        <v>107</v>
      </c>
      <c r="B2520" t="s">
        <v>96</v>
      </c>
      <c r="C2520" t="s">
        <v>83</v>
      </c>
      <c r="D2520" t="s">
        <v>97</v>
      </c>
      <c r="E2520" t="s">
        <v>79</v>
      </c>
      <c r="F2520" cm="1">
        <f t="array" ref="F2520">_xlfn.XLOOKUP(Food_Orders[[#This Row],[Event_No]],Event_Master[[#All],[Event_No]],Event_Master[[#All],[Guest_Count]],,0)</f>
        <v>950</v>
      </c>
      <c r="G2520" cm="1">
        <f t="array" ref="G2520">Food_Orders[[#This Row],[Quantity_Orderd]]*_xlfn.XLOOKUP(Food_Orders[[#This Row],[Food_ID]],Food_Catalog[[#All],[Food_ID]],Food_Catalog[[#All],[Price_Per_Unit]],0,0)</f>
        <v>28500</v>
      </c>
      <c r="H2520" cm="1">
        <f t="array" ref="H2520">Food_Orders[[#This Row],[Quantity_Orderd]]*_xlfn.XLOOKUP(Food_Orders[[#This Row],[Food_ID]],Food_Catalog[[#All],[Food_ID]],Food_Catalog[[#All],[Client_Price_Per_Unit]],0,0)</f>
        <v>34200</v>
      </c>
      <c r="I2520">
        <f>Food_Orders[[#This Row],[Client_Price]]-Food_Orders[[#This Row],[Cost]]</f>
        <v>5700</v>
      </c>
    </row>
    <row r="2521" spans="1:9" x14ac:dyDescent="0.25">
      <c r="A2521">
        <v>107</v>
      </c>
      <c r="B2521" t="s">
        <v>92</v>
      </c>
      <c r="C2521" t="s">
        <v>83</v>
      </c>
      <c r="D2521" t="s">
        <v>93</v>
      </c>
      <c r="E2521" t="s">
        <v>85</v>
      </c>
      <c r="F2521" cm="1">
        <f t="array" ref="F2521">_xlfn.XLOOKUP(Food_Orders[[#This Row],[Event_No]],Event_Master[[#All],[Event_No]],Event_Master[[#All],[Guest_Count]],,0)</f>
        <v>950</v>
      </c>
      <c r="G2521" cm="1">
        <f t="array" ref="G2521">Food_Orders[[#This Row],[Quantity_Orderd]]*_xlfn.XLOOKUP(Food_Orders[[#This Row],[Food_ID]],Food_Catalog[[#All],[Food_ID]],Food_Catalog[[#All],[Price_Per_Unit]],0,0)</f>
        <v>14250</v>
      </c>
      <c r="H2521" cm="1">
        <f t="array" ref="H2521">Food_Orders[[#This Row],[Quantity_Orderd]]*_xlfn.XLOOKUP(Food_Orders[[#This Row],[Food_ID]],Food_Catalog[[#All],[Food_ID]],Food_Catalog[[#All],[Client_Price_Per_Unit]],0,0)</f>
        <v>17100</v>
      </c>
      <c r="I2521">
        <f>Food_Orders[[#This Row],[Client_Price]]-Food_Orders[[#This Row],[Cost]]</f>
        <v>2850</v>
      </c>
    </row>
    <row r="2522" spans="1:9" x14ac:dyDescent="0.25">
      <c r="A2522">
        <v>107</v>
      </c>
      <c r="B2522" t="s">
        <v>102</v>
      </c>
      <c r="C2522" t="s">
        <v>83</v>
      </c>
      <c r="D2522" t="s">
        <v>103</v>
      </c>
      <c r="E2522" t="s">
        <v>85</v>
      </c>
      <c r="F2522" cm="1">
        <f t="array" ref="F2522">_xlfn.XLOOKUP(Food_Orders[[#This Row],[Event_No]],Event_Master[[#All],[Event_No]],Event_Master[[#All],[Guest_Count]],,0)</f>
        <v>950</v>
      </c>
      <c r="G2522" cm="1">
        <f t="array" ref="G2522">Food_Orders[[#This Row],[Quantity_Orderd]]*_xlfn.XLOOKUP(Food_Orders[[#This Row],[Food_ID]],Food_Catalog[[#All],[Food_ID]],Food_Catalog[[#All],[Price_Per_Unit]],0,0)</f>
        <v>19000</v>
      </c>
      <c r="H2522" cm="1">
        <f t="array" ref="H2522">Food_Orders[[#This Row],[Quantity_Orderd]]*_xlfn.XLOOKUP(Food_Orders[[#This Row],[Food_ID]],Food_Catalog[[#All],[Food_ID]],Food_Catalog[[#All],[Client_Price_Per_Unit]],0,0)</f>
        <v>22800</v>
      </c>
      <c r="I2522">
        <f>Food_Orders[[#This Row],[Client_Price]]-Food_Orders[[#This Row],[Cost]]</f>
        <v>3800</v>
      </c>
    </row>
    <row r="2523" spans="1:9" x14ac:dyDescent="0.25">
      <c r="A2523">
        <v>107</v>
      </c>
      <c r="B2523" t="s">
        <v>98</v>
      </c>
      <c r="C2523" t="s">
        <v>83</v>
      </c>
      <c r="D2523" t="s">
        <v>99</v>
      </c>
      <c r="E2523" t="s">
        <v>85</v>
      </c>
      <c r="F2523" cm="1">
        <f t="array" ref="F2523">_xlfn.XLOOKUP(Food_Orders[[#This Row],[Event_No]],Event_Master[[#All],[Event_No]],Event_Master[[#All],[Guest_Count]],,0)</f>
        <v>950</v>
      </c>
      <c r="G2523" cm="1">
        <f t="array" ref="G2523">Food_Orders[[#This Row],[Quantity_Orderd]]*_xlfn.XLOOKUP(Food_Orders[[#This Row],[Food_ID]],Food_Catalog[[#All],[Food_ID]],Food_Catalog[[#All],[Price_Per_Unit]],0,0)</f>
        <v>14250</v>
      </c>
      <c r="H2523" cm="1">
        <f t="array" ref="H2523">Food_Orders[[#This Row],[Quantity_Orderd]]*_xlfn.XLOOKUP(Food_Orders[[#This Row],[Food_ID]],Food_Catalog[[#All],[Food_ID]],Food_Catalog[[#All],[Client_Price_Per_Unit]],0,0)</f>
        <v>17100</v>
      </c>
      <c r="I2523">
        <f>Food_Orders[[#This Row],[Client_Price]]-Food_Orders[[#This Row],[Cost]]</f>
        <v>2850</v>
      </c>
    </row>
    <row r="2524" spans="1:9" x14ac:dyDescent="0.25">
      <c r="A2524">
        <v>107</v>
      </c>
      <c r="B2524" t="s">
        <v>104</v>
      </c>
      <c r="C2524" t="s">
        <v>105</v>
      </c>
      <c r="D2524" t="s">
        <v>106</v>
      </c>
      <c r="E2524" t="s">
        <v>107</v>
      </c>
      <c r="F2524" cm="1">
        <f t="array" ref="F2524">_xlfn.XLOOKUP(Food_Orders[[#This Row],[Event_No]],Event_Master[[#All],[Event_No]],Event_Master[[#All],[Guest_Count]],,0)</f>
        <v>950</v>
      </c>
      <c r="G2524" cm="1">
        <f t="array" ref="G2524">Food_Orders[[#This Row],[Quantity_Orderd]]*_xlfn.XLOOKUP(Food_Orders[[#This Row],[Food_ID]],Food_Catalog[[#All],[Food_ID]],Food_Catalog[[#All],[Price_Per_Unit]],0,0)</f>
        <v>9500</v>
      </c>
      <c r="H2524" cm="1">
        <f t="array" ref="H2524">Food_Orders[[#This Row],[Quantity_Orderd]]*_xlfn.XLOOKUP(Food_Orders[[#This Row],[Food_ID]],Food_Catalog[[#All],[Food_ID]],Food_Catalog[[#All],[Client_Price_Per_Unit]],0,0)</f>
        <v>11400</v>
      </c>
      <c r="I2524">
        <f>Food_Orders[[#This Row],[Client_Price]]-Food_Orders[[#This Row],[Cost]]</f>
        <v>1900</v>
      </c>
    </row>
    <row r="2525" spans="1:9" x14ac:dyDescent="0.25">
      <c r="A2525">
        <v>107</v>
      </c>
      <c r="B2525" t="s">
        <v>108</v>
      </c>
      <c r="C2525" t="s">
        <v>105</v>
      </c>
      <c r="D2525" t="s">
        <v>109</v>
      </c>
      <c r="E2525" t="s">
        <v>107</v>
      </c>
      <c r="F2525" cm="1">
        <f t="array" ref="F2525">_xlfn.XLOOKUP(Food_Orders[[#This Row],[Event_No]],Event_Master[[#All],[Event_No]],Event_Master[[#All],[Guest_Count]],,0)</f>
        <v>950</v>
      </c>
      <c r="G2525" cm="1">
        <f t="array" ref="G2525">Food_Orders[[#This Row],[Quantity_Orderd]]*_xlfn.XLOOKUP(Food_Orders[[#This Row],[Food_ID]],Food_Catalog[[#All],[Food_ID]],Food_Catalog[[#All],[Price_Per_Unit]],0,0)</f>
        <v>14250</v>
      </c>
      <c r="H2525" cm="1">
        <f t="array" ref="H2525">Food_Orders[[#This Row],[Quantity_Orderd]]*_xlfn.XLOOKUP(Food_Orders[[#This Row],[Food_ID]],Food_Catalog[[#All],[Food_ID]],Food_Catalog[[#All],[Client_Price_Per_Unit]],0,0)</f>
        <v>17100</v>
      </c>
      <c r="I2525">
        <f>Food_Orders[[#This Row],[Client_Price]]-Food_Orders[[#This Row],[Cost]]</f>
        <v>2850</v>
      </c>
    </row>
    <row r="2526" spans="1:9" x14ac:dyDescent="0.25">
      <c r="A2526">
        <v>107</v>
      </c>
      <c r="B2526" t="s">
        <v>115</v>
      </c>
      <c r="C2526" t="s">
        <v>105</v>
      </c>
      <c r="D2526" t="s">
        <v>116</v>
      </c>
      <c r="E2526" t="s">
        <v>117</v>
      </c>
      <c r="F2526" cm="1">
        <f t="array" ref="F2526">_xlfn.XLOOKUP(Food_Orders[[#This Row],[Event_No]],Event_Master[[#All],[Event_No]],Event_Master[[#All],[Guest_Count]],,0)</f>
        <v>950</v>
      </c>
      <c r="G2526" cm="1">
        <f t="array" ref="G2526">Food_Orders[[#This Row],[Quantity_Orderd]]*_xlfn.XLOOKUP(Food_Orders[[#This Row],[Food_ID]],Food_Catalog[[#All],[Food_ID]],Food_Catalog[[#All],[Price_Per_Unit]],0,0)</f>
        <v>23750</v>
      </c>
      <c r="H2526" cm="1">
        <f t="array" ref="H2526">Food_Orders[[#This Row],[Quantity_Orderd]]*_xlfn.XLOOKUP(Food_Orders[[#This Row],[Food_ID]],Food_Catalog[[#All],[Food_ID]],Food_Catalog[[#All],[Client_Price_Per_Unit]],0,0)</f>
        <v>28500</v>
      </c>
      <c r="I2526">
        <f>Food_Orders[[#This Row],[Client_Price]]-Food_Orders[[#This Row],[Cost]]</f>
        <v>4750</v>
      </c>
    </row>
    <row r="2527" spans="1:9" x14ac:dyDescent="0.25">
      <c r="A2527">
        <v>107</v>
      </c>
      <c r="B2527" t="s">
        <v>110</v>
      </c>
      <c r="C2527" t="s">
        <v>105</v>
      </c>
      <c r="D2527" t="s">
        <v>111</v>
      </c>
      <c r="E2527" t="s">
        <v>112</v>
      </c>
      <c r="F2527" cm="1">
        <f t="array" ref="F2527">_xlfn.XLOOKUP(Food_Orders[[#This Row],[Event_No]],Event_Master[[#All],[Event_No]],Event_Master[[#All],[Guest_Count]],,0)</f>
        <v>950</v>
      </c>
      <c r="G2527" cm="1">
        <f t="array" ref="G2527">Food_Orders[[#This Row],[Quantity_Orderd]]*_xlfn.XLOOKUP(Food_Orders[[#This Row],[Food_ID]],Food_Catalog[[#All],[Food_ID]],Food_Catalog[[#All],[Price_Per_Unit]],0,0)</f>
        <v>19000</v>
      </c>
      <c r="H2527" cm="1">
        <f t="array" ref="H2527">Food_Orders[[#This Row],[Quantity_Orderd]]*_xlfn.XLOOKUP(Food_Orders[[#This Row],[Food_ID]],Food_Catalog[[#All],[Food_ID]],Food_Catalog[[#All],[Client_Price_Per_Unit]],0,0)</f>
        <v>22800</v>
      </c>
      <c r="I2527">
        <f>Food_Orders[[#This Row],[Client_Price]]-Food_Orders[[#This Row],[Cost]]</f>
        <v>3800</v>
      </c>
    </row>
    <row r="2528" spans="1:9" x14ac:dyDescent="0.25">
      <c r="A2528">
        <v>107</v>
      </c>
      <c r="B2528" t="s">
        <v>118</v>
      </c>
      <c r="C2528" t="s">
        <v>119</v>
      </c>
      <c r="D2528" t="s">
        <v>120</v>
      </c>
      <c r="E2528" t="s">
        <v>112</v>
      </c>
      <c r="F2528" cm="1">
        <f t="array" ref="F2528">_xlfn.XLOOKUP(Food_Orders[[#This Row],[Event_No]],Event_Master[[#All],[Event_No]],Event_Master[[#All],[Guest_Count]],,0)</f>
        <v>950</v>
      </c>
      <c r="G2528" cm="1">
        <f t="array" ref="G2528">Food_Orders[[#This Row],[Quantity_Orderd]]*_xlfn.XLOOKUP(Food_Orders[[#This Row],[Food_ID]],Food_Catalog[[#All],[Food_ID]],Food_Catalog[[#All],[Price_Per_Unit]],0,0)</f>
        <v>9500</v>
      </c>
      <c r="H2528" cm="1">
        <f t="array" ref="H2528">Food_Orders[[#This Row],[Quantity_Orderd]]*_xlfn.XLOOKUP(Food_Orders[[#This Row],[Food_ID]],Food_Catalog[[#All],[Food_ID]],Food_Catalog[[#All],[Client_Price_Per_Unit]],0,0)</f>
        <v>11400</v>
      </c>
      <c r="I2528">
        <f>Food_Orders[[#This Row],[Client_Price]]-Food_Orders[[#This Row],[Cost]]</f>
        <v>1900</v>
      </c>
    </row>
    <row r="2529" spans="1:9" x14ac:dyDescent="0.25">
      <c r="A2529">
        <v>107</v>
      </c>
      <c r="B2529" t="s">
        <v>129</v>
      </c>
      <c r="C2529" t="s">
        <v>119</v>
      </c>
      <c r="D2529" t="s">
        <v>130</v>
      </c>
      <c r="E2529" t="s">
        <v>112</v>
      </c>
      <c r="F2529" cm="1">
        <f t="array" ref="F2529">_xlfn.XLOOKUP(Food_Orders[[#This Row],[Event_No]],Event_Master[[#All],[Event_No]],Event_Master[[#All],[Guest_Count]],,0)</f>
        <v>950</v>
      </c>
      <c r="G2529" cm="1">
        <f t="array" ref="G2529">Food_Orders[[#This Row],[Quantity_Orderd]]*_xlfn.XLOOKUP(Food_Orders[[#This Row],[Food_ID]],Food_Catalog[[#All],[Food_ID]],Food_Catalog[[#All],[Price_Per_Unit]],0,0)</f>
        <v>9500</v>
      </c>
      <c r="H2529" cm="1">
        <f t="array" ref="H2529">Food_Orders[[#This Row],[Quantity_Orderd]]*_xlfn.XLOOKUP(Food_Orders[[#This Row],[Food_ID]],Food_Catalog[[#All],[Food_ID]],Food_Catalog[[#All],[Client_Price_Per_Unit]],0,0)</f>
        <v>11400</v>
      </c>
      <c r="I2529">
        <f>Food_Orders[[#This Row],[Client_Price]]-Food_Orders[[#This Row],[Cost]]</f>
        <v>1900</v>
      </c>
    </row>
    <row r="2530" spans="1:9" x14ac:dyDescent="0.25">
      <c r="A2530">
        <v>107</v>
      </c>
      <c r="B2530" t="s">
        <v>124</v>
      </c>
      <c r="C2530" t="s">
        <v>119</v>
      </c>
      <c r="D2530" t="s">
        <v>125</v>
      </c>
      <c r="E2530" t="s">
        <v>126</v>
      </c>
      <c r="F2530" cm="1">
        <f t="array" ref="F2530">_xlfn.XLOOKUP(Food_Orders[[#This Row],[Event_No]],Event_Master[[#All],[Event_No]],Event_Master[[#All],[Guest_Count]],,0)</f>
        <v>950</v>
      </c>
      <c r="G2530" cm="1">
        <f t="array" ref="G2530">Food_Orders[[#This Row],[Quantity_Orderd]]*_xlfn.XLOOKUP(Food_Orders[[#This Row],[Food_ID]],Food_Catalog[[#All],[Food_ID]],Food_Catalog[[#All],[Price_Per_Unit]],0,0)</f>
        <v>19000</v>
      </c>
      <c r="H2530" cm="1">
        <f t="array" ref="H2530">Food_Orders[[#This Row],[Quantity_Orderd]]*_xlfn.XLOOKUP(Food_Orders[[#This Row],[Food_ID]],Food_Catalog[[#All],[Food_ID]],Food_Catalog[[#All],[Client_Price_Per_Unit]],0,0)</f>
        <v>22800</v>
      </c>
      <c r="I2530">
        <f>Food_Orders[[#This Row],[Client_Price]]-Food_Orders[[#This Row],[Cost]]</f>
        <v>3800</v>
      </c>
    </row>
    <row r="2531" spans="1:9" x14ac:dyDescent="0.25">
      <c r="A2531">
        <v>107</v>
      </c>
      <c r="B2531" t="s">
        <v>127</v>
      </c>
      <c r="C2531" t="s">
        <v>119</v>
      </c>
      <c r="D2531" t="s">
        <v>128</v>
      </c>
      <c r="E2531" t="s">
        <v>107</v>
      </c>
      <c r="F2531" cm="1">
        <f t="array" ref="F2531">_xlfn.XLOOKUP(Food_Orders[[#This Row],[Event_No]],Event_Master[[#All],[Event_No]],Event_Master[[#All],[Guest_Count]],,0)</f>
        <v>950</v>
      </c>
      <c r="G2531" cm="1">
        <f t="array" ref="G2531">Food_Orders[[#This Row],[Quantity_Orderd]]*_xlfn.XLOOKUP(Food_Orders[[#This Row],[Food_ID]],Food_Catalog[[#All],[Food_ID]],Food_Catalog[[#All],[Price_Per_Unit]],0,0)</f>
        <v>19000</v>
      </c>
      <c r="H2531" cm="1">
        <f t="array" ref="H2531">Food_Orders[[#This Row],[Quantity_Orderd]]*_xlfn.XLOOKUP(Food_Orders[[#This Row],[Food_ID]],Food_Catalog[[#All],[Food_ID]],Food_Catalog[[#All],[Client_Price_Per_Unit]],0,0)</f>
        <v>22800</v>
      </c>
      <c r="I2531">
        <f>Food_Orders[[#This Row],[Client_Price]]-Food_Orders[[#This Row],[Cost]]</f>
        <v>3800</v>
      </c>
    </row>
    <row r="2532" spans="1:9" x14ac:dyDescent="0.25">
      <c r="A2532">
        <v>108</v>
      </c>
      <c r="B2532" t="s">
        <v>60</v>
      </c>
      <c r="C2532" t="s">
        <v>61</v>
      </c>
      <c r="D2532" t="s">
        <v>62</v>
      </c>
      <c r="E2532" t="s">
        <v>10</v>
      </c>
      <c r="F2532" cm="1">
        <f t="array" ref="F2532">_xlfn.XLOOKUP(Food_Orders[[#This Row],[Event_No]],Event_Master[[#All],[Event_No]],Event_Master[[#All],[Guest_Count]],,0)</f>
        <v>420</v>
      </c>
      <c r="G2532" cm="1">
        <f t="array" ref="G2532">Food_Orders[[#This Row],[Quantity_Orderd]]*_xlfn.XLOOKUP(Food_Orders[[#This Row],[Food_ID]],Food_Catalog[[#All],[Food_ID]],Food_Catalog[[#All],[Price_Per_Unit]],0,0)</f>
        <v>8400</v>
      </c>
      <c r="H2532" cm="1">
        <f t="array" ref="H2532">Food_Orders[[#This Row],[Quantity_Orderd]]*_xlfn.XLOOKUP(Food_Orders[[#This Row],[Food_ID]],Food_Catalog[[#All],[Food_ID]],Food_Catalog[[#All],[Client_Price_Per_Unit]],0,0)</f>
        <v>10080</v>
      </c>
      <c r="I2532">
        <f>Food_Orders[[#This Row],[Client_Price]]-Food_Orders[[#This Row],[Cost]]</f>
        <v>1680</v>
      </c>
    </row>
    <row r="2533" spans="1:9" x14ac:dyDescent="0.25">
      <c r="A2533">
        <v>108</v>
      </c>
      <c r="B2533" t="s">
        <v>63</v>
      </c>
      <c r="C2533" t="s">
        <v>61</v>
      </c>
      <c r="D2533" t="s">
        <v>64</v>
      </c>
      <c r="E2533" t="s">
        <v>10</v>
      </c>
      <c r="F2533" cm="1">
        <f t="array" ref="F2533">_xlfn.XLOOKUP(Food_Orders[[#This Row],[Event_No]],Event_Master[[#All],[Event_No]],Event_Master[[#All],[Guest_Count]],,0)</f>
        <v>420</v>
      </c>
      <c r="G2533" cm="1">
        <f t="array" ref="G2533">Food_Orders[[#This Row],[Quantity_Orderd]]*_xlfn.XLOOKUP(Food_Orders[[#This Row],[Food_ID]],Food_Catalog[[#All],[Food_ID]],Food_Catalog[[#All],[Price_Per_Unit]],0,0)</f>
        <v>12600</v>
      </c>
      <c r="H2533" cm="1">
        <f t="array" ref="H2533">Food_Orders[[#This Row],[Quantity_Orderd]]*_xlfn.XLOOKUP(Food_Orders[[#This Row],[Food_ID]],Food_Catalog[[#All],[Food_ID]],Food_Catalog[[#All],[Client_Price_Per_Unit]],0,0)</f>
        <v>15120</v>
      </c>
      <c r="I2533">
        <f>Food_Orders[[#This Row],[Client_Price]]-Food_Orders[[#This Row],[Cost]]</f>
        <v>2520</v>
      </c>
    </row>
    <row r="2534" spans="1:9" x14ac:dyDescent="0.25">
      <c r="A2534">
        <v>108</v>
      </c>
      <c r="B2534" t="s">
        <v>71</v>
      </c>
      <c r="C2534" t="s">
        <v>61</v>
      </c>
      <c r="D2534" t="s">
        <v>72</v>
      </c>
      <c r="E2534" t="s">
        <v>10</v>
      </c>
      <c r="F2534" cm="1">
        <f t="array" ref="F2534">_xlfn.XLOOKUP(Food_Orders[[#This Row],[Event_No]],Event_Master[[#All],[Event_No]],Event_Master[[#All],[Guest_Count]],,0)</f>
        <v>420</v>
      </c>
      <c r="G2534" cm="1">
        <f t="array" ref="G2534">Food_Orders[[#This Row],[Quantity_Orderd]]*_xlfn.XLOOKUP(Food_Orders[[#This Row],[Food_ID]],Food_Catalog[[#All],[Food_ID]],Food_Catalog[[#All],[Price_Per_Unit]],0,0)</f>
        <v>10500</v>
      </c>
      <c r="H2534" cm="1">
        <f t="array" ref="H2534">Food_Orders[[#This Row],[Quantity_Orderd]]*_xlfn.XLOOKUP(Food_Orders[[#This Row],[Food_ID]],Food_Catalog[[#All],[Food_ID]],Food_Catalog[[#All],[Client_Price_Per_Unit]],0,0)</f>
        <v>12600</v>
      </c>
      <c r="I2534">
        <f>Food_Orders[[#This Row],[Client_Price]]-Food_Orders[[#This Row],[Cost]]</f>
        <v>2100</v>
      </c>
    </row>
    <row r="2535" spans="1:9" x14ac:dyDescent="0.25">
      <c r="A2535">
        <v>108</v>
      </c>
      <c r="B2535" t="s">
        <v>73</v>
      </c>
      <c r="C2535" t="s">
        <v>61</v>
      </c>
      <c r="D2535" t="s">
        <v>74</v>
      </c>
      <c r="E2535" t="s">
        <v>10</v>
      </c>
      <c r="F2535" cm="1">
        <f t="array" ref="F2535">_xlfn.XLOOKUP(Food_Orders[[#This Row],[Event_No]],Event_Master[[#All],[Event_No]],Event_Master[[#All],[Guest_Count]],,0)</f>
        <v>420</v>
      </c>
      <c r="G2535" cm="1">
        <f t="array" ref="G2535">Food_Orders[[#This Row],[Quantity_Orderd]]*_xlfn.XLOOKUP(Food_Orders[[#This Row],[Food_ID]],Food_Catalog[[#All],[Food_ID]],Food_Catalog[[#All],[Price_Per_Unit]],0,0)</f>
        <v>16800</v>
      </c>
      <c r="H2535" cm="1">
        <f t="array" ref="H2535">Food_Orders[[#This Row],[Quantity_Orderd]]*_xlfn.XLOOKUP(Food_Orders[[#This Row],[Food_ID]],Food_Catalog[[#All],[Food_ID]],Food_Catalog[[#All],[Client_Price_Per_Unit]],0,0)</f>
        <v>20160</v>
      </c>
      <c r="I2535">
        <f>Food_Orders[[#This Row],[Client_Price]]-Food_Orders[[#This Row],[Cost]]</f>
        <v>3360</v>
      </c>
    </row>
    <row r="2536" spans="1:9" x14ac:dyDescent="0.25">
      <c r="A2536">
        <v>108</v>
      </c>
      <c r="B2536" t="s">
        <v>75</v>
      </c>
      <c r="C2536" t="s">
        <v>61</v>
      </c>
      <c r="D2536" t="s">
        <v>76</v>
      </c>
      <c r="E2536" t="s">
        <v>10</v>
      </c>
      <c r="F2536" cm="1">
        <f t="array" ref="F2536">_xlfn.XLOOKUP(Food_Orders[[#This Row],[Event_No]],Event_Master[[#All],[Event_No]],Event_Master[[#All],[Guest_Count]],,0)</f>
        <v>420</v>
      </c>
      <c r="G2536" cm="1">
        <f t="array" ref="G2536">Food_Orders[[#This Row],[Quantity_Orderd]]*_xlfn.XLOOKUP(Food_Orders[[#This Row],[Food_ID]],Food_Catalog[[#All],[Food_ID]],Food_Catalog[[#All],[Price_Per_Unit]],0,0)</f>
        <v>16800</v>
      </c>
      <c r="H2536" cm="1">
        <f t="array" ref="H2536">Food_Orders[[#This Row],[Quantity_Orderd]]*_xlfn.XLOOKUP(Food_Orders[[#This Row],[Food_ID]],Food_Catalog[[#All],[Food_ID]],Food_Catalog[[#All],[Client_Price_Per_Unit]],0,0)</f>
        <v>20160</v>
      </c>
      <c r="I2536">
        <f>Food_Orders[[#This Row],[Client_Price]]-Food_Orders[[#This Row],[Cost]]</f>
        <v>3360</v>
      </c>
    </row>
    <row r="2537" spans="1:9" x14ac:dyDescent="0.25">
      <c r="A2537">
        <v>108</v>
      </c>
      <c r="B2537" t="s">
        <v>69</v>
      </c>
      <c r="C2537" t="s">
        <v>61</v>
      </c>
      <c r="D2537" t="s">
        <v>70</v>
      </c>
      <c r="E2537" t="s">
        <v>10</v>
      </c>
      <c r="F2537" cm="1">
        <f t="array" ref="F2537">_xlfn.XLOOKUP(Food_Orders[[#This Row],[Event_No]],Event_Master[[#All],[Event_No]],Event_Master[[#All],[Guest_Count]],,0)</f>
        <v>420</v>
      </c>
      <c r="G2537" cm="1">
        <f t="array" ref="G2537">Food_Orders[[#This Row],[Quantity_Orderd]]*_xlfn.XLOOKUP(Food_Orders[[#This Row],[Food_ID]],Food_Catalog[[#All],[Food_ID]],Food_Catalog[[#All],[Price_Per_Unit]],0,0)</f>
        <v>21000</v>
      </c>
      <c r="H2537" cm="1">
        <f t="array" ref="H2537">Food_Orders[[#This Row],[Quantity_Orderd]]*_xlfn.XLOOKUP(Food_Orders[[#This Row],[Food_ID]],Food_Catalog[[#All],[Food_ID]],Food_Catalog[[#All],[Client_Price_Per_Unit]],0,0)</f>
        <v>25200</v>
      </c>
      <c r="I2537">
        <f>Food_Orders[[#This Row],[Client_Price]]-Food_Orders[[#This Row],[Cost]]</f>
        <v>4200</v>
      </c>
    </row>
    <row r="2538" spans="1:9" x14ac:dyDescent="0.25">
      <c r="A2538">
        <v>108</v>
      </c>
      <c r="B2538" t="s">
        <v>67</v>
      </c>
      <c r="C2538" t="s">
        <v>61</v>
      </c>
      <c r="D2538" t="s">
        <v>68</v>
      </c>
      <c r="E2538" t="s">
        <v>10</v>
      </c>
      <c r="F2538" cm="1">
        <f t="array" ref="F2538">_xlfn.XLOOKUP(Food_Orders[[#This Row],[Event_No]],Event_Master[[#All],[Event_No]],Event_Master[[#All],[Guest_Count]],,0)</f>
        <v>420</v>
      </c>
      <c r="G2538" cm="1">
        <f t="array" ref="G2538">Food_Orders[[#This Row],[Quantity_Orderd]]*_xlfn.XLOOKUP(Food_Orders[[#This Row],[Food_ID]],Food_Catalog[[#All],[Food_ID]],Food_Catalog[[#All],[Price_Per_Unit]],0,0)</f>
        <v>12600</v>
      </c>
      <c r="H2538" cm="1">
        <f t="array" ref="H2538">Food_Orders[[#This Row],[Quantity_Orderd]]*_xlfn.XLOOKUP(Food_Orders[[#This Row],[Food_ID]],Food_Catalog[[#All],[Food_ID]],Food_Catalog[[#All],[Client_Price_Per_Unit]],0,0)</f>
        <v>15120</v>
      </c>
      <c r="I2538">
        <f>Food_Orders[[#This Row],[Client_Price]]-Food_Orders[[#This Row],[Cost]]</f>
        <v>2520</v>
      </c>
    </row>
    <row r="2539" spans="1:9" x14ac:dyDescent="0.25">
      <c r="A2539">
        <v>108</v>
      </c>
      <c r="B2539" t="s">
        <v>77</v>
      </c>
      <c r="C2539" t="s">
        <v>61</v>
      </c>
      <c r="D2539" t="s">
        <v>78</v>
      </c>
      <c r="E2539" t="s">
        <v>79</v>
      </c>
      <c r="F2539" cm="1">
        <f t="array" ref="F2539">_xlfn.XLOOKUP(Food_Orders[[#This Row],[Event_No]],Event_Master[[#All],[Event_No]],Event_Master[[#All],[Guest_Count]],,0)</f>
        <v>420</v>
      </c>
      <c r="G2539" cm="1">
        <f t="array" ref="G2539">Food_Orders[[#This Row],[Quantity_Orderd]]*_xlfn.XLOOKUP(Food_Orders[[#This Row],[Food_ID]],Food_Catalog[[#All],[Food_ID]],Food_Catalog[[#All],[Price_Per_Unit]],0,0)</f>
        <v>14700</v>
      </c>
      <c r="H2539" cm="1">
        <f t="array" ref="H2539">Food_Orders[[#This Row],[Quantity_Orderd]]*_xlfn.XLOOKUP(Food_Orders[[#This Row],[Food_ID]],Food_Catalog[[#All],[Food_ID]],Food_Catalog[[#All],[Client_Price_Per_Unit]],0,0)</f>
        <v>17640</v>
      </c>
      <c r="I2539">
        <f>Food_Orders[[#This Row],[Client_Price]]-Food_Orders[[#This Row],[Cost]]</f>
        <v>2940</v>
      </c>
    </row>
    <row r="2540" spans="1:9" x14ac:dyDescent="0.25">
      <c r="A2540">
        <v>108</v>
      </c>
      <c r="B2540" t="s">
        <v>7</v>
      </c>
      <c r="C2540" t="s">
        <v>8</v>
      </c>
      <c r="D2540" t="s">
        <v>9</v>
      </c>
      <c r="E2540" t="s">
        <v>10</v>
      </c>
      <c r="F2540" cm="1">
        <f t="array" ref="F2540">_xlfn.XLOOKUP(Food_Orders[[#This Row],[Event_No]],Event_Master[[#All],[Event_No]],Event_Master[[#All],[Guest_Count]],,0)</f>
        <v>420</v>
      </c>
      <c r="G2540" cm="1">
        <f t="array" ref="G2540">Food_Orders[[#This Row],[Quantity_Orderd]]*_xlfn.XLOOKUP(Food_Orders[[#This Row],[Food_ID]],Food_Catalog[[#All],[Food_ID]],Food_Catalog[[#All],[Price_Per_Unit]],0,0)</f>
        <v>10500</v>
      </c>
      <c r="H2540" cm="1">
        <f t="array" ref="H2540">Food_Orders[[#This Row],[Quantity_Orderd]]*_xlfn.XLOOKUP(Food_Orders[[#This Row],[Food_ID]],Food_Catalog[[#All],[Food_ID]],Food_Catalog[[#All],[Client_Price_Per_Unit]],0,0)</f>
        <v>12600</v>
      </c>
      <c r="I2540">
        <f>Food_Orders[[#This Row],[Client_Price]]-Food_Orders[[#This Row],[Cost]]</f>
        <v>2100</v>
      </c>
    </row>
    <row r="2541" spans="1:9" x14ac:dyDescent="0.25">
      <c r="A2541">
        <v>108</v>
      </c>
      <c r="B2541" t="s">
        <v>13</v>
      </c>
      <c r="C2541" t="s">
        <v>8</v>
      </c>
      <c r="D2541" t="s">
        <v>14</v>
      </c>
      <c r="E2541" t="s">
        <v>10</v>
      </c>
      <c r="F2541" cm="1">
        <f t="array" ref="F2541">_xlfn.XLOOKUP(Food_Orders[[#This Row],[Event_No]],Event_Master[[#All],[Event_No]],Event_Master[[#All],[Guest_Count]],,0)</f>
        <v>420</v>
      </c>
      <c r="G2541" cm="1">
        <f t="array" ref="G2541">Food_Orders[[#This Row],[Quantity_Orderd]]*_xlfn.XLOOKUP(Food_Orders[[#This Row],[Food_ID]],Food_Catalog[[#All],[Food_ID]],Food_Catalog[[#All],[Price_Per_Unit]],0,0)</f>
        <v>14700</v>
      </c>
      <c r="H2541" cm="1">
        <f t="array" ref="H2541">Food_Orders[[#This Row],[Quantity_Orderd]]*_xlfn.XLOOKUP(Food_Orders[[#This Row],[Food_ID]],Food_Catalog[[#All],[Food_ID]],Food_Catalog[[#All],[Client_Price_Per_Unit]],0,0)</f>
        <v>17640</v>
      </c>
      <c r="I2541">
        <f>Food_Orders[[#This Row],[Client_Price]]-Food_Orders[[#This Row],[Cost]]</f>
        <v>2940</v>
      </c>
    </row>
    <row r="2542" spans="1:9" x14ac:dyDescent="0.25">
      <c r="A2542">
        <v>108</v>
      </c>
      <c r="B2542" t="s">
        <v>27</v>
      </c>
      <c r="C2542" t="s">
        <v>8</v>
      </c>
      <c r="D2542" t="s">
        <v>28</v>
      </c>
      <c r="E2542" t="s">
        <v>10</v>
      </c>
      <c r="F2542" cm="1">
        <f t="array" ref="F2542">_xlfn.XLOOKUP(Food_Orders[[#This Row],[Event_No]],Event_Master[[#All],[Event_No]],Event_Master[[#All],[Guest_Count]],,0)</f>
        <v>420</v>
      </c>
      <c r="G2542" cm="1">
        <f t="array" ref="G2542">Food_Orders[[#This Row],[Quantity_Orderd]]*_xlfn.XLOOKUP(Food_Orders[[#This Row],[Food_ID]],Food_Catalog[[#All],[Food_ID]],Food_Catalog[[#All],[Price_Per_Unit]],0,0)</f>
        <v>16800</v>
      </c>
      <c r="H2542" cm="1">
        <f t="array" ref="H2542">Food_Orders[[#This Row],[Quantity_Orderd]]*_xlfn.XLOOKUP(Food_Orders[[#This Row],[Food_ID]],Food_Catalog[[#All],[Food_ID]],Food_Catalog[[#All],[Client_Price_Per_Unit]],0,0)</f>
        <v>20160</v>
      </c>
      <c r="I2542">
        <f>Food_Orders[[#This Row],[Client_Price]]-Food_Orders[[#This Row],[Cost]]</f>
        <v>3360</v>
      </c>
    </row>
    <row r="2543" spans="1:9" x14ac:dyDescent="0.25">
      <c r="A2543">
        <v>108</v>
      </c>
      <c r="B2543" t="s">
        <v>31</v>
      </c>
      <c r="C2543" t="s">
        <v>8</v>
      </c>
      <c r="D2543" t="s">
        <v>32</v>
      </c>
      <c r="E2543" t="s">
        <v>10</v>
      </c>
      <c r="F2543" cm="1">
        <f t="array" ref="F2543">_xlfn.XLOOKUP(Food_Orders[[#This Row],[Event_No]],Event_Master[[#All],[Event_No]],Event_Master[[#All],[Guest_Count]],,0)</f>
        <v>420</v>
      </c>
      <c r="G2543" cm="1">
        <f t="array" ref="G2543">Food_Orders[[#This Row],[Quantity_Orderd]]*_xlfn.XLOOKUP(Food_Orders[[#This Row],[Food_ID]],Food_Catalog[[#All],[Food_ID]],Food_Catalog[[#All],[Price_Per_Unit]],0,0)</f>
        <v>12600</v>
      </c>
      <c r="H2543" cm="1">
        <f t="array" ref="H2543">Food_Orders[[#This Row],[Quantity_Orderd]]*_xlfn.XLOOKUP(Food_Orders[[#This Row],[Food_ID]],Food_Catalog[[#All],[Food_ID]],Food_Catalog[[#All],[Client_Price_Per_Unit]],0,0)</f>
        <v>15120</v>
      </c>
      <c r="I2543">
        <f>Food_Orders[[#This Row],[Client_Price]]-Food_Orders[[#This Row],[Cost]]</f>
        <v>2520</v>
      </c>
    </row>
    <row r="2544" spans="1:9" x14ac:dyDescent="0.25">
      <c r="A2544">
        <v>108</v>
      </c>
      <c r="B2544" t="s">
        <v>33</v>
      </c>
      <c r="C2544" t="s">
        <v>8</v>
      </c>
      <c r="D2544" t="s">
        <v>34</v>
      </c>
      <c r="E2544" t="s">
        <v>10</v>
      </c>
      <c r="F2544" cm="1">
        <f t="array" ref="F2544">_xlfn.XLOOKUP(Food_Orders[[#This Row],[Event_No]],Event_Master[[#All],[Event_No]],Event_Master[[#All],[Guest_Count]],,0)</f>
        <v>420</v>
      </c>
      <c r="G2544" cm="1">
        <f t="array" ref="G2544">Food_Orders[[#This Row],[Quantity_Orderd]]*_xlfn.XLOOKUP(Food_Orders[[#This Row],[Food_ID]],Food_Catalog[[#All],[Food_ID]],Food_Catalog[[#All],[Price_Per_Unit]],0,0)</f>
        <v>12600</v>
      </c>
      <c r="H2544" cm="1">
        <f t="array" ref="H2544">Food_Orders[[#This Row],[Quantity_Orderd]]*_xlfn.XLOOKUP(Food_Orders[[#This Row],[Food_ID]],Food_Catalog[[#All],[Food_ID]],Food_Catalog[[#All],[Client_Price_Per_Unit]],0,0)</f>
        <v>15120</v>
      </c>
      <c r="I2544">
        <f>Food_Orders[[#This Row],[Client_Price]]-Food_Orders[[#This Row],[Cost]]</f>
        <v>2520</v>
      </c>
    </row>
    <row r="2545" spans="1:9" x14ac:dyDescent="0.25">
      <c r="A2545">
        <v>108</v>
      </c>
      <c r="B2545" t="s">
        <v>17</v>
      </c>
      <c r="C2545" t="s">
        <v>8</v>
      </c>
      <c r="D2545" t="s">
        <v>18</v>
      </c>
      <c r="E2545" t="s">
        <v>10</v>
      </c>
      <c r="F2545" cm="1">
        <f t="array" ref="F2545">_xlfn.XLOOKUP(Food_Orders[[#This Row],[Event_No]],Event_Master[[#All],[Event_No]],Event_Master[[#All],[Guest_Count]],,0)</f>
        <v>420</v>
      </c>
      <c r="G2545" cm="1">
        <f t="array" ref="G2545">Food_Orders[[#This Row],[Quantity_Orderd]]*_xlfn.XLOOKUP(Food_Orders[[#This Row],[Food_ID]],Food_Catalog[[#All],[Food_ID]],Food_Catalog[[#All],[Price_Per_Unit]],0,0)</f>
        <v>16800</v>
      </c>
      <c r="H2545" cm="1">
        <f t="array" ref="H2545">Food_Orders[[#This Row],[Quantity_Orderd]]*_xlfn.XLOOKUP(Food_Orders[[#This Row],[Food_ID]],Food_Catalog[[#All],[Food_ID]],Food_Catalog[[#All],[Client_Price_Per_Unit]],0,0)</f>
        <v>20160</v>
      </c>
      <c r="I2545">
        <f>Food_Orders[[#This Row],[Client_Price]]-Food_Orders[[#This Row],[Cost]]</f>
        <v>3360</v>
      </c>
    </row>
    <row r="2546" spans="1:9" x14ac:dyDescent="0.25">
      <c r="A2546">
        <v>108</v>
      </c>
      <c r="B2546" t="s">
        <v>29</v>
      </c>
      <c r="C2546" t="s">
        <v>8</v>
      </c>
      <c r="D2546" t="s">
        <v>30</v>
      </c>
      <c r="E2546" t="s">
        <v>10</v>
      </c>
      <c r="F2546" cm="1">
        <f t="array" ref="F2546">_xlfn.XLOOKUP(Food_Orders[[#This Row],[Event_No]],Event_Master[[#All],[Event_No]],Event_Master[[#All],[Guest_Count]],,0)</f>
        <v>420</v>
      </c>
      <c r="G2546" cm="1">
        <f t="array" ref="G2546">Food_Orders[[#This Row],[Quantity_Orderd]]*_xlfn.XLOOKUP(Food_Orders[[#This Row],[Food_ID]],Food_Catalog[[#All],[Food_ID]],Food_Catalog[[#All],[Price_Per_Unit]],0,0)</f>
        <v>12600</v>
      </c>
      <c r="H2546" cm="1">
        <f t="array" ref="H2546">Food_Orders[[#This Row],[Quantity_Orderd]]*_xlfn.XLOOKUP(Food_Orders[[#This Row],[Food_ID]],Food_Catalog[[#All],[Food_ID]],Food_Catalog[[#All],[Client_Price_Per_Unit]],0,0)</f>
        <v>15120</v>
      </c>
      <c r="I2546">
        <f>Food_Orders[[#This Row],[Client_Price]]-Food_Orders[[#This Row],[Cost]]</f>
        <v>2520</v>
      </c>
    </row>
    <row r="2547" spans="1:9" x14ac:dyDescent="0.25">
      <c r="A2547">
        <v>108</v>
      </c>
      <c r="B2547" t="s">
        <v>37</v>
      </c>
      <c r="C2547" t="s">
        <v>8</v>
      </c>
      <c r="D2547" t="s">
        <v>38</v>
      </c>
      <c r="E2547" t="s">
        <v>10</v>
      </c>
      <c r="F2547" cm="1">
        <f t="array" ref="F2547">_xlfn.XLOOKUP(Food_Orders[[#This Row],[Event_No]],Event_Master[[#All],[Event_No]],Event_Master[[#All],[Guest_Count]],,0)</f>
        <v>420</v>
      </c>
      <c r="G2547" cm="1">
        <f t="array" ref="G2547">Food_Orders[[#This Row],[Quantity_Orderd]]*_xlfn.XLOOKUP(Food_Orders[[#This Row],[Food_ID]],Food_Catalog[[#All],[Food_ID]],Food_Catalog[[#All],[Price_Per_Unit]],0,0)</f>
        <v>10500</v>
      </c>
      <c r="H2547" cm="1">
        <f t="array" ref="H2547">Food_Orders[[#This Row],[Quantity_Orderd]]*_xlfn.XLOOKUP(Food_Orders[[#This Row],[Food_ID]],Food_Catalog[[#All],[Food_ID]],Food_Catalog[[#All],[Client_Price_Per_Unit]],0,0)</f>
        <v>12600</v>
      </c>
      <c r="I2547">
        <f>Food_Orders[[#This Row],[Client_Price]]-Food_Orders[[#This Row],[Cost]]</f>
        <v>2100</v>
      </c>
    </row>
    <row r="2548" spans="1:9" x14ac:dyDescent="0.25">
      <c r="A2548">
        <v>108</v>
      </c>
      <c r="B2548" t="s">
        <v>39</v>
      </c>
      <c r="C2548" t="s">
        <v>40</v>
      </c>
      <c r="D2548" t="s">
        <v>41</v>
      </c>
      <c r="E2548" t="s">
        <v>10</v>
      </c>
      <c r="F2548" cm="1">
        <f t="array" ref="F2548">_xlfn.XLOOKUP(Food_Orders[[#This Row],[Event_No]],Event_Master[[#All],[Event_No]],Event_Master[[#All],[Guest_Count]],,0)</f>
        <v>420</v>
      </c>
      <c r="G2548" cm="1">
        <f t="array" ref="G2548">Food_Orders[[#This Row],[Quantity_Orderd]]*_xlfn.XLOOKUP(Food_Orders[[#This Row],[Food_ID]],Food_Catalog[[#All],[Food_ID]],Food_Catalog[[#All],[Price_Per_Unit]],0,0)</f>
        <v>25200</v>
      </c>
      <c r="H2548" cm="1">
        <f t="array" ref="H2548">Food_Orders[[#This Row],[Quantity_Orderd]]*_xlfn.XLOOKUP(Food_Orders[[#This Row],[Food_ID]],Food_Catalog[[#All],[Food_ID]],Food_Catalog[[#All],[Client_Price_Per_Unit]],0,0)</f>
        <v>30240</v>
      </c>
      <c r="I2548">
        <f>Food_Orders[[#This Row],[Client_Price]]-Food_Orders[[#This Row],[Cost]]</f>
        <v>5040</v>
      </c>
    </row>
    <row r="2549" spans="1:9" x14ac:dyDescent="0.25">
      <c r="A2549">
        <v>108</v>
      </c>
      <c r="B2549" t="s">
        <v>42</v>
      </c>
      <c r="C2549" t="s">
        <v>40</v>
      </c>
      <c r="D2549" t="s">
        <v>43</v>
      </c>
      <c r="E2549" t="s">
        <v>10</v>
      </c>
      <c r="F2549" cm="1">
        <f t="array" ref="F2549">_xlfn.XLOOKUP(Food_Orders[[#This Row],[Event_No]],Event_Master[[#All],[Event_No]],Event_Master[[#All],[Guest_Count]],,0)</f>
        <v>420</v>
      </c>
      <c r="G2549" cm="1">
        <f t="array" ref="G2549">Food_Orders[[#This Row],[Quantity_Orderd]]*_xlfn.XLOOKUP(Food_Orders[[#This Row],[Food_ID]],Food_Catalog[[#All],[Food_ID]],Food_Catalog[[#All],[Price_Per_Unit]],0,0)</f>
        <v>29400</v>
      </c>
      <c r="H2549" cm="1">
        <f t="array" ref="H2549">Food_Orders[[#This Row],[Quantity_Orderd]]*_xlfn.XLOOKUP(Food_Orders[[#This Row],[Food_ID]],Food_Catalog[[#All],[Food_ID]],Food_Catalog[[#All],[Client_Price_Per_Unit]],0,0)</f>
        <v>35280</v>
      </c>
      <c r="I2549">
        <f>Food_Orders[[#This Row],[Client_Price]]-Food_Orders[[#This Row],[Cost]]</f>
        <v>5880</v>
      </c>
    </row>
    <row r="2550" spans="1:9" x14ac:dyDescent="0.25">
      <c r="A2550">
        <v>108</v>
      </c>
      <c r="B2550" t="s">
        <v>58</v>
      </c>
      <c r="C2550" t="s">
        <v>40</v>
      </c>
      <c r="D2550" t="s">
        <v>59</v>
      </c>
      <c r="E2550" t="s">
        <v>10</v>
      </c>
      <c r="F2550" cm="1">
        <f t="array" ref="F2550">_xlfn.XLOOKUP(Food_Orders[[#This Row],[Event_No]],Event_Master[[#All],[Event_No]],Event_Master[[#All],[Guest_Count]],,0)</f>
        <v>420</v>
      </c>
      <c r="G2550" cm="1">
        <f t="array" ref="G2550">Food_Orders[[#This Row],[Quantity_Orderd]]*_xlfn.XLOOKUP(Food_Orders[[#This Row],[Food_ID]],Food_Catalog[[#All],[Food_ID]],Food_Catalog[[#All],[Price_Per_Unit]],0,0)</f>
        <v>37800</v>
      </c>
      <c r="H2550" cm="1">
        <f t="array" ref="H2550">Food_Orders[[#This Row],[Quantity_Orderd]]*_xlfn.XLOOKUP(Food_Orders[[#This Row],[Food_ID]],Food_Catalog[[#All],[Food_ID]],Food_Catalog[[#All],[Client_Price_Per_Unit]],0,0)</f>
        <v>45360</v>
      </c>
      <c r="I2550">
        <f>Food_Orders[[#This Row],[Client_Price]]-Food_Orders[[#This Row],[Cost]]</f>
        <v>7560</v>
      </c>
    </row>
    <row r="2551" spans="1:9" x14ac:dyDescent="0.25">
      <c r="A2551">
        <v>108</v>
      </c>
      <c r="B2551" t="s">
        <v>46</v>
      </c>
      <c r="C2551" t="s">
        <v>40</v>
      </c>
      <c r="D2551" t="s">
        <v>47</v>
      </c>
      <c r="E2551" t="s">
        <v>10</v>
      </c>
      <c r="F2551" cm="1">
        <f t="array" ref="F2551">_xlfn.XLOOKUP(Food_Orders[[#This Row],[Event_No]],Event_Master[[#All],[Event_No]],Event_Master[[#All],[Guest_Count]],,0)</f>
        <v>420</v>
      </c>
      <c r="G2551" cm="1">
        <f t="array" ref="G2551">Food_Orders[[#This Row],[Quantity_Orderd]]*_xlfn.XLOOKUP(Food_Orders[[#This Row],[Food_ID]],Food_Catalog[[#All],[Food_ID]],Food_Catalog[[#All],[Price_Per_Unit]],0,0)</f>
        <v>37800</v>
      </c>
      <c r="H2551" cm="1">
        <f t="array" ref="H2551">Food_Orders[[#This Row],[Quantity_Orderd]]*_xlfn.XLOOKUP(Food_Orders[[#This Row],[Food_ID]],Food_Catalog[[#All],[Food_ID]],Food_Catalog[[#All],[Client_Price_Per_Unit]],0,0)</f>
        <v>45360</v>
      </c>
      <c r="I2551">
        <f>Food_Orders[[#This Row],[Client_Price]]-Food_Orders[[#This Row],[Cost]]</f>
        <v>7560</v>
      </c>
    </row>
    <row r="2552" spans="1:9" x14ac:dyDescent="0.25">
      <c r="A2552">
        <v>108</v>
      </c>
      <c r="B2552" t="s">
        <v>50</v>
      </c>
      <c r="C2552" t="s">
        <v>40</v>
      </c>
      <c r="D2552" t="s">
        <v>51</v>
      </c>
      <c r="E2552" t="s">
        <v>10</v>
      </c>
      <c r="F2552" cm="1">
        <f t="array" ref="F2552">_xlfn.XLOOKUP(Food_Orders[[#This Row],[Event_No]],Event_Master[[#All],[Event_No]],Event_Master[[#All],[Guest_Count]],,0)</f>
        <v>420</v>
      </c>
      <c r="G2552" cm="1">
        <f t="array" ref="G2552">Food_Orders[[#This Row],[Quantity_Orderd]]*_xlfn.XLOOKUP(Food_Orders[[#This Row],[Food_ID]],Food_Catalog[[#All],[Food_ID]],Food_Catalog[[#All],[Price_Per_Unit]],0,0)</f>
        <v>33600</v>
      </c>
      <c r="H2552" cm="1">
        <f t="array" ref="H2552">Food_Orders[[#This Row],[Quantity_Orderd]]*_xlfn.XLOOKUP(Food_Orders[[#This Row],[Food_ID]],Food_Catalog[[#All],[Food_ID]],Food_Catalog[[#All],[Client_Price_Per_Unit]],0,0)</f>
        <v>40320</v>
      </c>
      <c r="I2552">
        <f>Food_Orders[[#This Row],[Client_Price]]-Food_Orders[[#This Row],[Cost]]</f>
        <v>6720</v>
      </c>
    </row>
    <row r="2553" spans="1:9" x14ac:dyDescent="0.25">
      <c r="A2553">
        <v>108</v>
      </c>
      <c r="B2553" t="s">
        <v>82</v>
      </c>
      <c r="C2553" t="s">
        <v>83</v>
      </c>
      <c r="D2553" t="s">
        <v>84</v>
      </c>
      <c r="E2553" t="s">
        <v>85</v>
      </c>
      <c r="F2553" cm="1">
        <f t="array" ref="F2553">_xlfn.XLOOKUP(Food_Orders[[#This Row],[Event_No]],Event_Master[[#All],[Event_No]],Event_Master[[#All],[Guest_Count]],,0)</f>
        <v>420</v>
      </c>
      <c r="G2553" cm="1">
        <f t="array" ref="G2553">Food_Orders[[#This Row],[Quantity_Orderd]]*_xlfn.XLOOKUP(Food_Orders[[#This Row],[Food_ID]],Food_Catalog[[#All],[Food_ID]],Food_Catalog[[#All],[Price_Per_Unit]],0,0)</f>
        <v>8400</v>
      </c>
      <c r="H2553" cm="1">
        <f t="array" ref="H2553">Food_Orders[[#This Row],[Quantity_Orderd]]*_xlfn.XLOOKUP(Food_Orders[[#This Row],[Food_ID]],Food_Catalog[[#All],[Food_ID]],Food_Catalog[[#All],[Client_Price_Per_Unit]],0,0)</f>
        <v>10080</v>
      </c>
      <c r="I2553">
        <f>Food_Orders[[#This Row],[Client_Price]]-Food_Orders[[#This Row],[Cost]]</f>
        <v>1680</v>
      </c>
    </row>
    <row r="2554" spans="1:9" x14ac:dyDescent="0.25">
      <c r="A2554">
        <v>108</v>
      </c>
      <c r="B2554" t="s">
        <v>86</v>
      </c>
      <c r="C2554" t="s">
        <v>83</v>
      </c>
      <c r="D2554" t="s">
        <v>87</v>
      </c>
      <c r="E2554" t="s">
        <v>85</v>
      </c>
      <c r="F2554" cm="1">
        <f t="array" ref="F2554">_xlfn.XLOOKUP(Food_Orders[[#This Row],[Event_No]],Event_Master[[#All],[Event_No]],Event_Master[[#All],[Guest_Count]],,0)</f>
        <v>420</v>
      </c>
      <c r="G2554" cm="1">
        <f t="array" ref="G2554">Food_Orders[[#This Row],[Quantity_Orderd]]*_xlfn.XLOOKUP(Food_Orders[[#This Row],[Food_ID]],Food_Catalog[[#All],[Food_ID]],Food_Catalog[[#All],[Price_Per_Unit]],0,0)</f>
        <v>8400</v>
      </c>
      <c r="H2554" cm="1">
        <f t="array" ref="H2554">Food_Orders[[#This Row],[Quantity_Orderd]]*_xlfn.XLOOKUP(Food_Orders[[#This Row],[Food_ID]],Food_Catalog[[#All],[Food_ID]],Food_Catalog[[#All],[Client_Price_Per_Unit]],0,0)</f>
        <v>10080</v>
      </c>
      <c r="I2554">
        <f>Food_Orders[[#This Row],[Client_Price]]-Food_Orders[[#This Row],[Cost]]</f>
        <v>1680</v>
      </c>
    </row>
    <row r="2555" spans="1:9" x14ac:dyDescent="0.25">
      <c r="A2555">
        <v>108</v>
      </c>
      <c r="B2555" t="s">
        <v>96</v>
      </c>
      <c r="C2555" t="s">
        <v>83</v>
      </c>
      <c r="D2555" t="s">
        <v>97</v>
      </c>
      <c r="E2555" t="s">
        <v>79</v>
      </c>
      <c r="F2555" cm="1">
        <f t="array" ref="F2555">_xlfn.XLOOKUP(Food_Orders[[#This Row],[Event_No]],Event_Master[[#All],[Event_No]],Event_Master[[#All],[Guest_Count]],,0)</f>
        <v>420</v>
      </c>
      <c r="G2555" cm="1">
        <f t="array" ref="G2555">Food_Orders[[#This Row],[Quantity_Orderd]]*_xlfn.XLOOKUP(Food_Orders[[#This Row],[Food_ID]],Food_Catalog[[#All],[Food_ID]],Food_Catalog[[#All],[Price_Per_Unit]],0,0)</f>
        <v>12600</v>
      </c>
      <c r="H2555" cm="1">
        <f t="array" ref="H2555">Food_Orders[[#This Row],[Quantity_Orderd]]*_xlfn.XLOOKUP(Food_Orders[[#This Row],[Food_ID]],Food_Catalog[[#All],[Food_ID]],Food_Catalog[[#All],[Client_Price_Per_Unit]],0,0)</f>
        <v>15120</v>
      </c>
      <c r="I2555">
        <f>Food_Orders[[#This Row],[Client_Price]]-Food_Orders[[#This Row],[Cost]]</f>
        <v>2520</v>
      </c>
    </row>
    <row r="2556" spans="1:9" x14ac:dyDescent="0.25">
      <c r="A2556">
        <v>108</v>
      </c>
      <c r="B2556" t="s">
        <v>88</v>
      </c>
      <c r="C2556" t="s">
        <v>83</v>
      </c>
      <c r="D2556" t="s">
        <v>89</v>
      </c>
      <c r="E2556" t="s">
        <v>85</v>
      </c>
      <c r="F2556" cm="1">
        <f t="array" ref="F2556">_xlfn.XLOOKUP(Food_Orders[[#This Row],[Event_No]],Event_Master[[#All],[Event_No]],Event_Master[[#All],[Guest_Count]],,0)</f>
        <v>420</v>
      </c>
      <c r="G2556" cm="1">
        <f t="array" ref="G2556">Food_Orders[[#This Row],[Quantity_Orderd]]*_xlfn.XLOOKUP(Food_Orders[[#This Row],[Food_ID]],Food_Catalog[[#All],[Food_ID]],Food_Catalog[[#All],[Price_Per_Unit]],0,0)</f>
        <v>6300</v>
      </c>
      <c r="H2556" cm="1">
        <f t="array" ref="H2556">Food_Orders[[#This Row],[Quantity_Orderd]]*_xlfn.XLOOKUP(Food_Orders[[#This Row],[Food_ID]],Food_Catalog[[#All],[Food_ID]],Food_Catalog[[#All],[Client_Price_Per_Unit]],0,0)</f>
        <v>7560</v>
      </c>
      <c r="I2556">
        <f>Food_Orders[[#This Row],[Client_Price]]-Food_Orders[[#This Row],[Cost]]</f>
        <v>1260</v>
      </c>
    </row>
    <row r="2557" spans="1:9" x14ac:dyDescent="0.25">
      <c r="A2557">
        <v>108</v>
      </c>
      <c r="B2557" t="s">
        <v>92</v>
      </c>
      <c r="C2557" t="s">
        <v>83</v>
      </c>
      <c r="D2557" t="s">
        <v>93</v>
      </c>
      <c r="E2557" t="s">
        <v>85</v>
      </c>
      <c r="F2557" cm="1">
        <f t="array" ref="F2557">_xlfn.XLOOKUP(Food_Orders[[#This Row],[Event_No]],Event_Master[[#All],[Event_No]],Event_Master[[#All],[Guest_Count]],,0)</f>
        <v>420</v>
      </c>
      <c r="G2557" cm="1">
        <f t="array" ref="G2557">Food_Orders[[#This Row],[Quantity_Orderd]]*_xlfn.XLOOKUP(Food_Orders[[#This Row],[Food_ID]],Food_Catalog[[#All],[Food_ID]],Food_Catalog[[#All],[Price_Per_Unit]],0,0)</f>
        <v>6300</v>
      </c>
      <c r="H2557" cm="1">
        <f t="array" ref="H2557">Food_Orders[[#This Row],[Quantity_Orderd]]*_xlfn.XLOOKUP(Food_Orders[[#This Row],[Food_ID]],Food_Catalog[[#All],[Food_ID]],Food_Catalog[[#All],[Client_Price_Per_Unit]],0,0)</f>
        <v>7560</v>
      </c>
      <c r="I2557">
        <f>Food_Orders[[#This Row],[Client_Price]]-Food_Orders[[#This Row],[Cost]]</f>
        <v>1260</v>
      </c>
    </row>
    <row r="2558" spans="1:9" x14ac:dyDescent="0.25">
      <c r="A2558">
        <v>108</v>
      </c>
      <c r="B2558" t="s">
        <v>98</v>
      </c>
      <c r="C2558" t="s">
        <v>83</v>
      </c>
      <c r="D2558" t="s">
        <v>99</v>
      </c>
      <c r="E2558" t="s">
        <v>85</v>
      </c>
      <c r="F2558" cm="1">
        <f t="array" ref="F2558">_xlfn.XLOOKUP(Food_Orders[[#This Row],[Event_No]],Event_Master[[#All],[Event_No]],Event_Master[[#All],[Guest_Count]],,0)</f>
        <v>420</v>
      </c>
      <c r="G2558" cm="1">
        <f t="array" ref="G2558">Food_Orders[[#This Row],[Quantity_Orderd]]*_xlfn.XLOOKUP(Food_Orders[[#This Row],[Food_ID]],Food_Catalog[[#All],[Food_ID]],Food_Catalog[[#All],[Price_Per_Unit]],0,0)</f>
        <v>6300</v>
      </c>
      <c r="H2558" cm="1">
        <f t="array" ref="H2558">Food_Orders[[#This Row],[Quantity_Orderd]]*_xlfn.XLOOKUP(Food_Orders[[#This Row],[Food_ID]],Food_Catalog[[#All],[Food_ID]],Food_Catalog[[#All],[Client_Price_Per_Unit]],0,0)</f>
        <v>7560</v>
      </c>
      <c r="I2558">
        <f>Food_Orders[[#This Row],[Client_Price]]-Food_Orders[[#This Row],[Cost]]</f>
        <v>1260</v>
      </c>
    </row>
    <row r="2559" spans="1:9" x14ac:dyDescent="0.25">
      <c r="A2559">
        <v>108</v>
      </c>
      <c r="B2559" t="s">
        <v>104</v>
      </c>
      <c r="C2559" t="s">
        <v>105</v>
      </c>
      <c r="D2559" t="s">
        <v>106</v>
      </c>
      <c r="E2559" t="s">
        <v>107</v>
      </c>
      <c r="F2559" cm="1">
        <f t="array" ref="F2559">_xlfn.XLOOKUP(Food_Orders[[#This Row],[Event_No]],Event_Master[[#All],[Event_No]],Event_Master[[#All],[Guest_Count]],,0)</f>
        <v>420</v>
      </c>
      <c r="G2559" cm="1">
        <f t="array" ref="G2559">Food_Orders[[#This Row],[Quantity_Orderd]]*_xlfn.XLOOKUP(Food_Orders[[#This Row],[Food_ID]],Food_Catalog[[#All],[Food_ID]],Food_Catalog[[#All],[Price_Per_Unit]],0,0)</f>
        <v>4200</v>
      </c>
      <c r="H2559" cm="1">
        <f t="array" ref="H2559">Food_Orders[[#This Row],[Quantity_Orderd]]*_xlfn.XLOOKUP(Food_Orders[[#This Row],[Food_ID]],Food_Catalog[[#All],[Food_ID]],Food_Catalog[[#All],[Client_Price_Per_Unit]],0,0)</f>
        <v>5040</v>
      </c>
      <c r="I2559">
        <f>Food_Orders[[#This Row],[Client_Price]]-Food_Orders[[#This Row],[Cost]]</f>
        <v>840</v>
      </c>
    </row>
    <row r="2560" spans="1:9" x14ac:dyDescent="0.25">
      <c r="A2560">
        <v>108</v>
      </c>
      <c r="B2560" t="s">
        <v>108</v>
      </c>
      <c r="C2560" t="s">
        <v>105</v>
      </c>
      <c r="D2560" t="s">
        <v>109</v>
      </c>
      <c r="E2560" t="s">
        <v>107</v>
      </c>
      <c r="F2560" cm="1">
        <f t="array" ref="F2560">_xlfn.XLOOKUP(Food_Orders[[#This Row],[Event_No]],Event_Master[[#All],[Event_No]],Event_Master[[#All],[Guest_Count]],,0)</f>
        <v>420</v>
      </c>
      <c r="G2560" cm="1">
        <f t="array" ref="G2560">Food_Orders[[#This Row],[Quantity_Orderd]]*_xlfn.XLOOKUP(Food_Orders[[#This Row],[Food_ID]],Food_Catalog[[#All],[Food_ID]],Food_Catalog[[#All],[Price_Per_Unit]],0,0)</f>
        <v>6300</v>
      </c>
      <c r="H2560" cm="1">
        <f t="array" ref="H2560">Food_Orders[[#This Row],[Quantity_Orderd]]*_xlfn.XLOOKUP(Food_Orders[[#This Row],[Food_ID]],Food_Catalog[[#All],[Food_ID]],Food_Catalog[[#All],[Client_Price_Per_Unit]],0,0)</f>
        <v>7560</v>
      </c>
      <c r="I2560">
        <f>Food_Orders[[#This Row],[Client_Price]]-Food_Orders[[#This Row],[Cost]]</f>
        <v>1260</v>
      </c>
    </row>
    <row r="2561" spans="1:9" x14ac:dyDescent="0.25">
      <c r="A2561">
        <v>108</v>
      </c>
      <c r="B2561" t="s">
        <v>118</v>
      </c>
      <c r="C2561" t="s">
        <v>119</v>
      </c>
      <c r="D2561" t="s">
        <v>120</v>
      </c>
      <c r="E2561" t="s">
        <v>112</v>
      </c>
      <c r="F2561" cm="1">
        <f t="array" ref="F2561">_xlfn.XLOOKUP(Food_Orders[[#This Row],[Event_No]],Event_Master[[#All],[Event_No]],Event_Master[[#All],[Guest_Count]],,0)</f>
        <v>420</v>
      </c>
      <c r="G2561" cm="1">
        <f t="array" ref="G2561">Food_Orders[[#This Row],[Quantity_Orderd]]*_xlfn.XLOOKUP(Food_Orders[[#This Row],[Food_ID]],Food_Catalog[[#All],[Food_ID]],Food_Catalog[[#All],[Price_Per_Unit]],0,0)</f>
        <v>4200</v>
      </c>
      <c r="H2561" cm="1">
        <f t="array" ref="H2561">Food_Orders[[#This Row],[Quantity_Orderd]]*_xlfn.XLOOKUP(Food_Orders[[#This Row],[Food_ID]],Food_Catalog[[#All],[Food_ID]],Food_Catalog[[#All],[Client_Price_Per_Unit]],0,0)</f>
        <v>5040</v>
      </c>
      <c r="I2561">
        <f>Food_Orders[[#This Row],[Client_Price]]-Food_Orders[[#This Row],[Cost]]</f>
        <v>840</v>
      </c>
    </row>
    <row r="2562" spans="1:9" x14ac:dyDescent="0.25">
      <c r="A2562">
        <v>108</v>
      </c>
      <c r="B2562" t="s">
        <v>129</v>
      </c>
      <c r="C2562" t="s">
        <v>119</v>
      </c>
      <c r="D2562" t="s">
        <v>130</v>
      </c>
      <c r="E2562" t="s">
        <v>112</v>
      </c>
      <c r="F2562" cm="1">
        <f t="array" ref="F2562">_xlfn.XLOOKUP(Food_Orders[[#This Row],[Event_No]],Event_Master[[#All],[Event_No]],Event_Master[[#All],[Guest_Count]],,0)</f>
        <v>420</v>
      </c>
      <c r="G2562" cm="1">
        <f t="array" ref="G2562">Food_Orders[[#This Row],[Quantity_Orderd]]*_xlfn.XLOOKUP(Food_Orders[[#This Row],[Food_ID]],Food_Catalog[[#All],[Food_ID]],Food_Catalog[[#All],[Price_Per_Unit]],0,0)</f>
        <v>4200</v>
      </c>
      <c r="H2562" cm="1">
        <f t="array" ref="H2562">Food_Orders[[#This Row],[Quantity_Orderd]]*_xlfn.XLOOKUP(Food_Orders[[#This Row],[Food_ID]],Food_Catalog[[#All],[Food_ID]],Food_Catalog[[#All],[Client_Price_Per_Unit]],0,0)</f>
        <v>5040</v>
      </c>
      <c r="I2562">
        <f>Food_Orders[[#This Row],[Client_Price]]-Food_Orders[[#This Row],[Cost]]</f>
        <v>840</v>
      </c>
    </row>
    <row r="2563" spans="1:9" x14ac:dyDescent="0.25">
      <c r="A2563">
        <v>108</v>
      </c>
      <c r="B2563" t="s">
        <v>124</v>
      </c>
      <c r="C2563" t="s">
        <v>119</v>
      </c>
      <c r="D2563" t="s">
        <v>125</v>
      </c>
      <c r="E2563" t="s">
        <v>126</v>
      </c>
      <c r="F2563" cm="1">
        <f t="array" ref="F2563">_xlfn.XLOOKUP(Food_Orders[[#This Row],[Event_No]],Event_Master[[#All],[Event_No]],Event_Master[[#All],[Guest_Count]],,0)</f>
        <v>420</v>
      </c>
      <c r="G2563" cm="1">
        <f t="array" ref="G2563">Food_Orders[[#This Row],[Quantity_Orderd]]*_xlfn.XLOOKUP(Food_Orders[[#This Row],[Food_ID]],Food_Catalog[[#All],[Food_ID]],Food_Catalog[[#All],[Price_Per_Unit]],0,0)</f>
        <v>8400</v>
      </c>
      <c r="H2563" cm="1">
        <f t="array" ref="H2563">Food_Orders[[#This Row],[Quantity_Orderd]]*_xlfn.XLOOKUP(Food_Orders[[#This Row],[Food_ID]],Food_Catalog[[#All],[Food_ID]],Food_Catalog[[#All],[Client_Price_Per_Unit]],0,0)</f>
        <v>10080</v>
      </c>
      <c r="I2563">
        <f>Food_Orders[[#This Row],[Client_Price]]-Food_Orders[[#This Row],[Cost]]</f>
        <v>1680</v>
      </c>
    </row>
    <row r="2564" spans="1:9" x14ac:dyDescent="0.25">
      <c r="A2564">
        <v>108</v>
      </c>
      <c r="B2564" t="s">
        <v>127</v>
      </c>
      <c r="C2564" t="s">
        <v>119</v>
      </c>
      <c r="D2564" t="s">
        <v>128</v>
      </c>
      <c r="E2564" t="s">
        <v>107</v>
      </c>
      <c r="F2564" cm="1">
        <f t="array" ref="F2564">_xlfn.XLOOKUP(Food_Orders[[#This Row],[Event_No]],Event_Master[[#All],[Event_No]],Event_Master[[#All],[Guest_Count]],,0)</f>
        <v>420</v>
      </c>
      <c r="G2564" cm="1">
        <f t="array" ref="G2564">Food_Orders[[#This Row],[Quantity_Orderd]]*_xlfn.XLOOKUP(Food_Orders[[#This Row],[Food_ID]],Food_Catalog[[#All],[Food_ID]],Food_Catalog[[#All],[Price_Per_Unit]],0,0)</f>
        <v>8400</v>
      </c>
      <c r="H2564" cm="1">
        <f t="array" ref="H2564">Food_Orders[[#This Row],[Quantity_Orderd]]*_xlfn.XLOOKUP(Food_Orders[[#This Row],[Food_ID]],Food_Catalog[[#All],[Food_ID]],Food_Catalog[[#All],[Client_Price_Per_Unit]],0,0)</f>
        <v>10080</v>
      </c>
      <c r="I2564">
        <f>Food_Orders[[#This Row],[Client_Price]]-Food_Orders[[#This Row],[Cost]]</f>
        <v>1680</v>
      </c>
    </row>
    <row r="2565" spans="1:9" x14ac:dyDescent="0.25">
      <c r="A2565">
        <v>109</v>
      </c>
      <c r="B2565" t="s">
        <v>63</v>
      </c>
      <c r="C2565" t="s">
        <v>61</v>
      </c>
      <c r="D2565" t="s">
        <v>64</v>
      </c>
      <c r="E2565" t="s">
        <v>10</v>
      </c>
      <c r="F2565" cm="1">
        <f t="array" ref="F2565">_xlfn.XLOOKUP(Food_Orders[[#This Row],[Event_No]],Event_Master[[#All],[Event_No]],Event_Master[[#All],[Guest_Count]],,0)</f>
        <v>200</v>
      </c>
      <c r="G2565" cm="1">
        <f t="array" ref="G2565">Food_Orders[[#This Row],[Quantity_Orderd]]*_xlfn.XLOOKUP(Food_Orders[[#This Row],[Food_ID]],Food_Catalog[[#All],[Food_ID]],Food_Catalog[[#All],[Price_Per_Unit]],0,0)</f>
        <v>6000</v>
      </c>
      <c r="H2565" cm="1">
        <f t="array" ref="H2565">Food_Orders[[#This Row],[Quantity_Orderd]]*_xlfn.XLOOKUP(Food_Orders[[#This Row],[Food_ID]],Food_Catalog[[#All],[Food_ID]],Food_Catalog[[#All],[Client_Price_Per_Unit]],0,0)</f>
        <v>7200</v>
      </c>
      <c r="I2565">
        <f>Food_Orders[[#This Row],[Client_Price]]-Food_Orders[[#This Row],[Cost]]</f>
        <v>1200</v>
      </c>
    </row>
    <row r="2566" spans="1:9" x14ac:dyDescent="0.25">
      <c r="A2566">
        <v>109</v>
      </c>
      <c r="B2566" t="s">
        <v>71</v>
      </c>
      <c r="C2566" t="s">
        <v>61</v>
      </c>
      <c r="D2566" t="s">
        <v>72</v>
      </c>
      <c r="E2566" t="s">
        <v>10</v>
      </c>
      <c r="F2566" cm="1">
        <f t="array" ref="F2566">_xlfn.XLOOKUP(Food_Orders[[#This Row],[Event_No]],Event_Master[[#All],[Event_No]],Event_Master[[#All],[Guest_Count]],,0)</f>
        <v>200</v>
      </c>
      <c r="G2566" cm="1">
        <f t="array" ref="G2566">Food_Orders[[#This Row],[Quantity_Orderd]]*_xlfn.XLOOKUP(Food_Orders[[#This Row],[Food_ID]],Food_Catalog[[#All],[Food_ID]],Food_Catalog[[#All],[Price_Per_Unit]],0,0)</f>
        <v>5000</v>
      </c>
      <c r="H2566" cm="1">
        <f t="array" ref="H2566">Food_Orders[[#This Row],[Quantity_Orderd]]*_xlfn.XLOOKUP(Food_Orders[[#This Row],[Food_ID]],Food_Catalog[[#All],[Food_ID]],Food_Catalog[[#All],[Client_Price_Per_Unit]],0,0)</f>
        <v>6000</v>
      </c>
      <c r="I2566">
        <f>Food_Orders[[#This Row],[Client_Price]]-Food_Orders[[#This Row],[Cost]]</f>
        <v>1000</v>
      </c>
    </row>
    <row r="2567" spans="1:9" x14ac:dyDescent="0.25">
      <c r="A2567">
        <v>109</v>
      </c>
      <c r="B2567" t="s">
        <v>60</v>
      </c>
      <c r="C2567" t="s">
        <v>61</v>
      </c>
      <c r="D2567" t="s">
        <v>62</v>
      </c>
      <c r="E2567" t="s">
        <v>10</v>
      </c>
      <c r="F2567" cm="1">
        <f t="array" ref="F2567">_xlfn.XLOOKUP(Food_Orders[[#This Row],[Event_No]],Event_Master[[#All],[Event_No]],Event_Master[[#All],[Guest_Count]],,0)</f>
        <v>200</v>
      </c>
      <c r="G2567" cm="1">
        <f t="array" ref="G2567">Food_Orders[[#This Row],[Quantity_Orderd]]*_xlfn.XLOOKUP(Food_Orders[[#This Row],[Food_ID]],Food_Catalog[[#All],[Food_ID]],Food_Catalog[[#All],[Price_Per_Unit]],0,0)</f>
        <v>4000</v>
      </c>
      <c r="H2567" cm="1">
        <f t="array" ref="H2567">Food_Orders[[#This Row],[Quantity_Orderd]]*_xlfn.XLOOKUP(Food_Orders[[#This Row],[Food_ID]],Food_Catalog[[#All],[Food_ID]],Food_Catalog[[#All],[Client_Price_Per_Unit]],0,0)</f>
        <v>4800</v>
      </c>
      <c r="I2567">
        <f>Food_Orders[[#This Row],[Client_Price]]-Food_Orders[[#This Row],[Cost]]</f>
        <v>800</v>
      </c>
    </row>
    <row r="2568" spans="1:9" x14ac:dyDescent="0.25">
      <c r="A2568">
        <v>109</v>
      </c>
      <c r="B2568" t="s">
        <v>77</v>
      </c>
      <c r="C2568" t="s">
        <v>61</v>
      </c>
      <c r="D2568" t="s">
        <v>78</v>
      </c>
      <c r="E2568" t="s">
        <v>79</v>
      </c>
      <c r="F2568" cm="1">
        <f t="array" ref="F2568">_xlfn.XLOOKUP(Food_Orders[[#This Row],[Event_No]],Event_Master[[#All],[Event_No]],Event_Master[[#All],[Guest_Count]],,0)</f>
        <v>200</v>
      </c>
      <c r="G2568" cm="1">
        <f t="array" ref="G2568">Food_Orders[[#This Row],[Quantity_Orderd]]*_xlfn.XLOOKUP(Food_Orders[[#This Row],[Food_ID]],Food_Catalog[[#All],[Food_ID]],Food_Catalog[[#All],[Price_Per_Unit]],0,0)</f>
        <v>7000</v>
      </c>
      <c r="H2568" cm="1">
        <f t="array" ref="H2568">Food_Orders[[#This Row],[Quantity_Orderd]]*_xlfn.XLOOKUP(Food_Orders[[#This Row],[Food_ID]],Food_Catalog[[#All],[Food_ID]],Food_Catalog[[#All],[Client_Price_Per_Unit]],0,0)</f>
        <v>8400</v>
      </c>
      <c r="I2568">
        <f>Food_Orders[[#This Row],[Client_Price]]-Food_Orders[[#This Row],[Cost]]</f>
        <v>1400</v>
      </c>
    </row>
    <row r="2569" spans="1:9" x14ac:dyDescent="0.25">
      <c r="A2569">
        <v>109</v>
      </c>
      <c r="B2569" t="s">
        <v>7</v>
      </c>
      <c r="C2569" t="s">
        <v>8</v>
      </c>
      <c r="D2569" t="s">
        <v>9</v>
      </c>
      <c r="E2569" t="s">
        <v>10</v>
      </c>
      <c r="F2569" cm="1">
        <f t="array" ref="F2569">_xlfn.XLOOKUP(Food_Orders[[#This Row],[Event_No]],Event_Master[[#All],[Event_No]],Event_Master[[#All],[Guest_Count]],,0)</f>
        <v>200</v>
      </c>
      <c r="G2569" cm="1">
        <f t="array" ref="G2569">Food_Orders[[#This Row],[Quantity_Orderd]]*_xlfn.XLOOKUP(Food_Orders[[#This Row],[Food_ID]],Food_Catalog[[#All],[Food_ID]],Food_Catalog[[#All],[Price_Per_Unit]],0,0)</f>
        <v>5000</v>
      </c>
      <c r="H2569" cm="1">
        <f t="array" ref="H2569">Food_Orders[[#This Row],[Quantity_Orderd]]*_xlfn.XLOOKUP(Food_Orders[[#This Row],[Food_ID]],Food_Catalog[[#All],[Food_ID]],Food_Catalog[[#All],[Client_Price_Per_Unit]],0,0)</f>
        <v>6000</v>
      </c>
      <c r="I2569">
        <f>Food_Orders[[#This Row],[Client_Price]]-Food_Orders[[#This Row],[Cost]]</f>
        <v>1000</v>
      </c>
    </row>
    <row r="2570" spans="1:9" x14ac:dyDescent="0.25">
      <c r="A2570">
        <v>109</v>
      </c>
      <c r="B2570" t="s">
        <v>13</v>
      </c>
      <c r="C2570" t="s">
        <v>8</v>
      </c>
      <c r="D2570" t="s">
        <v>14</v>
      </c>
      <c r="E2570" t="s">
        <v>10</v>
      </c>
      <c r="F2570" cm="1">
        <f t="array" ref="F2570">_xlfn.XLOOKUP(Food_Orders[[#This Row],[Event_No]],Event_Master[[#All],[Event_No]],Event_Master[[#All],[Guest_Count]],,0)</f>
        <v>200</v>
      </c>
      <c r="G2570" cm="1">
        <f t="array" ref="G2570">Food_Orders[[#This Row],[Quantity_Orderd]]*_xlfn.XLOOKUP(Food_Orders[[#This Row],[Food_ID]],Food_Catalog[[#All],[Food_ID]],Food_Catalog[[#All],[Price_Per_Unit]],0,0)</f>
        <v>7000</v>
      </c>
      <c r="H2570" cm="1">
        <f t="array" ref="H2570">Food_Orders[[#This Row],[Quantity_Orderd]]*_xlfn.XLOOKUP(Food_Orders[[#This Row],[Food_ID]],Food_Catalog[[#All],[Food_ID]],Food_Catalog[[#All],[Client_Price_Per_Unit]],0,0)</f>
        <v>8400</v>
      </c>
      <c r="I2570">
        <f>Food_Orders[[#This Row],[Client_Price]]-Food_Orders[[#This Row],[Cost]]</f>
        <v>1400</v>
      </c>
    </row>
    <row r="2571" spans="1:9" x14ac:dyDescent="0.25">
      <c r="A2571">
        <v>109</v>
      </c>
      <c r="B2571" t="s">
        <v>35</v>
      </c>
      <c r="C2571" t="s">
        <v>8</v>
      </c>
      <c r="D2571" t="s">
        <v>36</v>
      </c>
      <c r="E2571" t="s">
        <v>10</v>
      </c>
      <c r="F2571" cm="1">
        <f t="array" ref="F2571">_xlfn.XLOOKUP(Food_Orders[[#This Row],[Event_No]],Event_Master[[#All],[Event_No]],Event_Master[[#All],[Guest_Count]],,0)</f>
        <v>200</v>
      </c>
      <c r="G2571" cm="1">
        <f t="array" ref="G2571">Food_Orders[[#This Row],[Quantity_Orderd]]*_xlfn.XLOOKUP(Food_Orders[[#This Row],[Food_ID]],Food_Catalog[[#All],[Food_ID]],Food_Catalog[[#All],[Price_Per_Unit]],0,0)</f>
        <v>6000</v>
      </c>
      <c r="H2571" cm="1">
        <f t="array" ref="H2571">Food_Orders[[#This Row],[Quantity_Orderd]]*_xlfn.XLOOKUP(Food_Orders[[#This Row],[Food_ID]],Food_Catalog[[#All],[Food_ID]],Food_Catalog[[#All],[Client_Price_Per_Unit]],0,0)</f>
        <v>7200</v>
      </c>
      <c r="I2571">
        <f>Food_Orders[[#This Row],[Client_Price]]-Food_Orders[[#This Row],[Cost]]</f>
        <v>1200</v>
      </c>
    </row>
    <row r="2572" spans="1:9" x14ac:dyDescent="0.25">
      <c r="A2572">
        <v>109</v>
      </c>
      <c r="B2572" t="s">
        <v>27</v>
      </c>
      <c r="C2572" t="s">
        <v>8</v>
      </c>
      <c r="D2572" t="s">
        <v>28</v>
      </c>
      <c r="E2572" t="s">
        <v>10</v>
      </c>
      <c r="F2572" cm="1">
        <f t="array" ref="F2572">_xlfn.XLOOKUP(Food_Orders[[#This Row],[Event_No]],Event_Master[[#All],[Event_No]],Event_Master[[#All],[Guest_Count]],,0)</f>
        <v>200</v>
      </c>
      <c r="G2572" cm="1">
        <f t="array" ref="G2572">Food_Orders[[#This Row],[Quantity_Orderd]]*_xlfn.XLOOKUP(Food_Orders[[#This Row],[Food_ID]],Food_Catalog[[#All],[Food_ID]],Food_Catalog[[#All],[Price_Per_Unit]],0,0)</f>
        <v>8000</v>
      </c>
      <c r="H2572" cm="1">
        <f t="array" ref="H2572">Food_Orders[[#This Row],[Quantity_Orderd]]*_xlfn.XLOOKUP(Food_Orders[[#This Row],[Food_ID]],Food_Catalog[[#All],[Food_ID]],Food_Catalog[[#All],[Client_Price_Per_Unit]],0,0)</f>
        <v>9600</v>
      </c>
      <c r="I2572">
        <f>Food_Orders[[#This Row],[Client_Price]]-Food_Orders[[#This Row],[Cost]]</f>
        <v>1600</v>
      </c>
    </row>
    <row r="2573" spans="1:9" x14ac:dyDescent="0.25">
      <c r="A2573">
        <v>109</v>
      </c>
      <c r="B2573" t="s">
        <v>31</v>
      </c>
      <c r="C2573" t="s">
        <v>8</v>
      </c>
      <c r="D2573" t="s">
        <v>32</v>
      </c>
      <c r="E2573" t="s">
        <v>10</v>
      </c>
      <c r="F2573" cm="1">
        <f t="array" ref="F2573">_xlfn.XLOOKUP(Food_Orders[[#This Row],[Event_No]],Event_Master[[#All],[Event_No]],Event_Master[[#All],[Guest_Count]],,0)</f>
        <v>200</v>
      </c>
      <c r="G2573" cm="1">
        <f t="array" ref="G2573">Food_Orders[[#This Row],[Quantity_Orderd]]*_xlfn.XLOOKUP(Food_Orders[[#This Row],[Food_ID]],Food_Catalog[[#All],[Food_ID]],Food_Catalog[[#All],[Price_Per_Unit]],0,0)</f>
        <v>6000</v>
      </c>
      <c r="H2573" cm="1">
        <f t="array" ref="H2573">Food_Orders[[#This Row],[Quantity_Orderd]]*_xlfn.XLOOKUP(Food_Orders[[#This Row],[Food_ID]],Food_Catalog[[#All],[Food_ID]],Food_Catalog[[#All],[Client_Price_Per_Unit]],0,0)</f>
        <v>7200</v>
      </c>
      <c r="I2573">
        <f>Food_Orders[[#This Row],[Client_Price]]-Food_Orders[[#This Row],[Cost]]</f>
        <v>1200</v>
      </c>
    </row>
    <row r="2574" spans="1:9" x14ac:dyDescent="0.25">
      <c r="A2574">
        <v>109</v>
      </c>
      <c r="B2574" t="s">
        <v>29</v>
      </c>
      <c r="C2574" t="s">
        <v>8</v>
      </c>
      <c r="D2574" t="s">
        <v>30</v>
      </c>
      <c r="E2574" t="s">
        <v>10</v>
      </c>
      <c r="F2574" cm="1">
        <f t="array" ref="F2574">_xlfn.XLOOKUP(Food_Orders[[#This Row],[Event_No]],Event_Master[[#All],[Event_No]],Event_Master[[#All],[Guest_Count]],,0)</f>
        <v>200</v>
      </c>
      <c r="G2574" cm="1">
        <f t="array" ref="G2574">Food_Orders[[#This Row],[Quantity_Orderd]]*_xlfn.XLOOKUP(Food_Orders[[#This Row],[Food_ID]],Food_Catalog[[#All],[Food_ID]],Food_Catalog[[#All],[Price_Per_Unit]],0,0)</f>
        <v>6000</v>
      </c>
      <c r="H2574" cm="1">
        <f t="array" ref="H2574">Food_Orders[[#This Row],[Quantity_Orderd]]*_xlfn.XLOOKUP(Food_Orders[[#This Row],[Food_ID]],Food_Catalog[[#All],[Food_ID]],Food_Catalog[[#All],[Client_Price_Per_Unit]],0,0)</f>
        <v>7200</v>
      </c>
      <c r="I2574">
        <f>Food_Orders[[#This Row],[Client_Price]]-Food_Orders[[#This Row],[Cost]]</f>
        <v>1200</v>
      </c>
    </row>
    <row r="2575" spans="1:9" x14ac:dyDescent="0.25">
      <c r="A2575">
        <v>109</v>
      </c>
      <c r="B2575" t="s">
        <v>37</v>
      </c>
      <c r="C2575" t="s">
        <v>8</v>
      </c>
      <c r="D2575" t="s">
        <v>38</v>
      </c>
      <c r="E2575" t="s">
        <v>10</v>
      </c>
      <c r="F2575" cm="1">
        <f t="array" ref="F2575">_xlfn.XLOOKUP(Food_Orders[[#This Row],[Event_No]],Event_Master[[#All],[Event_No]],Event_Master[[#All],[Guest_Count]],,0)</f>
        <v>200</v>
      </c>
      <c r="G2575" cm="1">
        <f t="array" ref="G2575">Food_Orders[[#This Row],[Quantity_Orderd]]*_xlfn.XLOOKUP(Food_Orders[[#This Row],[Food_ID]],Food_Catalog[[#All],[Food_ID]],Food_Catalog[[#All],[Price_Per_Unit]],0,0)</f>
        <v>5000</v>
      </c>
      <c r="H2575" cm="1">
        <f t="array" ref="H2575">Food_Orders[[#This Row],[Quantity_Orderd]]*_xlfn.XLOOKUP(Food_Orders[[#This Row],[Food_ID]],Food_Catalog[[#All],[Food_ID]],Food_Catalog[[#All],[Client_Price_Per_Unit]],0,0)</f>
        <v>6000</v>
      </c>
      <c r="I2575">
        <f>Food_Orders[[#This Row],[Client_Price]]-Food_Orders[[#This Row],[Cost]]</f>
        <v>1000</v>
      </c>
    </row>
    <row r="2576" spans="1:9" x14ac:dyDescent="0.25">
      <c r="A2576">
        <v>109</v>
      </c>
      <c r="B2576" t="s">
        <v>82</v>
      </c>
      <c r="C2576" t="s">
        <v>83</v>
      </c>
      <c r="D2576" t="s">
        <v>84</v>
      </c>
      <c r="E2576" t="s">
        <v>85</v>
      </c>
      <c r="F2576" cm="1">
        <f t="array" ref="F2576">_xlfn.XLOOKUP(Food_Orders[[#This Row],[Event_No]],Event_Master[[#All],[Event_No]],Event_Master[[#All],[Guest_Count]],,0)</f>
        <v>200</v>
      </c>
      <c r="G2576" cm="1">
        <f t="array" ref="G2576">Food_Orders[[#This Row],[Quantity_Orderd]]*_xlfn.XLOOKUP(Food_Orders[[#This Row],[Food_ID]],Food_Catalog[[#All],[Food_ID]],Food_Catalog[[#All],[Price_Per_Unit]],0,0)</f>
        <v>4000</v>
      </c>
      <c r="H2576" cm="1">
        <f t="array" ref="H2576">Food_Orders[[#This Row],[Quantity_Orderd]]*_xlfn.XLOOKUP(Food_Orders[[#This Row],[Food_ID]],Food_Catalog[[#All],[Food_ID]],Food_Catalog[[#All],[Client_Price_Per_Unit]],0,0)</f>
        <v>4800</v>
      </c>
      <c r="I2576">
        <f>Food_Orders[[#This Row],[Client_Price]]-Food_Orders[[#This Row],[Cost]]</f>
        <v>800</v>
      </c>
    </row>
    <row r="2577" spans="1:9" x14ac:dyDescent="0.25">
      <c r="A2577">
        <v>109</v>
      </c>
      <c r="B2577" t="s">
        <v>86</v>
      </c>
      <c r="C2577" t="s">
        <v>83</v>
      </c>
      <c r="D2577" t="s">
        <v>87</v>
      </c>
      <c r="E2577" t="s">
        <v>85</v>
      </c>
      <c r="F2577" cm="1">
        <f t="array" ref="F2577">_xlfn.XLOOKUP(Food_Orders[[#This Row],[Event_No]],Event_Master[[#All],[Event_No]],Event_Master[[#All],[Guest_Count]],,0)</f>
        <v>200</v>
      </c>
      <c r="G2577" cm="1">
        <f t="array" ref="G2577">Food_Orders[[#This Row],[Quantity_Orderd]]*_xlfn.XLOOKUP(Food_Orders[[#This Row],[Food_ID]],Food_Catalog[[#All],[Food_ID]],Food_Catalog[[#All],[Price_Per_Unit]],0,0)</f>
        <v>4000</v>
      </c>
      <c r="H2577" cm="1">
        <f t="array" ref="H2577">Food_Orders[[#This Row],[Quantity_Orderd]]*_xlfn.XLOOKUP(Food_Orders[[#This Row],[Food_ID]],Food_Catalog[[#All],[Food_ID]],Food_Catalog[[#All],[Client_Price_Per_Unit]],0,0)</f>
        <v>4800</v>
      </c>
      <c r="I2577">
        <f>Food_Orders[[#This Row],[Client_Price]]-Food_Orders[[#This Row],[Cost]]</f>
        <v>800</v>
      </c>
    </row>
    <row r="2578" spans="1:9" x14ac:dyDescent="0.25">
      <c r="A2578">
        <v>109</v>
      </c>
      <c r="B2578" t="s">
        <v>96</v>
      </c>
      <c r="C2578" t="s">
        <v>83</v>
      </c>
      <c r="D2578" t="s">
        <v>97</v>
      </c>
      <c r="E2578" t="s">
        <v>79</v>
      </c>
      <c r="F2578" cm="1">
        <f t="array" ref="F2578">_xlfn.XLOOKUP(Food_Orders[[#This Row],[Event_No]],Event_Master[[#All],[Event_No]],Event_Master[[#All],[Guest_Count]],,0)</f>
        <v>200</v>
      </c>
      <c r="G2578" cm="1">
        <f t="array" ref="G2578">Food_Orders[[#This Row],[Quantity_Orderd]]*_xlfn.XLOOKUP(Food_Orders[[#This Row],[Food_ID]],Food_Catalog[[#All],[Food_ID]],Food_Catalog[[#All],[Price_Per_Unit]],0,0)</f>
        <v>6000</v>
      </c>
      <c r="H2578" cm="1">
        <f t="array" ref="H2578">Food_Orders[[#This Row],[Quantity_Orderd]]*_xlfn.XLOOKUP(Food_Orders[[#This Row],[Food_ID]],Food_Catalog[[#All],[Food_ID]],Food_Catalog[[#All],[Client_Price_Per_Unit]],0,0)</f>
        <v>7200</v>
      </c>
      <c r="I2578">
        <f>Food_Orders[[#This Row],[Client_Price]]-Food_Orders[[#This Row],[Cost]]</f>
        <v>1200</v>
      </c>
    </row>
    <row r="2579" spans="1:9" x14ac:dyDescent="0.25">
      <c r="A2579">
        <v>109</v>
      </c>
      <c r="B2579" t="s">
        <v>88</v>
      </c>
      <c r="C2579" t="s">
        <v>83</v>
      </c>
      <c r="D2579" t="s">
        <v>89</v>
      </c>
      <c r="E2579" t="s">
        <v>85</v>
      </c>
      <c r="F2579" cm="1">
        <f t="array" ref="F2579">_xlfn.XLOOKUP(Food_Orders[[#This Row],[Event_No]],Event_Master[[#All],[Event_No]],Event_Master[[#All],[Guest_Count]],,0)</f>
        <v>200</v>
      </c>
      <c r="G2579" cm="1">
        <f t="array" ref="G2579">Food_Orders[[#This Row],[Quantity_Orderd]]*_xlfn.XLOOKUP(Food_Orders[[#This Row],[Food_ID]],Food_Catalog[[#All],[Food_ID]],Food_Catalog[[#All],[Price_Per_Unit]],0,0)</f>
        <v>3000</v>
      </c>
      <c r="H2579" cm="1">
        <f t="array" ref="H2579">Food_Orders[[#This Row],[Quantity_Orderd]]*_xlfn.XLOOKUP(Food_Orders[[#This Row],[Food_ID]],Food_Catalog[[#All],[Food_ID]],Food_Catalog[[#All],[Client_Price_Per_Unit]],0,0)</f>
        <v>3600</v>
      </c>
      <c r="I2579">
        <f>Food_Orders[[#This Row],[Client_Price]]-Food_Orders[[#This Row],[Cost]]</f>
        <v>600</v>
      </c>
    </row>
    <row r="2580" spans="1:9" x14ac:dyDescent="0.25">
      <c r="A2580">
        <v>109</v>
      </c>
      <c r="B2580" t="s">
        <v>92</v>
      </c>
      <c r="C2580" t="s">
        <v>83</v>
      </c>
      <c r="D2580" t="s">
        <v>93</v>
      </c>
      <c r="E2580" t="s">
        <v>85</v>
      </c>
      <c r="F2580" cm="1">
        <f t="array" ref="F2580">_xlfn.XLOOKUP(Food_Orders[[#This Row],[Event_No]],Event_Master[[#All],[Event_No]],Event_Master[[#All],[Guest_Count]],,0)</f>
        <v>200</v>
      </c>
      <c r="G2580" cm="1">
        <f t="array" ref="G2580">Food_Orders[[#This Row],[Quantity_Orderd]]*_xlfn.XLOOKUP(Food_Orders[[#This Row],[Food_ID]],Food_Catalog[[#All],[Food_ID]],Food_Catalog[[#All],[Price_Per_Unit]],0,0)</f>
        <v>3000</v>
      </c>
      <c r="H2580" cm="1">
        <f t="array" ref="H2580">Food_Orders[[#This Row],[Quantity_Orderd]]*_xlfn.XLOOKUP(Food_Orders[[#This Row],[Food_ID]],Food_Catalog[[#All],[Food_ID]],Food_Catalog[[#All],[Client_Price_Per_Unit]],0,0)</f>
        <v>3600</v>
      </c>
      <c r="I2580">
        <f>Food_Orders[[#This Row],[Client_Price]]-Food_Orders[[#This Row],[Cost]]</f>
        <v>600</v>
      </c>
    </row>
    <row r="2581" spans="1:9" x14ac:dyDescent="0.25">
      <c r="A2581">
        <v>109</v>
      </c>
      <c r="B2581" t="s">
        <v>104</v>
      </c>
      <c r="C2581" t="s">
        <v>105</v>
      </c>
      <c r="D2581" t="s">
        <v>106</v>
      </c>
      <c r="E2581" t="s">
        <v>107</v>
      </c>
      <c r="F2581" cm="1">
        <f t="array" ref="F2581">_xlfn.XLOOKUP(Food_Orders[[#This Row],[Event_No]],Event_Master[[#All],[Event_No]],Event_Master[[#All],[Guest_Count]],,0)</f>
        <v>200</v>
      </c>
      <c r="G2581" cm="1">
        <f t="array" ref="G2581">Food_Orders[[#This Row],[Quantity_Orderd]]*_xlfn.XLOOKUP(Food_Orders[[#This Row],[Food_ID]],Food_Catalog[[#All],[Food_ID]],Food_Catalog[[#All],[Price_Per_Unit]],0,0)</f>
        <v>2000</v>
      </c>
      <c r="H2581" cm="1">
        <f t="array" ref="H2581">Food_Orders[[#This Row],[Quantity_Orderd]]*_xlfn.XLOOKUP(Food_Orders[[#This Row],[Food_ID]],Food_Catalog[[#All],[Food_ID]],Food_Catalog[[#All],[Client_Price_Per_Unit]],0,0)</f>
        <v>2400</v>
      </c>
      <c r="I2581">
        <f>Food_Orders[[#This Row],[Client_Price]]-Food_Orders[[#This Row],[Cost]]</f>
        <v>400</v>
      </c>
    </row>
    <row r="2582" spans="1:9" x14ac:dyDescent="0.25">
      <c r="A2582">
        <v>109</v>
      </c>
      <c r="B2582" t="s">
        <v>118</v>
      </c>
      <c r="C2582" t="s">
        <v>119</v>
      </c>
      <c r="D2582" t="s">
        <v>120</v>
      </c>
      <c r="E2582" t="s">
        <v>112</v>
      </c>
      <c r="F2582" cm="1">
        <f t="array" ref="F2582">_xlfn.XLOOKUP(Food_Orders[[#This Row],[Event_No]],Event_Master[[#All],[Event_No]],Event_Master[[#All],[Guest_Count]],,0)</f>
        <v>200</v>
      </c>
      <c r="G2582" cm="1">
        <f t="array" ref="G2582">Food_Orders[[#This Row],[Quantity_Orderd]]*_xlfn.XLOOKUP(Food_Orders[[#This Row],[Food_ID]],Food_Catalog[[#All],[Food_ID]],Food_Catalog[[#All],[Price_Per_Unit]],0,0)</f>
        <v>2000</v>
      </c>
      <c r="H2582" cm="1">
        <f t="array" ref="H2582">Food_Orders[[#This Row],[Quantity_Orderd]]*_xlfn.XLOOKUP(Food_Orders[[#This Row],[Food_ID]],Food_Catalog[[#All],[Food_ID]],Food_Catalog[[#All],[Client_Price_Per_Unit]],0,0)</f>
        <v>2400</v>
      </c>
      <c r="I2582">
        <f>Food_Orders[[#This Row],[Client_Price]]-Food_Orders[[#This Row],[Cost]]</f>
        <v>400</v>
      </c>
    </row>
    <row r="2583" spans="1:9" x14ac:dyDescent="0.25">
      <c r="A2583">
        <v>109</v>
      </c>
      <c r="B2583" t="s">
        <v>129</v>
      </c>
      <c r="C2583" t="s">
        <v>119</v>
      </c>
      <c r="D2583" t="s">
        <v>130</v>
      </c>
      <c r="E2583" t="s">
        <v>112</v>
      </c>
      <c r="F2583" cm="1">
        <f t="array" ref="F2583">_xlfn.XLOOKUP(Food_Orders[[#This Row],[Event_No]],Event_Master[[#All],[Event_No]],Event_Master[[#All],[Guest_Count]],,0)</f>
        <v>200</v>
      </c>
      <c r="G2583" cm="1">
        <f t="array" ref="G2583">Food_Orders[[#This Row],[Quantity_Orderd]]*_xlfn.XLOOKUP(Food_Orders[[#This Row],[Food_ID]],Food_Catalog[[#All],[Food_ID]],Food_Catalog[[#All],[Price_Per_Unit]],0,0)</f>
        <v>2000</v>
      </c>
      <c r="H2583" cm="1">
        <f t="array" ref="H2583">Food_Orders[[#This Row],[Quantity_Orderd]]*_xlfn.XLOOKUP(Food_Orders[[#This Row],[Food_ID]],Food_Catalog[[#All],[Food_ID]],Food_Catalog[[#All],[Client_Price_Per_Unit]],0,0)</f>
        <v>2400</v>
      </c>
      <c r="I2583">
        <f>Food_Orders[[#This Row],[Client_Price]]-Food_Orders[[#This Row],[Cost]]</f>
        <v>400</v>
      </c>
    </row>
    <row r="2584" spans="1:9" x14ac:dyDescent="0.25">
      <c r="A2584">
        <v>110</v>
      </c>
      <c r="B2584" t="s">
        <v>60</v>
      </c>
      <c r="C2584" t="s">
        <v>61</v>
      </c>
      <c r="D2584" t="s">
        <v>62</v>
      </c>
      <c r="E2584" t="s">
        <v>10</v>
      </c>
      <c r="F2584" cm="1">
        <f t="array" ref="F2584">_xlfn.XLOOKUP(Food_Orders[[#This Row],[Event_No]],Event_Master[[#All],[Event_No]],Event_Master[[#All],[Guest_Count]],,0)</f>
        <v>640</v>
      </c>
      <c r="G2584" cm="1">
        <f t="array" ref="G2584">Food_Orders[[#This Row],[Quantity_Orderd]]*_xlfn.XLOOKUP(Food_Orders[[#This Row],[Food_ID]],Food_Catalog[[#All],[Food_ID]],Food_Catalog[[#All],[Price_Per_Unit]],0,0)</f>
        <v>12800</v>
      </c>
      <c r="H2584" cm="1">
        <f t="array" ref="H2584">Food_Orders[[#This Row],[Quantity_Orderd]]*_xlfn.XLOOKUP(Food_Orders[[#This Row],[Food_ID]],Food_Catalog[[#All],[Food_ID]],Food_Catalog[[#All],[Client_Price_Per_Unit]],0,0)</f>
        <v>15360</v>
      </c>
      <c r="I2584">
        <f>Food_Orders[[#This Row],[Client_Price]]-Food_Orders[[#This Row],[Cost]]</f>
        <v>2560</v>
      </c>
    </row>
    <row r="2585" spans="1:9" x14ac:dyDescent="0.25">
      <c r="A2585">
        <v>110</v>
      </c>
      <c r="B2585" t="s">
        <v>63</v>
      </c>
      <c r="C2585" t="s">
        <v>61</v>
      </c>
      <c r="D2585" t="s">
        <v>64</v>
      </c>
      <c r="E2585" t="s">
        <v>10</v>
      </c>
      <c r="F2585" cm="1">
        <f t="array" ref="F2585">_xlfn.XLOOKUP(Food_Orders[[#This Row],[Event_No]],Event_Master[[#All],[Event_No]],Event_Master[[#All],[Guest_Count]],,0)</f>
        <v>640</v>
      </c>
      <c r="G2585" cm="1">
        <f t="array" ref="G2585">Food_Orders[[#This Row],[Quantity_Orderd]]*_xlfn.XLOOKUP(Food_Orders[[#This Row],[Food_ID]],Food_Catalog[[#All],[Food_ID]],Food_Catalog[[#All],[Price_Per_Unit]],0,0)</f>
        <v>19200</v>
      </c>
      <c r="H2585" cm="1">
        <f t="array" ref="H2585">Food_Orders[[#This Row],[Quantity_Orderd]]*_xlfn.XLOOKUP(Food_Orders[[#This Row],[Food_ID]],Food_Catalog[[#All],[Food_ID]],Food_Catalog[[#All],[Client_Price_Per_Unit]],0,0)</f>
        <v>23040</v>
      </c>
      <c r="I2585">
        <f>Food_Orders[[#This Row],[Client_Price]]-Food_Orders[[#This Row],[Cost]]</f>
        <v>3840</v>
      </c>
    </row>
    <row r="2586" spans="1:9" x14ac:dyDescent="0.25">
      <c r="A2586">
        <v>110</v>
      </c>
      <c r="B2586" t="s">
        <v>71</v>
      </c>
      <c r="C2586" t="s">
        <v>61</v>
      </c>
      <c r="D2586" t="s">
        <v>72</v>
      </c>
      <c r="E2586" t="s">
        <v>10</v>
      </c>
      <c r="F2586" cm="1">
        <f t="array" ref="F2586">_xlfn.XLOOKUP(Food_Orders[[#This Row],[Event_No]],Event_Master[[#All],[Event_No]],Event_Master[[#All],[Guest_Count]],,0)</f>
        <v>640</v>
      </c>
      <c r="G2586" cm="1">
        <f t="array" ref="G2586">Food_Orders[[#This Row],[Quantity_Orderd]]*_xlfn.XLOOKUP(Food_Orders[[#This Row],[Food_ID]],Food_Catalog[[#All],[Food_ID]],Food_Catalog[[#All],[Price_Per_Unit]],0,0)</f>
        <v>16000</v>
      </c>
      <c r="H2586" cm="1">
        <f t="array" ref="H2586">Food_Orders[[#This Row],[Quantity_Orderd]]*_xlfn.XLOOKUP(Food_Orders[[#This Row],[Food_ID]],Food_Catalog[[#All],[Food_ID]],Food_Catalog[[#All],[Client_Price_Per_Unit]],0,0)</f>
        <v>19200</v>
      </c>
      <c r="I2586">
        <f>Food_Orders[[#This Row],[Client_Price]]-Food_Orders[[#This Row],[Cost]]</f>
        <v>3200</v>
      </c>
    </row>
    <row r="2587" spans="1:9" x14ac:dyDescent="0.25">
      <c r="A2587">
        <v>110</v>
      </c>
      <c r="B2587" t="s">
        <v>80</v>
      </c>
      <c r="C2587" t="s">
        <v>61</v>
      </c>
      <c r="D2587" t="s">
        <v>81</v>
      </c>
      <c r="E2587" t="s">
        <v>10</v>
      </c>
      <c r="F2587" cm="1">
        <f t="array" ref="F2587">_xlfn.XLOOKUP(Food_Orders[[#This Row],[Event_No]],Event_Master[[#All],[Event_No]],Event_Master[[#All],[Guest_Count]],,0)</f>
        <v>640</v>
      </c>
      <c r="G2587" cm="1">
        <f t="array" ref="G2587">Food_Orders[[#This Row],[Quantity_Orderd]]*_xlfn.XLOOKUP(Food_Orders[[#This Row],[Food_ID]],Food_Catalog[[#All],[Food_ID]],Food_Catalog[[#All],[Price_Per_Unit]],0,0)</f>
        <v>19200</v>
      </c>
      <c r="H2587" cm="1">
        <f t="array" ref="H2587">Food_Orders[[#This Row],[Quantity_Orderd]]*_xlfn.XLOOKUP(Food_Orders[[#This Row],[Food_ID]],Food_Catalog[[#All],[Food_ID]],Food_Catalog[[#All],[Client_Price_Per_Unit]],0,0)</f>
        <v>23040</v>
      </c>
      <c r="I2587">
        <f>Food_Orders[[#This Row],[Client_Price]]-Food_Orders[[#This Row],[Cost]]</f>
        <v>3840</v>
      </c>
    </row>
    <row r="2588" spans="1:9" x14ac:dyDescent="0.25">
      <c r="A2588">
        <v>110</v>
      </c>
      <c r="B2588" t="s">
        <v>73</v>
      </c>
      <c r="C2588" t="s">
        <v>61</v>
      </c>
      <c r="D2588" t="s">
        <v>74</v>
      </c>
      <c r="E2588" t="s">
        <v>10</v>
      </c>
      <c r="F2588" cm="1">
        <f t="array" ref="F2588">_xlfn.XLOOKUP(Food_Orders[[#This Row],[Event_No]],Event_Master[[#All],[Event_No]],Event_Master[[#All],[Guest_Count]],,0)</f>
        <v>640</v>
      </c>
      <c r="G2588" cm="1">
        <f t="array" ref="G2588">Food_Orders[[#This Row],[Quantity_Orderd]]*_xlfn.XLOOKUP(Food_Orders[[#This Row],[Food_ID]],Food_Catalog[[#All],[Food_ID]],Food_Catalog[[#All],[Price_Per_Unit]],0,0)</f>
        <v>25600</v>
      </c>
      <c r="H2588" cm="1">
        <f t="array" ref="H2588">Food_Orders[[#This Row],[Quantity_Orderd]]*_xlfn.XLOOKUP(Food_Orders[[#This Row],[Food_ID]],Food_Catalog[[#All],[Food_ID]],Food_Catalog[[#All],[Client_Price_Per_Unit]],0,0)</f>
        <v>30720</v>
      </c>
      <c r="I2588">
        <f>Food_Orders[[#This Row],[Client_Price]]-Food_Orders[[#This Row],[Cost]]</f>
        <v>5120</v>
      </c>
    </row>
    <row r="2589" spans="1:9" x14ac:dyDescent="0.25">
      <c r="A2589">
        <v>110</v>
      </c>
      <c r="B2589" t="s">
        <v>75</v>
      </c>
      <c r="C2589" t="s">
        <v>61</v>
      </c>
      <c r="D2589" t="s">
        <v>76</v>
      </c>
      <c r="E2589" t="s">
        <v>10</v>
      </c>
      <c r="F2589" cm="1">
        <f t="array" ref="F2589">_xlfn.XLOOKUP(Food_Orders[[#This Row],[Event_No]],Event_Master[[#All],[Event_No]],Event_Master[[#All],[Guest_Count]],,0)</f>
        <v>640</v>
      </c>
      <c r="G2589" cm="1">
        <f t="array" ref="G2589">Food_Orders[[#This Row],[Quantity_Orderd]]*_xlfn.XLOOKUP(Food_Orders[[#This Row],[Food_ID]],Food_Catalog[[#All],[Food_ID]],Food_Catalog[[#All],[Price_Per_Unit]],0,0)</f>
        <v>25600</v>
      </c>
      <c r="H2589" cm="1">
        <f t="array" ref="H2589">Food_Orders[[#This Row],[Quantity_Orderd]]*_xlfn.XLOOKUP(Food_Orders[[#This Row],[Food_ID]],Food_Catalog[[#All],[Food_ID]],Food_Catalog[[#All],[Client_Price_Per_Unit]],0,0)</f>
        <v>30720</v>
      </c>
      <c r="I2589">
        <f>Food_Orders[[#This Row],[Client_Price]]-Food_Orders[[#This Row],[Cost]]</f>
        <v>5120</v>
      </c>
    </row>
    <row r="2590" spans="1:9" x14ac:dyDescent="0.25">
      <c r="A2590">
        <v>110</v>
      </c>
      <c r="B2590" t="s">
        <v>69</v>
      </c>
      <c r="C2590" t="s">
        <v>61</v>
      </c>
      <c r="D2590" t="s">
        <v>70</v>
      </c>
      <c r="E2590" t="s">
        <v>10</v>
      </c>
      <c r="F2590" cm="1">
        <f t="array" ref="F2590">_xlfn.XLOOKUP(Food_Orders[[#This Row],[Event_No]],Event_Master[[#All],[Event_No]],Event_Master[[#All],[Guest_Count]],,0)</f>
        <v>640</v>
      </c>
      <c r="G2590" cm="1">
        <f t="array" ref="G2590">Food_Orders[[#This Row],[Quantity_Orderd]]*_xlfn.XLOOKUP(Food_Orders[[#This Row],[Food_ID]],Food_Catalog[[#All],[Food_ID]],Food_Catalog[[#All],[Price_Per_Unit]],0,0)</f>
        <v>32000</v>
      </c>
      <c r="H2590" cm="1">
        <f t="array" ref="H2590">Food_Orders[[#This Row],[Quantity_Orderd]]*_xlfn.XLOOKUP(Food_Orders[[#This Row],[Food_ID]],Food_Catalog[[#All],[Food_ID]],Food_Catalog[[#All],[Client_Price_Per_Unit]],0,0)</f>
        <v>38400</v>
      </c>
      <c r="I2590">
        <f>Food_Orders[[#This Row],[Client_Price]]-Food_Orders[[#This Row],[Cost]]</f>
        <v>6400</v>
      </c>
    </row>
    <row r="2591" spans="1:9" x14ac:dyDescent="0.25">
      <c r="A2591">
        <v>110</v>
      </c>
      <c r="B2591" t="s">
        <v>67</v>
      </c>
      <c r="C2591" t="s">
        <v>61</v>
      </c>
      <c r="D2591" t="s">
        <v>68</v>
      </c>
      <c r="E2591" t="s">
        <v>10</v>
      </c>
      <c r="F2591" cm="1">
        <f t="array" ref="F2591">_xlfn.XLOOKUP(Food_Orders[[#This Row],[Event_No]],Event_Master[[#All],[Event_No]],Event_Master[[#All],[Guest_Count]],,0)</f>
        <v>640</v>
      </c>
      <c r="G2591" cm="1">
        <f t="array" ref="G2591">Food_Orders[[#This Row],[Quantity_Orderd]]*_xlfn.XLOOKUP(Food_Orders[[#This Row],[Food_ID]],Food_Catalog[[#All],[Food_ID]],Food_Catalog[[#All],[Price_Per_Unit]],0,0)</f>
        <v>19200</v>
      </c>
      <c r="H2591" cm="1">
        <f t="array" ref="H2591">Food_Orders[[#This Row],[Quantity_Orderd]]*_xlfn.XLOOKUP(Food_Orders[[#This Row],[Food_ID]],Food_Catalog[[#All],[Food_ID]],Food_Catalog[[#All],[Client_Price_Per_Unit]],0,0)</f>
        <v>23040</v>
      </c>
      <c r="I2591">
        <f>Food_Orders[[#This Row],[Client_Price]]-Food_Orders[[#This Row],[Cost]]</f>
        <v>3840</v>
      </c>
    </row>
    <row r="2592" spans="1:9" x14ac:dyDescent="0.25">
      <c r="A2592">
        <v>110</v>
      </c>
      <c r="B2592" t="s">
        <v>77</v>
      </c>
      <c r="C2592" t="s">
        <v>61</v>
      </c>
      <c r="D2592" t="s">
        <v>78</v>
      </c>
      <c r="E2592" t="s">
        <v>79</v>
      </c>
      <c r="F2592" cm="1">
        <f t="array" ref="F2592">_xlfn.XLOOKUP(Food_Orders[[#This Row],[Event_No]],Event_Master[[#All],[Event_No]],Event_Master[[#All],[Guest_Count]],,0)</f>
        <v>640</v>
      </c>
      <c r="G2592" cm="1">
        <f t="array" ref="G2592">Food_Orders[[#This Row],[Quantity_Orderd]]*_xlfn.XLOOKUP(Food_Orders[[#This Row],[Food_ID]],Food_Catalog[[#All],[Food_ID]],Food_Catalog[[#All],[Price_Per_Unit]],0,0)</f>
        <v>22400</v>
      </c>
      <c r="H2592" cm="1">
        <f t="array" ref="H2592">Food_Orders[[#This Row],[Quantity_Orderd]]*_xlfn.XLOOKUP(Food_Orders[[#This Row],[Food_ID]],Food_Catalog[[#All],[Food_ID]],Food_Catalog[[#All],[Client_Price_Per_Unit]],0,0)</f>
        <v>26880</v>
      </c>
      <c r="I2592">
        <f>Food_Orders[[#This Row],[Client_Price]]-Food_Orders[[#This Row],[Cost]]</f>
        <v>4480</v>
      </c>
    </row>
    <row r="2593" spans="1:9" x14ac:dyDescent="0.25">
      <c r="A2593">
        <v>110</v>
      </c>
      <c r="B2593" t="s">
        <v>7</v>
      </c>
      <c r="C2593" t="s">
        <v>8</v>
      </c>
      <c r="D2593" t="s">
        <v>9</v>
      </c>
      <c r="E2593" t="s">
        <v>10</v>
      </c>
      <c r="F2593" cm="1">
        <f t="array" ref="F2593">_xlfn.XLOOKUP(Food_Orders[[#This Row],[Event_No]],Event_Master[[#All],[Event_No]],Event_Master[[#All],[Guest_Count]],,0)</f>
        <v>640</v>
      </c>
      <c r="G2593" cm="1">
        <f t="array" ref="G2593">Food_Orders[[#This Row],[Quantity_Orderd]]*_xlfn.XLOOKUP(Food_Orders[[#This Row],[Food_ID]],Food_Catalog[[#All],[Food_ID]],Food_Catalog[[#All],[Price_Per_Unit]],0,0)</f>
        <v>16000</v>
      </c>
      <c r="H2593" cm="1">
        <f t="array" ref="H2593">Food_Orders[[#This Row],[Quantity_Orderd]]*_xlfn.XLOOKUP(Food_Orders[[#This Row],[Food_ID]],Food_Catalog[[#All],[Food_ID]],Food_Catalog[[#All],[Client_Price_Per_Unit]],0,0)</f>
        <v>19200</v>
      </c>
      <c r="I2593">
        <f>Food_Orders[[#This Row],[Client_Price]]-Food_Orders[[#This Row],[Cost]]</f>
        <v>3200</v>
      </c>
    </row>
    <row r="2594" spans="1:9" x14ac:dyDescent="0.25">
      <c r="A2594">
        <v>110</v>
      </c>
      <c r="B2594" t="s">
        <v>13</v>
      </c>
      <c r="C2594" t="s">
        <v>8</v>
      </c>
      <c r="D2594" t="s">
        <v>14</v>
      </c>
      <c r="E2594" t="s">
        <v>10</v>
      </c>
      <c r="F2594" cm="1">
        <f t="array" ref="F2594">_xlfn.XLOOKUP(Food_Orders[[#This Row],[Event_No]],Event_Master[[#All],[Event_No]],Event_Master[[#All],[Guest_Count]],,0)</f>
        <v>640</v>
      </c>
      <c r="G2594" cm="1">
        <f t="array" ref="G2594">Food_Orders[[#This Row],[Quantity_Orderd]]*_xlfn.XLOOKUP(Food_Orders[[#This Row],[Food_ID]],Food_Catalog[[#All],[Food_ID]],Food_Catalog[[#All],[Price_Per_Unit]],0,0)</f>
        <v>22400</v>
      </c>
      <c r="H2594" cm="1">
        <f t="array" ref="H2594">Food_Orders[[#This Row],[Quantity_Orderd]]*_xlfn.XLOOKUP(Food_Orders[[#This Row],[Food_ID]],Food_Catalog[[#All],[Food_ID]],Food_Catalog[[#All],[Client_Price_Per_Unit]],0,0)</f>
        <v>26880</v>
      </c>
      <c r="I2594">
        <f>Food_Orders[[#This Row],[Client_Price]]-Food_Orders[[#This Row],[Cost]]</f>
        <v>4480</v>
      </c>
    </row>
    <row r="2595" spans="1:9" x14ac:dyDescent="0.25">
      <c r="A2595">
        <v>110</v>
      </c>
      <c r="B2595" t="s">
        <v>25</v>
      </c>
      <c r="C2595" t="s">
        <v>8</v>
      </c>
      <c r="D2595" t="s">
        <v>26</v>
      </c>
      <c r="E2595" t="s">
        <v>10</v>
      </c>
      <c r="F2595" cm="1">
        <f t="array" ref="F2595">_xlfn.XLOOKUP(Food_Orders[[#This Row],[Event_No]],Event_Master[[#All],[Event_No]],Event_Master[[#All],[Guest_Count]],,0)</f>
        <v>640</v>
      </c>
      <c r="G2595" cm="1">
        <f t="array" ref="G2595">Food_Orders[[#This Row],[Quantity_Orderd]]*_xlfn.XLOOKUP(Food_Orders[[#This Row],[Food_ID]],Food_Catalog[[#All],[Food_ID]],Food_Catalog[[#All],[Price_Per_Unit]],0,0)</f>
        <v>19200</v>
      </c>
      <c r="H2595" cm="1">
        <f t="array" ref="H2595">Food_Orders[[#This Row],[Quantity_Orderd]]*_xlfn.XLOOKUP(Food_Orders[[#This Row],[Food_ID]],Food_Catalog[[#All],[Food_ID]],Food_Catalog[[#All],[Client_Price_Per_Unit]],0,0)</f>
        <v>23040</v>
      </c>
      <c r="I2595">
        <f>Food_Orders[[#This Row],[Client_Price]]-Food_Orders[[#This Row],[Cost]]</f>
        <v>3840</v>
      </c>
    </row>
    <row r="2596" spans="1:9" x14ac:dyDescent="0.25">
      <c r="A2596">
        <v>110</v>
      </c>
      <c r="B2596" t="s">
        <v>15</v>
      </c>
      <c r="C2596" t="s">
        <v>8</v>
      </c>
      <c r="D2596" t="s">
        <v>16</v>
      </c>
      <c r="E2596" t="s">
        <v>10</v>
      </c>
      <c r="F2596" cm="1">
        <f t="array" ref="F2596">_xlfn.XLOOKUP(Food_Orders[[#This Row],[Event_No]],Event_Master[[#All],[Event_No]],Event_Master[[#All],[Guest_Count]],,0)</f>
        <v>640</v>
      </c>
      <c r="G2596" cm="1">
        <f t="array" ref="G2596">Food_Orders[[#This Row],[Quantity_Orderd]]*_xlfn.XLOOKUP(Food_Orders[[#This Row],[Food_ID]],Food_Catalog[[#All],[Food_ID]],Food_Catalog[[#All],[Price_Per_Unit]],0,0)</f>
        <v>19200</v>
      </c>
      <c r="H2596" cm="1">
        <f t="array" ref="H2596">Food_Orders[[#This Row],[Quantity_Orderd]]*_xlfn.XLOOKUP(Food_Orders[[#This Row],[Food_ID]],Food_Catalog[[#All],[Food_ID]],Food_Catalog[[#All],[Client_Price_Per_Unit]],0,0)</f>
        <v>23040</v>
      </c>
      <c r="I2596">
        <f>Food_Orders[[#This Row],[Client_Price]]-Food_Orders[[#This Row],[Cost]]</f>
        <v>3840</v>
      </c>
    </row>
    <row r="2597" spans="1:9" x14ac:dyDescent="0.25">
      <c r="A2597">
        <v>110</v>
      </c>
      <c r="B2597" t="s">
        <v>35</v>
      </c>
      <c r="C2597" t="s">
        <v>8</v>
      </c>
      <c r="D2597" t="s">
        <v>36</v>
      </c>
      <c r="E2597" t="s">
        <v>10</v>
      </c>
      <c r="F2597" cm="1">
        <f t="array" ref="F2597">_xlfn.XLOOKUP(Food_Orders[[#This Row],[Event_No]],Event_Master[[#All],[Event_No]],Event_Master[[#All],[Guest_Count]],,0)</f>
        <v>640</v>
      </c>
      <c r="G2597" cm="1">
        <f t="array" ref="G2597">Food_Orders[[#This Row],[Quantity_Orderd]]*_xlfn.XLOOKUP(Food_Orders[[#This Row],[Food_ID]],Food_Catalog[[#All],[Food_ID]],Food_Catalog[[#All],[Price_Per_Unit]],0,0)</f>
        <v>19200</v>
      </c>
      <c r="H2597" cm="1">
        <f t="array" ref="H2597">Food_Orders[[#This Row],[Quantity_Orderd]]*_xlfn.XLOOKUP(Food_Orders[[#This Row],[Food_ID]],Food_Catalog[[#All],[Food_ID]],Food_Catalog[[#All],[Client_Price_Per_Unit]],0,0)</f>
        <v>23040</v>
      </c>
      <c r="I2597">
        <f>Food_Orders[[#This Row],[Client_Price]]-Food_Orders[[#This Row],[Cost]]</f>
        <v>3840</v>
      </c>
    </row>
    <row r="2598" spans="1:9" x14ac:dyDescent="0.25">
      <c r="A2598">
        <v>110</v>
      </c>
      <c r="B2598" t="s">
        <v>27</v>
      </c>
      <c r="C2598" t="s">
        <v>8</v>
      </c>
      <c r="D2598" t="s">
        <v>28</v>
      </c>
      <c r="E2598" t="s">
        <v>10</v>
      </c>
      <c r="F2598" cm="1">
        <f t="array" ref="F2598">_xlfn.XLOOKUP(Food_Orders[[#This Row],[Event_No]],Event_Master[[#All],[Event_No]],Event_Master[[#All],[Guest_Count]],,0)</f>
        <v>640</v>
      </c>
      <c r="G2598" cm="1">
        <f t="array" ref="G2598">Food_Orders[[#This Row],[Quantity_Orderd]]*_xlfn.XLOOKUP(Food_Orders[[#This Row],[Food_ID]],Food_Catalog[[#All],[Food_ID]],Food_Catalog[[#All],[Price_Per_Unit]],0,0)</f>
        <v>25600</v>
      </c>
      <c r="H2598" cm="1">
        <f t="array" ref="H2598">Food_Orders[[#This Row],[Quantity_Orderd]]*_xlfn.XLOOKUP(Food_Orders[[#This Row],[Food_ID]],Food_Catalog[[#All],[Food_ID]],Food_Catalog[[#All],[Client_Price_Per_Unit]],0,0)</f>
        <v>30720</v>
      </c>
      <c r="I2598">
        <f>Food_Orders[[#This Row],[Client_Price]]-Food_Orders[[#This Row],[Cost]]</f>
        <v>5120</v>
      </c>
    </row>
    <row r="2599" spans="1:9" x14ac:dyDescent="0.25">
      <c r="A2599">
        <v>110</v>
      </c>
      <c r="B2599" t="s">
        <v>31</v>
      </c>
      <c r="C2599" t="s">
        <v>8</v>
      </c>
      <c r="D2599" t="s">
        <v>32</v>
      </c>
      <c r="E2599" t="s">
        <v>10</v>
      </c>
      <c r="F2599" cm="1">
        <f t="array" ref="F2599">_xlfn.XLOOKUP(Food_Orders[[#This Row],[Event_No]],Event_Master[[#All],[Event_No]],Event_Master[[#All],[Guest_Count]],,0)</f>
        <v>640</v>
      </c>
      <c r="G2599" cm="1">
        <f t="array" ref="G2599">Food_Orders[[#This Row],[Quantity_Orderd]]*_xlfn.XLOOKUP(Food_Orders[[#This Row],[Food_ID]],Food_Catalog[[#All],[Food_ID]],Food_Catalog[[#All],[Price_Per_Unit]],0,0)</f>
        <v>19200</v>
      </c>
      <c r="H2599" cm="1">
        <f t="array" ref="H2599">Food_Orders[[#This Row],[Quantity_Orderd]]*_xlfn.XLOOKUP(Food_Orders[[#This Row],[Food_ID]],Food_Catalog[[#All],[Food_ID]],Food_Catalog[[#All],[Client_Price_Per_Unit]],0,0)</f>
        <v>23040</v>
      </c>
      <c r="I2599">
        <f>Food_Orders[[#This Row],[Client_Price]]-Food_Orders[[#This Row],[Cost]]</f>
        <v>3840</v>
      </c>
    </row>
    <row r="2600" spans="1:9" x14ac:dyDescent="0.25">
      <c r="A2600">
        <v>110</v>
      </c>
      <c r="B2600" t="s">
        <v>33</v>
      </c>
      <c r="C2600" t="s">
        <v>8</v>
      </c>
      <c r="D2600" t="s">
        <v>34</v>
      </c>
      <c r="E2600" t="s">
        <v>10</v>
      </c>
      <c r="F2600" cm="1">
        <f t="array" ref="F2600">_xlfn.XLOOKUP(Food_Orders[[#This Row],[Event_No]],Event_Master[[#All],[Event_No]],Event_Master[[#All],[Guest_Count]],,0)</f>
        <v>640</v>
      </c>
      <c r="G2600" cm="1">
        <f t="array" ref="G2600">Food_Orders[[#This Row],[Quantity_Orderd]]*_xlfn.XLOOKUP(Food_Orders[[#This Row],[Food_ID]],Food_Catalog[[#All],[Food_ID]],Food_Catalog[[#All],[Price_Per_Unit]],0,0)</f>
        <v>19200</v>
      </c>
      <c r="H2600" cm="1">
        <f t="array" ref="H2600">Food_Orders[[#This Row],[Quantity_Orderd]]*_xlfn.XLOOKUP(Food_Orders[[#This Row],[Food_ID]],Food_Catalog[[#All],[Food_ID]],Food_Catalog[[#All],[Client_Price_Per_Unit]],0,0)</f>
        <v>23040</v>
      </c>
      <c r="I2600">
        <f>Food_Orders[[#This Row],[Client_Price]]-Food_Orders[[#This Row],[Cost]]</f>
        <v>3840</v>
      </c>
    </row>
    <row r="2601" spans="1:9" x14ac:dyDescent="0.25">
      <c r="A2601">
        <v>110</v>
      </c>
      <c r="B2601" t="s">
        <v>17</v>
      </c>
      <c r="C2601" t="s">
        <v>8</v>
      </c>
      <c r="D2601" t="s">
        <v>18</v>
      </c>
      <c r="E2601" t="s">
        <v>10</v>
      </c>
      <c r="F2601" cm="1">
        <f t="array" ref="F2601">_xlfn.XLOOKUP(Food_Orders[[#This Row],[Event_No]],Event_Master[[#All],[Event_No]],Event_Master[[#All],[Guest_Count]],,0)</f>
        <v>640</v>
      </c>
      <c r="G2601" cm="1">
        <f t="array" ref="G2601">Food_Orders[[#This Row],[Quantity_Orderd]]*_xlfn.XLOOKUP(Food_Orders[[#This Row],[Food_ID]],Food_Catalog[[#All],[Food_ID]],Food_Catalog[[#All],[Price_Per_Unit]],0,0)</f>
        <v>25600</v>
      </c>
      <c r="H2601" cm="1">
        <f t="array" ref="H2601">Food_Orders[[#This Row],[Quantity_Orderd]]*_xlfn.XLOOKUP(Food_Orders[[#This Row],[Food_ID]],Food_Catalog[[#All],[Food_ID]],Food_Catalog[[#All],[Client_Price_Per_Unit]],0,0)</f>
        <v>30720</v>
      </c>
      <c r="I2601">
        <f>Food_Orders[[#This Row],[Client_Price]]-Food_Orders[[#This Row],[Cost]]</f>
        <v>5120</v>
      </c>
    </row>
    <row r="2602" spans="1:9" x14ac:dyDescent="0.25">
      <c r="A2602">
        <v>110</v>
      </c>
      <c r="B2602" t="s">
        <v>21</v>
      </c>
      <c r="C2602" t="s">
        <v>8</v>
      </c>
      <c r="D2602" t="s">
        <v>22</v>
      </c>
      <c r="E2602" t="s">
        <v>10</v>
      </c>
      <c r="F2602" cm="1">
        <f t="array" ref="F2602">_xlfn.XLOOKUP(Food_Orders[[#This Row],[Event_No]],Event_Master[[#All],[Event_No]],Event_Master[[#All],[Guest_Count]],,0)</f>
        <v>640</v>
      </c>
      <c r="G2602" cm="1">
        <f t="array" ref="G2602">Food_Orders[[#This Row],[Quantity_Orderd]]*_xlfn.XLOOKUP(Food_Orders[[#This Row],[Food_ID]],Food_Catalog[[#All],[Food_ID]],Food_Catalog[[#All],[Price_Per_Unit]],0,0)</f>
        <v>22400</v>
      </c>
      <c r="H2602" cm="1">
        <f t="array" ref="H2602">Food_Orders[[#This Row],[Quantity_Orderd]]*_xlfn.XLOOKUP(Food_Orders[[#This Row],[Food_ID]],Food_Catalog[[#All],[Food_ID]],Food_Catalog[[#All],[Client_Price_Per_Unit]],0,0)</f>
        <v>26880</v>
      </c>
      <c r="I2602">
        <f>Food_Orders[[#This Row],[Client_Price]]-Food_Orders[[#This Row],[Cost]]</f>
        <v>4480</v>
      </c>
    </row>
    <row r="2603" spans="1:9" x14ac:dyDescent="0.25">
      <c r="A2603">
        <v>110</v>
      </c>
      <c r="B2603" t="s">
        <v>19</v>
      </c>
      <c r="C2603" t="s">
        <v>8</v>
      </c>
      <c r="D2603" t="s">
        <v>20</v>
      </c>
      <c r="E2603" t="s">
        <v>10</v>
      </c>
      <c r="F2603" cm="1">
        <f t="array" ref="F2603">_xlfn.XLOOKUP(Food_Orders[[#This Row],[Event_No]],Event_Master[[#All],[Event_No]],Event_Master[[#All],[Guest_Count]],,0)</f>
        <v>640</v>
      </c>
      <c r="G2603" cm="1">
        <f t="array" ref="G2603">Food_Orders[[#This Row],[Quantity_Orderd]]*_xlfn.XLOOKUP(Food_Orders[[#This Row],[Food_ID]],Food_Catalog[[#All],[Food_ID]],Food_Catalog[[#All],[Price_Per_Unit]],0,0)</f>
        <v>22400</v>
      </c>
      <c r="H2603" cm="1">
        <f t="array" ref="H2603">Food_Orders[[#This Row],[Quantity_Orderd]]*_xlfn.XLOOKUP(Food_Orders[[#This Row],[Food_ID]],Food_Catalog[[#All],[Food_ID]],Food_Catalog[[#All],[Client_Price_Per_Unit]],0,0)</f>
        <v>26880</v>
      </c>
      <c r="I2603">
        <f>Food_Orders[[#This Row],[Client_Price]]-Food_Orders[[#This Row],[Cost]]</f>
        <v>4480</v>
      </c>
    </row>
    <row r="2604" spans="1:9" x14ac:dyDescent="0.25">
      <c r="A2604">
        <v>110</v>
      </c>
      <c r="B2604" t="s">
        <v>29</v>
      </c>
      <c r="C2604" t="s">
        <v>8</v>
      </c>
      <c r="D2604" t="s">
        <v>30</v>
      </c>
      <c r="E2604" t="s">
        <v>10</v>
      </c>
      <c r="F2604" cm="1">
        <f t="array" ref="F2604">_xlfn.XLOOKUP(Food_Orders[[#This Row],[Event_No]],Event_Master[[#All],[Event_No]],Event_Master[[#All],[Guest_Count]],,0)</f>
        <v>640</v>
      </c>
      <c r="G2604" cm="1">
        <f t="array" ref="G2604">Food_Orders[[#This Row],[Quantity_Orderd]]*_xlfn.XLOOKUP(Food_Orders[[#This Row],[Food_ID]],Food_Catalog[[#All],[Food_ID]],Food_Catalog[[#All],[Price_Per_Unit]],0,0)</f>
        <v>19200</v>
      </c>
      <c r="H2604" cm="1">
        <f t="array" ref="H2604">Food_Orders[[#This Row],[Quantity_Orderd]]*_xlfn.XLOOKUP(Food_Orders[[#This Row],[Food_ID]],Food_Catalog[[#All],[Food_ID]],Food_Catalog[[#All],[Client_Price_Per_Unit]],0,0)</f>
        <v>23040</v>
      </c>
      <c r="I2604">
        <f>Food_Orders[[#This Row],[Client_Price]]-Food_Orders[[#This Row],[Cost]]</f>
        <v>3840</v>
      </c>
    </row>
    <row r="2605" spans="1:9" x14ac:dyDescent="0.25">
      <c r="A2605">
        <v>110</v>
      </c>
      <c r="B2605" t="s">
        <v>37</v>
      </c>
      <c r="C2605" t="s">
        <v>8</v>
      </c>
      <c r="D2605" t="s">
        <v>38</v>
      </c>
      <c r="E2605" t="s">
        <v>10</v>
      </c>
      <c r="F2605" cm="1">
        <f t="array" ref="F2605">_xlfn.XLOOKUP(Food_Orders[[#This Row],[Event_No]],Event_Master[[#All],[Event_No]],Event_Master[[#All],[Guest_Count]],,0)</f>
        <v>640</v>
      </c>
      <c r="G2605" cm="1">
        <f t="array" ref="G2605">Food_Orders[[#This Row],[Quantity_Orderd]]*_xlfn.XLOOKUP(Food_Orders[[#This Row],[Food_ID]],Food_Catalog[[#All],[Food_ID]],Food_Catalog[[#All],[Price_Per_Unit]],0,0)</f>
        <v>16000</v>
      </c>
      <c r="H2605" cm="1">
        <f t="array" ref="H2605">Food_Orders[[#This Row],[Quantity_Orderd]]*_xlfn.XLOOKUP(Food_Orders[[#This Row],[Food_ID]],Food_Catalog[[#All],[Food_ID]],Food_Catalog[[#All],[Client_Price_Per_Unit]],0,0)</f>
        <v>19200</v>
      </c>
      <c r="I2605">
        <f>Food_Orders[[#This Row],[Client_Price]]-Food_Orders[[#This Row],[Cost]]</f>
        <v>3200</v>
      </c>
    </row>
    <row r="2606" spans="1:9" x14ac:dyDescent="0.25">
      <c r="A2606">
        <v>110</v>
      </c>
      <c r="B2606" t="s">
        <v>39</v>
      </c>
      <c r="C2606" t="s">
        <v>40</v>
      </c>
      <c r="D2606" t="s">
        <v>41</v>
      </c>
      <c r="E2606" t="s">
        <v>10</v>
      </c>
      <c r="F2606" cm="1">
        <f t="array" ref="F2606">_xlfn.XLOOKUP(Food_Orders[[#This Row],[Event_No]],Event_Master[[#All],[Event_No]],Event_Master[[#All],[Guest_Count]],,0)</f>
        <v>640</v>
      </c>
      <c r="G2606" cm="1">
        <f t="array" ref="G2606">Food_Orders[[#This Row],[Quantity_Orderd]]*_xlfn.XLOOKUP(Food_Orders[[#This Row],[Food_ID]],Food_Catalog[[#All],[Food_ID]],Food_Catalog[[#All],[Price_Per_Unit]],0,0)</f>
        <v>38400</v>
      </c>
      <c r="H2606" cm="1">
        <f t="array" ref="H2606">Food_Orders[[#This Row],[Quantity_Orderd]]*_xlfn.XLOOKUP(Food_Orders[[#This Row],[Food_ID]],Food_Catalog[[#All],[Food_ID]],Food_Catalog[[#All],[Client_Price_Per_Unit]],0,0)</f>
        <v>46080</v>
      </c>
      <c r="I2606">
        <f>Food_Orders[[#This Row],[Client_Price]]-Food_Orders[[#This Row],[Cost]]</f>
        <v>7680</v>
      </c>
    </row>
    <row r="2607" spans="1:9" x14ac:dyDescent="0.25">
      <c r="A2607">
        <v>110</v>
      </c>
      <c r="B2607" t="s">
        <v>42</v>
      </c>
      <c r="C2607" t="s">
        <v>40</v>
      </c>
      <c r="D2607" t="s">
        <v>43</v>
      </c>
      <c r="E2607" t="s">
        <v>10</v>
      </c>
      <c r="F2607" cm="1">
        <f t="array" ref="F2607">_xlfn.XLOOKUP(Food_Orders[[#This Row],[Event_No]],Event_Master[[#All],[Event_No]],Event_Master[[#All],[Guest_Count]],,0)</f>
        <v>640</v>
      </c>
      <c r="G2607" cm="1">
        <f t="array" ref="G2607">Food_Orders[[#This Row],[Quantity_Orderd]]*_xlfn.XLOOKUP(Food_Orders[[#This Row],[Food_ID]],Food_Catalog[[#All],[Food_ID]],Food_Catalog[[#All],[Price_Per_Unit]],0,0)</f>
        <v>44800</v>
      </c>
      <c r="H2607" cm="1">
        <f t="array" ref="H2607">Food_Orders[[#This Row],[Quantity_Orderd]]*_xlfn.XLOOKUP(Food_Orders[[#This Row],[Food_ID]],Food_Catalog[[#All],[Food_ID]],Food_Catalog[[#All],[Client_Price_Per_Unit]],0,0)</f>
        <v>53760</v>
      </c>
      <c r="I2607">
        <f>Food_Orders[[#This Row],[Client_Price]]-Food_Orders[[#This Row],[Cost]]</f>
        <v>8960</v>
      </c>
    </row>
    <row r="2608" spans="1:9" x14ac:dyDescent="0.25">
      <c r="A2608">
        <v>110</v>
      </c>
      <c r="B2608" t="s">
        <v>46</v>
      </c>
      <c r="C2608" t="s">
        <v>40</v>
      </c>
      <c r="D2608" t="s">
        <v>47</v>
      </c>
      <c r="E2608" t="s">
        <v>10</v>
      </c>
      <c r="F2608" cm="1">
        <f t="array" ref="F2608">_xlfn.XLOOKUP(Food_Orders[[#This Row],[Event_No]],Event_Master[[#All],[Event_No]],Event_Master[[#All],[Guest_Count]],,0)</f>
        <v>640</v>
      </c>
      <c r="G2608" cm="1">
        <f t="array" ref="G2608">Food_Orders[[#This Row],[Quantity_Orderd]]*_xlfn.XLOOKUP(Food_Orders[[#This Row],[Food_ID]],Food_Catalog[[#All],[Food_ID]],Food_Catalog[[#All],[Price_Per_Unit]],0,0)</f>
        <v>57600</v>
      </c>
      <c r="H2608" cm="1">
        <f t="array" ref="H2608">Food_Orders[[#This Row],[Quantity_Orderd]]*_xlfn.XLOOKUP(Food_Orders[[#This Row],[Food_ID]],Food_Catalog[[#All],[Food_ID]],Food_Catalog[[#All],[Client_Price_Per_Unit]],0,0)</f>
        <v>69120</v>
      </c>
      <c r="I2608">
        <f>Food_Orders[[#This Row],[Client_Price]]-Food_Orders[[#This Row],[Cost]]</f>
        <v>11520</v>
      </c>
    </row>
    <row r="2609" spans="1:9" x14ac:dyDescent="0.25">
      <c r="A2609">
        <v>110</v>
      </c>
      <c r="B2609" t="s">
        <v>48</v>
      </c>
      <c r="C2609" t="s">
        <v>40</v>
      </c>
      <c r="D2609" t="s">
        <v>49</v>
      </c>
      <c r="E2609" t="s">
        <v>10</v>
      </c>
      <c r="F2609" cm="1">
        <f t="array" ref="F2609">_xlfn.XLOOKUP(Food_Orders[[#This Row],[Event_No]],Event_Master[[#All],[Event_No]],Event_Master[[#All],[Guest_Count]],,0)</f>
        <v>640</v>
      </c>
      <c r="G2609" cm="1">
        <f t="array" ref="G2609">Food_Orders[[#This Row],[Quantity_Orderd]]*_xlfn.XLOOKUP(Food_Orders[[#This Row],[Food_ID]],Food_Catalog[[#All],[Food_ID]],Food_Catalog[[#All],[Price_Per_Unit]],0,0)</f>
        <v>64000</v>
      </c>
      <c r="H2609" cm="1">
        <f t="array" ref="H2609">Food_Orders[[#This Row],[Quantity_Orderd]]*_xlfn.XLOOKUP(Food_Orders[[#This Row],[Food_ID]],Food_Catalog[[#All],[Food_ID]],Food_Catalog[[#All],[Client_Price_Per_Unit]],0,0)</f>
        <v>76800</v>
      </c>
      <c r="I2609">
        <f>Food_Orders[[#This Row],[Client_Price]]-Food_Orders[[#This Row],[Cost]]</f>
        <v>12800</v>
      </c>
    </row>
    <row r="2610" spans="1:9" x14ac:dyDescent="0.25">
      <c r="A2610">
        <v>110</v>
      </c>
      <c r="B2610" t="s">
        <v>50</v>
      </c>
      <c r="C2610" t="s">
        <v>40</v>
      </c>
      <c r="D2610" t="s">
        <v>51</v>
      </c>
      <c r="E2610" t="s">
        <v>10</v>
      </c>
      <c r="F2610" cm="1">
        <f t="array" ref="F2610">_xlfn.XLOOKUP(Food_Orders[[#This Row],[Event_No]],Event_Master[[#All],[Event_No]],Event_Master[[#All],[Guest_Count]],,0)</f>
        <v>640</v>
      </c>
      <c r="G2610" cm="1">
        <f t="array" ref="G2610">Food_Orders[[#This Row],[Quantity_Orderd]]*_xlfn.XLOOKUP(Food_Orders[[#This Row],[Food_ID]],Food_Catalog[[#All],[Food_ID]],Food_Catalog[[#All],[Price_Per_Unit]],0,0)</f>
        <v>51200</v>
      </c>
      <c r="H2610" cm="1">
        <f t="array" ref="H2610">Food_Orders[[#This Row],[Quantity_Orderd]]*_xlfn.XLOOKUP(Food_Orders[[#This Row],[Food_ID]],Food_Catalog[[#All],[Food_ID]],Food_Catalog[[#All],[Client_Price_Per_Unit]],0,0)</f>
        <v>61440</v>
      </c>
      <c r="I2610">
        <f>Food_Orders[[#This Row],[Client_Price]]-Food_Orders[[#This Row],[Cost]]</f>
        <v>10240</v>
      </c>
    </row>
    <row r="2611" spans="1:9" x14ac:dyDescent="0.25">
      <c r="A2611">
        <v>110</v>
      </c>
      <c r="B2611" t="s">
        <v>52</v>
      </c>
      <c r="C2611" t="s">
        <v>40</v>
      </c>
      <c r="D2611" t="s">
        <v>53</v>
      </c>
      <c r="E2611" t="s">
        <v>10</v>
      </c>
      <c r="F2611" cm="1">
        <f t="array" ref="F2611">_xlfn.XLOOKUP(Food_Orders[[#This Row],[Event_No]],Event_Master[[#All],[Event_No]],Event_Master[[#All],[Guest_Count]],,0)</f>
        <v>640</v>
      </c>
      <c r="G2611" cm="1">
        <f t="array" ref="G2611">Food_Orders[[#This Row],[Quantity_Orderd]]*_xlfn.XLOOKUP(Food_Orders[[#This Row],[Food_ID]],Food_Catalog[[#All],[Food_ID]],Food_Catalog[[#All],[Price_Per_Unit]],0,0)</f>
        <v>64000</v>
      </c>
      <c r="H2611" cm="1">
        <f t="array" ref="H2611">Food_Orders[[#This Row],[Quantity_Orderd]]*_xlfn.XLOOKUP(Food_Orders[[#This Row],[Food_ID]],Food_Catalog[[#All],[Food_ID]],Food_Catalog[[#All],[Client_Price_Per_Unit]],0,0)</f>
        <v>76800</v>
      </c>
      <c r="I2611">
        <f>Food_Orders[[#This Row],[Client_Price]]-Food_Orders[[#This Row],[Cost]]</f>
        <v>12800</v>
      </c>
    </row>
    <row r="2612" spans="1:9" x14ac:dyDescent="0.25">
      <c r="A2612">
        <v>110</v>
      </c>
      <c r="B2612" t="s">
        <v>54</v>
      </c>
      <c r="C2612" t="s">
        <v>40</v>
      </c>
      <c r="D2612" t="s">
        <v>55</v>
      </c>
      <c r="E2612" t="s">
        <v>10</v>
      </c>
      <c r="F2612" cm="1">
        <f t="array" ref="F2612">_xlfn.XLOOKUP(Food_Orders[[#This Row],[Event_No]],Event_Master[[#All],[Event_No]],Event_Master[[#All],[Guest_Count]],,0)</f>
        <v>640</v>
      </c>
      <c r="G2612" cm="1">
        <f t="array" ref="G2612">Food_Orders[[#This Row],[Quantity_Orderd]]*_xlfn.XLOOKUP(Food_Orders[[#This Row],[Food_ID]],Food_Catalog[[#All],[Food_ID]],Food_Catalog[[#All],[Price_Per_Unit]],0,0)</f>
        <v>25600</v>
      </c>
      <c r="H2612" cm="1">
        <f t="array" ref="H2612">Food_Orders[[#This Row],[Quantity_Orderd]]*_xlfn.XLOOKUP(Food_Orders[[#This Row],[Food_ID]],Food_Catalog[[#All],[Food_ID]],Food_Catalog[[#All],[Client_Price_Per_Unit]],0,0)</f>
        <v>30720</v>
      </c>
      <c r="I2612">
        <f>Food_Orders[[#This Row],[Client_Price]]-Food_Orders[[#This Row],[Cost]]</f>
        <v>5120</v>
      </c>
    </row>
    <row r="2613" spans="1:9" x14ac:dyDescent="0.25">
      <c r="A2613">
        <v>110</v>
      </c>
      <c r="B2613" t="s">
        <v>58</v>
      </c>
      <c r="C2613" t="s">
        <v>40</v>
      </c>
      <c r="D2613" t="s">
        <v>59</v>
      </c>
      <c r="E2613" t="s">
        <v>10</v>
      </c>
      <c r="F2613" cm="1">
        <f t="array" ref="F2613">_xlfn.XLOOKUP(Food_Orders[[#This Row],[Event_No]],Event_Master[[#All],[Event_No]],Event_Master[[#All],[Guest_Count]],,0)</f>
        <v>640</v>
      </c>
      <c r="G2613" cm="1">
        <f t="array" ref="G2613">Food_Orders[[#This Row],[Quantity_Orderd]]*_xlfn.XLOOKUP(Food_Orders[[#This Row],[Food_ID]],Food_Catalog[[#All],[Food_ID]],Food_Catalog[[#All],[Price_Per_Unit]],0,0)</f>
        <v>57600</v>
      </c>
      <c r="H2613" cm="1">
        <f t="array" ref="H2613">Food_Orders[[#This Row],[Quantity_Orderd]]*_xlfn.XLOOKUP(Food_Orders[[#This Row],[Food_ID]],Food_Catalog[[#All],[Food_ID]],Food_Catalog[[#All],[Client_Price_Per_Unit]],0,0)</f>
        <v>69120</v>
      </c>
      <c r="I2613">
        <f>Food_Orders[[#This Row],[Client_Price]]-Food_Orders[[#This Row],[Cost]]</f>
        <v>11520</v>
      </c>
    </row>
    <row r="2614" spans="1:9" x14ac:dyDescent="0.25">
      <c r="A2614">
        <v>110</v>
      </c>
      <c r="B2614" t="s">
        <v>82</v>
      </c>
      <c r="C2614" t="s">
        <v>83</v>
      </c>
      <c r="D2614" t="s">
        <v>84</v>
      </c>
      <c r="E2614" t="s">
        <v>85</v>
      </c>
      <c r="F2614" cm="1">
        <f t="array" ref="F2614">_xlfn.XLOOKUP(Food_Orders[[#This Row],[Event_No]],Event_Master[[#All],[Event_No]],Event_Master[[#All],[Guest_Count]],,0)</f>
        <v>640</v>
      </c>
      <c r="G2614" cm="1">
        <f t="array" ref="G2614">Food_Orders[[#This Row],[Quantity_Orderd]]*_xlfn.XLOOKUP(Food_Orders[[#This Row],[Food_ID]],Food_Catalog[[#All],[Food_ID]],Food_Catalog[[#All],[Price_Per_Unit]],0,0)</f>
        <v>12800</v>
      </c>
      <c r="H2614" cm="1">
        <f t="array" ref="H2614">Food_Orders[[#This Row],[Quantity_Orderd]]*_xlfn.XLOOKUP(Food_Orders[[#This Row],[Food_ID]],Food_Catalog[[#All],[Food_ID]],Food_Catalog[[#All],[Client_Price_Per_Unit]],0,0)</f>
        <v>15360</v>
      </c>
      <c r="I2614">
        <f>Food_Orders[[#This Row],[Client_Price]]-Food_Orders[[#This Row],[Cost]]</f>
        <v>2560</v>
      </c>
    </row>
    <row r="2615" spans="1:9" x14ac:dyDescent="0.25">
      <c r="A2615">
        <v>110</v>
      </c>
      <c r="B2615" t="s">
        <v>86</v>
      </c>
      <c r="C2615" t="s">
        <v>83</v>
      </c>
      <c r="D2615" t="s">
        <v>87</v>
      </c>
      <c r="E2615" t="s">
        <v>85</v>
      </c>
      <c r="F2615" cm="1">
        <f t="array" ref="F2615">_xlfn.XLOOKUP(Food_Orders[[#This Row],[Event_No]],Event_Master[[#All],[Event_No]],Event_Master[[#All],[Guest_Count]],,0)</f>
        <v>640</v>
      </c>
      <c r="G2615" cm="1">
        <f t="array" ref="G2615">Food_Orders[[#This Row],[Quantity_Orderd]]*_xlfn.XLOOKUP(Food_Orders[[#This Row],[Food_ID]],Food_Catalog[[#All],[Food_ID]],Food_Catalog[[#All],[Price_Per_Unit]],0,0)</f>
        <v>12800</v>
      </c>
      <c r="H2615" cm="1">
        <f t="array" ref="H2615">Food_Orders[[#This Row],[Quantity_Orderd]]*_xlfn.XLOOKUP(Food_Orders[[#This Row],[Food_ID]],Food_Catalog[[#All],[Food_ID]],Food_Catalog[[#All],[Client_Price_Per_Unit]],0,0)</f>
        <v>15360</v>
      </c>
      <c r="I2615">
        <f>Food_Orders[[#This Row],[Client_Price]]-Food_Orders[[#This Row],[Cost]]</f>
        <v>2560</v>
      </c>
    </row>
    <row r="2616" spans="1:9" x14ac:dyDescent="0.25">
      <c r="A2616">
        <v>110</v>
      </c>
      <c r="B2616" t="s">
        <v>88</v>
      </c>
      <c r="C2616" t="s">
        <v>83</v>
      </c>
      <c r="D2616" t="s">
        <v>89</v>
      </c>
      <c r="E2616" t="s">
        <v>85</v>
      </c>
      <c r="F2616" cm="1">
        <f t="array" ref="F2616">_xlfn.XLOOKUP(Food_Orders[[#This Row],[Event_No]],Event_Master[[#All],[Event_No]],Event_Master[[#All],[Guest_Count]],,0)</f>
        <v>640</v>
      </c>
      <c r="G2616" cm="1">
        <f t="array" ref="G2616">Food_Orders[[#This Row],[Quantity_Orderd]]*_xlfn.XLOOKUP(Food_Orders[[#This Row],[Food_ID]],Food_Catalog[[#All],[Food_ID]],Food_Catalog[[#All],[Price_Per_Unit]],0,0)</f>
        <v>9600</v>
      </c>
      <c r="H2616" cm="1">
        <f t="array" ref="H2616">Food_Orders[[#This Row],[Quantity_Orderd]]*_xlfn.XLOOKUP(Food_Orders[[#This Row],[Food_ID]],Food_Catalog[[#All],[Food_ID]],Food_Catalog[[#All],[Client_Price_Per_Unit]],0,0)</f>
        <v>11520</v>
      </c>
      <c r="I2616">
        <f>Food_Orders[[#This Row],[Client_Price]]-Food_Orders[[#This Row],[Cost]]</f>
        <v>1920</v>
      </c>
    </row>
    <row r="2617" spans="1:9" x14ac:dyDescent="0.25">
      <c r="A2617">
        <v>110</v>
      </c>
      <c r="B2617" t="s">
        <v>100</v>
      </c>
      <c r="C2617" t="s">
        <v>83</v>
      </c>
      <c r="D2617" t="s">
        <v>101</v>
      </c>
      <c r="E2617" t="s">
        <v>79</v>
      </c>
      <c r="F2617" cm="1">
        <f t="array" ref="F2617">_xlfn.XLOOKUP(Food_Orders[[#This Row],[Event_No]],Event_Master[[#All],[Event_No]],Event_Master[[#All],[Guest_Count]],,0)</f>
        <v>640</v>
      </c>
      <c r="G2617" cm="1">
        <f t="array" ref="G2617">Food_Orders[[#This Row],[Quantity_Orderd]]*_xlfn.XLOOKUP(Food_Orders[[#This Row],[Food_ID]],Food_Catalog[[#All],[Food_ID]],Food_Catalog[[#All],[Price_Per_Unit]],0,0)</f>
        <v>22400</v>
      </c>
      <c r="H2617" cm="1">
        <f t="array" ref="H2617">Food_Orders[[#This Row],[Quantity_Orderd]]*_xlfn.XLOOKUP(Food_Orders[[#This Row],[Food_ID]],Food_Catalog[[#All],[Food_ID]],Food_Catalog[[#All],[Client_Price_Per_Unit]],0,0)</f>
        <v>26880</v>
      </c>
      <c r="I2617">
        <f>Food_Orders[[#This Row],[Client_Price]]-Food_Orders[[#This Row],[Cost]]</f>
        <v>4480</v>
      </c>
    </row>
    <row r="2618" spans="1:9" x14ac:dyDescent="0.25">
      <c r="A2618">
        <v>110</v>
      </c>
      <c r="B2618" t="s">
        <v>96</v>
      </c>
      <c r="C2618" t="s">
        <v>83</v>
      </c>
      <c r="D2618" t="s">
        <v>97</v>
      </c>
      <c r="E2618" t="s">
        <v>79</v>
      </c>
      <c r="F2618" cm="1">
        <f t="array" ref="F2618">_xlfn.XLOOKUP(Food_Orders[[#This Row],[Event_No]],Event_Master[[#All],[Event_No]],Event_Master[[#All],[Guest_Count]],,0)</f>
        <v>640</v>
      </c>
      <c r="G2618" cm="1">
        <f t="array" ref="G2618">Food_Orders[[#This Row],[Quantity_Orderd]]*_xlfn.XLOOKUP(Food_Orders[[#This Row],[Food_ID]],Food_Catalog[[#All],[Food_ID]],Food_Catalog[[#All],[Price_Per_Unit]],0,0)</f>
        <v>19200</v>
      </c>
      <c r="H2618" cm="1">
        <f t="array" ref="H2618">Food_Orders[[#This Row],[Quantity_Orderd]]*_xlfn.XLOOKUP(Food_Orders[[#This Row],[Food_ID]],Food_Catalog[[#All],[Food_ID]],Food_Catalog[[#All],[Client_Price_Per_Unit]],0,0)</f>
        <v>23040</v>
      </c>
      <c r="I2618">
        <f>Food_Orders[[#This Row],[Client_Price]]-Food_Orders[[#This Row],[Cost]]</f>
        <v>3840</v>
      </c>
    </row>
    <row r="2619" spans="1:9" x14ac:dyDescent="0.25">
      <c r="A2619">
        <v>110</v>
      </c>
      <c r="B2619" t="s">
        <v>92</v>
      </c>
      <c r="C2619" t="s">
        <v>83</v>
      </c>
      <c r="D2619" t="s">
        <v>93</v>
      </c>
      <c r="E2619" t="s">
        <v>85</v>
      </c>
      <c r="F2619" cm="1">
        <f t="array" ref="F2619">_xlfn.XLOOKUP(Food_Orders[[#This Row],[Event_No]],Event_Master[[#All],[Event_No]],Event_Master[[#All],[Guest_Count]],,0)</f>
        <v>640</v>
      </c>
      <c r="G2619" cm="1">
        <f t="array" ref="G2619">Food_Orders[[#This Row],[Quantity_Orderd]]*_xlfn.XLOOKUP(Food_Orders[[#This Row],[Food_ID]],Food_Catalog[[#All],[Food_ID]],Food_Catalog[[#All],[Price_Per_Unit]],0,0)</f>
        <v>9600</v>
      </c>
      <c r="H2619" cm="1">
        <f t="array" ref="H2619">Food_Orders[[#This Row],[Quantity_Orderd]]*_xlfn.XLOOKUP(Food_Orders[[#This Row],[Food_ID]],Food_Catalog[[#All],[Food_ID]],Food_Catalog[[#All],[Client_Price_Per_Unit]],0,0)</f>
        <v>11520</v>
      </c>
      <c r="I2619">
        <f>Food_Orders[[#This Row],[Client_Price]]-Food_Orders[[#This Row],[Cost]]</f>
        <v>1920</v>
      </c>
    </row>
    <row r="2620" spans="1:9" x14ac:dyDescent="0.25">
      <c r="A2620">
        <v>110</v>
      </c>
      <c r="B2620" t="s">
        <v>102</v>
      </c>
      <c r="C2620" t="s">
        <v>83</v>
      </c>
      <c r="D2620" t="s">
        <v>103</v>
      </c>
      <c r="E2620" t="s">
        <v>85</v>
      </c>
      <c r="F2620" cm="1">
        <f t="array" ref="F2620">_xlfn.XLOOKUP(Food_Orders[[#This Row],[Event_No]],Event_Master[[#All],[Event_No]],Event_Master[[#All],[Guest_Count]],,0)</f>
        <v>640</v>
      </c>
      <c r="G2620" cm="1">
        <f t="array" ref="G2620">Food_Orders[[#This Row],[Quantity_Orderd]]*_xlfn.XLOOKUP(Food_Orders[[#This Row],[Food_ID]],Food_Catalog[[#All],[Food_ID]],Food_Catalog[[#All],[Price_Per_Unit]],0,0)</f>
        <v>12800</v>
      </c>
      <c r="H2620" cm="1">
        <f t="array" ref="H2620">Food_Orders[[#This Row],[Quantity_Orderd]]*_xlfn.XLOOKUP(Food_Orders[[#This Row],[Food_ID]],Food_Catalog[[#All],[Food_ID]],Food_Catalog[[#All],[Client_Price_Per_Unit]],0,0)</f>
        <v>15360</v>
      </c>
      <c r="I2620">
        <f>Food_Orders[[#This Row],[Client_Price]]-Food_Orders[[#This Row],[Cost]]</f>
        <v>2560</v>
      </c>
    </row>
    <row r="2621" spans="1:9" x14ac:dyDescent="0.25">
      <c r="A2621">
        <v>110</v>
      </c>
      <c r="B2621" t="s">
        <v>98</v>
      </c>
      <c r="C2621" t="s">
        <v>83</v>
      </c>
      <c r="D2621" t="s">
        <v>99</v>
      </c>
      <c r="E2621" t="s">
        <v>85</v>
      </c>
      <c r="F2621" cm="1">
        <f t="array" ref="F2621">_xlfn.XLOOKUP(Food_Orders[[#This Row],[Event_No]],Event_Master[[#All],[Event_No]],Event_Master[[#All],[Guest_Count]],,0)</f>
        <v>640</v>
      </c>
      <c r="G2621" cm="1">
        <f t="array" ref="G2621">Food_Orders[[#This Row],[Quantity_Orderd]]*_xlfn.XLOOKUP(Food_Orders[[#This Row],[Food_ID]],Food_Catalog[[#All],[Food_ID]],Food_Catalog[[#All],[Price_Per_Unit]],0,0)</f>
        <v>9600</v>
      </c>
      <c r="H2621" cm="1">
        <f t="array" ref="H2621">Food_Orders[[#This Row],[Quantity_Orderd]]*_xlfn.XLOOKUP(Food_Orders[[#This Row],[Food_ID]],Food_Catalog[[#All],[Food_ID]],Food_Catalog[[#All],[Client_Price_Per_Unit]],0,0)</f>
        <v>11520</v>
      </c>
      <c r="I2621">
        <f>Food_Orders[[#This Row],[Client_Price]]-Food_Orders[[#This Row],[Cost]]</f>
        <v>1920</v>
      </c>
    </row>
    <row r="2622" spans="1:9" x14ac:dyDescent="0.25">
      <c r="A2622">
        <v>110</v>
      </c>
      <c r="B2622" t="s">
        <v>104</v>
      </c>
      <c r="C2622" t="s">
        <v>105</v>
      </c>
      <c r="D2622" t="s">
        <v>106</v>
      </c>
      <c r="E2622" t="s">
        <v>107</v>
      </c>
      <c r="F2622" cm="1">
        <f t="array" ref="F2622">_xlfn.XLOOKUP(Food_Orders[[#This Row],[Event_No]],Event_Master[[#All],[Event_No]],Event_Master[[#All],[Guest_Count]],,0)</f>
        <v>640</v>
      </c>
      <c r="G2622" cm="1">
        <f t="array" ref="G2622">Food_Orders[[#This Row],[Quantity_Orderd]]*_xlfn.XLOOKUP(Food_Orders[[#This Row],[Food_ID]],Food_Catalog[[#All],[Food_ID]],Food_Catalog[[#All],[Price_Per_Unit]],0,0)</f>
        <v>6400</v>
      </c>
      <c r="H2622" cm="1">
        <f t="array" ref="H2622">Food_Orders[[#This Row],[Quantity_Orderd]]*_xlfn.XLOOKUP(Food_Orders[[#This Row],[Food_ID]],Food_Catalog[[#All],[Food_ID]],Food_Catalog[[#All],[Client_Price_Per_Unit]],0,0)</f>
        <v>7680</v>
      </c>
      <c r="I2622">
        <f>Food_Orders[[#This Row],[Client_Price]]-Food_Orders[[#This Row],[Cost]]</f>
        <v>1280</v>
      </c>
    </row>
    <row r="2623" spans="1:9" x14ac:dyDescent="0.25">
      <c r="A2623">
        <v>110</v>
      </c>
      <c r="B2623" t="s">
        <v>108</v>
      </c>
      <c r="C2623" t="s">
        <v>105</v>
      </c>
      <c r="D2623" t="s">
        <v>109</v>
      </c>
      <c r="E2623" t="s">
        <v>107</v>
      </c>
      <c r="F2623" cm="1">
        <f t="array" ref="F2623">_xlfn.XLOOKUP(Food_Orders[[#This Row],[Event_No]],Event_Master[[#All],[Event_No]],Event_Master[[#All],[Guest_Count]],,0)</f>
        <v>640</v>
      </c>
      <c r="G2623" cm="1">
        <f t="array" ref="G2623">Food_Orders[[#This Row],[Quantity_Orderd]]*_xlfn.XLOOKUP(Food_Orders[[#This Row],[Food_ID]],Food_Catalog[[#All],[Food_ID]],Food_Catalog[[#All],[Price_Per_Unit]],0,0)</f>
        <v>9600</v>
      </c>
      <c r="H2623" cm="1">
        <f t="array" ref="H2623">Food_Orders[[#This Row],[Quantity_Orderd]]*_xlfn.XLOOKUP(Food_Orders[[#This Row],[Food_ID]],Food_Catalog[[#All],[Food_ID]],Food_Catalog[[#All],[Client_Price_Per_Unit]],0,0)</f>
        <v>11520</v>
      </c>
      <c r="I2623">
        <f>Food_Orders[[#This Row],[Client_Price]]-Food_Orders[[#This Row],[Cost]]</f>
        <v>1920</v>
      </c>
    </row>
    <row r="2624" spans="1:9" x14ac:dyDescent="0.25">
      <c r="A2624">
        <v>110</v>
      </c>
      <c r="B2624" t="s">
        <v>115</v>
      </c>
      <c r="C2624" t="s">
        <v>105</v>
      </c>
      <c r="D2624" t="s">
        <v>116</v>
      </c>
      <c r="E2624" t="s">
        <v>117</v>
      </c>
      <c r="F2624" cm="1">
        <f t="array" ref="F2624">_xlfn.XLOOKUP(Food_Orders[[#This Row],[Event_No]],Event_Master[[#All],[Event_No]],Event_Master[[#All],[Guest_Count]],,0)</f>
        <v>640</v>
      </c>
      <c r="G2624" cm="1">
        <f t="array" ref="G2624">Food_Orders[[#This Row],[Quantity_Orderd]]*_xlfn.XLOOKUP(Food_Orders[[#This Row],[Food_ID]],Food_Catalog[[#All],[Food_ID]],Food_Catalog[[#All],[Price_Per_Unit]],0,0)</f>
        <v>16000</v>
      </c>
      <c r="H2624" cm="1">
        <f t="array" ref="H2624">Food_Orders[[#This Row],[Quantity_Orderd]]*_xlfn.XLOOKUP(Food_Orders[[#This Row],[Food_ID]],Food_Catalog[[#All],[Food_ID]],Food_Catalog[[#All],[Client_Price_Per_Unit]],0,0)</f>
        <v>19200</v>
      </c>
      <c r="I2624">
        <f>Food_Orders[[#This Row],[Client_Price]]-Food_Orders[[#This Row],[Cost]]</f>
        <v>3200</v>
      </c>
    </row>
    <row r="2625" spans="1:9" x14ac:dyDescent="0.25">
      <c r="A2625">
        <v>110</v>
      </c>
      <c r="B2625" t="s">
        <v>110</v>
      </c>
      <c r="C2625" t="s">
        <v>105</v>
      </c>
      <c r="D2625" t="s">
        <v>111</v>
      </c>
      <c r="E2625" t="s">
        <v>112</v>
      </c>
      <c r="F2625" cm="1">
        <f t="array" ref="F2625">_xlfn.XLOOKUP(Food_Orders[[#This Row],[Event_No]],Event_Master[[#All],[Event_No]],Event_Master[[#All],[Guest_Count]],,0)</f>
        <v>640</v>
      </c>
      <c r="G2625" cm="1">
        <f t="array" ref="G2625">Food_Orders[[#This Row],[Quantity_Orderd]]*_xlfn.XLOOKUP(Food_Orders[[#This Row],[Food_ID]],Food_Catalog[[#All],[Food_ID]],Food_Catalog[[#All],[Price_Per_Unit]],0,0)</f>
        <v>12800</v>
      </c>
      <c r="H2625" cm="1">
        <f t="array" ref="H2625">Food_Orders[[#This Row],[Quantity_Orderd]]*_xlfn.XLOOKUP(Food_Orders[[#This Row],[Food_ID]],Food_Catalog[[#All],[Food_ID]],Food_Catalog[[#All],[Client_Price_Per_Unit]],0,0)</f>
        <v>15360</v>
      </c>
      <c r="I2625">
        <f>Food_Orders[[#This Row],[Client_Price]]-Food_Orders[[#This Row],[Cost]]</f>
        <v>2560</v>
      </c>
    </row>
    <row r="2626" spans="1:9" x14ac:dyDescent="0.25">
      <c r="A2626">
        <v>110</v>
      </c>
      <c r="B2626" t="s">
        <v>118</v>
      </c>
      <c r="C2626" t="s">
        <v>119</v>
      </c>
      <c r="D2626" t="s">
        <v>120</v>
      </c>
      <c r="E2626" t="s">
        <v>112</v>
      </c>
      <c r="F2626" cm="1">
        <f t="array" ref="F2626">_xlfn.XLOOKUP(Food_Orders[[#This Row],[Event_No]],Event_Master[[#All],[Event_No]],Event_Master[[#All],[Guest_Count]],,0)</f>
        <v>640</v>
      </c>
      <c r="G2626" cm="1">
        <f t="array" ref="G2626">Food_Orders[[#This Row],[Quantity_Orderd]]*_xlfn.XLOOKUP(Food_Orders[[#This Row],[Food_ID]],Food_Catalog[[#All],[Food_ID]],Food_Catalog[[#All],[Price_Per_Unit]],0,0)</f>
        <v>6400</v>
      </c>
      <c r="H2626" cm="1">
        <f t="array" ref="H2626">Food_Orders[[#This Row],[Quantity_Orderd]]*_xlfn.XLOOKUP(Food_Orders[[#This Row],[Food_ID]],Food_Catalog[[#All],[Food_ID]],Food_Catalog[[#All],[Client_Price_Per_Unit]],0,0)</f>
        <v>7680</v>
      </c>
      <c r="I2626">
        <f>Food_Orders[[#This Row],[Client_Price]]-Food_Orders[[#This Row],[Cost]]</f>
        <v>1280</v>
      </c>
    </row>
    <row r="2627" spans="1:9" x14ac:dyDescent="0.25">
      <c r="A2627">
        <v>110</v>
      </c>
      <c r="B2627" t="s">
        <v>129</v>
      </c>
      <c r="C2627" t="s">
        <v>119</v>
      </c>
      <c r="D2627" t="s">
        <v>130</v>
      </c>
      <c r="E2627" t="s">
        <v>112</v>
      </c>
      <c r="F2627" cm="1">
        <f t="array" ref="F2627">_xlfn.XLOOKUP(Food_Orders[[#This Row],[Event_No]],Event_Master[[#All],[Event_No]],Event_Master[[#All],[Guest_Count]],,0)</f>
        <v>640</v>
      </c>
      <c r="G2627" cm="1">
        <f t="array" ref="G2627">Food_Orders[[#This Row],[Quantity_Orderd]]*_xlfn.XLOOKUP(Food_Orders[[#This Row],[Food_ID]],Food_Catalog[[#All],[Food_ID]],Food_Catalog[[#All],[Price_Per_Unit]],0,0)</f>
        <v>6400</v>
      </c>
      <c r="H2627" cm="1">
        <f t="array" ref="H2627">Food_Orders[[#This Row],[Quantity_Orderd]]*_xlfn.XLOOKUP(Food_Orders[[#This Row],[Food_ID]],Food_Catalog[[#All],[Food_ID]],Food_Catalog[[#All],[Client_Price_Per_Unit]],0,0)</f>
        <v>7680</v>
      </c>
      <c r="I2627">
        <f>Food_Orders[[#This Row],[Client_Price]]-Food_Orders[[#This Row],[Cost]]</f>
        <v>1280</v>
      </c>
    </row>
    <row r="2628" spans="1:9" x14ac:dyDescent="0.25">
      <c r="A2628">
        <v>110</v>
      </c>
      <c r="B2628" t="s">
        <v>124</v>
      </c>
      <c r="C2628" t="s">
        <v>119</v>
      </c>
      <c r="D2628" t="s">
        <v>125</v>
      </c>
      <c r="E2628" t="s">
        <v>126</v>
      </c>
      <c r="F2628" cm="1">
        <f t="array" ref="F2628">_xlfn.XLOOKUP(Food_Orders[[#This Row],[Event_No]],Event_Master[[#All],[Event_No]],Event_Master[[#All],[Guest_Count]],,0)</f>
        <v>640</v>
      </c>
      <c r="G2628" cm="1">
        <f t="array" ref="G2628">Food_Orders[[#This Row],[Quantity_Orderd]]*_xlfn.XLOOKUP(Food_Orders[[#This Row],[Food_ID]],Food_Catalog[[#All],[Food_ID]],Food_Catalog[[#All],[Price_Per_Unit]],0,0)</f>
        <v>12800</v>
      </c>
      <c r="H2628" cm="1">
        <f t="array" ref="H2628">Food_Orders[[#This Row],[Quantity_Orderd]]*_xlfn.XLOOKUP(Food_Orders[[#This Row],[Food_ID]],Food_Catalog[[#All],[Food_ID]],Food_Catalog[[#All],[Client_Price_Per_Unit]],0,0)</f>
        <v>15360</v>
      </c>
      <c r="I2628">
        <f>Food_Orders[[#This Row],[Client_Price]]-Food_Orders[[#This Row],[Cost]]</f>
        <v>2560</v>
      </c>
    </row>
    <row r="2629" spans="1:9" x14ac:dyDescent="0.25">
      <c r="A2629">
        <v>110</v>
      </c>
      <c r="B2629" t="s">
        <v>127</v>
      </c>
      <c r="C2629" t="s">
        <v>119</v>
      </c>
      <c r="D2629" t="s">
        <v>128</v>
      </c>
      <c r="E2629" t="s">
        <v>107</v>
      </c>
      <c r="F2629" cm="1">
        <f t="array" ref="F2629">_xlfn.XLOOKUP(Food_Orders[[#This Row],[Event_No]],Event_Master[[#All],[Event_No]],Event_Master[[#All],[Guest_Count]],,0)</f>
        <v>640</v>
      </c>
      <c r="G2629" cm="1">
        <f t="array" ref="G2629">Food_Orders[[#This Row],[Quantity_Orderd]]*_xlfn.XLOOKUP(Food_Orders[[#This Row],[Food_ID]],Food_Catalog[[#All],[Food_ID]],Food_Catalog[[#All],[Price_Per_Unit]],0,0)</f>
        <v>12800</v>
      </c>
      <c r="H2629" cm="1">
        <f t="array" ref="H2629">Food_Orders[[#This Row],[Quantity_Orderd]]*_xlfn.XLOOKUP(Food_Orders[[#This Row],[Food_ID]],Food_Catalog[[#All],[Food_ID]],Food_Catalog[[#All],[Client_Price_Per_Unit]],0,0)</f>
        <v>15360</v>
      </c>
      <c r="I2629">
        <f>Food_Orders[[#This Row],[Client_Price]]-Food_Orders[[#This Row],[Cost]]</f>
        <v>2560</v>
      </c>
    </row>
    <row r="2630" spans="1:9" x14ac:dyDescent="0.25">
      <c r="A2630">
        <v>111</v>
      </c>
      <c r="B2630" t="s">
        <v>63</v>
      </c>
      <c r="C2630" t="s">
        <v>61</v>
      </c>
      <c r="D2630" t="s">
        <v>64</v>
      </c>
      <c r="E2630" t="s">
        <v>10</v>
      </c>
      <c r="F2630" cm="1">
        <f t="array" ref="F2630">_xlfn.XLOOKUP(Food_Orders[[#This Row],[Event_No]],Event_Master[[#All],[Event_No]],Event_Master[[#All],[Guest_Count]],,0)</f>
        <v>220</v>
      </c>
      <c r="G2630" cm="1">
        <f t="array" ref="G2630">Food_Orders[[#This Row],[Quantity_Orderd]]*_xlfn.XLOOKUP(Food_Orders[[#This Row],[Food_ID]],Food_Catalog[[#All],[Food_ID]],Food_Catalog[[#All],[Price_Per_Unit]],0,0)</f>
        <v>6600</v>
      </c>
      <c r="H2630" cm="1">
        <f t="array" ref="H2630">Food_Orders[[#This Row],[Quantity_Orderd]]*_xlfn.XLOOKUP(Food_Orders[[#This Row],[Food_ID]],Food_Catalog[[#All],[Food_ID]],Food_Catalog[[#All],[Client_Price_Per_Unit]],0,0)</f>
        <v>7920</v>
      </c>
      <c r="I2630">
        <f>Food_Orders[[#This Row],[Client_Price]]-Food_Orders[[#This Row],[Cost]]</f>
        <v>1320</v>
      </c>
    </row>
    <row r="2631" spans="1:9" x14ac:dyDescent="0.25">
      <c r="A2631">
        <v>111</v>
      </c>
      <c r="B2631" t="s">
        <v>71</v>
      </c>
      <c r="C2631" t="s">
        <v>61</v>
      </c>
      <c r="D2631" t="s">
        <v>72</v>
      </c>
      <c r="E2631" t="s">
        <v>10</v>
      </c>
      <c r="F2631" cm="1">
        <f t="array" ref="F2631">_xlfn.XLOOKUP(Food_Orders[[#This Row],[Event_No]],Event_Master[[#All],[Event_No]],Event_Master[[#All],[Guest_Count]],,0)</f>
        <v>220</v>
      </c>
      <c r="G2631" cm="1">
        <f t="array" ref="G2631">Food_Orders[[#This Row],[Quantity_Orderd]]*_xlfn.XLOOKUP(Food_Orders[[#This Row],[Food_ID]],Food_Catalog[[#All],[Food_ID]],Food_Catalog[[#All],[Price_Per_Unit]],0,0)</f>
        <v>5500</v>
      </c>
      <c r="H2631" cm="1">
        <f t="array" ref="H2631">Food_Orders[[#This Row],[Quantity_Orderd]]*_xlfn.XLOOKUP(Food_Orders[[#This Row],[Food_ID]],Food_Catalog[[#All],[Food_ID]],Food_Catalog[[#All],[Client_Price_Per_Unit]],0,0)</f>
        <v>6600</v>
      </c>
      <c r="I2631">
        <f>Food_Orders[[#This Row],[Client_Price]]-Food_Orders[[#This Row],[Cost]]</f>
        <v>1100</v>
      </c>
    </row>
    <row r="2632" spans="1:9" x14ac:dyDescent="0.25">
      <c r="A2632">
        <v>111</v>
      </c>
      <c r="B2632" t="s">
        <v>60</v>
      </c>
      <c r="C2632" t="s">
        <v>61</v>
      </c>
      <c r="D2632" t="s">
        <v>62</v>
      </c>
      <c r="E2632" t="s">
        <v>10</v>
      </c>
      <c r="F2632" cm="1">
        <f t="array" ref="F2632">_xlfn.XLOOKUP(Food_Orders[[#This Row],[Event_No]],Event_Master[[#All],[Event_No]],Event_Master[[#All],[Guest_Count]],,0)</f>
        <v>220</v>
      </c>
      <c r="G2632" cm="1">
        <f t="array" ref="G2632">Food_Orders[[#This Row],[Quantity_Orderd]]*_xlfn.XLOOKUP(Food_Orders[[#This Row],[Food_ID]],Food_Catalog[[#All],[Food_ID]],Food_Catalog[[#All],[Price_Per_Unit]],0,0)</f>
        <v>4400</v>
      </c>
      <c r="H2632" cm="1">
        <f t="array" ref="H2632">Food_Orders[[#This Row],[Quantity_Orderd]]*_xlfn.XLOOKUP(Food_Orders[[#This Row],[Food_ID]],Food_Catalog[[#All],[Food_ID]],Food_Catalog[[#All],[Client_Price_Per_Unit]],0,0)</f>
        <v>5280</v>
      </c>
      <c r="I2632">
        <f>Food_Orders[[#This Row],[Client_Price]]-Food_Orders[[#This Row],[Cost]]</f>
        <v>880</v>
      </c>
    </row>
    <row r="2633" spans="1:9" x14ac:dyDescent="0.25">
      <c r="A2633">
        <v>111</v>
      </c>
      <c r="B2633" t="s">
        <v>69</v>
      </c>
      <c r="C2633" t="s">
        <v>61</v>
      </c>
      <c r="D2633" t="s">
        <v>70</v>
      </c>
      <c r="E2633" t="s">
        <v>10</v>
      </c>
      <c r="F2633" cm="1">
        <f t="array" ref="F2633">_xlfn.XLOOKUP(Food_Orders[[#This Row],[Event_No]],Event_Master[[#All],[Event_No]],Event_Master[[#All],[Guest_Count]],,0)</f>
        <v>220</v>
      </c>
      <c r="G2633" cm="1">
        <f t="array" ref="G2633">Food_Orders[[#This Row],[Quantity_Orderd]]*_xlfn.XLOOKUP(Food_Orders[[#This Row],[Food_ID]],Food_Catalog[[#All],[Food_ID]],Food_Catalog[[#All],[Price_Per_Unit]],0,0)</f>
        <v>11000</v>
      </c>
      <c r="H2633" cm="1">
        <f t="array" ref="H2633">Food_Orders[[#This Row],[Quantity_Orderd]]*_xlfn.XLOOKUP(Food_Orders[[#This Row],[Food_ID]],Food_Catalog[[#All],[Food_ID]],Food_Catalog[[#All],[Client_Price_Per_Unit]],0,0)</f>
        <v>13200</v>
      </c>
      <c r="I2633">
        <f>Food_Orders[[#This Row],[Client_Price]]-Food_Orders[[#This Row],[Cost]]</f>
        <v>2200</v>
      </c>
    </row>
    <row r="2634" spans="1:9" x14ac:dyDescent="0.25">
      <c r="A2634">
        <v>111</v>
      </c>
      <c r="B2634" t="s">
        <v>13</v>
      </c>
      <c r="C2634" t="s">
        <v>8</v>
      </c>
      <c r="D2634" t="s">
        <v>14</v>
      </c>
      <c r="E2634" t="s">
        <v>10</v>
      </c>
      <c r="F2634" cm="1">
        <f t="array" ref="F2634">_xlfn.XLOOKUP(Food_Orders[[#This Row],[Event_No]],Event_Master[[#All],[Event_No]],Event_Master[[#All],[Guest_Count]],,0)</f>
        <v>220</v>
      </c>
      <c r="G2634" cm="1">
        <f t="array" ref="G2634">Food_Orders[[#This Row],[Quantity_Orderd]]*_xlfn.XLOOKUP(Food_Orders[[#This Row],[Food_ID]],Food_Catalog[[#All],[Food_ID]],Food_Catalog[[#All],[Price_Per_Unit]],0,0)</f>
        <v>7700</v>
      </c>
      <c r="H2634" cm="1">
        <f t="array" ref="H2634">Food_Orders[[#This Row],[Quantity_Orderd]]*_xlfn.XLOOKUP(Food_Orders[[#This Row],[Food_ID]],Food_Catalog[[#All],[Food_ID]],Food_Catalog[[#All],[Client_Price_Per_Unit]],0,0)</f>
        <v>9240</v>
      </c>
      <c r="I2634">
        <f>Food_Orders[[#This Row],[Client_Price]]-Food_Orders[[#This Row],[Cost]]</f>
        <v>1540</v>
      </c>
    </row>
    <row r="2635" spans="1:9" x14ac:dyDescent="0.25">
      <c r="A2635">
        <v>111</v>
      </c>
      <c r="B2635" t="s">
        <v>27</v>
      </c>
      <c r="C2635" t="s">
        <v>8</v>
      </c>
      <c r="D2635" t="s">
        <v>28</v>
      </c>
      <c r="E2635" t="s">
        <v>10</v>
      </c>
      <c r="F2635" cm="1">
        <f t="array" ref="F2635">_xlfn.XLOOKUP(Food_Orders[[#This Row],[Event_No]],Event_Master[[#All],[Event_No]],Event_Master[[#All],[Guest_Count]],,0)</f>
        <v>220</v>
      </c>
      <c r="G2635" cm="1">
        <f t="array" ref="G2635">Food_Orders[[#This Row],[Quantity_Orderd]]*_xlfn.XLOOKUP(Food_Orders[[#This Row],[Food_ID]],Food_Catalog[[#All],[Food_ID]],Food_Catalog[[#All],[Price_Per_Unit]],0,0)</f>
        <v>8800</v>
      </c>
      <c r="H2635" cm="1">
        <f t="array" ref="H2635">Food_Orders[[#This Row],[Quantity_Orderd]]*_xlfn.XLOOKUP(Food_Orders[[#This Row],[Food_ID]],Food_Catalog[[#All],[Food_ID]],Food_Catalog[[#All],[Client_Price_Per_Unit]],0,0)</f>
        <v>10560</v>
      </c>
      <c r="I2635">
        <f>Food_Orders[[#This Row],[Client_Price]]-Food_Orders[[#This Row],[Cost]]</f>
        <v>1760</v>
      </c>
    </row>
    <row r="2636" spans="1:9" x14ac:dyDescent="0.25">
      <c r="A2636">
        <v>111</v>
      </c>
      <c r="B2636" t="s">
        <v>31</v>
      </c>
      <c r="C2636" t="s">
        <v>8</v>
      </c>
      <c r="D2636" t="s">
        <v>32</v>
      </c>
      <c r="E2636" t="s">
        <v>10</v>
      </c>
      <c r="F2636" cm="1">
        <f t="array" ref="F2636">_xlfn.XLOOKUP(Food_Orders[[#This Row],[Event_No]],Event_Master[[#All],[Event_No]],Event_Master[[#All],[Guest_Count]],,0)</f>
        <v>220</v>
      </c>
      <c r="G2636" cm="1">
        <f t="array" ref="G2636">Food_Orders[[#This Row],[Quantity_Orderd]]*_xlfn.XLOOKUP(Food_Orders[[#This Row],[Food_ID]],Food_Catalog[[#All],[Food_ID]],Food_Catalog[[#All],[Price_Per_Unit]],0,0)</f>
        <v>6600</v>
      </c>
      <c r="H2636" cm="1">
        <f t="array" ref="H2636">Food_Orders[[#This Row],[Quantity_Orderd]]*_xlfn.XLOOKUP(Food_Orders[[#This Row],[Food_ID]],Food_Catalog[[#All],[Food_ID]],Food_Catalog[[#All],[Client_Price_Per_Unit]],0,0)</f>
        <v>7920</v>
      </c>
      <c r="I2636">
        <f>Food_Orders[[#This Row],[Client_Price]]-Food_Orders[[#This Row],[Cost]]</f>
        <v>1320</v>
      </c>
    </row>
    <row r="2637" spans="1:9" x14ac:dyDescent="0.25">
      <c r="A2637">
        <v>111</v>
      </c>
      <c r="B2637" t="s">
        <v>29</v>
      </c>
      <c r="C2637" t="s">
        <v>8</v>
      </c>
      <c r="D2637" t="s">
        <v>30</v>
      </c>
      <c r="E2637" t="s">
        <v>10</v>
      </c>
      <c r="F2637" cm="1">
        <f t="array" ref="F2637">_xlfn.XLOOKUP(Food_Orders[[#This Row],[Event_No]],Event_Master[[#All],[Event_No]],Event_Master[[#All],[Guest_Count]],,0)</f>
        <v>220</v>
      </c>
      <c r="G2637" cm="1">
        <f t="array" ref="G2637">Food_Orders[[#This Row],[Quantity_Orderd]]*_xlfn.XLOOKUP(Food_Orders[[#This Row],[Food_ID]],Food_Catalog[[#All],[Food_ID]],Food_Catalog[[#All],[Price_Per_Unit]],0,0)</f>
        <v>6600</v>
      </c>
      <c r="H2637" cm="1">
        <f t="array" ref="H2637">Food_Orders[[#This Row],[Quantity_Orderd]]*_xlfn.XLOOKUP(Food_Orders[[#This Row],[Food_ID]],Food_Catalog[[#All],[Food_ID]],Food_Catalog[[#All],[Client_Price_Per_Unit]],0,0)</f>
        <v>7920</v>
      </c>
      <c r="I2637">
        <f>Food_Orders[[#This Row],[Client_Price]]-Food_Orders[[#This Row],[Cost]]</f>
        <v>1320</v>
      </c>
    </row>
    <row r="2638" spans="1:9" x14ac:dyDescent="0.25">
      <c r="A2638">
        <v>111</v>
      </c>
      <c r="B2638" t="s">
        <v>37</v>
      </c>
      <c r="C2638" t="s">
        <v>8</v>
      </c>
      <c r="D2638" t="s">
        <v>38</v>
      </c>
      <c r="E2638" t="s">
        <v>10</v>
      </c>
      <c r="F2638" cm="1">
        <f t="array" ref="F2638">_xlfn.XLOOKUP(Food_Orders[[#This Row],[Event_No]],Event_Master[[#All],[Event_No]],Event_Master[[#All],[Guest_Count]],,0)</f>
        <v>220</v>
      </c>
      <c r="G2638" cm="1">
        <f t="array" ref="G2638">Food_Orders[[#This Row],[Quantity_Orderd]]*_xlfn.XLOOKUP(Food_Orders[[#This Row],[Food_ID]],Food_Catalog[[#All],[Food_ID]],Food_Catalog[[#All],[Price_Per_Unit]],0,0)</f>
        <v>5500</v>
      </c>
      <c r="H2638" cm="1">
        <f t="array" ref="H2638">Food_Orders[[#This Row],[Quantity_Orderd]]*_xlfn.XLOOKUP(Food_Orders[[#This Row],[Food_ID]],Food_Catalog[[#All],[Food_ID]],Food_Catalog[[#All],[Client_Price_Per_Unit]],0,0)</f>
        <v>6600</v>
      </c>
      <c r="I2638">
        <f>Food_Orders[[#This Row],[Client_Price]]-Food_Orders[[#This Row],[Cost]]</f>
        <v>1100</v>
      </c>
    </row>
    <row r="2639" spans="1:9" x14ac:dyDescent="0.25">
      <c r="A2639">
        <v>111</v>
      </c>
      <c r="B2639" t="s">
        <v>39</v>
      </c>
      <c r="C2639" t="s">
        <v>40</v>
      </c>
      <c r="D2639" t="s">
        <v>41</v>
      </c>
      <c r="E2639" t="s">
        <v>10</v>
      </c>
      <c r="F2639" cm="1">
        <f t="array" ref="F2639">_xlfn.XLOOKUP(Food_Orders[[#This Row],[Event_No]],Event_Master[[#All],[Event_No]],Event_Master[[#All],[Guest_Count]],,0)</f>
        <v>220</v>
      </c>
      <c r="G2639" cm="1">
        <f t="array" ref="G2639">Food_Orders[[#This Row],[Quantity_Orderd]]*_xlfn.XLOOKUP(Food_Orders[[#This Row],[Food_ID]],Food_Catalog[[#All],[Food_ID]],Food_Catalog[[#All],[Price_Per_Unit]],0,0)</f>
        <v>13200</v>
      </c>
      <c r="H2639" cm="1">
        <f t="array" ref="H2639">Food_Orders[[#This Row],[Quantity_Orderd]]*_xlfn.XLOOKUP(Food_Orders[[#This Row],[Food_ID]],Food_Catalog[[#All],[Food_ID]],Food_Catalog[[#All],[Client_Price_Per_Unit]],0,0)</f>
        <v>15840</v>
      </c>
      <c r="I2639">
        <f>Food_Orders[[#This Row],[Client_Price]]-Food_Orders[[#This Row],[Cost]]</f>
        <v>2640</v>
      </c>
    </row>
    <row r="2640" spans="1:9" x14ac:dyDescent="0.25">
      <c r="A2640">
        <v>111</v>
      </c>
      <c r="B2640" t="s">
        <v>42</v>
      </c>
      <c r="C2640" t="s">
        <v>40</v>
      </c>
      <c r="D2640" t="s">
        <v>43</v>
      </c>
      <c r="E2640" t="s">
        <v>10</v>
      </c>
      <c r="F2640" cm="1">
        <f t="array" ref="F2640">_xlfn.XLOOKUP(Food_Orders[[#This Row],[Event_No]],Event_Master[[#All],[Event_No]],Event_Master[[#All],[Guest_Count]],,0)</f>
        <v>220</v>
      </c>
      <c r="G2640" cm="1">
        <f t="array" ref="G2640">Food_Orders[[#This Row],[Quantity_Orderd]]*_xlfn.XLOOKUP(Food_Orders[[#This Row],[Food_ID]],Food_Catalog[[#All],[Food_ID]],Food_Catalog[[#All],[Price_Per_Unit]],0,0)</f>
        <v>15400</v>
      </c>
      <c r="H2640" cm="1">
        <f t="array" ref="H2640">Food_Orders[[#This Row],[Quantity_Orderd]]*_xlfn.XLOOKUP(Food_Orders[[#This Row],[Food_ID]],Food_Catalog[[#All],[Food_ID]],Food_Catalog[[#All],[Client_Price_Per_Unit]],0,0)</f>
        <v>18480</v>
      </c>
      <c r="I2640">
        <f>Food_Orders[[#This Row],[Client_Price]]-Food_Orders[[#This Row],[Cost]]</f>
        <v>3080</v>
      </c>
    </row>
    <row r="2641" spans="1:9" x14ac:dyDescent="0.25">
      <c r="A2641">
        <v>111</v>
      </c>
      <c r="B2641" t="s">
        <v>58</v>
      </c>
      <c r="C2641" t="s">
        <v>40</v>
      </c>
      <c r="D2641" t="s">
        <v>59</v>
      </c>
      <c r="E2641" t="s">
        <v>10</v>
      </c>
      <c r="F2641" cm="1">
        <f t="array" ref="F2641">_xlfn.XLOOKUP(Food_Orders[[#This Row],[Event_No]],Event_Master[[#All],[Event_No]],Event_Master[[#All],[Guest_Count]],,0)</f>
        <v>220</v>
      </c>
      <c r="G2641" cm="1">
        <f t="array" ref="G2641">Food_Orders[[#This Row],[Quantity_Orderd]]*_xlfn.XLOOKUP(Food_Orders[[#This Row],[Food_ID]],Food_Catalog[[#All],[Food_ID]],Food_Catalog[[#All],[Price_Per_Unit]],0,0)</f>
        <v>19800</v>
      </c>
      <c r="H2641" cm="1">
        <f t="array" ref="H2641">Food_Orders[[#This Row],[Quantity_Orderd]]*_xlfn.XLOOKUP(Food_Orders[[#This Row],[Food_ID]],Food_Catalog[[#All],[Food_ID]],Food_Catalog[[#All],[Client_Price_Per_Unit]],0,0)</f>
        <v>23760</v>
      </c>
      <c r="I2641">
        <f>Food_Orders[[#This Row],[Client_Price]]-Food_Orders[[#This Row],[Cost]]</f>
        <v>3960</v>
      </c>
    </row>
    <row r="2642" spans="1:9" x14ac:dyDescent="0.25">
      <c r="A2642">
        <v>111</v>
      </c>
      <c r="B2642" t="s">
        <v>46</v>
      </c>
      <c r="C2642" t="s">
        <v>40</v>
      </c>
      <c r="D2642" t="s">
        <v>47</v>
      </c>
      <c r="E2642" t="s">
        <v>10</v>
      </c>
      <c r="F2642" cm="1">
        <f t="array" ref="F2642">_xlfn.XLOOKUP(Food_Orders[[#This Row],[Event_No]],Event_Master[[#All],[Event_No]],Event_Master[[#All],[Guest_Count]],,0)</f>
        <v>220</v>
      </c>
      <c r="G2642" cm="1">
        <f t="array" ref="G2642">Food_Orders[[#This Row],[Quantity_Orderd]]*_xlfn.XLOOKUP(Food_Orders[[#This Row],[Food_ID]],Food_Catalog[[#All],[Food_ID]],Food_Catalog[[#All],[Price_Per_Unit]],0,0)</f>
        <v>19800</v>
      </c>
      <c r="H2642" cm="1">
        <f t="array" ref="H2642">Food_Orders[[#This Row],[Quantity_Orderd]]*_xlfn.XLOOKUP(Food_Orders[[#This Row],[Food_ID]],Food_Catalog[[#All],[Food_ID]],Food_Catalog[[#All],[Client_Price_Per_Unit]],0,0)</f>
        <v>23760</v>
      </c>
      <c r="I2642">
        <f>Food_Orders[[#This Row],[Client_Price]]-Food_Orders[[#This Row],[Cost]]</f>
        <v>3960</v>
      </c>
    </row>
    <row r="2643" spans="1:9" x14ac:dyDescent="0.25">
      <c r="A2643">
        <v>111</v>
      </c>
      <c r="B2643" t="s">
        <v>50</v>
      </c>
      <c r="C2643" t="s">
        <v>40</v>
      </c>
      <c r="D2643" t="s">
        <v>51</v>
      </c>
      <c r="E2643" t="s">
        <v>10</v>
      </c>
      <c r="F2643" cm="1">
        <f t="array" ref="F2643">_xlfn.XLOOKUP(Food_Orders[[#This Row],[Event_No]],Event_Master[[#All],[Event_No]],Event_Master[[#All],[Guest_Count]],,0)</f>
        <v>220</v>
      </c>
      <c r="G2643" cm="1">
        <f t="array" ref="G2643">Food_Orders[[#This Row],[Quantity_Orderd]]*_xlfn.XLOOKUP(Food_Orders[[#This Row],[Food_ID]],Food_Catalog[[#All],[Food_ID]],Food_Catalog[[#All],[Price_Per_Unit]],0,0)</f>
        <v>17600</v>
      </c>
      <c r="H2643" cm="1">
        <f t="array" ref="H2643">Food_Orders[[#This Row],[Quantity_Orderd]]*_xlfn.XLOOKUP(Food_Orders[[#This Row],[Food_ID]],Food_Catalog[[#All],[Food_ID]],Food_Catalog[[#All],[Client_Price_Per_Unit]],0,0)</f>
        <v>21120</v>
      </c>
      <c r="I2643">
        <f>Food_Orders[[#This Row],[Client_Price]]-Food_Orders[[#This Row],[Cost]]</f>
        <v>3520</v>
      </c>
    </row>
    <row r="2644" spans="1:9" x14ac:dyDescent="0.25">
      <c r="A2644">
        <v>111</v>
      </c>
      <c r="B2644" t="s">
        <v>82</v>
      </c>
      <c r="C2644" t="s">
        <v>83</v>
      </c>
      <c r="D2644" t="s">
        <v>84</v>
      </c>
      <c r="E2644" t="s">
        <v>85</v>
      </c>
      <c r="F2644" cm="1">
        <f t="array" ref="F2644">_xlfn.XLOOKUP(Food_Orders[[#This Row],[Event_No]],Event_Master[[#All],[Event_No]],Event_Master[[#All],[Guest_Count]],,0)</f>
        <v>220</v>
      </c>
      <c r="G2644" cm="1">
        <f t="array" ref="G2644">Food_Orders[[#This Row],[Quantity_Orderd]]*_xlfn.XLOOKUP(Food_Orders[[#This Row],[Food_ID]],Food_Catalog[[#All],[Food_ID]],Food_Catalog[[#All],[Price_Per_Unit]],0,0)</f>
        <v>4400</v>
      </c>
      <c r="H2644" cm="1">
        <f t="array" ref="H2644">Food_Orders[[#This Row],[Quantity_Orderd]]*_xlfn.XLOOKUP(Food_Orders[[#This Row],[Food_ID]],Food_Catalog[[#All],[Food_ID]],Food_Catalog[[#All],[Client_Price_Per_Unit]],0,0)</f>
        <v>5280</v>
      </c>
      <c r="I2644">
        <f>Food_Orders[[#This Row],[Client_Price]]-Food_Orders[[#This Row],[Cost]]</f>
        <v>880</v>
      </c>
    </row>
    <row r="2645" spans="1:9" x14ac:dyDescent="0.25">
      <c r="A2645">
        <v>111</v>
      </c>
      <c r="B2645" t="s">
        <v>86</v>
      </c>
      <c r="C2645" t="s">
        <v>83</v>
      </c>
      <c r="D2645" t="s">
        <v>87</v>
      </c>
      <c r="E2645" t="s">
        <v>85</v>
      </c>
      <c r="F2645" cm="1">
        <f t="array" ref="F2645">_xlfn.XLOOKUP(Food_Orders[[#This Row],[Event_No]],Event_Master[[#All],[Event_No]],Event_Master[[#All],[Guest_Count]],,0)</f>
        <v>220</v>
      </c>
      <c r="G2645" cm="1">
        <f t="array" ref="G2645">Food_Orders[[#This Row],[Quantity_Orderd]]*_xlfn.XLOOKUP(Food_Orders[[#This Row],[Food_ID]],Food_Catalog[[#All],[Food_ID]],Food_Catalog[[#All],[Price_Per_Unit]],0,0)</f>
        <v>4400</v>
      </c>
      <c r="H2645" cm="1">
        <f t="array" ref="H2645">Food_Orders[[#This Row],[Quantity_Orderd]]*_xlfn.XLOOKUP(Food_Orders[[#This Row],[Food_ID]],Food_Catalog[[#All],[Food_ID]],Food_Catalog[[#All],[Client_Price_Per_Unit]],0,0)</f>
        <v>5280</v>
      </c>
      <c r="I2645">
        <f>Food_Orders[[#This Row],[Client_Price]]-Food_Orders[[#This Row],[Cost]]</f>
        <v>880</v>
      </c>
    </row>
    <row r="2646" spans="1:9" x14ac:dyDescent="0.25">
      <c r="A2646">
        <v>111</v>
      </c>
      <c r="B2646" t="s">
        <v>96</v>
      </c>
      <c r="C2646" t="s">
        <v>83</v>
      </c>
      <c r="D2646" t="s">
        <v>97</v>
      </c>
      <c r="E2646" t="s">
        <v>79</v>
      </c>
      <c r="F2646" cm="1">
        <f t="array" ref="F2646">_xlfn.XLOOKUP(Food_Orders[[#This Row],[Event_No]],Event_Master[[#All],[Event_No]],Event_Master[[#All],[Guest_Count]],,0)</f>
        <v>220</v>
      </c>
      <c r="G2646" cm="1">
        <f t="array" ref="G2646">Food_Orders[[#This Row],[Quantity_Orderd]]*_xlfn.XLOOKUP(Food_Orders[[#This Row],[Food_ID]],Food_Catalog[[#All],[Food_ID]],Food_Catalog[[#All],[Price_Per_Unit]],0,0)</f>
        <v>6600</v>
      </c>
      <c r="H2646" cm="1">
        <f t="array" ref="H2646">Food_Orders[[#This Row],[Quantity_Orderd]]*_xlfn.XLOOKUP(Food_Orders[[#This Row],[Food_ID]],Food_Catalog[[#All],[Food_ID]],Food_Catalog[[#All],[Client_Price_Per_Unit]],0,0)</f>
        <v>7920</v>
      </c>
      <c r="I2646">
        <f>Food_Orders[[#This Row],[Client_Price]]-Food_Orders[[#This Row],[Cost]]</f>
        <v>1320</v>
      </c>
    </row>
    <row r="2647" spans="1:9" x14ac:dyDescent="0.25">
      <c r="A2647">
        <v>111</v>
      </c>
      <c r="B2647" t="s">
        <v>92</v>
      </c>
      <c r="C2647" t="s">
        <v>83</v>
      </c>
      <c r="D2647" t="s">
        <v>93</v>
      </c>
      <c r="E2647" t="s">
        <v>85</v>
      </c>
      <c r="F2647" cm="1">
        <f t="array" ref="F2647">_xlfn.XLOOKUP(Food_Orders[[#This Row],[Event_No]],Event_Master[[#All],[Event_No]],Event_Master[[#All],[Guest_Count]],,0)</f>
        <v>220</v>
      </c>
      <c r="G2647" cm="1">
        <f t="array" ref="G2647">Food_Orders[[#This Row],[Quantity_Orderd]]*_xlfn.XLOOKUP(Food_Orders[[#This Row],[Food_ID]],Food_Catalog[[#All],[Food_ID]],Food_Catalog[[#All],[Price_Per_Unit]],0,0)</f>
        <v>3300</v>
      </c>
      <c r="H2647" cm="1">
        <f t="array" ref="H2647">Food_Orders[[#This Row],[Quantity_Orderd]]*_xlfn.XLOOKUP(Food_Orders[[#This Row],[Food_ID]],Food_Catalog[[#All],[Food_ID]],Food_Catalog[[#All],[Client_Price_Per_Unit]],0,0)</f>
        <v>3960</v>
      </c>
      <c r="I2647">
        <f>Food_Orders[[#This Row],[Client_Price]]-Food_Orders[[#This Row],[Cost]]</f>
        <v>660</v>
      </c>
    </row>
    <row r="2648" spans="1:9" x14ac:dyDescent="0.25">
      <c r="A2648">
        <v>111</v>
      </c>
      <c r="B2648" t="s">
        <v>98</v>
      </c>
      <c r="C2648" t="s">
        <v>83</v>
      </c>
      <c r="D2648" t="s">
        <v>99</v>
      </c>
      <c r="E2648" t="s">
        <v>85</v>
      </c>
      <c r="F2648" cm="1">
        <f t="array" ref="F2648">_xlfn.XLOOKUP(Food_Orders[[#This Row],[Event_No]],Event_Master[[#All],[Event_No]],Event_Master[[#All],[Guest_Count]],,0)</f>
        <v>220</v>
      </c>
      <c r="G2648" cm="1">
        <f t="array" ref="G2648">Food_Orders[[#This Row],[Quantity_Orderd]]*_xlfn.XLOOKUP(Food_Orders[[#This Row],[Food_ID]],Food_Catalog[[#All],[Food_ID]],Food_Catalog[[#All],[Price_Per_Unit]],0,0)</f>
        <v>3300</v>
      </c>
      <c r="H2648" cm="1">
        <f t="array" ref="H2648">Food_Orders[[#This Row],[Quantity_Orderd]]*_xlfn.XLOOKUP(Food_Orders[[#This Row],[Food_ID]],Food_Catalog[[#All],[Food_ID]],Food_Catalog[[#All],[Client_Price_Per_Unit]],0,0)</f>
        <v>3960</v>
      </c>
      <c r="I2648">
        <f>Food_Orders[[#This Row],[Client_Price]]-Food_Orders[[#This Row],[Cost]]</f>
        <v>660</v>
      </c>
    </row>
    <row r="2649" spans="1:9" x14ac:dyDescent="0.25">
      <c r="A2649">
        <v>111</v>
      </c>
      <c r="B2649" t="s">
        <v>104</v>
      </c>
      <c r="C2649" t="s">
        <v>105</v>
      </c>
      <c r="D2649" t="s">
        <v>106</v>
      </c>
      <c r="E2649" t="s">
        <v>107</v>
      </c>
      <c r="F2649" cm="1">
        <f t="array" ref="F2649">_xlfn.XLOOKUP(Food_Orders[[#This Row],[Event_No]],Event_Master[[#All],[Event_No]],Event_Master[[#All],[Guest_Count]],,0)</f>
        <v>220</v>
      </c>
      <c r="G2649" cm="1">
        <f t="array" ref="G2649">Food_Orders[[#This Row],[Quantity_Orderd]]*_xlfn.XLOOKUP(Food_Orders[[#This Row],[Food_ID]],Food_Catalog[[#All],[Food_ID]],Food_Catalog[[#All],[Price_Per_Unit]],0,0)</f>
        <v>2200</v>
      </c>
      <c r="H2649" cm="1">
        <f t="array" ref="H2649">Food_Orders[[#This Row],[Quantity_Orderd]]*_xlfn.XLOOKUP(Food_Orders[[#This Row],[Food_ID]],Food_Catalog[[#All],[Food_ID]],Food_Catalog[[#All],[Client_Price_Per_Unit]],0,0)</f>
        <v>2640</v>
      </c>
      <c r="I2649">
        <f>Food_Orders[[#This Row],[Client_Price]]-Food_Orders[[#This Row],[Cost]]</f>
        <v>440</v>
      </c>
    </row>
    <row r="2650" spans="1:9" x14ac:dyDescent="0.25">
      <c r="A2650">
        <v>111</v>
      </c>
      <c r="B2650" t="s">
        <v>108</v>
      </c>
      <c r="C2650" t="s">
        <v>105</v>
      </c>
      <c r="D2650" t="s">
        <v>109</v>
      </c>
      <c r="E2650" t="s">
        <v>107</v>
      </c>
      <c r="F2650" cm="1">
        <f t="array" ref="F2650">_xlfn.XLOOKUP(Food_Orders[[#This Row],[Event_No]],Event_Master[[#All],[Event_No]],Event_Master[[#All],[Guest_Count]],,0)</f>
        <v>220</v>
      </c>
      <c r="G2650" cm="1">
        <f t="array" ref="G2650">Food_Orders[[#This Row],[Quantity_Orderd]]*_xlfn.XLOOKUP(Food_Orders[[#This Row],[Food_ID]],Food_Catalog[[#All],[Food_ID]],Food_Catalog[[#All],[Price_Per_Unit]],0,0)</f>
        <v>3300</v>
      </c>
      <c r="H2650" cm="1">
        <f t="array" ref="H2650">Food_Orders[[#This Row],[Quantity_Orderd]]*_xlfn.XLOOKUP(Food_Orders[[#This Row],[Food_ID]],Food_Catalog[[#All],[Food_ID]],Food_Catalog[[#All],[Client_Price_Per_Unit]],0,0)</f>
        <v>3960</v>
      </c>
      <c r="I2650">
        <f>Food_Orders[[#This Row],[Client_Price]]-Food_Orders[[#This Row],[Cost]]</f>
        <v>660</v>
      </c>
    </row>
    <row r="2651" spans="1:9" x14ac:dyDescent="0.25">
      <c r="A2651">
        <v>111</v>
      </c>
      <c r="B2651" t="s">
        <v>118</v>
      </c>
      <c r="C2651" t="s">
        <v>119</v>
      </c>
      <c r="D2651" t="s">
        <v>120</v>
      </c>
      <c r="E2651" t="s">
        <v>112</v>
      </c>
      <c r="F2651" cm="1">
        <f t="array" ref="F2651">_xlfn.XLOOKUP(Food_Orders[[#This Row],[Event_No]],Event_Master[[#All],[Event_No]],Event_Master[[#All],[Guest_Count]],,0)</f>
        <v>220</v>
      </c>
      <c r="G2651" cm="1">
        <f t="array" ref="G2651">Food_Orders[[#This Row],[Quantity_Orderd]]*_xlfn.XLOOKUP(Food_Orders[[#This Row],[Food_ID]],Food_Catalog[[#All],[Food_ID]],Food_Catalog[[#All],[Price_Per_Unit]],0,0)</f>
        <v>2200</v>
      </c>
      <c r="H2651" cm="1">
        <f t="array" ref="H2651">Food_Orders[[#This Row],[Quantity_Orderd]]*_xlfn.XLOOKUP(Food_Orders[[#This Row],[Food_ID]],Food_Catalog[[#All],[Food_ID]],Food_Catalog[[#All],[Client_Price_Per_Unit]],0,0)</f>
        <v>2640</v>
      </c>
      <c r="I2651">
        <f>Food_Orders[[#This Row],[Client_Price]]-Food_Orders[[#This Row],[Cost]]</f>
        <v>440</v>
      </c>
    </row>
    <row r="2652" spans="1:9" x14ac:dyDescent="0.25">
      <c r="A2652">
        <v>111</v>
      </c>
      <c r="B2652" t="s">
        <v>129</v>
      </c>
      <c r="C2652" t="s">
        <v>119</v>
      </c>
      <c r="D2652" t="s">
        <v>130</v>
      </c>
      <c r="E2652" t="s">
        <v>112</v>
      </c>
      <c r="F2652" cm="1">
        <f t="array" ref="F2652">_xlfn.XLOOKUP(Food_Orders[[#This Row],[Event_No]],Event_Master[[#All],[Event_No]],Event_Master[[#All],[Guest_Count]],,0)</f>
        <v>220</v>
      </c>
      <c r="G2652" cm="1">
        <f t="array" ref="G2652">Food_Orders[[#This Row],[Quantity_Orderd]]*_xlfn.XLOOKUP(Food_Orders[[#This Row],[Food_ID]],Food_Catalog[[#All],[Food_ID]],Food_Catalog[[#All],[Price_Per_Unit]],0,0)</f>
        <v>2200</v>
      </c>
      <c r="H2652" cm="1">
        <f t="array" ref="H2652">Food_Orders[[#This Row],[Quantity_Orderd]]*_xlfn.XLOOKUP(Food_Orders[[#This Row],[Food_ID]],Food_Catalog[[#All],[Food_ID]],Food_Catalog[[#All],[Client_Price_Per_Unit]],0,0)</f>
        <v>2640</v>
      </c>
      <c r="I2652">
        <f>Food_Orders[[#This Row],[Client_Price]]-Food_Orders[[#This Row],[Cost]]</f>
        <v>440</v>
      </c>
    </row>
    <row r="2653" spans="1:9" x14ac:dyDescent="0.25">
      <c r="A2653">
        <v>111</v>
      </c>
      <c r="B2653" t="s">
        <v>124</v>
      </c>
      <c r="C2653" t="s">
        <v>119</v>
      </c>
      <c r="D2653" t="s">
        <v>125</v>
      </c>
      <c r="E2653" t="s">
        <v>126</v>
      </c>
      <c r="F2653" cm="1">
        <f t="array" ref="F2653">_xlfn.XLOOKUP(Food_Orders[[#This Row],[Event_No]],Event_Master[[#All],[Event_No]],Event_Master[[#All],[Guest_Count]],,0)</f>
        <v>220</v>
      </c>
      <c r="G2653" cm="1">
        <f t="array" ref="G2653">Food_Orders[[#This Row],[Quantity_Orderd]]*_xlfn.XLOOKUP(Food_Orders[[#This Row],[Food_ID]],Food_Catalog[[#All],[Food_ID]],Food_Catalog[[#All],[Price_Per_Unit]],0,0)</f>
        <v>4400</v>
      </c>
      <c r="H2653" cm="1">
        <f t="array" ref="H2653">Food_Orders[[#This Row],[Quantity_Orderd]]*_xlfn.XLOOKUP(Food_Orders[[#This Row],[Food_ID]],Food_Catalog[[#All],[Food_ID]],Food_Catalog[[#All],[Client_Price_Per_Unit]],0,0)</f>
        <v>5280</v>
      </c>
      <c r="I2653">
        <f>Food_Orders[[#This Row],[Client_Price]]-Food_Orders[[#This Row],[Cost]]</f>
        <v>880</v>
      </c>
    </row>
    <row r="2654" spans="1:9" x14ac:dyDescent="0.25">
      <c r="A2654">
        <v>111</v>
      </c>
      <c r="B2654" t="s">
        <v>127</v>
      </c>
      <c r="C2654" t="s">
        <v>119</v>
      </c>
      <c r="D2654" t="s">
        <v>128</v>
      </c>
      <c r="E2654" t="s">
        <v>107</v>
      </c>
      <c r="F2654" cm="1">
        <f t="array" ref="F2654">_xlfn.XLOOKUP(Food_Orders[[#This Row],[Event_No]],Event_Master[[#All],[Event_No]],Event_Master[[#All],[Guest_Count]],,0)</f>
        <v>220</v>
      </c>
      <c r="G2654" cm="1">
        <f t="array" ref="G2654">Food_Orders[[#This Row],[Quantity_Orderd]]*_xlfn.XLOOKUP(Food_Orders[[#This Row],[Food_ID]],Food_Catalog[[#All],[Food_ID]],Food_Catalog[[#All],[Price_Per_Unit]],0,0)</f>
        <v>4400</v>
      </c>
      <c r="H2654" cm="1">
        <f t="array" ref="H2654">Food_Orders[[#This Row],[Quantity_Orderd]]*_xlfn.XLOOKUP(Food_Orders[[#This Row],[Food_ID]],Food_Catalog[[#All],[Food_ID]],Food_Catalog[[#All],[Client_Price_Per_Unit]],0,0)</f>
        <v>5280</v>
      </c>
      <c r="I2654">
        <f>Food_Orders[[#This Row],[Client_Price]]-Food_Orders[[#This Row],[Cost]]</f>
        <v>880</v>
      </c>
    </row>
    <row r="2655" spans="1:9" x14ac:dyDescent="0.25">
      <c r="A2655">
        <v>112</v>
      </c>
      <c r="B2655" t="s">
        <v>63</v>
      </c>
      <c r="C2655" t="s">
        <v>61</v>
      </c>
      <c r="D2655" t="s">
        <v>64</v>
      </c>
      <c r="E2655" t="s">
        <v>10</v>
      </c>
      <c r="F2655" cm="1">
        <f t="array" ref="F2655">_xlfn.XLOOKUP(Food_Orders[[#This Row],[Event_No]],Event_Master[[#All],[Event_No]],Event_Master[[#All],[Guest_Count]],,0)</f>
        <v>150</v>
      </c>
      <c r="G2655" cm="1">
        <f t="array" ref="G2655">Food_Orders[[#This Row],[Quantity_Orderd]]*_xlfn.XLOOKUP(Food_Orders[[#This Row],[Food_ID]],Food_Catalog[[#All],[Food_ID]],Food_Catalog[[#All],[Price_Per_Unit]],0,0)</f>
        <v>4500</v>
      </c>
      <c r="H2655" cm="1">
        <f t="array" ref="H2655">Food_Orders[[#This Row],[Quantity_Orderd]]*_xlfn.XLOOKUP(Food_Orders[[#This Row],[Food_ID]],Food_Catalog[[#All],[Food_ID]],Food_Catalog[[#All],[Client_Price_Per_Unit]],0,0)</f>
        <v>5400</v>
      </c>
      <c r="I2655">
        <f>Food_Orders[[#This Row],[Client_Price]]-Food_Orders[[#This Row],[Cost]]</f>
        <v>900</v>
      </c>
    </row>
    <row r="2656" spans="1:9" x14ac:dyDescent="0.25">
      <c r="A2656">
        <v>112</v>
      </c>
      <c r="B2656" t="s">
        <v>71</v>
      </c>
      <c r="C2656" t="s">
        <v>61</v>
      </c>
      <c r="D2656" t="s">
        <v>72</v>
      </c>
      <c r="E2656" t="s">
        <v>10</v>
      </c>
      <c r="F2656" cm="1">
        <f t="array" ref="F2656">_xlfn.XLOOKUP(Food_Orders[[#This Row],[Event_No]],Event_Master[[#All],[Event_No]],Event_Master[[#All],[Guest_Count]],,0)</f>
        <v>150</v>
      </c>
      <c r="G2656" cm="1">
        <f t="array" ref="G2656">Food_Orders[[#This Row],[Quantity_Orderd]]*_xlfn.XLOOKUP(Food_Orders[[#This Row],[Food_ID]],Food_Catalog[[#All],[Food_ID]],Food_Catalog[[#All],[Price_Per_Unit]],0,0)</f>
        <v>3750</v>
      </c>
      <c r="H2656" cm="1">
        <f t="array" ref="H2656">Food_Orders[[#This Row],[Quantity_Orderd]]*_xlfn.XLOOKUP(Food_Orders[[#This Row],[Food_ID]],Food_Catalog[[#All],[Food_ID]],Food_Catalog[[#All],[Client_Price_Per_Unit]],0,0)</f>
        <v>4500</v>
      </c>
      <c r="I2656">
        <f>Food_Orders[[#This Row],[Client_Price]]-Food_Orders[[#This Row],[Cost]]</f>
        <v>750</v>
      </c>
    </row>
    <row r="2657" spans="1:9" x14ac:dyDescent="0.25">
      <c r="A2657">
        <v>112</v>
      </c>
      <c r="B2657" t="s">
        <v>60</v>
      </c>
      <c r="C2657" t="s">
        <v>61</v>
      </c>
      <c r="D2657" t="s">
        <v>62</v>
      </c>
      <c r="E2657" t="s">
        <v>10</v>
      </c>
      <c r="F2657" cm="1">
        <f t="array" ref="F2657">_xlfn.XLOOKUP(Food_Orders[[#This Row],[Event_No]],Event_Master[[#All],[Event_No]],Event_Master[[#All],[Guest_Count]],,0)</f>
        <v>150</v>
      </c>
      <c r="G2657" cm="1">
        <f t="array" ref="G2657">Food_Orders[[#This Row],[Quantity_Orderd]]*_xlfn.XLOOKUP(Food_Orders[[#This Row],[Food_ID]],Food_Catalog[[#All],[Food_ID]],Food_Catalog[[#All],[Price_Per_Unit]],0,0)</f>
        <v>3000</v>
      </c>
      <c r="H2657" cm="1">
        <f t="array" ref="H2657">Food_Orders[[#This Row],[Quantity_Orderd]]*_xlfn.XLOOKUP(Food_Orders[[#This Row],[Food_ID]],Food_Catalog[[#All],[Food_ID]],Food_Catalog[[#All],[Client_Price_Per_Unit]],0,0)</f>
        <v>3600</v>
      </c>
      <c r="I2657">
        <f>Food_Orders[[#This Row],[Client_Price]]-Food_Orders[[#This Row],[Cost]]</f>
        <v>600</v>
      </c>
    </row>
    <row r="2658" spans="1:9" x14ac:dyDescent="0.25">
      <c r="A2658">
        <v>112</v>
      </c>
      <c r="B2658" t="s">
        <v>69</v>
      </c>
      <c r="C2658" t="s">
        <v>61</v>
      </c>
      <c r="D2658" t="s">
        <v>70</v>
      </c>
      <c r="E2658" t="s">
        <v>10</v>
      </c>
      <c r="F2658" cm="1">
        <f t="array" ref="F2658">_xlfn.XLOOKUP(Food_Orders[[#This Row],[Event_No]],Event_Master[[#All],[Event_No]],Event_Master[[#All],[Guest_Count]],,0)</f>
        <v>150</v>
      </c>
      <c r="G2658" cm="1">
        <f t="array" ref="G2658">Food_Orders[[#This Row],[Quantity_Orderd]]*_xlfn.XLOOKUP(Food_Orders[[#This Row],[Food_ID]],Food_Catalog[[#All],[Food_ID]],Food_Catalog[[#All],[Price_Per_Unit]],0,0)</f>
        <v>7500</v>
      </c>
      <c r="H2658" cm="1">
        <f t="array" ref="H2658">Food_Orders[[#This Row],[Quantity_Orderd]]*_xlfn.XLOOKUP(Food_Orders[[#This Row],[Food_ID]],Food_Catalog[[#All],[Food_ID]],Food_Catalog[[#All],[Client_Price_Per_Unit]],0,0)</f>
        <v>9000</v>
      </c>
      <c r="I2658">
        <f>Food_Orders[[#This Row],[Client_Price]]-Food_Orders[[#This Row],[Cost]]</f>
        <v>1500</v>
      </c>
    </row>
    <row r="2659" spans="1:9" x14ac:dyDescent="0.25">
      <c r="A2659">
        <v>112</v>
      </c>
      <c r="B2659" t="s">
        <v>13</v>
      </c>
      <c r="C2659" t="s">
        <v>8</v>
      </c>
      <c r="D2659" t="s">
        <v>14</v>
      </c>
      <c r="E2659" t="s">
        <v>10</v>
      </c>
      <c r="F2659" cm="1">
        <f t="array" ref="F2659">_xlfn.XLOOKUP(Food_Orders[[#This Row],[Event_No]],Event_Master[[#All],[Event_No]],Event_Master[[#All],[Guest_Count]],,0)</f>
        <v>150</v>
      </c>
      <c r="G2659" cm="1">
        <f t="array" ref="G2659">Food_Orders[[#This Row],[Quantity_Orderd]]*_xlfn.XLOOKUP(Food_Orders[[#This Row],[Food_ID]],Food_Catalog[[#All],[Food_ID]],Food_Catalog[[#All],[Price_Per_Unit]],0,0)</f>
        <v>5250</v>
      </c>
      <c r="H2659" cm="1">
        <f t="array" ref="H2659">Food_Orders[[#This Row],[Quantity_Orderd]]*_xlfn.XLOOKUP(Food_Orders[[#This Row],[Food_ID]],Food_Catalog[[#All],[Food_ID]],Food_Catalog[[#All],[Client_Price_Per_Unit]],0,0)</f>
        <v>6300</v>
      </c>
      <c r="I2659">
        <f>Food_Orders[[#This Row],[Client_Price]]-Food_Orders[[#This Row],[Cost]]</f>
        <v>1050</v>
      </c>
    </row>
    <row r="2660" spans="1:9" x14ac:dyDescent="0.25">
      <c r="A2660">
        <v>112</v>
      </c>
      <c r="B2660" t="s">
        <v>27</v>
      </c>
      <c r="C2660" t="s">
        <v>8</v>
      </c>
      <c r="D2660" t="s">
        <v>28</v>
      </c>
      <c r="E2660" t="s">
        <v>10</v>
      </c>
      <c r="F2660" cm="1">
        <f t="array" ref="F2660">_xlfn.XLOOKUP(Food_Orders[[#This Row],[Event_No]],Event_Master[[#All],[Event_No]],Event_Master[[#All],[Guest_Count]],,0)</f>
        <v>150</v>
      </c>
      <c r="G2660" cm="1">
        <f t="array" ref="G2660">Food_Orders[[#This Row],[Quantity_Orderd]]*_xlfn.XLOOKUP(Food_Orders[[#This Row],[Food_ID]],Food_Catalog[[#All],[Food_ID]],Food_Catalog[[#All],[Price_Per_Unit]],0,0)</f>
        <v>6000</v>
      </c>
      <c r="H2660" cm="1">
        <f t="array" ref="H2660">Food_Orders[[#This Row],[Quantity_Orderd]]*_xlfn.XLOOKUP(Food_Orders[[#This Row],[Food_ID]],Food_Catalog[[#All],[Food_ID]],Food_Catalog[[#All],[Client_Price_Per_Unit]],0,0)</f>
        <v>7200</v>
      </c>
      <c r="I2660">
        <f>Food_Orders[[#This Row],[Client_Price]]-Food_Orders[[#This Row],[Cost]]</f>
        <v>1200</v>
      </c>
    </row>
    <row r="2661" spans="1:9" x14ac:dyDescent="0.25">
      <c r="A2661">
        <v>112</v>
      </c>
      <c r="B2661" t="s">
        <v>31</v>
      </c>
      <c r="C2661" t="s">
        <v>8</v>
      </c>
      <c r="D2661" t="s">
        <v>32</v>
      </c>
      <c r="E2661" t="s">
        <v>10</v>
      </c>
      <c r="F2661" cm="1">
        <f t="array" ref="F2661">_xlfn.XLOOKUP(Food_Orders[[#This Row],[Event_No]],Event_Master[[#All],[Event_No]],Event_Master[[#All],[Guest_Count]],,0)</f>
        <v>150</v>
      </c>
      <c r="G2661" cm="1">
        <f t="array" ref="G2661">Food_Orders[[#This Row],[Quantity_Orderd]]*_xlfn.XLOOKUP(Food_Orders[[#This Row],[Food_ID]],Food_Catalog[[#All],[Food_ID]],Food_Catalog[[#All],[Price_Per_Unit]],0,0)</f>
        <v>4500</v>
      </c>
      <c r="H2661" cm="1">
        <f t="array" ref="H2661">Food_Orders[[#This Row],[Quantity_Orderd]]*_xlfn.XLOOKUP(Food_Orders[[#This Row],[Food_ID]],Food_Catalog[[#All],[Food_ID]],Food_Catalog[[#All],[Client_Price_Per_Unit]],0,0)</f>
        <v>5400</v>
      </c>
      <c r="I2661">
        <f>Food_Orders[[#This Row],[Client_Price]]-Food_Orders[[#This Row],[Cost]]</f>
        <v>900</v>
      </c>
    </row>
    <row r="2662" spans="1:9" x14ac:dyDescent="0.25">
      <c r="A2662">
        <v>112</v>
      </c>
      <c r="B2662" t="s">
        <v>29</v>
      </c>
      <c r="C2662" t="s">
        <v>8</v>
      </c>
      <c r="D2662" t="s">
        <v>30</v>
      </c>
      <c r="E2662" t="s">
        <v>10</v>
      </c>
      <c r="F2662" cm="1">
        <f t="array" ref="F2662">_xlfn.XLOOKUP(Food_Orders[[#This Row],[Event_No]],Event_Master[[#All],[Event_No]],Event_Master[[#All],[Guest_Count]],,0)</f>
        <v>150</v>
      </c>
      <c r="G2662" cm="1">
        <f t="array" ref="G2662">Food_Orders[[#This Row],[Quantity_Orderd]]*_xlfn.XLOOKUP(Food_Orders[[#This Row],[Food_ID]],Food_Catalog[[#All],[Food_ID]],Food_Catalog[[#All],[Price_Per_Unit]],0,0)</f>
        <v>4500</v>
      </c>
      <c r="H2662" cm="1">
        <f t="array" ref="H2662">Food_Orders[[#This Row],[Quantity_Orderd]]*_xlfn.XLOOKUP(Food_Orders[[#This Row],[Food_ID]],Food_Catalog[[#All],[Food_ID]],Food_Catalog[[#All],[Client_Price_Per_Unit]],0,0)</f>
        <v>5400</v>
      </c>
      <c r="I2662">
        <f>Food_Orders[[#This Row],[Client_Price]]-Food_Orders[[#This Row],[Cost]]</f>
        <v>900</v>
      </c>
    </row>
    <row r="2663" spans="1:9" x14ac:dyDescent="0.25">
      <c r="A2663">
        <v>112</v>
      </c>
      <c r="B2663" t="s">
        <v>37</v>
      </c>
      <c r="C2663" t="s">
        <v>8</v>
      </c>
      <c r="D2663" t="s">
        <v>38</v>
      </c>
      <c r="E2663" t="s">
        <v>10</v>
      </c>
      <c r="F2663" cm="1">
        <f t="array" ref="F2663">_xlfn.XLOOKUP(Food_Orders[[#This Row],[Event_No]],Event_Master[[#All],[Event_No]],Event_Master[[#All],[Guest_Count]],,0)</f>
        <v>150</v>
      </c>
      <c r="G2663" cm="1">
        <f t="array" ref="G2663">Food_Orders[[#This Row],[Quantity_Orderd]]*_xlfn.XLOOKUP(Food_Orders[[#This Row],[Food_ID]],Food_Catalog[[#All],[Food_ID]],Food_Catalog[[#All],[Price_Per_Unit]],0,0)</f>
        <v>3750</v>
      </c>
      <c r="H2663" cm="1">
        <f t="array" ref="H2663">Food_Orders[[#This Row],[Quantity_Orderd]]*_xlfn.XLOOKUP(Food_Orders[[#This Row],[Food_ID]],Food_Catalog[[#All],[Food_ID]],Food_Catalog[[#All],[Client_Price_Per_Unit]],0,0)</f>
        <v>4500</v>
      </c>
      <c r="I2663">
        <f>Food_Orders[[#This Row],[Client_Price]]-Food_Orders[[#This Row],[Cost]]</f>
        <v>750</v>
      </c>
    </row>
    <row r="2664" spans="1:9" x14ac:dyDescent="0.25">
      <c r="A2664">
        <v>112</v>
      </c>
      <c r="B2664" t="s">
        <v>39</v>
      </c>
      <c r="C2664" t="s">
        <v>40</v>
      </c>
      <c r="D2664" t="s">
        <v>41</v>
      </c>
      <c r="E2664" t="s">
        <v>10</v>
      </c>
      <c r="F2664" cm="1">
        <f t="array" ref="F2664">_xlfn.XLOOKUP(Food_Orders[[#This Row],[Event_No]],Event_Master[[#All],[Event_No]],Event_Master[[#All],[Guest_Count]],,0)</f>
        <v>150</v>
      </c>
      <c r="G2664" cm="1">
        <f t="array" ref="G2664">Food_Orders[[#This Row],[Quantity_Orderd]]*_xlfn.XLOOKUP(Food_Orders[[#This Row],[Food_ID]],Food_Catalog[[#All],[Food_ID]],Food_Catalog[[#All],[Price_Per_Unit]],0,0)</f>
        <v>9000</v>
      </c>
      <c r="H2664" cm="1">
        <f t="array" ref="H2664">Food_Orders[[#This Row],[Quantity_Orderd]]*_xlfn.XLOOKUP(Food_Orders[[#This Row],[Food_ID]],Food_Catalog[[#All],[Food_ID]],Food_Catalog[[#All],[Client_Price_Per_Unit]],0,0)</f>
        <v>10800</v>
      </c>
      <c r="I2664">
        <f>Food_Orders[[#This Row],[Client_Price]]-Food_Orders[[#This Row],[Cost]]</f>
        <v>1800</v>
      </c>
    </row>
    <row r="2665" spans="1:9" x14ac:dyDescent="0.25">
      <c r="A2665">
        <v>112</v>
      </c>
      <c r="B2665" t="s">
        <v>42</v>
      </c>
      <c r="C2665" t="s">
        <v>40</v>
      </c>
      <c r="D2665" t="s">
        <v>43</v>
      </c>
      <c r="E2665" t="s">
        <v>10</v>
      </c>
      <c r="F2665" cm="1">
        <f t="array" ref="F2665">_xlfn.XLOOKUP(Food_Orders[[#This Row],[Event_No]],Event_Master[[#All],[Event_No]],Event_Master[[#All],[Guest_Count]],,0)</f>
        <v>150</v>
      </c>
      <c r="G2665" cm="1">
        <f t="array" ref="G2665">Food_Orders[[#This Row],[Quantity_Orderd]]*_xlfn.XLOOKUP(Food_Orders[[#This Row],[Food_ID]],Food_Catalog[[#All],[Food_ID]],Food_Catalog[[#All],[Price_Per_Unit]],0,0)</f>
        <v>10500</v>
      </c>
      <c r="H2665" cm="1">
        <f t="array" ref="H2665">Food_Orders[[#This Row],[Quantity_Orderd]]*_xlfn.XLOOKUP(Food_Orders[[#This Row],[Food_ID]],Food_Catalog[[#All],[Food_ID]],Food_Catalog[[#All],[Client_Price_Per_Unit]],0,0)</f>
        <v>12600</v>
      </c>
      <c r="I2665">
        <f>Food_Orders[[#This Row],[Client_Price]]-Food_Orders[[#This Row],[Cost]]</f>
        <v>2100</v>
      </c>
    </row>
    <row r="2666" spans="1:9" x14ac:dyDescent="0.25">
      <c r="A2666">
        <v>112</v>
      </c>
      <c r="B2666" t="s">
        <v>58</v>
      </c>
      <c r="C2666" t="s">
        <v>40</v>
      </c>
      <c r="D2666" t="s">
        <v>59</v>
      </c>
      <c r="E2666" t="s">
        <v>10</v>
      </c>
      <c r="F2666" cm="1">
        <f t="array" ref="F2666">_xlfn.XLOOKUP(Food_Orders[[#This Row],[Event_No]],Event_Master[[#All],[Event_No]],Event_Master[[#All],[Guest_Count]],,0)</f>
        <v>150</v>
      </c>
      <c r="G2666" cm="1">
        <f t="array" ref="G2666">Food_Orders[[#This Row],[Quantity_Orderd]]*_xlfn.XLOOKUP(Food_Orders[[#This Row],[Food_ID]],Food_Catalog[[#All],[Food_ID]],Food_Catalog[[#All],[Price_Per_Unit]],0,0)</f>
        <v>13500</v>
      </c>
      <c r="H2666" cm="1">
        <f t="array" ref="H2666">Food_Orders[[#This Row],[Quantity_Orderd]]*_xlfn.XLOOKUP(Food_Orders[[#This Row],[Food_ID]],Food_Catalog[[#All],[Food_ID]],Food_Catalog[[#All],[Client_Price_Per_Unit]],0,0)</f>
        <v>16200</v>
      </c>
      <c r="I2666">
        <f>Food_Orders[[#This Row],[Client_Price]]-Food_Orders[[#This Row],[Cost]]</f>
        <v>2700</v>
      </c>
    </row>
    <row r="2667" spans="1:9" x14ac:dyDescent="0.25">
      <c r="A2667">
        <v>112</v>
      </c>
      <c r="B2667" t="s">
        <v>46</v>
      </c>
      <c r="C2667" t="s">
        <v>40</v>
      </c>
      <c r="D2667" t="s">
        <v>47</v>
      </c>
      <c r="E2667" t="s">
        <v>10</v>
      </c>
      <c r="F2667" cm="1">
        <f t="array" ref="F2667">_xlfn.XLOOKUP(Food_Orders[[#This Row],[Event_No]],Event_Master[[#All],[Event_No]],Event_Master[[#All],[Guest_Count]],,0)</f>
        <v>150</v>
      </c>
      <c r="G2667" cm="1">
        <f t="array" ref="G2667">Food_Orders[[#This Row],[Quantity_Orderd]]*_xlfn.XLOOKUP(Food_Orders[[#This Row],[Food_ID]],Food_Catalog[[#All],[Food_ID]],Food_Catalog[[#All],[Price_Per_Unit]],0,0)</f>
        <v>13500</v>
      </c>
      <c r="H2667" cm="1">
        <f t="array" ref="H2667">Food_Orders[[#This Row],[Quantity_Orderd]]*_xlfn.XLOOKUP(Food_Orders[[#This Row],[Food_ID]],Food_Catalog[[#All],[Food_ID]],Food_Catalog[[#All],[Client_Price_Per_Unit]],0,0)</f>
        <v>16200</v>
      </c>
      <c r="I2667">
        <f>Food_Orders[[#This Row],[Client_Price]]-Food_Orders[[#This Row],[Cost]]</f>
        <v>2700</v>
      </c>
    </row>
    <row r="2668" spans="1:9" x14ac:dyDescent="0.25">
      <c r="A2668">
        <v>112</v>
      </c>
      <c r="B2668" t="s">
        <v>50</v>
      </c>
      <c r="C2668" t="s">
        <v>40</v>
      </c>
      <c r="D2668" t="s">
        <v>51</v>
      </c>
      <c r="E2668" t="s">
        <v>10</v>
      </c>
      <c r="F2668" cm="1">
        <f t="array" ref="F2668">_xlfn.XLOOKUP(Food_Orders[[#This Row],[Event_No]],Event_Master[[#All],[Event_No]],Event_Master[[#All],[Guest_Count]],,0)</f>
        <v>150</v>
      </c>
      <c r="G2668" cm="1">
        <f t="array" ref="G2668">Food_Orders[[#This Row],[Quantity_Orderd]]*_xlfn.XLOOKUP(Food_Orders[[#This Row],[Food_ID]],Food_Catalog[[#All],[Food_ID]],Food_Catalog[[#All],[Price_Per_Unit]],0,0)</f>
        <v>12000</v>
      </c>
      <c r="H2668" cm="1">
        <f t="array" ref="H2668">Food_Orders[[#This Row],[Quantity_Orderd]]*_xlfn.XLOOKUP(Food_Orders[[#This Row],[Food_ID]],Food_Catalog[[#All],[Food_ID]],Food_Catalog[[#All],[Client_Price_Per_Unit]],0,0)</f>
        <v>14400</v>
      </c>
      <c r="I2668">
        <f>Food_Orders[[#This Row],[Client_Price]]-Food_Orders[[#This Row],[Cost]]</f>
        <v>2400</v>
      </c>
    </row>
    <row r="2669" spans="1:9" x14ac:dyDescent="0.25">
      <c r="A2669">
        <v>112</v>
      </c>
      <c r="B2669" t="s">
        <v>82</v>
      </c>
      <c r="C2669" t="s">
        <v>83</v>
      </c>
      <c r="D2669" t="s">
        <v>84</v>
      </c>
      <c r="E2669" t="s">
        <v>85</v>
      </c>
      <c r="F2669" cm="1">
        <f t="array" ref="F2669">_xlfn.XLOOKUP(Food_Orders[[#This Row],[Event_No]],Event_Master[[#All],[Event_No]],Event_Master[[#All],[Guest_Count]],,0)</f>
        <v>150</v>
      </c>
      <c r="G2669" cm="1">
        <f t="array" ref="G2669">Food_Orders[[#This Row],[Quantity_Orderd]]*_xlfn.XLOOKUP(Food_Orders[[#This Row],[Food_ID]],Food_Catalog[[#All],[Food_ID]],Food_Catalog[[#All],[Price_Per_Unit]],0,0)</f>
        <v>3000</v>
      </c>
      <c r="H2669" cm="1">
        <f t="array" ref="H2669">Food_Orders[[#This Row],[Quantity_Orderd]]*_xlfn.XLOOKUP(Food_Orders[[#This Row],[Food_ID]],Food_Catalog[[#All],[Food_ID]],Food_Catalog[[#All],[Client_Price_Per_Unit]],0,0)</f>
        <v>3600</v>
      </c>
      <c r="I2669">
        <f>Food_Orders[[#This Row],[Client_Price]]-Food_Orders[[#This Row],[Cost]]</f>
        <v>600</v>
      </c>
    </row>
    <row r="2670" spans="1:9" x14ac:dyDescent="0.25">
      <c r="A2670">
        <v>112</v>
      </c>
      <c r="B2670" t="s">
        <v>86</v>
      </c>
      <c r="C2670" t="s">
        <v>83</v>
      </c>
      <c r="D2670" t="s">
        <v>87</v>
      </c>
      <c r="E2670" t="s">
        <v>85</v>
      </c>
      <c r="F2670" cm="1">
        <f t="array" ref="F2670">_xlfn.XLOOKUP(Food_Orders[[#This Row],[Event_No]],Event_Master[[#All],[Event_No]],Event_Master[[#All],[Guest_Count]],,0)</f>
        <v>150</v>
      </c>
      <c r="G2670" cm="1">
        <f t="array" ref="G2670">Food_Orders[[#This Row],[Quantity_Orderd]]*_xlfn.XLOOKUP(Food_Orders[[#This Row],[Food_ID]],Food_Catalog[[#All],[Food_ID]],Food_Catalog[[#All],[Price_Per_Unit]],0,0)</f>
        <v>3000</v>
      </c>
      <c r="H2670" cm="1">
        <f t="array" ref="H2670">Food_Orders[[#This Row],[Quantity_Orderd]]*_xlfn.XLOOKUP(Food_Orders[[#This Row],[Food_ID]],Food_Catalog[[#All],[Food_ID]],Food_Catalog[[#All],[Client_Price_Per_Unit]],0,0)</f>
        <v>3600</v>
      </c>
      <c r="I2670">
        <f>Food_Orders[[#This Row],[Client_Price]]-Food_Orders[[#This Row],[Cost]]</f>
        <v>600</v>
      </c>
    </row>
    <row r="2671" spans="1:9" x14ac:dyDescent="0.25">
      <c r="A2671">
        <v>112</v>
      </c>
      <c r="B2671" t="s">
        <v>96</v>
      </c>
      <c r="C2671" t="s">
        <v>83</v>
      </c>
      <c r="D2671" t="s">
        <v>97</v>
      </c>
      <c r="E2671" t="s">
        <v>79</v>
      </c>
      <c r="F2671" cm="1">
        <f t="array" ref="F2671">_xlfn.XLOOKUP(Food_Orders[[#This Row],[Event_No]],Event_Master[[#All],[Event_No]],Event_Master[[#All],[Guest_Count]],,0)</f>
        <v>150</v>
      </c>
      <c r="G2671" cm="1">
        <f t="array" ref="G2671">Food_Orders[[#This Row],[Quantity_Orderd]]*_xlfn.XLOOKUP(Food_Orders[[#This Row],[Food_ID]],Food_Catalog[[#All],[Food_ID]],Food_Catalog[[#All],[Price_Per_Unit]],0,0)</f>
        <v>4500</v>
      </c>
      <c r="H2671" cm="1">
        <f t="array" ref="H2671">Food_Orders[[#This Row],[Quantity_Orderd]]*_xlfn.XLOOKUP(Food_Orders[[#This Row],[Food_ID]],Food_Catalog[[#All],[Food_ID]],Food_Catalog[[#All],[Client_Price_Per_Unit]],0,0)</f>
        <v>5400</v>
      </c>
      <c r="I2671">
        <f>Food_Orders[[#This Row],[Client_Price]]-Food_Orders[[#This Row],[Cost]]</f>
        <v>900</v>
      </c>
    </row>
    <row r="2672" spans="1:9" x14ac:dyDescent="0.25">
      <c r="A2672">
        <v>112</v>
      </c>
      <c r="B2672" t="s">
        <v>92</v>
      </c>
      <c r="C2672" t="s">
        <v>83</v>
      </c>
      <c r="D2672" t="s">
        <v>93</v>
      </c>
      <c r="E2672" t="s">
        <v>85</v>
      </c>
      <c r="F2672" cm="1">
        <f t="array" ref="F2672">_xlfn.XLOOKUP(Food_Orders[[#This Row],[Event_No]],Event_Master[[#All],[Event_No]],Event_Master[[#All],[Guest_Count]],,0)</f>
        <v>150</v>
      </c>
      <c r="G2672" cm="1">
        <f t="array" ref="G2672">Food_Orders[[#This Row],[Quantity_Orderd]]*_xlfn.XLOOKUP(Food_Orders[[#This Row],[Food_ID]],Food_Catalog[[#All],[Food_ID]],Food_Catalog[[#All],[Price_Per_Unit]],0,0)</f>
        <v>2250</v>
      </c>
      <c r="H2672" cm="1">
        <f t="array" ref="H2672">Food_Orders[[#This Row],[Quantity_Orderd]]*_xlfn.XLOOKUP(Food_Orders[[#This Row],[Food_ID]],Food_Catalog[[#All],[Food_ID]],Food_Catalog[[#All],[Client_Price_Per_Unit]],0,0)</f>
        <v>2700</v>
      </c>
      <c r="I2672">
        <f>Food_Orders[[#This Row],[Client_Price]]-Food_Orders[[#This Row],[Cost]]</f>
        <v>450</v>
      </c>
    </row>
    <row r="2673" spans="1:9" x14ac:dyDescent="0.25">
      <c r="A2673">
        <v>112</v>
      </c>
      <c r="B2673" t="s">
        <v>98</v>
      </c>
      <c r="C2673" t="s">
        <v>83</v>
      </c>
      <c r="D2673" t="s">
        <v>99</v>
      </c>
      <c r="E2673" t="s">
        <v>85</v>
      </c>
      <c r="F2673" cm="1">
        <f t="array" ref="F2673">_xlfn.XLOOKUP(Food_Orders[[#This Row],[Event_No]],Event_Master[[#All],[Event_No]],Event_Master[[#All],[Guest_Count]],,0)</f>
        <v>150</v>
      </c>
      <c r="G2673" cm="1">
        <f t="array" ref="G2673">Food_Orders[[#This Row],[Quantity_Orderd]]*_xlfn.XLOOKUP(Food_Orders[[#This Row],[Food_ID]],Food_Catalog[[#All],[Food_ID]],Food_Catalog[[#All],[Price_Per_Unit]],0,0)</f>
        <v>2250</v>
      </c>
      <c r="H2673" cm="1">
        <f t="array" ref="H2673">Food_Orders[[#This Row],[Quantity_Orderd]]*_xlfn.XLOOKUP(Food_Orders[[#This Row],[Food_ID]],Food_Catalog[[#All],[Food_ID]],Food_Catalog[[#All],[Client_Price_Per_Unit]],0,0)</f>
        <v>2700</v>
      </c>
      <c r="I2673">
        <f>Food_Orders[[#This Row],[Client_Price]]-Food_Orders[[#This Row],[Cost]]</f>
        <v>450</v>
      </c>
    </row>
    <row r="2674" spans="1:9" x14ac:dyDescent="0.25">
      <c r="A2674">
        <v>112</v>
      </c>
      <c r="B2674" t="s">
        <v>104</v>
      </c>
      <c r="C2674" t="s">
        <v>105</v>
      </c>
      <c r="D2674" t="s">
        <v>106</v>
      </c>
      <c r="E2674" t="s">
        <v>107</v>
      </c>
      <c r="F2674" cm="1">
        <f t="array" ref="F2674">_xlfn.XLOOKUP(Food_Orders[[#This Row],[Event_No]],Event_Master[[#All],[Event_No]],Event_Master[[#All],[Guest_Count]],,0)</f>
        <v>150</v>
      </c>
      <c r="G2674" cm="1">
        <f t="array" ref="G2674">Food_Orders[[#This Row],[Quantity_Orderd]]*_xlfn.XLOOKUP(Food_Orders[[#This Row],[Food_ID]],Food_Catalog[[#All],[Food_ID]],Food_Catalog[[#All],[Price_Per_Unit]],0,0)</f>
        <v>1500</v>
      </c>
      <c r="H2674" cm="1">
        <f t="array" ref="H2674">Food_Orders[[#This Row],[Quantity_Orderd]]*_xlfn.XLOOKUP(Food_Orders[[#This Row],[Food_ID]],Food_Catalog[[#All],[Food_ID]],Food_Catalog[[#All],[Client_Price_Per_Unit]],0,0)</f>
        <v>1800</v>
      </c>
      <c r="I2674">
        <f>Food_Orders[[#This Row],[Client_Price]]-Food_Orders[[#This Row],[Cost]]</f>
        <v>300</v>
      </c>
    </row>
    <row r="2675" spans="1:9" x14ac:dyDescent="0.25">
      <c r="A2675">
        <v>112</v>
      </c>
      <c r="B2675" t="s">
        <v>108</v>
      </c>
      <c r="C2675" t="s">
        <v>105</v>
      </c>
      <c r="D2675" t="s">
        <v>109</v>
      </c>
      <c r="E2675" t="s">
        <v>107</v>
      </c>
      <c r="F2675" cm="1">
        <f t="array" ref="F2675">_xlfn.XLOOKUP(Food_Orders[[#This Row],[Event_No]],Event_Master[[#All],[Event_No]],Event_Master[[#All],[Guest_Count]],,0)</f>
        <v>150</v>
      </c>
      <c r="G2675" cm="1">
        <f t="array" ref="G2675">Food_Orders[[#This Row],[Quantity_Orderd]]*_xlfn.XLOOKUP(Food_Orders[[#This Row],[Food_ID]],Food_Catalog[[#All],[Food_ID]],Food_Catalog[[#All],[Price_Per_Unit]],0,0)</f>
        <v>2250</v>
      </c>
      <c r="H2675" cm="1">
        <f t="array" ref="H2675">Food_Orders[[#This Row],[Quantity_Orderd]]*_xlfn.XLOOKUP(Food_Orders[[#This Row],[Food_ID]],Food_Catalog[[#All],[Food_ID]],Food_Catalog[[#All],[Client_Price_Per_Unit]],0,0)</f>
        <v>2700</v>
      </c>
      <c r="I2675">
        <f>Food_Orders[[#This Row],[Client_Price]]-Food_Orders[[#This Row],[Cost]]</f>
        <v>450</v>
      </c>
    </row>
    <row r="2676" spans="1:9" x14ac:dyDescent="0.25">
      <c r="A2676">
        <v>112</v>
      </c>
      <c r="B2676" t="s">
        <v>118</v>
      </c>
      <c r="C2676" t="s">
        <v>119</v>
      </c>
      <c r="D2676" t="s">
        <v>120</v>
      </c>
      <c r="E2676" t="s">
        <v>112</v>
      </c>
      <c r="F2676" cm="1">
        <f t="array" ref="F2676">_xlfn.XLOOKUP(Food_Orders[[#This Row],[Event_No]],Event_Master[[#All],[Event_No]],Event_Master[[#All],[Guest_Count]],,0)</f>
        <v>150</v>
      </c>
      <c r="G2676" cm="1">
        <f t="array" ref="G2676">Food_Orders[[#This Row],[Quantity_Orderd]]*_xlfn.XLOOKUP(Food_Orders[[#This Row],[Food_ID]],Food_Catalog[[#All],[Food_ID]],Food_Catalog[[#All],[Price_Per_Unit]],0,0)</f>
        <v>1500</v>
      </c>
      <c r="H2676" cm="1">
        <f t="array" ref="H2676">Food_Orders[[#This Row],[Quantity_Orderd]]*_xlfn.XLOOKUP(Food_Orders[[#This Row],[Food_ID]],Food_Catalog[[#All],[Food_ID]],Food_Catalog[[#All],[Client_Price_Per_Unit]],0,0)</f>
        <v>1800</v>
      </c>
      <c r="I2676">
        <f>Food_Orders[[#This Row],[Client_Price]]-Food_Orders[[#This Row],[Cost]]</f>
        <v>300</v>
      </c>
    </row>
    <row r="2677" spans="1:9" x14ac:dyDescent="0.25">
      <c r="A2677">
        <v>112</v>
      </c>
      <c r="B2677" t="s">
        <v>129</v>
      </c>
      <c r="C2677" t="s">
        <v>119</v>
      </c>
      <c r="D2677" t="s">
        <v>130</v>
      </c>
      <c r="E2677" t="s">
        <v>112</v>
      </c>
      <c r="F2677" cm="1">
        <f t="array" ref="F2677">_xlfn.XLOOKUP(Food_Orders[[#This Row],[Event_No]],Event_Master[[#All],[Event_No]],Event_Master[[#All],[Guest_Count]],,0)</f>
        <v>150</v>
      </c>
      <c r="G2677" cm="1">
        <f t="array" ref="G2677">Food_Orders[[#This Row],[Quantity_Orderd]]*_xlfn.XLOOKUP(Food_Orders[[#This Row],[Food_ID]],Food_Catalog[[#All],[Food_ID]],Food_Catalog[[#All],[Price_Per_Unit]],0,0)</f>
        <v>1500</v>
      </c>
      <c r="H2677" cm="1">
        <f t="array" ref="H2677">Food_Orders[[#This Row],[Quantity_Orderd]]*_xlfn.XLOOKUP(Food_Orders[[#This Row],[Food_ID]],Food_Catalog[[#All],[Food_ID]],Food_Catalog[[#All],[Client_Price_Per_Unit]],0,0)</f>
        <v>1800</v>
      </c>
      <c r="I2677">
        <f>Food_Orders[[#This Row],[Client_Price]]-Food_Orders[[#This Row],[Cost]]</f>
        <v>300</v>
      </c>
    </row>
    <row r="2678" spans="1:9" x14ac:dyDescent="0.25">
      <c r="A2678">
        <v>112</v>
      </c>
      <c r="B2678" t="s">
        <v>124</v>
      </c>
      <c r="C2678" t="s">
        <v>119</v>
      </c>
      <c r="D2678" t="s">
        <v>125</v>
      </c>
      <c r="E2678" t="s">
        <v>126</v>
      </c>
      <c r="F2678" cm="1">
        <f t="array" ref="F2678">_xlfn.XLOOKUP(Food_Orders[[#This Row],[Event_No]],Event_Master[[#All],[Event_No]],Event_Master[[#All],[Guest_Count]],,0)</f>
        <v>150</v>
      </c>
      <c r="G2678" cm="1">
        <f t="array" ref="G2678">Food_Orders[[#This Row],[Quantity_Orderd]]*_xlfn.XLOOKUP(Food_Orders[[#This Row],[Food_ID]],Food_Catalog[[#All],[Food_ID]],Food_Catalog[[#All],[Price_Per_Unit]],0,0)</f>
        <v>3000</v>
      </c>
      <c r="H2678" cm="1">
        <f t="array" ref="H2678">Food_Orders[[#This Row],[Quantity_Orderd]]*_xlfn.XLOOKUP(Food_Orders[[#This Row],[Food_ID]],Food_Catalog[[#All],[Food_ID]],Food_Catalog[[#All],[Client_Price_Per_Unit]],0,0)</f>
        <v>3600</v>
      </c>
      <c r="I2678">
        <f>Food_Orders[[#This Row],[Client_Price]]-Food_Orders[[#This Row],[Cost]]</f>
        <v>600</v>
      </c>
    </row>
    <row r="2679" spans="1:9" x14ac:dyDescent="0.25">
      <c r="A2679">
        <v>112</v>
      </c>
      <c r="B2679" t="s">
        <v>127</v>
      </c>
      <c r="C2679" t="s">
        <v>119</v>
      </c>
      <c r="D2679" t="s">
        <v>128</v>
      </c>
      <c r="E2679" t="s">
        <v>107</v>
      </c>
      <c r="F2679" cm="1">
        <f t="array" ref="F2679">_xlfn.XLOOKUP(Food_Orders[[#This Row],[Event_No]],Event_Master[[#All],[Event_No]],Event_Master[[#All],[Guest_Count]],,0)</f>
        <v>150</v>
      </c>
      <c r="G2679" cm="1">
        <f t="array" ref="G2679">Food_Orders[[#This Row],[Quantity_Orderd]]*_xlfn.XLOOKUP(Food_Orders[[#This Row],[Food_ID]],Food_Catalog[[#All],[Food_ID]],Food_Catalog[[#All],[Price_Per_Unit]],0,0)</f>
        <v>3000</v>
      </c>
      <c r="H2679" cm="1">
        <f t="array" ref="H2679">Food_Orders[[#This Row],[Quantity_Orderd]]*_xlfn.XLOOKUP(Food_Orders[[#This Row],[Food_ID]],Food_Catalog[[#All],[Food_ID]],Food_Catalog[[#All],[Client_Price_Per_Unit]],0,0)</f>
        <v>3600</v>
      </c>
      <c r="I2679">
        <f>Food_Orders[[#This Row],[Client_Price]]-Food_Orders[[#This Row],[Cost]]</f>
        <v>600</v>
      </c>
    </row>
    <row r="2680" spans="1:9" x14ac:dyDescent="0.25">
      <c r="A2680">
        <v>113</v>
      </c>
      <c r="B2680" t="s">
        <v>60</v>
      </c>
      <c r="C2680" t="s">
        <v>61</v>
      </c>
      <c r="D2680" t="s">
        <v>62</v>
      </c>
      <c r="E2680" t="s">
        <v>10</v>
      </c>
      <c r="F2680" cm="1">
        <f t="array" ref="F2680">_xlfn.XLOOKUP(Food_Orders[[#This Row],[Event_No]],Event_Master[[#All],[Event_No]],Event_Master[[#All],[Guest_Count]],,0)</f>
        <v>888</v>
      </c>
      <c r="G2680" cm="1">
        <f t="array" ref="G2680">Food_Orders[[#This Row],[Quantity_Orderd]]*_xlfn.XLOOKUP(Food_Orders[[#This Row],[Food_ID]],Food_Catalog[[#All],[Food_ID]],Food_Catalog[[#All],[Price_Per_Unit]],0,0)</f>
        <v>17760</v>
      </c>
      <c r="H2680" cm="1">
        <f t="array" ref="H2680">Food_Orders[[#This Row],[Quantity_Orderd]]*_xlfn.XLOOKUP(Food_Orders[[#This Row],[Food_ID]],Food_Catalog[[#All],[Food_ID]],Food_Catalog[[#All],[Client_Price_Per_Unit]],0,0)</f>
        <v>21312</v>
      </c>
      <c r="I2680">
        <f>Food_Orders[[#This Row],[Client_Price]]-Food_Orders[[#This Row],[Cost]]</f>
        <v>3552</v>
      </c>
    </row>
    <row r="2681" spans="1:9" x14ac:dyDescent="0.25">
      <c r="A2681">
        <v>113</v>
      </c>
      <c r="B2681" t="s">
        <v>63</v>
      </c>
      <c r="C2681" t="s">
        <v>61</v>
      </c>
      <c r="D2681" t="s">
        <v>64</v>
      </c>
      <c r="E2681" t="s">
        <v>10</v>
      </c>
      <c r="F2681" cm="1">
        <f t="array" ref="F2681">_xlfn.XLOOKUP(Food_Orders[[#This Row],[Event_No]],Event_Master[[#All],[Event_No]],Event_Master[[#All],[Guest_Count]],,0)</f>
        <v>888</v>
      </c>
      <c r="G2681" cm="1">
        <f t="array" ref="G2681">Food_Orders[[#This Row],[Quantity_Orderd]]*_xlfn.XLOOKUP(Food_Orders[[#This Row],[Food_ID]],Food_Catalog[[#All],[Food_ID]],Food_Catalog[[#All],[Price_Per_Unit]],0,0)</f>
        <v>26640</v>
      </c>
      <c r="H2681" cm="1">
        <f t="array" ref="H2681">Food_Orders[[#This Row],[Quantity_Orderd]]*_xlfn.XLOOKUP(Food_Orders[[#This Row],[Food_ID]],Food_Catalog[[#All],[Food_ID]],Food_Catalog[[#All],[Client_Price_Per_Unit]],0,0)</f>
        <v>31968</v>
      </c>
      <c r="I2681">
        <f>Food_Orders[[#This Row],[Client_Price]]-Food_Orders[[#This Row],[Cost]]</f>
        <v>5328</v>
      </c>
    </row>
    <row r="2682" spans="1:9" x14ac:dyDescent="0.25">
      <c r="A2682">
        <v>113</v>
      </c>
      <c r="B2682" t="s">
        <v>71</v>
      </c>
      <c r="C2682" t="s">
        <v>61</v>
      </c>
      <c r="D2682" t="s">
        <v>72</v>
      </c>
      <c r="E2682" t="s">
        <v>10</v>
      </c>
      <c r="F2682" cm="1">
        <f t="array" ref="F2682">_xlfn.XLOOKUP(Food_Orders[[#This Row],[Event_No]],Event_Master[[#All],[Event_No]],Event_Master[[#All],[Guest_Count]],,0)</f>
        <v>888</v>
      </c>
      <c r="G2682" cm="1">
        <f t="array" ref="G2682">Food_Orders[[#This Row],[Quantity_Orderd]]*_xlfn.XLOOKUP(Food_Orders[[#This Row],[Food_ID]],Food_Catalog[[#All],[Food_ID]],Food_Catalog[[#All],[Price_Per_Unit]],0,0)</f>
        <v>22200</v>
      </c>
      <c r="H2682" cm="1">
        <f t="array" ref="H2682">Food_Orders[[#This Row],[Quantity_Orderd]]*_xlfn.XLOOKUP(Food_Orders[[#This Row],[Food_ID]],Food_Catalog[[#All],[Food_ID]],Food_Catalog[[#All],[Client_Price_Per_Unit]],0,0)</f>
        <v>26640</v>
      </c>
      <c r="I2682">
        <f>Food_Orders[[#This Row],[Client_Price]]-Food_Orders[[#This Row],[Cost]]</f>
        <v>4440</v>
      </c>
    </row>
    <row r="2683" spans="1:9" x14ac:dyDescent="0.25">
      <c r="A2683">
        <v>113</v>
      </c>
      <c r="B2683" t="s">
        <v>80</v>
      </c>
      <c r="C2683" t="s">
        <v>61</v>
      </c>
      <c r="D2683" t="s">
        <v>81</v>
      </c>
      <c r="E2683" t="s">
        <v>10</v>
      </c>
      <c r="F2683" cm="1">
        <f t="array" ref="F2683">_xlfn.XLOOKUP(Food_Orders[[#This Row],[Event_No]],Event_Master[[#All],[Event_No]],Event_Master[[#All],[Guest_Count]],,0)</f>
        <v>888</v>
      </c>
      <c r="G2683" cm="1">
        <f t="array" ref="G2683">Food_Orders[[#This Row],[Quantity_Orderd]]*_xlfn.XLOOKUP(Food_Orders[[#This Row],[Food_ID]],Food_Catalog[[#All],[Food_ID]],Food_Catalog[[#All],[Price_Per_Unit]],0,0)</f>
        <v>26640</v>
      </c>
      <c r="H2683" cm="1">
        <f t="array" ref="H2683">Food_Orders[[#This Row],[Quantity_Orderd]]*_xlfn.XLOOKUP(Food_Orders[[#This Row],[Food_ID]],Food_Catalog[[#All],[Food_ID]],Food_Catalog[[#All],[Client_Price_Per_Unit]],0,0)</f>
        <v>31968</v>
      </c>
      <c r="I2683">
        <f>Food_Orders[[#This Row],[Client_Price]]-Food_Orders[[#This Row],[Cost]]</f>
        <v>5328</v>
      </c>
    </row>
    <row r="2684" spans="1:9" x14ac:dyDescent="0.25">
      <c r="A2684">
        <v>113</v>
      </c>
      <c r="B2684" t="s">
        <v>73</v>
      </c>
      <c r="C2684" t="s">
        <v>61</v>
      </c>
      <c r="D2684" t="s">
        <v>74</v>
      </c>
      <c r="E2684" t="s">
        <v>10</v>
      </c>
      <c r="F2684" cm="1">
        <f t="array" ref="F2684">_xlfn.XLOOKUP(Food_Orders[[#This Row],[Event_No]],Event_Master[[#All],[Event_No]],Event_Master[[#All],[Guest_Count]],,0)</f>
        <v>888</v>
      </c>
      <c r="G2684" cm="1">
        <f t="array" ref="G2684">Food_Orders[[#This Row],[Quantity_Orderd]]*_xlfn.XLOOKUP(Food_Orders[[#This Row],[Food_ID]],Food_Catalog[[#All],[Food_ID]],Food_Catalog[[#All],[Price_Per_Unit]],0,0)</f>
        <v>35520</v>
      </c>
      <c r="H2684" cm="1">
        <f t="array" ref="H2684">Food_Orders[[#This Row],[Quantity_Orderd]]*_xlfn.XLOOKUP(Food_Orders[[#This Row],[Food_ID]],Food_Catalog[[#All],[Food_ID]],Food_Catalog[[#All],[Client_Price_Per_Unit]],0,0)</f>
        <v>42624</v>
      </c>
      <c r="I2684">
        <f>Food_Orders[[#This Row],[Client_Price]]-Food_Orders[[#This Row],[Cost]]</f>
        <v>7104</v>
      </c>
    </row>
    <row r="2685" spans="1:9" x14ac:dyDescent="0.25">
      <c r="A2685">
        <v>113</v>
      </c>
      <c r="B2685" t="s">
        <v>75</v>
      </c>
      <c r="C2685" t="s">
        <v>61</v>
      </c>
      <c r="D2685" t="s">
        <v>76</v>
      </c>
      <c r="E2685" t="s">
        <v>10</v>
      </c>
      <c r="F2685" cm="1">
        <f t="array" ref="F2685">_xlfn.XLOOKUP(Food_Orders[[#This Row],[Event_No]],Event_Master[[#All],[Event_No]],Event_Master[[#All],[Guest_Count]],,0)</f>
        <v>888</v>
      </c>
      <c r="G2685" cm="1">
        <f t="array" ref="G2685">Food_Orders[[#This Row],[Quantity_Orderd]]*_xlfn.XLOOKUP(Food_Orders[[#This Row],[Food_ID]],Food_Catalog[[#All],[Food_ID]],Food_Catalog[[#All],[Price_Per_Unit]],0,0)</f>
        <v>35520</v>
      </c>
      <c r="H2685" cm="1">
        <f t="array" ref="H2685">Food_Orders[[#This Row],[Quantity_Orderd]]*_xlfn.XLOOKUP(Food_Orders[[#This Row],[Food_ID]],Food_Catalog[[#All],[Food_ID]],Food_Catalog[[#All],[Client_Price_Per_Unit]],0,0)</f>
        <v>42624</v>
      </c>
      <c r="I2685">
        <f>Food_Orders[[#This Row],[Client_Price]]-Food_Orders[[#This Row],[Cost]]</f>
        <v>7104</v>
      </c>
    </row>
    <row r="2686" spans="1:9" x14ac:dyDescent="0.25">
      <c r="A2686">
        <v>113</v>
      </c>
      <c r="B2686" t="s">
        <v>69</v>
      </c>
      <c r="C2686" t="s">
        <v>61</v>
      </c>
      <c r="D2686" t="s">
        <v>70</v>
      </c>
      <c r="E2686" t="s">
        <v>10</v>
      </c>
      <c r="F2686" cm="1">
        <f t="array" ref="F2686">_xlfn.XLOOKUP(Food_Orders[[#This Row],[Event_No]],Event_Master[[#All],[Event_No]],Event_Master[[#All],[Guest_Count]],,0)</f>
        <v>888</v>
      </c>
      <c r="G2686" cm="1">
        <f t="array" ref="G2686">Food_Orders[[#This Row],[Quantity_Orderd]]*_xlfn.XLOOKUP(Food_Orders[[#This Row],[Food_ID]],Food_Catalog[[#All],[Food_ID]],Food_Catalog[[#All],[Price_Per_Unit]],0,0)</f>
        <v>44400</v>
      </c>
      <c r="H2686" cm="1">
        <f t="array" ref="H2686">Food_Orders[[#This Row],[Quantity_Orderd]]*_xlfn.XLOOKUP(Food_Orders[[#This Row],[Food_ID]],Food_Catalog[[#All],[Food_ID]],Food_Catalog[[#All],[Client_Price_Per_Unit]],0,0)</f>
        <v>53280</v>
      </c>
      <c r="I2686">
        <f>Food_Orders[[#This Row],[Client_Price]]-Food_Orders[[#This Row],[Cost]]</f>
        <v>8880</v>
      </c>
    </row>
    <row r="2687" spans="1:9" x14ac:dyDescent="0.25">
      <c r="A2687">
        <v>113</v>
      </c>
      <c r="B2687" t="s">
        <v>67</v>
      </c>
      <c r="C2687" t="s">
        <v>61</v>
      </c>
      <c r="D2687" t="s">
        <v>68</v>
      </c>
      <c r="E2687" t="s">
        <v>10</v>
      </c>
      <c r="F2687" cm="1">
        <f t="array" ref="F2687">_xlfn.XLOOKUP(Food_Orders[[#This Row],[Event_No]],Event_Master[[#All],[Event_No]],Event_Master[[#All],[Guest_Count]],,0)</f>
        <v>888</v>
      </c>
      <c r="G2687" cm="1">
        <f t="array" ref="G2687">Food_Orders[[#This Row],[Quantity_Orderd]]*_xlfn.XLOOKUP(Food_Orders[[#This Row],[Food_ID]],Food_Catalog[[#All],[Food_ID]],Food_Catalog[[#All],[Price_Per_Unit]],0,0)</f>
        <v>26640</v>
      </c>
      <c r="H2687" cm="1">
        <f t="array" ref="H2687">Food_Orders[[#This Row],[Quantity_Orderd]]*_xlfn.XLOOKUP(Food_Orders[[#This Row],[Food_ID]],Food_Catalog[[#All],[Food_ID]],Food_Catalog[[#All],[Client_Price_Per_Unit]],0,0)</f>
        <v>31968</v>
      </c>
      <c r="I2687">
        <f>Food_Orders[[#This Row],[Client_Price]]-Food_Orders[[#This Row],[Cost]]</f>
        <v>5328</v>
      </c>
    </row>
    <row r="2688" spans="1:9" x14ac:dyDescent="0.25">
      <c r="A2688">
        <v>113</v>
      </c>
      <c r="B2688" t="s">
        <v>77</v>
      </c>
      <c r="C2688" t="s">
        <v>61</v>
      </c>
      <c r="D2688" t="s">
        <v>78</v>
      </c>
      <c r="E2688" t="s">
        <v>79</v>
      </c>
      <c r="F2688" cm="1">
        <f t="array" ref="F2688">_xlfn.XLOOKUP(Food_Orders[[#This Row],[Event_No]],Event_Master[[#All],[Event_No]],Event_Master[[#All],[Guest_Count]],,0)</f>
        <v>888</v>
      </c>
      <c r="G2688" cm="1">
        <f t="array" ref="G2688">Food_Orders[[#This Row],[Quantity_Orderd]]*_xlfn.XLOOKUP(Food_Orders[[#This Row],[Food_ID]],Food_Catalog[[#All],[Food_ID]],Food_Catalog[[#All],[Price_Per_Unit]],0,0)</f>
        <v>31080</v>
      </c>
      <c r="H2688" cm="1">
        <f t="array" ref="H2688">Food_Orders[[#This Row],[Quantity_Orderd]]*_xlfn.XLOOKUP(Food_Orders[[#This Row],[Food_ID]],Food_Catalog[[#All],[Food_ID]],Food_Catalog[[#All],[Client_Price_Per_Unit]],0,0)</f>
        <v>37296</v>
      </c>
      <c r="I2688">
        <f>Food_Orders[[#This Row],[Client_Price]]-Food_Orders[[#This Row],[Cost]]</f>
        <v>6216</v>
      </c>
    </row>
    <row r="2689" spans="1:9" x14ac:dyDescent="0.25">
      <c r="A2689">
        <v>113</v>
      </c>
      <c r="B2689" t="s">
        <v>7</v>
      </c>
      <c r="C2689" t="s">
        <v>8</v>
      </c>
      <c r="D2689" t="s">
        <v>9</v>
      </c>
      <c r="E2689" t="s">
        <v>10</v>
      </c>
      <c r="F2689" cm="1">
        <f t="array" ref="F2689">_xlfn.XLOOKUP(Food_Orders[[#This Row],[Event_No]],Event_Master[[#All],[Event_No]],Event_Master[[#All],[Guest_Count]],,0)</f>
        <v>888</v>
      </c>
      <c r="G2689" cm="1">
        <f t="array" ref="G2689">Food_Orders[[#This Row],[Quantity_Orderd]]*_xlfn.XLOOKUP(Food_Orders[[#This Row],[Food_ID]],Food_Catalog[[#All],[Food_ID]],Food_Catalog[[#All],[Price_Per_Unit]],0,0)</f>
        <v>22200</v>
      </c>
      <c r="H2689" cm="1">
        <f t="array" ref="H2689">Food_Orders[[#This Row],[Quantity_Orderd]]*_xlfn.XLOOKUP(Food_Orders[[#This Row],[Food_ID]],Food_Catalog[[#All],[Food_ID]],Food_Catalog[[#All],[Client_Price_Per_Unit]],0,0)</f>
        <v>26640</v>
      </c>
      <c r="I2689">
        <f>Food_Orders[[#This Row],[Client_Price]]-Food_Orders[[#This Row],[Cost]]</f>
        <v>4440</v>
      </c>
    </row>
    <row r="2690" spans="1:9" x14ac:dyDescent="0.25">
      <c r="A2690">
        <v>113</v>
      </c>
      <c r="B2690" t="s">
        <v>13</v>
      </c>
      <c r="C2690" t="s">
        <v>8</v>
      </c>
      <c r="D2690" t="s">
        <v>14</v>
      </c>
      <c r="E2690" t="s">
        <v>10</v>
      </c>
      <c r="F2690" cm="1">
        <f t="array" ref="F2690">_xlfn.XLOOKUP(Food_Orders[[#This Row],[Event_No]],Event_Master[[#All],[Event_No]],Event_Master[[#All],[Guest_Count]],,0)</f>
        <v>888</v>
      </c>
      <c r="G2690" cm="1">
        <f t="array" ref="G2690">Food_Orders[[#This Row],[Quantity_Orderd]]*_xlfn.XLOOKUP(Food_Orders[[#This Row],[Food_ID]],Food_Catalog[[#All],[Food_ID]],Food_Catalog[[#All],[Price_Per_Unit]],0,0)</f>
        <v>31080</v>
      </c>
      <c r="H2690" cm="1">
        <f t="array" ref="H2690">Food_Orders[[#This Row],[Quantity_Orderd]]*_xlfn.XLOOKUP(Food_Orders[[#This Row],[Food_ID]],Food_Catalog[[#All],[Food_ID]],Food_Catalog[[#All],[Client_Price_Per_Unit]],0,0)</f>
        <v>37296</v>
      </c>
      <c r="I2690">
        <f>Food_Orders[[#This Row],[Client_Price]]-Food_Orders[[#This Row],[Cost]]</f>
        <v>6216</v>
      </c>
    </row>
    <row r="2691" spans="1:9" x14ac:dyDescent="0.25">
      <c r="A2691">
        <v>113</v>
      </c>
      <c r="B2691" t="s">
        <v>25</v>
      </c>
      <c r="C2691" t="s">
        <v>8</v>
      </c>
      <c r="D2691" t="s">
        <v>26</v>
      </c>
      <c r="E2691" t="s">
        <v>10</v>
      </c>
      <c r="F2691" cm="1">
        <f t="array" ref="F2691">_xlfn.XLOOKUP(Food_Orders[[#This Row],[Event_No]],Event_Master[[#All],[Event_No]],Event_Master[[#All],[Guest_Count]],,0)</f>
        <v>888</v>
      </c>
      <c r="G2691" cm="1">
        <f t="array" ref="G2691">Food_Orders[[#This Row],[Quantity_Orderd]]*_xlfn.XLOOKUP(Food_Orders[[#This Row],[Food_ID]],Food_Catalog[[#All],[Food_ID]],Food_Catalog[[#All],[Price_Per_Unit]],0,0)</f>
        <v>26640</v>
      </c>
      <c r="H2691" cm="1">
        <f t="array" ref="H2691">Food_Orders[[#This Row],[Quantity_Orderd]]*_xlfn.XLOOKUP(Food_Orders[[#This Row],[Food_ID]],Food_Catalog[[#All],[Food_ID]],Food_Catalog[[#All],[Client_Price_Per_Unit]],0,0)</f>
        <v>31968</v>
      </c>
      <c r="I2691">
        <f>Food_Orders[[#This Row],[Client_Price]]-Food_Orders[[#This Row],[Cost]]</f>
        <v>5328</v>
      </c>
    </row>
    <row r="2692" spans="1:9" x14ac:dyDescent="0.25">
      <c r="A2692">
        <v>113</v>
      </c>
      <c r="B2692" t="s">
        <v>15</v>
      </c>
      <c r="C2692" t="s">
        <v>8</v>
      </c>
      <c r="D2692" t="s">
        <v>16</v>
      </c>
      <c r="E2692" t="s">
        <v>10</v>
      </c>
      <c r="F2692" cm="1">
        <f t="array" ref="F2692">_xlfn.XLOOKUP(Food_Orders[[#This Row],[Event_No]],Event_Master[[#All],[Event_No]],Event_Master[[#All],[Guest_Count]],,0)</f>
        <v>888</v>
      </c>
      <c r="G2692" cm="1">
        <f t="array" ref="G2692">Food_Orders[[#This Row],[Quantity_Orderd]]*_xlfn.XLOOKUP(Food_Orders[[#This Row],[Food_ID]],Food_Catalog[[#All],[Food_ID]],Food_Catalog[[#All],[Price_Per_Unit]],0,0)</f>
        <v>26640</v>
      </c>
      <c r="H2692" cm="1">
        <f t="array" ref="H2692">Food_Orders[[#This Row],[Quantity_Orderd]]*_xlfn.XLOOKUP(Food_Orders[[#This Row],[Food_ID]],Food_Catalog[[#All],[Food_ID]],Food_Catalog[[#All],[Client_Price_Per_Unit]],0,0)</f>
        <v>31968</v>
      </c>
      <c r="I2692">
        <f>Food_Orders[[#This Row],[Client_Price]]-Food_Orders[[#This Row],[Cost]]</f>
        <v>5328</v>
      </c>
    </row>
    <row r="2693" spans="1:9" x14ac:dyDescent="0.25">
      <c r="A2693">
        <v>113</v>
      </c>
      <c r="B2693" t="s">
        <v>35</v>
      </c>
      <c r="C2693" t="s">
        <v>8</v>
      </c>
      <c r="D2693" t="s">
        <v>36</v>
      </c>
      <c r="E2693" t="s">
        <v>10</v>
      </c>
      <c r="F2693" cm="1">
        <f t="array" ref="F2693">_xlfn.XLOOKUP(Food_Orders[[#This Row],[Event_No]],Event_Master[[#All],[Event_No]],Event_Master[[#All],[Guest_Count]],,0)</f>
        <v>888</v>
      </c>
      <c r="G2693" cm="1">
        <f t="array" ref="G2693">Food_Orders[[#This Row],[Quantity_Orderd]]*_xlfn.XLOOKUP(Food_Orders[[#This Row],[Food_ID]],Food_Catalog[[#All],[Food_ID]],Food_Catalog[[#All],[Price_Per_Unit]],0,0)</f>
        <v>26640</v>
      </c>
      <c r="H2693" cm="1">
        <f t="array" ref="H2693">Food_Orders[[#This Row],[Quantity_Orderd]]*_xlfn.XLOOKUP(Food_Orders[[#This Row],[Food_ID]],Food_Catalog[[#All],[Food_ID]],Food_Catalog[[#All],[Client_Price_Per_Unit]],0,0)</f>
        <v>31968</v>
      </c>
      <c r="I2693">
        <f>Food_Orders[[#This Row],[Client_Price]]-Food_Orders[[#This Row],[Cost]]</f>
        <v>5328</v>
      </c>
    </row>
    <row r="2694" spans="1:9" x14ac:dyDescent="0.25">
      <c r="A2694">
        <v>113</v>
      </c>
      <c r="B2694" t="s">
        <v>27</v>
      </c>
      <c r="C2694" t="s">
        <v>8</v>
      </c>
      <c r="D2694" t="s">
        <v>28</v>
      </c>
      <c r="E2694" t="s">
        <v>10</v>
      </c>
      <c r="F2694" cm="1">
        <f t="array" ref="F2694">_xlfn.XLOOKUP(Food_Orders[[#This Row],[Event_No]],Event_Master[[#All],[Event_No]],Event_Master[[#All],[Guest_Count]],,0)</f>
        <v>888</v>
      </c>
      <c r="G2694" cm="1">
        <f t="array" ref="G2694">Food_Orders[[#This Row],[Quantity_Orderd]]*_xlfn.XLOOKUP(Food_Orders[[#This Row],[Food_ID]],Food_Catalog[[#All],[Food_ID]],Food_Catalog[[#All],[Price_Per_Unit]],0,0)</f>
        <v>35520</v>
      </c>
      <c r="H2694" cm="1">
        <f t="array" ref="H2694">Food_Orders[[#This Row],[Quantity_Orderd]]*_xlfn.XLOOKUP(Food_Orders[[#This Row],[Food_ID]],Food_Catalog[[#All],[Food_ID]],Food_Catalog[[#All],[Client_Price_Per_Unit]],0,0)</f>
        <v>42624</v>
      </c>
      <c r="I2694">
        <f>Food_Orders[[#This Row],[Client_Price]]-Food_Orders[[#This Row],[Cost]]</f>
        <v>7104</v>
      </c>
    </row>
    <row r="2695" spans="1:9" x14ac:dyDescent="0.25">
      <c r="A2695">
        <v>113</v>
      </c>
      <c r="B2695" t="s">
        <v>31</v>
      </c>
      <c r="C2695" t="s">
        <v>8</v>
      </c>
      <c r="D2695" t="s">
        <v>32</v>
      </c>
      <c r="E2695" t="s">
        <v>10</v>
      </c>
      <c r="F2695" cm="1">
        <f t="array" ref="F2695">_xlfn.XLOOKUP(Food_Orders[[#This Row],[Event_No]],Event_Master[[#All],[Event_No]],Event_Master[[#All],[Guest_Count]],,0)</f>
        <v>888</v>
      </c>
      <c r="G2695" cm="1">
        <f t="array" ref="G2695">Food_Orders[[#This Row],[Quantity_Orderd]]*_xlfn.XLOOKUP(Food_Orders[[#This Row],[Food_ID]],Food_Catalog[[#All],[Food_ID]],Food_Catalog[[#All],[Price_Per_Unit]],0,0)</f>
        <v>26640</v>
      </c>
      <c r="H2695" cm="1">
        <f t="array" ref="H2695">Food_Orders[[#This Row],[Quantity_Orderd]]*_xlfn.XLOOKUP(Food_Orders[[#This Row],[Food_ID]],Food_Catalog[[#All],[Food_ID]],Food_Catalog[[#All],[Client_Price_Per_Unit]],0,0)</f>
        <v>31968</v>
      </c>
      <c r="I2695">
        <f>Food_Orders[[#This Row],[Client_Price]]-Food_Orders[[#This Row],[Cost]]</f>
        <v>5328</v>
      </c>
    </row>
    <row r="2696" spans="1:9" x14ac:dyDescent="0.25">
      <c r="A2696">
        <v>113</v>
      </c>
      <c r="B2696" t="s">
        <v>33</v>
      </c>
      <c r="C2696" t="s">
        <v>8</v>
      </c>
      <c r="D2696" t="s">
        <v>34</v>
      </c>
      <c r="E2696" t="s">
        <v>10</v>
      </c>
      <c r="F2696" cm="1">
        <f t="array" ref="F2696">_xlfn.XLOOKUP(Food_Orders[[#This Row],[Event_No]],Event_Master[[#All],[Event_No]],Event_Master[[#All],[Guest_Count]],,0)</f>
        <v>888</v>
      </c>
      <c r="G2696" cm="1">
        <f t="array" ref="G2696">Food_Orders[[#This Row],[Quantity_Orderd]]*_xlfn.XLOOKUP(Food_Orders[[#This Row],[Food_ID]],Food_Catalog[[#All],[Food_ID]],Food_Catalog[[#All],[Price_Per_Unit]],0,0)</f>
        <v>26640</v>
      </c>
      <c r="H2696" cm="1">
        <f t="array" ref="H2696">Food_Orders[[#This Row],[Quantity_Orderd]]*_xlfn.XLOOKUP(Food_Orders[[#This Row],[Food_ID]],Food_Catalog[[#All],[Food_ID]],Food_Catalog[[#All],[Client_Price_Per_Unit]],0,0)</f>
        <v>31968</v>
      </c>
      <c r="I2696">
        <f>Food_Orders[[#This Row],[Client_Price]]-Food_Orders[[#This Row],[Cost]]</f>
        <v>5328</v>
      </c>
    </row>
    <row r="2697" spans="1:9" x14ac:dyDescent="0.25">
      <c r="A2697">
        <v>113</v>
      </c>
      <c r="B2697" t="s">
        <v>17</v>
      </c>
      <c r="C2697" t="s">
        <v>8</v>
      </c>
      <c r="D2697" t="s">
        <v>18</v>
      </c>
      <c r="E2697" t="s">
        <v>10</v>
      </c>
      <c r="F2697" cm="1">
        <f t="array" ref="F2697">_xlfn.XLOOKUP(Food_Orders[[#This Row],[Event_No]],Event_Master[[#All],[Event_No]],Event_Master[[#All],[Guest_Count]],,0)</f>
        <v>888</v>
      </c>
      <c r="G2697" cm="1">
        <f t="array" ref="G2697">Food_Orders[[#This Row],[Quantity_Orderd]]*_xlfn.XLOOKUP(Food_Orders[[#This Row],[Food_ID]],Food_Catalog[[#All],[Food_ID]],Food_Catalog[[#All],[Price_Per_Unit]],0,0)</f>
        <v>35520</v>
      </c>
      <c r="H2697" cm="1">
        <f t="array" ref="H2697">Food_Orders[[#This Row],[Quantity_Orderd]]*_xlfn.XLOOKUP(Food_Orders[[#This Row],[Food_ID]],Food_Catalog[[#All],[Food_ID]],Food_Catalog[[#All],[Client_Price_Per_Unit]],0,0)</f>
        <v>42624</v>
      </c>
      <c r="I2697">
        <f>Food_Orders[[#This Row],[Client_Price]]-Food_Orders[[#This Row],[Cost]]</f>
        <v>7104</v>
      </c>
    </row>
    <row r="2698" spans="1:9" x14ac:dyDescent="0.25">
      <c r="A2698">
        <v>113</v>
      </c>
      <c r="B2698" t="s">
        <v>21</v>
      </c>
      <c r="C2698" t="s">
        <v>8</v>
      </c>
      <c r="D2698" t="s">
        <v>22</v>
      </c>
      <c r="E2698" t="s">
        <v>10</v>
      </c>
      <c r="F2698" cm="1">
        <f t="array" ref="F2698">_xlfn.XLOOKUP(Food_Orders[[#This Row],[Event_No]],Event_Master[[#All],[Event_No]],Event_Master[[#All],[Guest_Count]],,0)</f>
        <v>888</v>
      </c>
      <c r="G2698" cm="1">
        <f t="array" ref="G2698">Food_Orders[[#This Row],[Quantity_Orderd]]*_xlfn.XLOOKUP(Food_Orders[[#This Row],[Food_ID]],Food_Catalog[[#All],[Food_ID]],Food_Catalog[[#All],[Price_Per_Unit]],0,0)</f>
        <v>31080</v>
      </c>
      <c r="H2698" cm="1">
        <f t="array" ref="H2698">Food_Orders[[#This Row],[Quantity_Orderd]]*_xlfn.XLOOKUP(Food_Orders[[#This Row],[Food_ID]],Food_Catalog[[#All],[Food_ID]],Food_Catalog[[#All],[Client_Price_Per_Unit]],0,0)</f>
        <v>37296</v>
      </c>
      <c r="I2698">
        <f>Food_Orders[[#This Row],[Client_Price]]-Food_Orders[[#This Row],[Cost]]</f>
        <v>6216</v>
      </c>
    </row>
    <row r="2699" spans="1:9" x14ac:dyDescent="0.25">
      <c r="A2699">
        <v>113</v>
      </c>
      <c r="B2699" t="s">
        <v>19</v>
      </c>
      <c r="C2699" t="s">
        <v>8</v>
      </c>
      <c r="D2699" t="s">
        <v>20</v>
      </c>
      <c r="E2699" t="s">
        <v>10</v>
      </c>
      <c r="F2699" cm="1">
        <f t="array" ref="F2699">_xlfn.XLOOKUP(Food_Orders[[#This Row],[Event_No]],Event_Master[[#All],[Event_No]],Event_Master[[#All],[Guest_Count]],,0)</f>
        <v>888</v>
      </c>
      <c r="G2699" cm="1">
        <f t="array" ref="G2699">Food_Orders[[#This Row],[Quantity_Orderd]]*_xlfn.XLOOKUP(Food_Orders[[#This Row],[Food_ID]],Food_Catalog[[#All],[Food_ID]],Food_Catalog[[#All],[Price_Per_Unit]],0,0)</f>
        <v>31080</v>
      </c>
      <c r="H2699" cm="1">
        <f t="array" ref="H2699">Food_Orders[[#This Row],[Quantity_Orderd]]*_xlfn.XLOOKUP(Food_Orders[[#This Row],[Food_ID]],Food_Catalog[[#All],[Food_ID]],Food_Catalog[[#All],[Client_Price_Per_Unit]],0,0)</f>
        <v>37296</v>
      </c>
      <c r="I2699">
        <f>Food_Orders[[#This Row],[Client_Price]]-Food_Orders[[#This Row],[Cost]]</f>
        <v>6216</v>
      </c>
    </row>
    <row r="2700" spans="1:9" x14ac:dyDescent="0.25">
      <c r="A2700">
        <v>113</v>
      </c>
      <c r="B2700" t="s">
        <v>29</v>
      </c>
      <c r="C2700" t="s">
        <v>8</v>
      </c>
      <c r="D2700" t="s">
        <v>30</v>
      </c>
      <c r="E2700" t="s">
        <v>10</v>
      </c>
      <c r="F2700" cm="1">
        <f t="array" ref="F2700">_xlfn.XLOOKUP(Food_Orders[[#This Row],[Event_No]],Event_Master[[#All],[Event_No]],Event_Master[[#All],[Guest_Count]],,0)</f>
        <v>888</v>
      </c>
      <c r="G2700" cm="1">
        <f t="array" ref="G2700">Food_Orders[[#This Row],[Quantity_Orderd]]*_xlfn.XLOOKUP(Food_Orders[[#This Row],[Food_ID]],Food_Catalog[[#All],[Food_ID]],Food_Catalog[[#All],[Price_Per_Unit]],0,0)</f>
        <v>26640</v>
      </c>
      <c r="H2700" cm="1">
        <f t="array" ref="H2700">Food_Orders[[#This Row],[Quantity_Orderd]]*_xlfn.XLOOKUP(Food_Orders[[#This Row],[Food_ID]],Food_Catalog[[#All],[Food_ID]],Food_Catalog[[#All],[Client_Price_Per_Unit]],0,0)</f>
        <v>31968</v>
      </c>
      <c r="I2700">
        <f>Food_Orders[[#This Row],[Client_Price]]-Food_Orders[[#This Row],[Cost]]</f>
        <v>5328</v>
      </c>
    </row>
    <row r="2701" spans="1:9" x14ac:dyDescent="0.25">
      <c r="A2701">
        <v>113</v>
      </c>
      <c r="B2701" t="s">
        <v>37</v>
      </c>
      <c r="C2701" t="s">
        <v>8</v>
      </c>
      <c r="D2701" t="s">
        <v>38</v>
      </c>
      <c r="E2701" t="s">
        <v>10</v>
      </c>
      <c r="F2701" cm="1">
        <f t="array" ref="F2701">_xlfn.XLOOKUP(Food_Orders[[#This Row],[Event_No]],Event_Master[[#All],[Event_No]],Event_Master[[#All],[Guest_Count]],,0)</f>
        <v>888</v>
      </c>
      <c r="G2701" cm="1">
        <f t="array" ref="G2701">Food_Orders[[#This Row],[Quantity_Orderd]]*_xlfn.XLOOKUP(Food_Orders[[#This Row],[Food_ID]],Food_Catalog[[#All],[Food_ID]],Food_Catalog[[#All],[Price_Per_Unit]],0,0)</f>
        <v>22200</v>
      </c>
      <c r="H2701" cm="1">
        <f t="array" ref="H2701">Food_Orders[[#This Row],[Quantity_Orderd]]*_xlfn.XLOOKUP(Food_Orders[[#This Row],[Food_ID]],Food_Catalog[[#All],[Food_ID]],Food_Catalog[[#All],[Client_Price_Per_Unit]],0,0)</f>
        <v>26640</v>
      </c>
      <c r="I2701">
        <f>Food_Orders[[#This Row],[Client_Price]]-Food_Orders[[#This Row],[Cost]]</f>
        <v>4440</v>
      </c>
    </row>
    <row r="2702" spans="1:9" x14ac:dyDescent="0.25">
      <c r="A2702">
        <v>113</v>
      </c>
      <c r="B2702" t="s">
        <v>39</v>
      </c>
      <c r="C2702" t="s">
        <v>40</v>
      </c>
      <c r="D2702" t="s">
        <v>41</v>
      </c>
      <c r="E2702" t="s">
        <v>10</v>
      </c>
      <c r="F2702" cm="1">
        <f t="array" ref="F2702">_xlfn.XLOOKUP(Food_Orders[[#This Row],[Event_No]],Event_Master[[#All],[Event_No]],Event_Master[[#All],[Guest_Count]],,0)</f>
        <v>888</v>
      </c>
      <c r="G2702" cm="1">
        <f t="array" ref="G2702">Food_Orders[[#This Row],[Quantity_Orderd]]*_xlfn.XLOOKUP(Food_Orders[[#This Row],[Food_ID]],Food_Catalog[[#All],[Food_ID]],Food_Catalog[[#All],[Price_Per_Unit]],0,0)</f>
        <v>53280</v>
      </c>
      <c r="H2702" cm="1">
        <f t="array" ref="H2702">Food_Orders[[#This Row],[Quantity_Orderd]]*_xlfn.XLOOKUP(Food_Orders[[#This Row],[Food_ID]],Food_Catalog[[#All],[Food_ID]],Food_Catalog[[#All],[Client_Price_Per_Unit]],0,0)</f>
        <v>63936</v>
      </c>
      <c r="I2702">
        <f>Food_Orders[[#This Row],[Client_Price]]-Food_Orders[[#This Row],[Cost]]</f>
        <v>10656</v>
      </c>
    </row>
    <row r="2703" spans="1:9" x14ac:dyDescent="0.25">
      <c r="A2703">
        <v>113</v>
      </c>
      <c r="B2703" t="s">
        <v>42</v>
      </c>
      <c r="C2703" t="s">
        <v>40</v>
      </c>
      <c r="D2703" t="s">
        <v>43</v>
      </c>
      <c r="E2703" t="s">
        <v>10</v>
      </c>
      <c r="F2703" cm="1">
        <f t="array" ref="F2703">_xlfn.XLOOKUP(Food_Orders[[#This Row],[Event_No]],Event_Master[[#All],[Event_No]],Event_Master[[#All],[Guest_Count]],,0)</f>
        <v>888</v>
      </c>
      <c r="G2703" cm="1">
        <f t="array" ref="G2703">Food_Orders[[#This Row],[Quantity_Orderd]]*_xlfn.XLOOKUP(Food_Orders[[#This Row],[Food_ID]],Food_Catalog[[#All],[Food_ID]],Food_Catalog[[#All],[Price_Per_Unit]],0,0)</f>
        <v>62160</v>
      </c>
      <c r="H2703" cm="1">
        <f t="array" ref="H2703">Food_Orders[[#This Row],[Quantity_Orderd]]*_xlfn.XLOOKUP(Food_Orders[[#This Row],[Food_ID]],Food_Catalog[[#All],[Food_ID]],Food_Catalog[[#All],[Client_Price_Per_Unit]],0,0)</f>
        <v>74592</v>
      </c>
      <c r="I2703">
        <f>Food_Orders[[#This Row],[Client_Price]]-Food_Orders[[#This Row],[Cost]]</f>
        <v>12432</v>
      </c>
    </row>
    <row r="2704" spans="1:9" x14ac:dyDescent="0.25">
      <c r="A2704">
        <v>113</v>
      </c>
      <c r="B2704" t="s">
        <v>46</v>
      </c>
      <c r="C2704" t="s">
        <v>40</v>
      </c>
      <c r="D2704" t="s">
        <v>47</v>
      </c>
      <c r="E2704" t="s">
        <v>10</v>
      </c>
      <c r="F2704" cm="1">
        <f t="array" ref="F2704">_xlfn.XLOOKUP(Food_Orders[[#This Row],[Event_No]],Event_Master[[#All],[Event_No]],Event_Master[[#All],[Guest_Count]],,0)</f>
        <v>888</v>
      </c>
      <c r="G2704" cm="1">
        <f t="array" ref="G2704">Food_Orders[[#This Row],[Quantity_Orderd]]*_xlfn.XLOOKUP(Food_Orders[[#This Row],[Food_ID]],Food_Catalog[[#All],[Food_ID]],Food_Catalog[[#All],[Price_Per_Unit]],0,0)</f>
        <v>79920</v>
      </c>
      <c r="H2704" cm="1">
        <f t="array" ref="H2704">Food_Orders[[#This Row],[Quantity_Orderd]]*_xlfn.XLOOKUP(Food_Orders[[#This Row],[Food_ID]],Food_Catalog[[#All],[Food_ID]],Food_Catalog[[#All],[Client_Price_Per_Unit]],0,0)</f>
        <v>95904</v>
      </c>
      <c r="I2704">
        <f>Food_Orders[[#This Row],[Client_Price]]-Food_Orders[[#This Row],[Cost]]</f>
        <v>15984</v>
      </c>
    </row>
    <row r="2705" spans="1:9" x14ac:dyDescent="0.25">
      <c r="A2705">
        <v>113</v>
      </c>
      <c r="B2705" t="s">
        <v>48</v>
      </c>
      <c r="C2705" t="s">
        <v>40</v>
      </c>
      <c r="D2705" t="s">
        <v>49</v>
      </c>
      <c r="E2705" t="s">
        <v>10</v>
      </c>
      <c r="F2705" cm="1">
        <f t="array" ref="F2705">_xlfn.XLOOKUP(Food_Orders[[#This Row],[Event_No]],Event_Master[[#All],[Event_No]],Event_Master[[#All],[Guest_Count]],,0)</f>
        <v>888</v>
      </c>
      <c r="G2705" cm="1">
        <f t="array" ref="G2705">Food_Orders[[#This Row],[Quantity_Orderd]]*_xlfn.XLOOKUP(Food_Orders[[#This Row],[Food_ID]],Food_Catalog[[#All],[Food_ID]],Food_Catalog[[#All],[Price_Per_Unit]],0,0)</f>
        <v>88800</v>
      </c>
      <c r="H2705" cm="1">
        <f t="array" ref="H2705">Food_Orders[[#This Row],[Quantity_Orderd]]*_xlfn.XLOOKUP(Food_Orders[[#This Row],[Food_ID]],Food_Catalog[[#All],[Food_ID]],Food_Catalog[[#All],[Client_Price_Per_Unit]],0,0)</f>
        <v>106560</v>
      </c>
      <c r="I2705">
        <f>Food_Orders[[#This Row],[Client_Price]]-Food_Orders[[#This Row],[Cost]]</f>
        <v>17760</v>
      </c>
    </row>
    <row r="2706" spans="1:9" x14ac:dyDescent="0.25">
      <c r="A2706">
        <v>113</v>
      </c>
      <c r="B2706" t="s">
        <v>50</v>
      </c>
      <c r="C2706" t="s">
        <v>40</v>
      </c>
      <c r="D2706" t="s">
        <v>51</v>
      </c>
      <c r="E2706" t="s">
        <v>10</v>
      </c>
      <c r="F2706" cm="1">
        <f t="array" ref="F2706">_xlfn.XLOOKUP(Food_Orders[[#This Row],[Event_No]],Event_Master[[#All],[Event_No]],Event_Master[[#All],[Guest_Count]],,0)</f>
        <v>888</v>
      </c>
      <c r="G2706" cm="1">
        <f t="array" ref="G2706">Food_Orders[[#This Row],[Quantity_Orderd]]*_xlfn.XLOOKUP(Food_Orders[[#This Row],[Food_ID]],Food_Catalog[[#All],[Food_ID]],Food_Catalog[[#All],[Price_Per_Unit]],0,0)</f>
        <v>71040</v>
      </c>
      <c r="H2706" cm="1">
        <f t="array" ref="H2706">Food_Orders[[#This Row],[Quantity_Orderd]]*_xlfn.XLOOKUP(Food_Orders[[#This Row],[Food_ID]],Food_Catalog[[#All],[Food_ID]],Food_Catalog[[#All],[Client_Price_Per_Unit]],0,0)</f>
        <v>85248</v>
      </c>
      <c r="I2706">
        <f>Food_Orders[[#This Row],[Client_Price]]-Food_Orders[[#This Row],[Cost]]</f>
        <v>14208</v>
      </c>
    </row>
    <row r="2707" spans="1:9" x14ac:dyDescent="0.25">
      <c r="A2707">
        <v>113</v>
      </c>
      <c r="B2707" t="s">
        <v>52</v>
      </c>
      <c r="C2707" t="s">
        <v>40</v>
      </c>
      <c r="D2707" t="s">
        <v>53</v>
      </c>
      <c r="E2707" t="s">
        <v>10</v>
      </c>
      <c r="F2707" cm="1">
        <f t="array" ref="F2707">_xlfn.XLOOKUP(Food_Orders[[#This Row],[Event_No]],Event_Master[[#All],[Event_No]],Event_Master[[#All],[Guest_Count]],,0)</f>
        <v>888</v>
      </c>
      <c r="G2707" cm="1">
        <f t="array" ref="G2707">Food_Orders[[#This Row],[Quantity_Orderd]]*_xlfn.XLOOKUP(Food_Orders[[#This Row],[Food_ID]],Food_Catalog[[#All],[Food_ID]],Food_Catalog[[#All],[Price_Per_Unit]],0,0)</f>
        <v>88800</v>
      </c>
      <c r="H2707" cm="1">
        <f t="array" ref="H2707">Food_Orders[[#This Row],[Quantity_Orderd]]*_xlfn.XLOOKUP(Food_Orders[[#This Row],[Food_ID]],Food_Catalog[[#All],[Food_ID]],Food_Catalog[[#All],[Client_Price_Per_Unit]],0,0)</f>
        <v>106560</v>
      </c>
      <c r="I2707">
        <f>Food_Orders[[#This Row],[Client_Price]]-Food_Orders[[#This Row],[Cost]]</f>
        <v>17760</v>
      </c>
    </row>
    <row r="2708" spans="1:9" x14ac:dyDescent="0.25">
      <c r="A2708">
        <v>113</v>
      </c>
      <c r="B2708" t="s">
        <v>54</v>
      </c>
      <c r="C2708" t="s">
        <v>40</v>
      </c>
      <c r="D2708" t="s">
        <v>55</v>
      </c>
      <c r="E2708" t="s">
        <v>10</v>
      </c>
      <c r="F2708" cm="1">
        <f t="array" ref="F2708">_xlfn.XLOOKUP(Food_Orders[[#This Row],[Event_No]],Event_Master[[#All],[Event_No]],Event_Master[[#All],[Guest_Count]],,0)</f>
        <v>888</v>
      </c>
      <c r="G2708" cm="1">
        <f t="array" ref="G2708">Food_Orders[[#This Row],[Quantity_Orderd]]*_xlfn.XLOOKUP(Food_Orders[[#This Row],[Food_ID]],Food_Catalog[[#All],[Food_ID]],Food_Catalog[[#All],[Price_Per_Unit]],0,0)</f>
        <v>35520</v>
      </c>
      <c r="H2708" cm="1">
        <f t="array" ref="H2708">Food_Orders[[#This Row],[Quantity_Orderd]]*_xlfn.XLOOKUP(Food_Orders[[#This Row],[Food_ID]],Food_Catalog[[#All],[Food_ID]],Food_Catalog[[#All],[Client_Price_Per_Unit]],0,0)</f>
        <v>42624</v>
      </c>
      <c r="I2708">
        <f>Food_Orders[[#This Row],[Client_Price]]-Food_Orders[[#This Row],[Cost]]</f>
        <v>7104</v>
      </c>
    </row>
    <row r="2709" spans="1:9" x14ac:dyDescent="0.25">
      <c r="A2709">
        <v>113</v>
      </c>
      <c r="B2709" t="s">
        <v>58</v>
      </c>
      <c r="C2709" t="s">
        <v>40</v>
      </c>
      <c r="D2709" t="s">
        <v>59</v>
      </c>
      <c r="E2709" t="s">
        <v>10</v>
      </c>
      <c r="F2709" cm="1">
        <f t="array" ref="F2709">_xlfn.XLOOKUP(Food_Orders[[#This Row],[Event_No]],Event_Master[[#All],[Event_No]],Event_Master[[#All],[Guest_Count]],,0)</f>
        <v>888</v>
      </c>
      <c r="G2709" cm="1">
        <f t="array" ref="G2709">Food_Orders[[#This Row],[Quantity_Orderd]]*_xlfn.XLOOKUP(Food_Orders[[#This Row],[Food_ID]],Food_Catalog[[#All],[Food_ID]],Food_Catalog[[#All],[Price_Per_Unit]],0,0)</f>
        <v>79920</v>
      </c>
      <c r="H2709" cm="1">
        <f t="array" ref="H2709">Food_Orders[[#This Row],[Quantity_Orderd]]*_xlfn.XLOOKUP(Food_Orders[[#This Row],[Food_ID]],Food_Catalog[[#All],[Food_ID]],Food_Catalog[[#All],[Client_Price_Per_Unit]],0,0)</f>
        <v>95904</v>
      </c>
      <c r="I2709">
        <f>Food_Orders[[#This Row],[Client_Price]]-Food_Orders[[#This Row],[Cost]]</f>
        <v>15984</v>
      </c>
    </row>
    <row r="2710" spans="1:9" x14ac:dyDescent="0.25">
      <c r="A2710">
        <v>113</v>
      </c>
      <c r="B2710" t="s">
        <v>82</v>
      </c>
      <c r="C2710" t="s">
        <v>83</v>
      </c>
      <c r="D2710" t="s">
        <v>84</v>
      </c>
      <c r="E2710" t="s">
        <v>85</v>
      </c>
      <c r="F2710" cm="1">
        <f t="array" ref="F2710">_xlfn.XLOOKUP(Food_Orders[[#This Row],[Event_No]],Event_Master[[#All],[Event_No]],Event_Master[[#All],[Guest_Count]],,0)</f>
        <v>888</v>
      </c>
      <c r="G2710" cm="1">
        <f t="array" ref="G2710">Food_Orders[[#This Row],[Quantity_Orderd]]*_xlfn.XLOOKUP(Food_Orders[[#This Row],[Food_ID]],Food_Catalog[[#All],[Food_ID]],Food_Catalog[[#All],[Price_Per_Unit]],0,0)</f>
        <v>17760</v>
      </c>
      <c r="H2710" cm="1">
        <f t="array" ref="H2710">Food_Orders[[#This Row],[Quantity_Orderd]]*_xlfn.XLOOKUP(Food_Orders[[#This Row],[Food_ID]],Food_Catalog[[#All],[Food_ID]],Food_Catalog[[#All],[Client_Price_Per_Unit]],0,0)</f>
        <v>21312</v>
      </c>
      <c r="I2710">
        <f>Food_Orders[[#This Row],[Client_Price]]-Food_Orders[[#This Row],[Cost]]</f>
        <v>3552</v>
      </c>
    </row>
    <row r="2711" spans="1:9" x14ac:dyDescent="0.25">
      <c r="A2711">
        <v>113</v>
      </c>
      <c r="B2711" t="s">
        <v>86</v>
      </c>
      <c r="C2711" t="s">
        <v>83</v>
      </c>
      <c r="D2711" t="s">
        <v>87</v>
      </c>
      <c r="E2711" t="s">
        <v>85</v>
      </c>
      <c r="F2711" cm="1">
        <f t="array" ref="F2711">_xlfn.XLOOKUP(Food_Orders[[#This Row],[Event_No]],Event_Master[[#All],[Event_No]],Event_Master[[#All],[Guest_Count]],,0)</f>
        <v>888</v>
      </c>
      <c r="G2711" cm="1">
        <f t="array" ref="G2711">Food_Orders[[#This Row],[Quantity_Orderd]]*_xlfn.XLOOKUP(Food_Orders[[#This Row],[Food_ID]],Food_Catalog[[#All],[Food_ID]],Food_Catalog[[#All],[Price_Per_Unit]],0,0)</f>
        <v>17760</v>
      </c>
      <c r="H2711" cm="1">
        <f t="array" ref="H2711">Food_Orders[[#This Row],[Quantity_Orderd]]*_xlfn.XLOOKUP(Food_Orders[[#This Row],[Food_ID]],Food_Catalog[[#All],[Food_ID]],Food_Catalog[[#All],[Client_Price_Per_Unit]],0,0)</f>
        <v>21312</v>
      </c>
      <c r="I2711">
        <f>Food_Orders[[#This Row],[Client_Price]]-Food_Orders[[#This Row],[Cost]]</f>
        <v>3552</v>
      </c>
    </row>
    <row r="2712" spans="1:9" x14ac:dyDescent="0.25">
      <c r="A2712">
        <v>113</v>
      </c>
      <c r="B2712" t="s">
        <v>88</v>
      </c>
      <c r="C2712" t="s">
        <v>83</v>
      </c>
      <c r="D2712" t="s">
        <v>89</v>
      </c>
      <c r="E2712" t="s">
        <v>85</v>
      </c>
      <c r="F2712" cm="1">
        <f t="array" ref="F2712">_xlfn.XLOOKUP(Food_Orders[[#This Row],[Event_No]],Event_Master[[#All],[Event_No]],Event_Master[[#All],[Guest_Count]],,0)</f>
        <v>888</v>
      </c>
      <c r="G2712" cm="1">
        <f t="array" ref="G2712">Food_Orders[[#This Row],[Quantity_Orderd]]*_xlfn.XLOOKUP(Food_Orders[[#This Row],[Food_ID]],Food_Catalog[[#All],[Food_ID]],Food_Catalog[[#All],[Price_Per_Unit]],0,0)</f>
        <v>13320</v>
      </c>
      <c r="H2712" cm="1">
        <f t="array" ref="H2712">Food_Orders[[#This Row],[Quantity_Orderd]]*_xlfn.XLOOKUP(Food_Orders[[#This Row],[Food_ID]],Food_Catalog[[#All],[Food_ID]],Food_Catalog[[#All],[Client_Price_Per_Unit]],0,0)</f>
        <v>15984</v>
      </c>
      <c r="I2712">
        <f>Food_Orders[[#This Row],[Client_Price]]-Food_Orders[[#This Row],[Cost]]</f>
        <v>2664</v>
      </c>
    </row>
    <row r="2713" spans="1:9" x14ac:dyDescent="0.25">
      <c r="A2713">
        <v>113</v>
      </c>
      <c r="B2713" t="s">
        <v>100</v>
      </c>
      <c r="C2713" t="s">
        <v>83</v>
      </c>
      <c r="D2713" t="s">
        <v>101</v>
      </c>
      <c r="E2713" t="s">
        <v>79</v>
      </c>
      <c r="F2713" cm="1">
        <f t="array" ref="F2713">_xlfn.XLOOKUP(Food_Orders[[#This Row],[Event_No]],Event_Master[[#All],[Event_No]],Event_Master[[#All],[Guest_Count]],,0)</f>
        <v>888</v>
      </c>
      <c r="G2713" cm="1">
        <f t="array" ref="G2713">Food_Orders[[#This Row],[Quantity_Orderd]]*_xlfn.XLOOKUP(Food_Orders[[#This Row],[Food_ID]],Food_Catalog[[#All],[Food_ID]],Food_Catalog[[#All],[Price_Per_Unit]],0,0)</f>
        <v>31080</v>
      </c>
      <c r="H2713" cm="1">
        <f t="array" ref="H2713">Food_Orders[[#This Row],[Quantity_Orderd]]*_xlfn.XLOOKUP(Food_Orders[[#This Row],[Food_ID]],Food_Catalog[[#All],[Food_ID]],Food_Catalog[[#All],[Client_Price_Per_Unit]],0,0)</f>
        <v>37296</v>
      </c>
      <c r="I2713">
        <f>Food_Orders[[#This Row],[Client_Price]]-Food_Orders[[#This Row],[Cost]]</f>
        <v>6216</v>
      </c>
    </row>
    <row r="2714" spans="1:9" x14ac:dyDescent="0.25">
      <c r="A2714">
        <v>113</v>
      </c>
      <c r="B2714" t="s">
        <v>96</v>
      </c>
      <c r="C2714" t="s">
        <v>83</v>
      </c>
      <c r="D2714" t="s">
        <v>97</v>
      </c>
      <c r="E2714" t="s">
        <v>79</v>
      </c>
      <c r="F2714" cm="1">
        <f t="array" ref="F2714">_xlfn.XLOOKUP(Food_Orders[[#This Row],[Event_No]],Event_Master[[#All],[Event_No]],Event_Master[[#All],[Guest_Count]],,0)</f>
        <v>888</v>
      </c>
      <c r="G2714" cm="1">
        <f t="array" ref="G2714">Food_Orders[[#This Row],[Quantity_Orderd]]*_xlfn.XLOOKUP(Food_Orders[[#This Row],[Food_ID]],Food_Catalog[[#All],[Food_ID]],Food_Catalog[[#All],[Price_Per_Unit]],0,0)</f>
        <v>26640</v>
      </c>
      <c r="H2714" cm="1">
        <f t="array" ref="H2714">Food_Orders[[#This Row],[Quantity_Orderd]]*_xlfn.XLOOKUP(Food_Orders[[#This Row],[Food_ID]],Food_Catalog[[#All],[Food_ID]],Food_Catalog[[#All],[Client_Price_Per_Unit]],0,0)</f>
        <v>31968</v>
      </c>
      <c r="I2714">
        <f>Food_Orders[[#This Row],[Client_Price]]-Food_Orders[[#This Row],[Cost]]</f>
        <v>5328</v>
      </c>
    </row>
    <row r="2715" spans="1:9" x14ac:dyDescent="0.25">
      <c r="A2715">
        <v>113</v>
      </c>
      <c r="B2715" t="s">
        <v>92</v>
      </c>
      <c r="C2715" t="s">
        <v>83</v>
      </c>
      <c r="D2715" t="s">
        <v>93</v>
      </c>
      <c r="E2715" t="s">
        <v>85</v>
      </c>
      <c r="F2715" cm="1">
        <f t="array" ref="F2715">_xlfn.XLOOKUP(Food_Orders[[#This Row],[Event_No]],Event_Master[[#All],[Event_No]],Event_Master[[#All],[Guest_Count]],,0)</f>
        <v>888</v>
      </c>
      <c r="G2715" cm="1">
        <f t="array" ref="G2715">Food_Orders[[#This Row],[Quantity_Orderd]]*_xlfn.XLOOKUP(Food_Orders[[#This Row],[Food_ID]],Food_Catalog[[#All],[Food_ID]],Food_Catalog[[#All],[Price_Per_Unit]],0,0)</f>
        <v>13320</v>
      </c>
      <c r="H2715" cm="1">
        <f t="array" ref="H2715">Food_Orders[[#This Row],[Quantity_Orderd]]*_xlfn.XLOOKUP(Food_Orders[[#This Row],[Food_ID]],Food_Catalog[[#All],[Food_ID]],Food_Catalog[[#All],[Client_Price_Per_Unit]],0,0)</f>
        <v>15984</v>
      </c>
      <c r="I2715">
        <f>Food_Orders[[#This Row],[Client_Price]]-Food_Orders[[#This Row],[Cost]]</f>
        <v>2664</v>
      </c>
    </row>
    <row r="2716" spans="1:9" x14ac:dyDescent="0.25">
      <c r="A2716">
        <v>113</v>
      </c>
      <c r="B2716" t="s">
        <v>102</v>
      </c>
      <c r="C2716" t="s">
        <v>83</v>
      </c>
      <c r="D2716" t="s">
        <v>103</v>
      </c>
      <c r="E2716" t="s">
        <v>85</v>
      </c>
      <c r="F2716" cm="1">
        <f t="array" ref="F2716">_xlfn.XLOOKUP(Food_Orders[[#This Row],[Event_No]],Event_Master[[#All],[Event_No]],Event_Master[[#All],[Guest_Count]],,0)</f>
        <v>888</v>
      </c>
      <c r="G2716" cm="1">
        <f t="array" ref="G2716">Food_Orders[[#This Row],[Quantity_Orderd]]*_xlfn.XLOOKUP(Food_Orders[[#This Row],[Food_ID]],Food_Catalog[[#All],[Food_ID]],Food_Catalog[[#All],[Price_Per_Unit]],0,0)</f>
        <v>17760</v>
      </c>
      <c r="H2716" cm="1">
        <f t="array" ref="H2716">Food_Orders[[#This Row],[Quantity_Orderd]]*_xlfn.XLOOKUP(Food_Orders[[#This Row],[Food_ID]],Food_Catalog[[#All],[Food_ID]],Food_Catalog[[#All],[Client_Price_Per_Unit]],0,0)</f>
        <v>21312</v>
      </c>
      <c r="I2716">
        <f>Food_Orders[[#This Row],[Client_Price]]-Food_Orders[[#This Row],[Cost]]</f>
        <v>3552</v>
      </c>
    </row>
    <row r="2717" spans="1:9" x14ac:dyDescent="0.25">
      <c r="A2717">
        <v>113</v>
      </c>
      <c r="B2717" t="s">
        <v>98</v>
      </c>
      <c r="C2717" t="s">
        <v>83</v>
      </c>
      <c r="D2717" t="s">
        <v>99</v>
      </c>
      <c r="E2717" t="s">
        <v>85</v>
      </c>
      <c r="F2717" cm="1">
        <f t="array" ref="F2717">_xlfn.XLOOKUP(Food_Orders[[#This Row],[Event_No]],Event_Master[[#All],[Event_No]],Event_Master[[#All],[Guest_Count]],,0)</f>
        <v>888</v>
      </c>
      <c r="G2717" cm="1">
        <f t="array" ref="G2717">Food_Orders[[#This Row],[Quantity_Orderd]]*_xlfn.XLOOKUP(Food_Orders[[#This Row],[Food_ID]],Food_Catalog[[#All],[Food_ID]],Food_Catalog[[#All],[Price_Per_Unit]],0,0)</f>
        <v>13320</v>
      </c>
      <c r="H2717" cm="1">
        <f t="array" ref="H2717">Food_Orders[[#This Row],[Quantity_Orderd]]*_xlfn.XLOOKUP(Food_Orders[[#This Row],[Food_ID]],Food_Catalog[[#All],[Food_ID]],Food_Catalog[[#All],[Client_Price_Per_Unit]],0,0)</f>
        <v>15984</v>
      </c>
      <c r="I2717">
        <f>Food_Orders[[#This Row],[Client_Price]]-Food_Orders[[#This Row],[Cost]]</f>
        <v>2664</v>
      </c>
    </row>
    <row r="2718" spans="1:9" x14ac:dyDescent="0.25">
      <c r="A2718">
        <v>113</v>
      </c>
      <c r="B2718" t="s">
        <v>104</v>
      </c>
      <c r="C2718" t="s">
        <v>105</v>
      </c>
      <c r="D2718" t="s">
        <v>106</v>
      </c>
      <c r="E2718" t="s">
        <v>107</v>
      </c>
      <c r="F2718" cm="1">
        <f t="array" ref="F2718">_xlfn.XLOOKUP(Food_Orders[[#This Row],[Event_No]],Event_Master[[#All],[Event_No]],Event_Master[[#All],[Guest_Count]],,0)</f>
        <v>888</v>
      </c>
      <c r="G2718" cm="1">
        <f t="array" ref="G2718">Food_Orders[[#This Row],[Quantity_Orderd]]*_xlfn.XLOOKUP(Food_Orders[[#This Row],[Food_ID]],Food_Catalog[[#All],[Food_ID]],Food_Catalog[[#All],[Price_Per_Unit]],0,0)</f>
        <v>8880</v>
      </c>
      <c r="H2718" cm="1">
        <f t="array" ref="H2718">Food_Orders[[#This Row],[Quantity_Orderd]]*_xlfn.XLOOKUP(Food_Orders[[#This Row],[Food_ID]],Food_Catalog[[#All],[Food_ID]],Food_Catalog[[#All],[Client_Price_Per_Unit]],0,0)</f>
        <v>10656</v>
      </c>
      <c r="I2718">
        <f>Food_Orders[[#This Row],[Client_Price]]-Food_Orders[[#This Row],[Cost]]</f>
        <v>1776</v>
      </c>
    </row>
    <row r="2719" spans="1:9" x14ac:dyDescent="0.25">
      <c r="A2719">
        <v>113</v>
      </c>
      <c r="B2719" t="s">
        <v>108</v>
      </c>
      <c r="C2719" t="s">
        <v>105</v>
      </c>
      <c r="D2719" t="s">
        <v>109</v>
      </c>
      <c r="E2719" t="s">
        <v>107</v>
      </c>
      <c r="F2719" cm="1">
        <f t="array" ref="F2719">_xlfn.XLOOKUP(Food_Orders[[#This Row],[Event_No]],Event_Master[[#All],[Event_No]],Event_Master[[#All],[Guest_Count]],,0)</f>
        <v>888</v>
      </c>
      <c r="G2719" cm="1">
        <f t="array" ref="G2719">Food_Orders[[#This Row],[Quantity_Orderd]]*_xlfn.XLOOKUP(Food_Orders[[#This Row],[Food_ID]],Food_Catalog[[#All],[Food_ID]],Food_Catalog[[#All],[Price_Per_Unit]],0,0)</f>
        <v>13320</v>
      </c>
      <c r="H2719" cm="1">
        <f t="array" ref="H2719">Food_Orders[[#This Row],[Quantity_Orderd]]*_xlfn.XLOOKUP(Food_Orders[[#This Row],[Food_ID]],Food_Catalog[[#All],[Food_ID]],Food_Catalog[[#All],[Client_Price_Per_Unit]],0,0)</f>
        <v>15984</v>
      </c>
      <c r="I2719">
        <f>Food_Orders[[#This Row],[Client_Price]]-Food_Orders[[#This Row],[Cost]]</f>
        <v>2664</v>
      </c>
    </row>
    <row r="2720" spans="1:9" x14ac:dyDescent="0.25">
      <c r="A2720">
        <v>113</v>
      </c>
      <c r="B2720" t="s">
        <v>115</v>
      </c>
      <c r="C2720" t="s">
        <v>105</v>
      </c>
      <c r="D2720" t="s">
        <v>116</v>
      </c>
      <c r="E2720" t="s">
        <v>117</v>
      </c>
      <c r="F2720" cm="1">
        <f t="array" ref="F2720">_xlfn.XLOOKUP(Food_Orders[[#This Row],[Event_No]],Event_Master[[#All],[Event_No]],Event_Master[[#All],[Guest_Count]],,0)</f>
        <v>888</v>
      </c>
      <c r="G2720" cm="1">
        <f t="array" ref="G2720">Food_Orders[[#This Row],[Quantity_Orderd]]*_xlfn.XLOOKUP(Food_Orders[[#This Row],[Food_ID]],Food_Catalog[[#All],[Food_ID]],Food_Catalog[[#All],[Price_Per_Unit]],0,0)</f>
        <v>22200</v>
      </c>
      <c r="H2720" cm="1">
        <f t="array" ref="H2720">Food_Orders[[#This Row],[Quantity_Orderd]]*_xlfn.XLOOKUP(Food_Orders[[#This Row],[Food_ID]],Food_Catalog[[#All],[Food_ID]],Food_Catalog[[#All],[Client_Price_Per_Unit]],0,0)</f>
        <v>26640</v>
      </c>
      <c r="I2720">
        <f>Food_Orders[[#This Row],[Client_Price]]-Food_Orders[[#This Row],[Cost]]</f>
        <v>4440</v>
      </c>
    </row>
    <row r="2721" spans="1:9" x14ac:dyDescent="0.25">
      <c r="A2721">
        <v>113</v>
      </c>
      <c r="B2721" t="s">
        <v>110</v>
      </c>
      <c r="C2721" t="s">
        <v>105</v>
      </c>
      <c r="D2721" t="s">
        <v>111</v>
      </c>
      <c r="E2721" t="s">
        <v>112</v>
      </c>
      <c r="F2721" cm="1">
        <f t="array" ref="F2721">_xlfn.XLOOKUP(Food_Orders[[#This Row],[Event_No]],Event_Master[[#All],[Event_No]],Event_Master[[#All],[Guest_Count]],,0)</f>
        <v>888</v>
      </c>
      <c r="G2721" cm="1">
        <f t="array" ref="G2721">Food_Orders[[#This Row],[Quantity_Orderd]]*_xlfn.XLOOKUP(Food_Orders[[#This Row],[Food_ID]],Food_Catalog[[#All],[Food_ID]],Food_Catalog[[#All],[Price_Per_Unit]],0,0)</f>
        <v>17760</v>
      </c>
      <c r="H2721" cm="1">
        <f t="array" ref="H2721">Food_Orders[[#This Row],[Quantity_Orderd]]*_xlfn.XLOOKUP(Food_Orders[[#This Row],[Food_ID]],Food_Catalog[[#All],[Food_ID]],Food_Catalog[[#All],[Client_Price_Per_Unit]],0,0)</f>
        <v>21312</v>
      </c>
      <c r="I2721">
        <f>Food_Orders[[#This Row],[Client_Price]]-Food_Orders[[#This Row],[Cost]]</f>
        <v>3552</v>
      </c>
    </row>
    <row r="2722" spans="1:9" x14ac:dyDescent="0.25">
      <c r="A2722">
        <v>113</v>
      </c>
      <c r="B2722" t="s">
        <v>118</v>
      </c>
      <c r="C2722" t="s">
        <v>119</v>
      </c>
      <c r="D2722" t="s">
        <v>120</v>
      </c>
      <c r="E2722" t="s">
        <v>112</v>
      </c>
      <c r="F2722" cm="1">
        <f t="array" ref="F2722">_xlfn.XLOOKUP(Food_Orders[[#This Row],[Event_No]],Event_Master[[#All],[Event_No]],Event_Master[[#All],[Guest_Count]],,0)</f>
        <v>888</v>
      </c>
      <c r="G2722" cm="1">
        <f t="array" ref="G2722">Food_Orders[[#This Row],[Quantity_Orderd]]*_xlfn.XLOOKUP(Food_Orders[[#This Row],[Food_ID]],Food_Catalog[[#All],[Food_ID]],Food_Catalog[[#All],[Price_Per_Unit]],0,0)</f>
        <v>8880</v>
      </c>
      <c r="H2722" cm="1">
        <f t="array" ref="H2722">Food_Orders[[#This Row],[Quantity_Orderd]]*_xlfn.XLOOKUP(Food_Orders[[#This Row],[Food_ID]],Food_Catalog[[#All],[Food_ID]],Food_Catalog[[#All],[Client_Price_Per_Unit]],0,0)</f>
        <v>10656</v>
      </c>
      <c r="I2722">
        <f>Food_Orders[[#This Row],[Client_Price]]-Food_Orders[[#This Row],[Cost]]</f>
        <v>1776</v>
      </c>
    </row>
    <row r="2723" spans="1:9" x14ac:dyDescent="0.25">
      <c r="A2723">
        <v>113</v>
      </c>
      <c r="B2723" t="s">
        <v>129</v>
      </c>
      <c r="C2723" t="s">
        <v>119</v>
      </c>
      <c r="D2723" t="s">
        <v>130</v>
      </c>
      <c r="E2723" t="s">
        <v>112</v>
      </c>
      <c r="F2723" cm="1">
        <f t="array" ref="F2723">_xlfn.XLOOKUP(Food_Orders[[#This Row],[Event_No]],Event_Master[[#All],[Event_No]],Event_Master[[#All],[Guest_Count]],,0)</f>
        <v>888</v>
      </c>
      <c r="G2723" cm="1">
        <f t="array" ref="G2723">Food_Orders[[#This Row],[Quantity_Orderd]]*_xlfn.XLOOKUP(Food_Orders[[#This Row],[Food_ID]],Food_Catalog[[#All],[Food_ID]],Food_Catalog[[#All],[Price_Per_Unit]],0,0)</f>
        <v>8880</v>
      </c>
      <c r="H2723" cm="1">
        <f t="array" ref="H2723">Food_Orders[[#This Row],[Quantity_Orderd]]*_xlfn.XLOOKUP(Food_Orders[[#This Row],[Food_ID]],Food_Catalog[[#All],[Food_ID]],Food_Catalog[[#All],[Client_Price_Per_Unit]],0,0)</f>
        <v>10656</v>
      </c>
      <c r="I2723">
        <f>Food_Orders[[#This Row],[Client_Price]]-Food_Orders[[#This Row],[Cost]]</f>
        <v>1776</v>
      </c>
    </row>
    <row r="2724" spans="1:9" x14ac:dyDescent="0.25">
      <c r="A2724">
        <v>113</v>
      </c>
      <c r="B2724" t="s">
        <v>124</v>
      </c>
      <c r="C2724" t="s">
        <v>119</v>
      </c>
      <c r="D2724" t="s">
        <v>125</v>
      </c>
      <c r="E2724" t="s">
        <v>126</v>
      </c>
      <c r="F2724" cm="1">
        <f t="array" ref="F2724">_xlfn.XLOOKUP(Food_Orders[[#This Row],[Event_No]],Event_Master[[#All],[Event_No]],Event_Master[[#All],[Guest_Count]],,0)</f>
        <v>888</v>
      </c>
      <c r="G2724" cm="1">
        <f t="array" ref="G2724">Food_Orders[[#This Row],[Quantity_Orderd]]*_xlfn.XLOOKUP(Food_Orders[[#This Row],[Food_ID]],Food_Catalog[[#All],[Food_ID]],Food_Catalog[[#All],[Price_Per_Unit]],0,0)</f>
        <v>17760</v>
      </c>
      <c r="H2724" cm="1">
        <f t="array" ref="H2724">Food_Orders[[#This Row],[Quantity_Orderd]]*_xlfn.XLOOKUP(Food_Orders[[#This Row],[Food_ID]],Food_Catalog[[#All],[Food_ID]],Food_Catalog[[#All],[Client_Price_Per_Unit]],0,0)</f>
        <v>21312</v>
      </c>
      <c r="I2724">
        <f>Food_Orders[[#This Row],[Client_Price]]-Food_Orders[[#This Row],[Cost]]</f>
        <v>3552</v>
      </c>
    </row>
    <row r="2725" spans="1:9" x14ac:dyDescent="0.25">
      <c r="A2725">
        <v>113</v>
      </c>
      <c r="B2725" t="s">
        <v>127</v>
      </c>
      <c r="C2725" t="s">
        <v>119</v>
      </c>
      <c r="D2725" t="s">
        <v>128</v>
      </c>
      <c r="E2725" t="s">
        <v>107</v>
      </c>
      <c r="F2725" cm="1">
        <f t="array" ref="F2725">_xlfn.XLOOKUP(Food_Orders[[#This Row],[Event_No]],Event_Master[[#All],[Event_No]],Event_Master[[#All],[Guest_Count]],,0)</f>
        <v>888</v>
      </c>
      <c r="G2725" cm="1">
        <f t="array" ref="G2725">Food_Orders[[#This Row],[Quantity_Orderd]]*_xlfn.XLOOKUP(Food_Orders[[#This Row],[Food_ID]],Food_Catalog[[#All],[Food_ID]],Food_Catalog[[#All],[Price_Per_Unit]],0,0)</f>
        <v>17760</v>
      </c>
      <c r="H2725" cm="1">
        <f t="array" ref="H2725">Food_Orders[[#This Row],[Quantity_Orderd]]*_xlfn.XLOOKUP(Food_Orders[[#This Row],[Food_ID]],Food_Catalog[[#All],[Food_ID]],Food_Catalog[[#All],[Client_Price_Per_Unit]],0,0)</f>
        <v>21312</v>
      </c>
      <c r="I2725">
        <f>Food_Orders[[#This Row],[Client_Price]]-Food_Orders[[#This Row],[Cost]]</f>
        <v>3552</v>
      </c>
    </row>
    <row r="2726" spans="1:9" x14ac:dyDescent="0.25">
      <c r="A2726">
        <v>114</v>
      </c>
      <c r="B2726" t="s">
        <v>60</v>
      </c>
      <c r="C2726" t="s">
        <v>61</v>
      </c>
      <c r="D2726" t="s">
        <v>62</v>
      </c>
      <c r="E2726" t="s">
        <v>10</v>
      </c>
      <c r="F2726" cm="1">
        <f t="array" ref="F2726">_xlfn.XLOOKUP(Food_Orders[[#This Row],[Event_No]],Event_Master[[#All],[Event_No]],Event_Master[[#All],[Guest_Count]],,0)</f>
        <v>130</v>
      </c>
      <c r="G2726" cm="1">
        <f t="array" ref="G2726">Food_Orders[[#This Row],[Quantity_Orderd]]*_xlfn.XLOOKUP(Food_Orders[[#This Row],[Food_ID]],Food_Catalog[[#All],[Food_ID]],Food_Catalog[[#All],[Price_Per_Unit]],0,0)</f>
        <v>2600</v>
      </c>
      <c r="H2726" cm="1">
        <f t="array" ref="H2726">Food_Orders[[#This Row],[Quantity_Orderd]]*_xlfn.XLOOKUP(Food_Orders[[#This Row],[Food_ID]],Food_Catalog[[#All],[Food_ID]],Food_Catalog[[#All],[Client_Price_Per_Unit]],0,0)</f>
        <v>3120</v>
      </c>
      <c r="I2726">
        <f>Food_Orders[[#This Row],[Client_Price]]-Food_Orders[[#This Row],[Cost]]</f>
        <v>520</v>
      </c>
    </row>
    <row r="2727" spans="1:9" x14ac:dyDescent="0.25">
      <c r="A2727">
        <v>114</v>
      </c>
      <c r="B2727" t="s">
        <v>63</v>
      </c>
      <c r="C2727" t="s">
        <v>61</v>
      </c>
      <c r="D2727" t="s">
        <v>64</v>
      </c>
      <c r="E2727" t="s">
        <v>10</v>
      </c>
      <c r="F2727" cm="1">
        <f t="array" ref="F2727">_xlfn.XLOOKUP(Food_Orders[[#This Row],[Event_No]],Event_Master[[#All],[Event_No]],Event_Master[[#All],[Guest_Count]],,0)</f>
        <v>130</v>
      </c>
      <c r="G2727" cm="1">
        <f t="array" ref="G2727">Food_Orders[[#This Row],[Quantity_Orderd]]*_xlfn.XLOOKUP(Food_Orders[[#This Row],[Food_ID]],Food_Catalog[[#All],[Food_ID]],Food_Catalog[[#All],[Price_Per_Unit]],0,0)</f>
        <v>3900</v>
      </c>
      <c r="H2727" cm="1">
        <f t="array" ref="H2727">Food_Orders[[#This Row],[Quantity_Orderd]]*_xlfn.XLOOKUP(Food_Orders[[#This Row],[Food_ID]],Food_Catalog[[#All],[Food_ID]],Food_Catalog[[#All],[Client_Price_Per_Unit]],0,0)</f>
        <v>4680</v>
      </c>
      <c r="I2727">
        <f>Food_Orders[[#This Row],[Client_Price]]-Food_Orders[[#This Row],[Cost]]</f>
        <v>780</v>
      </c>
    </row>
    <row r="2728" spans="1:9" x14ac:dyDescent="0.25">
      <c r="A2728">
        <v>114</v>
      </c>
      <c r="B2728" t="s">
        <v>71</v>
      </c>
      <c r="C2728" t="s">
        <v>61</v>
      </c>
      <c r="D2728" t="s">
        <v>72</v>
      </c>
      <c r="E2728" t="s">
        <v>10</v>
      </c>
      <c r="F2728" cm="1">
        <f t="array" ref="F2728">_xlfn.XLOOKUP(Food_Orders[[#This Row],[Event_No]],Event_Master[[#All],[Event_No]],Event_Master[[#All],[Guest_Count]],,0)</f>
        <v>130</v>
      </c>
      <c r="G2728" cm="1">
        <f t="array" ref="G2728">Food_Orders[[#This Row],[Quantity_Orderd]]*_xlfn.XLOOKUP(Food_Orders[[#This Row],[Food_ID]],Food_Catalog[[#All],[Food_ID]],Food_Catalog[[#All],[Price_Per_Unit]],0,0)</f>
        <v>3250</v>
      </c>
      <c r="H2728" cm="1">
        <f t="array" ref="H2728">Food_Orders[[#This Row],[Quantity_Orderd]]*_xlfn.XLOOKUP(Food_Orders[[#This Row],[Food_ID]],Food_Catalog[[#All],[Food_ID]],Food_Catalog[[#All],[Client_Price_Per_Unit]],0,0)</f>
        <v>3900</v>
      </c>
      <c r="I2728">
        <f>Food_Orders[[#This Row],[Client_Price]]-Food_Orders[[#This Row],[Cost]]</f>
        <v>650</v>
      </c>
    </row>
    <row r="2729" spans="1:9" x14ac:dyDescent="0.25">
      <c r="A2729">
        <v>114</v>
      </c>
      <c r="B2729" t="s">
        <v>73</v>
      </c>
      <c r="C2729" t="s">
        <v>61</v>
      </c>
      <c r="D2729" t="s">
        <v>74</v>
      </c>
      <c r="E2729" t="s">
        <v>10</v>
      </c>
      <c r="F2729" cm="1">
        <f t="array" ref="F2729">_xlfn.XLOOKUP(Food_Orders[[#This Row],[Event_No]],Event_Master[[#All],[Event_No]],Event_Master[[#All],[Guest_Count]],,0)</f>
        <v>130</v>
      </c>
      <c r="G2729" cm="1">
        <f t="array" ref="G2729">Food_Orders[[#This Row],[Quantity_Orderd]]*_xlfn.XLOOKUP(Food_Orders[[#This Row],[Food_ID]],Food_Catalog[[#All],[Food_ID]],Food_Catalog[[#All],[Price_Per_Unit]],0,0)</f>
        <v>5200</v>
      </c>
      <c r="H2729" cm="1">
        <f t="array" ref="H2729">Food_Orders[[#This Row],[Quantity_Orderd]]*_xlfn.XLOOKUP(Food_Orders[[#This Row],[Food_ID]],Food_Catalog[[#All],[Food_ID]],Food_Catalog[[#All],[Client_Price_Per_Unit]],0,0)</f>
        <v>6240</v>
      </c>
      <c r="I2729">
        <f>Food_Orders[[#This Row],[Client_Price]]-Food_Orders[[#This Row],[Cost]]</f>
        <v>1040</v>
      </c>
    </row>
    <row r="2730" spans="1:9" x14ac:dyDescent="0.25">
      <c r="A2730">
        <v>114</v>
      </c>
      <c r="B2730" t="s">
        <v>75</v>
      </c>
      <c r="C2730" t="s">
        <v>61</v>
      </c>
      <c r="D2730" t="s">
        <v>76</v>
      </c>
      <c r="E2730" t="s">
        <v>10</v>
      </c>
      <c r="F2730" cm="1">
        <f t="array" ref="F2730">_xlfn.XLOOKUP(Food_Orders[[#This Row],[Event_No]],Event_Master[[#All],[Event_No]],Event_Master[[#All],[Guest_Count]],,0)</f>
        <v>130</v>
      </c>
      <c r="G2730" cm="1">
        <f t="array" ref="G2730">Food_Orders[[#This Row],[Quantity_Orderd]]*_xlfn.XLOOKUP(Food_Orders[[#This Row],[Food_ID]],Food_Catalog[[#All],[Food_ID]],Food_Catalog[[#All],[Price_Per_Unit]],0,0)</f>
        <v>5200</v>
      </c>
      <c r="H2730" cm="1">
        <f t="array" ref="H2730">Food_Orders[[#This Row],[Quantity_Orderd]]*_xlfn.XLOOKUP(Food_Orders[[#This Row],[Food_ID]],Food_Catalog[[#All],[Food_ID]],Food_Catalog[[#All],[Client_Price_Per_Unit]],0,0)</f>
        <v>6240</v>
      </c>
      <c r="I2730">
        <f>Food_Orders[[#This Row],[Client_Price]]-Food_Orders[[#This Row],[Cost]]</f>
        <v>1040</v>
      </c>
    </row>
    <row r="2731" spans="1:9" x14ac:dyDescent="0.25">
      <c r="A2731">
        <v>114</v>
      </c>
      <c r="B2731" t="s">
        <v>69</v>
      </c>
      <c r="C2731" t="s">
        <v>61</v>
      </c>
      <c r="D2731" t="s">
        <v>70</v>
      </c>
      <c r="E2731" t="s">
        <v>10</v>
      </c>
      <c r="F2731" cm="1">
        <f t="array" ref="F2731">_xlfn.XLOOKUP(Food_Orders[[#This Row],[Event_No]],Event_Master[[#All],[Event_No]],Event_Master[[#All],[Guest_Count]],,0)</f>
        <v>130</v>
      </c>
      <c r="G2731" cm="1">
        <f t="array" ref="G2731">Food_Orders[[#This Row],[Quantity_Orderd]]*_xlfn.XLOOKUP(Food_Orders[[#This Row],[Food_ID]],Food_Catalog[[#All],[Food_ID]],Food_Catalog[[#All],[Price_Per_Unit]],0,0)</f>
        <v>6500</v>
      </c>
      <c r="H2731" cm="1">
        <f t="array" ref="H2731">Food_Orders[[#This Row],[Quantity_Orderd]]*_xlfn.XLOOKUP(Food_Orders[[#This Row],[Food_ID]],Food_Catalog[[#All],[Food_ID]],Food_Catalog[[#All],[Client_Price_Per_Unit]],0,0)</f>
        <v>7800</v>
      </c>
      <c r="I2731">
        <f>Food_Orders[[#This Row],[Client_Price]]-Food_Orders[[#This Row],[Cost]]</f>
        <v>1300</v>
      </c>
    </row>
    <row r="2732" spans="1:9" x14ac:dyDescent="0.25">
      <c r="A2732">
        <v>114</v>
      </c>
      <c r="B2732" t="s">
        <v>77</v>
      </c>
      <c r="C2732" t="s">
        <v>61</v>
      </c>
      <c r="D2732" t="s">
        <v>78</v>
      </c>
      <c r="E2732" t="s">
        <v>79</v>
      </c>
      <c r="F2732" cm="1">
        <f t="array" ref="F2732">_xlfn.XLOOKUP(Food_Orders[[#This Row],[Event_No]],Event_Master[[#All],[Event_No]],Event_Master[[#All],[Guest_Count]],,0)</f>
        <v>130</v>
      </c>
      <c r="G2732" cm="1">
        <f t="array" ref="G2732">Food_Orders[[#This Row],[Quantity_Orderd]]*_xlfn.XLOOKUP(Food_Orders[[#This Row],[Food_ID]],Food_Catalog[[#All],[Food_ID]],Food_Catalog[[#All],[Price_Per_Unit]],0,0)</f>
        <v>4550</v>
      </c>
      <c r="H2732" cm="1">
        <f t="array" ref="H2732">Food_Orders[[#This Row],[Quantity_Orderd]]*_xlfn.XLOOKUP(Food_Orders[[#This Row],[Food_ID]],Food_Catalog[[#All],[Food_ID]],Food_Catalog[[#All],[Client_Price_Per_Unit]],0,0)</f>
        <v>5460</v>
      </c>
      <c r="I2732">
        <f>Food_Orders[[#This Row],[Client_Price]]-Food_Orders[[#This Row],[Cost]]</f>
        <v>910</v>
      </c>
    </row>
    <row r="2733" spans="1:9" x14ac:dyDescent="0.25">
      <c r="A2733">
        <v>114</v>
      </c>
      <c r="B2733" t="s">
        <v>7</v>
      </c>
      <c r="C2733" t="s">
        <v>8</v>
      </c>
      <c r="D2733" t="s">
        <v>9</v>
      </c>
      <c r="E2733" t="s">
        <v>10</v>
      </c>
      <c r="F2733" cm="1">
        <f t="array" ref="F2733">_xlfn.XLOOKUP(Food_Orders[[#This Row],[Event_No]],Event_Master[[#All],[Event_No]],Event_Master[[#All],[Guest_Count]],,0)</f>
        <v>130</v>
      </c>
      <c r="G2733" cm="1">
        <f t="array" ref="G2733">Food_Orders[[#This Row],[Quantity_Orderd]]*_xlfn.XLOOKUP(Food_Orders[[#This Row],[Food_ID]],Food_Catalog[[#All],[Food_ID]],Food_Catalog[[#All],[Price_Per_Unit]],0,0)</f>
        <v>3250</v>
      </c>
      <c r="H2733" cm="1">
        <f t="array" ref="H2733">Food_Orders[[#This Row],[Quantity_Orderd]]*_xlfn.XLOOKUP(Food_Orders[[#This Row],[Food_ID]],Food_Catalog[[#All],[Food_ID]],Food_Catalog[[#All],[Client_Price_Per_Unit]],0,0)</f>
        <v>3900</v>
      </c>
      <c r="I2733">
        <f>Food_Orders[[#This Row],[Client_Price]]-Food_Orders[[#This Row],[Cost]]</f>
        <v>650</v>
      </c>
    </row>
    <row r="2734" spans="1:9" x14ac:dyDescent="0.25">
      <c r="A2734">
        <v>114</v>
      </c>
      <c r="B2734" t="s">
        <v>13</v>
      </c>
      <c r="C2734" t="s">
        <v>8</v>
      </c>
      <c r="D2734" t="s">
        <v>14</v>
      </c>
      <c r="E2734" t="s">
        <v>10</v>
      </c>
      <c r="F2734" cm="1">
        <f t="array" ref="F2734">_xlfn.XLOOKUP(Food_Orders[[#This Row],[Event_No]],Event_Master[[#All],[Event_No]],Event_Master[[#All],[Guest_Count]],,0)</f>
        <v>130</v>
      </c>
      <c r="G2734" cm="1">
        <f t="array" ref="G2734">Food_Orders[[#This Row],[Quantity_Orderd]]*_xlfn.XLOOKUP(Food_Orders[[#This Row],[Food_ID]],Food_Catalog[[#All],[Food_ID]],Food_Catalog[[#All],[Price_Per_Unit]],0,0)</f>
        <v>4550</v>
      </c>
      <c r="H2734" cm="1">
        <f t="array" ref="H2734">Food_Orders[[#This Row],[Quantity_Orderd]]*_xlfn.XLOOKUP(Food_Orders[[#This Row],[Food_ID]],Food_Catalog[[#All],[Food_ID]],Food_Catalog[[#All],[Client_Price_Per_Unit]],0,0)</f>
        <v>5460</v>
      </c>
      <c r="I2734">
        <f>Food_Orders[[#This Row],[Client_Price]]-Food_Orders[[#This Row],[Cost]]</f>
        <v>910</v>
      </c>
    </row>
    <row r="2735" spans="1:9" x14ac:dyDescent="0.25">
      <c r="A2735">
        <v>114</v>
      </c>
      <c r="B2735" t="s">
        <v>27</v>
      </c>
      <c r="C2735" t="s">
        <v>8</v>
      </c>
      <c r="D2735" t="s">
        <v>28</v>
      </c>
      <c r="E2735" t="s">
        <v>10</v>
      </c>
      <c r="F2735" cm="1">
        <f t="array" ref="F2735">_xlfn.XLOOKUP(Food_Orders[[#This Row],[Event_No]],Event_Master[[#All],[Event_No]],Event_Master[[#All],[Guest_Count]],,0)</f>
        <v>130</v>
      </c>
      <c r="G2735" cm="1">
        <f t="array" ref="G2735">Food_Orders[[#This Row],[Quantity_Orderd]]*_xlfn.XLOOKUP(Food_Orders[[#This Row],[Food_ID]],Food_Catalog[[#All],[Food_ID]],Food_Catalog[[#All],[Price_Per_Unit]],0,0)</f>
        <v>5200</v>
      </c>
      <c r="H2735" cm="1">
        <f t="array" ref="H2735">Food_Orders[[#This Row],[Quantity_Orderd]]*_xlfn.XLOOKUP(Food_Orders[[#This Row],[Food_ID]],Food_Catalog[[#All],[Food_ID]],Food_Catalog[[#All],[Client_Price_Per_Unit]],0,0)</f>
        <v>6240</v>
      </c>
      <c r="I2735">
        <f>Food_Orders[[#This Row],[Client_Price]]-Food_Orders[[#This Row],[Cost]]</f>
        <v>1040</v>
      </c>
    </row>
    <row r="2736" spans="1:9" x14ac:dyDescent="0.25">
      <c r="A2736">
        <v>114</v>
      </c>
      <c r="B2736" t="s">
        <v>31</v>
      </c>
      <c r="C2736" t="s">
        <v>8</v>
      </c>
      <c r="D2736" t="s">
        <v>32</v>
      </c>
      <c r="E2736" t="s">
        <v>10</v>
      </c>
      <c r="F2736" cm="1">
        <f t="array" ref="F2736">_xlfn.XLOOKUP(Food_Orders[[#This Row],[Event_No]],Event_Master[[#All],[Event_No]],Event_Master[[#All],[Guest_Count]],,0)</f>
        <v>130</v>
      </c>
      <c r="G2736" cm="1">
        <f t="array" ref="G2736">Food_Orders[[#This Row],[Quantity_Orderd]]*_xlfn.XLOOKUP(Food_Orders[[#This Row],[Food_ID]],Food_Catalog[[#All],[Food_ID]],Food_Catalog[[#All],[Price_Per_Unit]],0,0)</f>
        <v>3900</v>
      </c>
      <c r="H2736" cm="1">
        <f t="array" ref="H2736">Food_Orders[[#This Row],[Quantity_Orderd]]*_xlfn.XLOOKUP(Food_Orders[[#This Row],[Food_ID]],Food_Catalog[[#All],[Food_ID]],Food_Catalog[[#All],[Client_Price_Per_Unit]],0,0)</f>
        <v>4680</v>
      </c>
      <c r="I2736">
        <f>Food_Orders[[#This Row],[Client_Price]]-Food_Orders[[#This Row],[Cost]]</f>
        <v>780</v>
      </c>
    </row>
    <row r="2737" spans="1:9" x14ac:dyDescent="0.25">
      <c r="A2737">
        <v>114</v>
      </c>
      <c r="B2737" t="s">
        <v>33</v>
      </c>
      <c r="C2737" t="s">
        <v>8</v>
      </c>
      <c r="D2737" t="s">
        <v>34</v>
      </c>
      <c r="E2737" t="s">
        <v>10</v>
      </c>
      <c r="F2737" cm="1">
        <f t="array" ref="F2737">_xlfn.XLOOKUP(Food_Orders[[#This Row],[Event_No]],Event_Master[[#All],[Event_No]],Event_Master[[#All],[Guest_Count]],,0)</f>
        <v>130</v>
      </c>
      <c r="G2737" cm="1">
        <f t="array" ref="G2737">Food_Orders[[#This Row],[Quantity_Orderd]]*_xlfn.XLOOKUP(Food_Orders[[#This Row],[Food_ID]],Food_Catalog[[#All],[Food_ID]],Food_Catalog[[#All],[Price_Per_Unit]],0,0)</f>
        <v>3900</v>
      </c>
      <c r="H2737" cm="1">
        <f t="array" ref="H2737">Food_Orders[[#This Row],[Quantity_Orderd]]*_xlfn.XLOOKUP(Food_Orders[[#This Row],[Food_ID]],Food_Catalog[[#All],[Food_ID]],Food_Catalog[[#All],[Client_Price_Per_Unit]],0,0)</f>
        <v>4680</v>
      </c>
      <c r="I2737">
        <f>Food_Orders[[#This Row],[Client_Price]]-Food_Orders[[#This Row],[Cost]]</f>
        <v>780</v>
      </c>
    </row>
    <row r="2738" spans="1:9" x14ac:dyDescent="0.25">
      <c r="A2738">
        <v>114</v>
      </c>
      <c r="B2738" t="s">
        <v>17</v>
      </c>
      <c r="C2738" t="s">
        <v>8</v>
      </c>
      <c r="D2738" t="s">
        <v>18</v>
      </c>
      <c r="E2738" t="s">
        <v>10</v>
      </c>
      <c r="F2738" cm="1">
        <f t="array" ref="F2738">_xlfn.XLOOKUP(Food_Orders[[#This Row],[Event_No]],Event_Master[[#All],[Event_No]],Event_Master[[#All],[Guest_Count]],,0)</f>
        <v>130</v>
      </c>
      <c r="G2738" cm="1">
        <f t="array" ref="G2738">Food_Orders[[#This Row],[Quantity_Orderd]]*_xlfn.XLOOKUP(Food_Orders[[#This Row],[Food_ID]],Food_Catalog[[#All],[Food_ID]],Food_Catalog[[#All],[Price_Per_Unit]],0,0)</f>
        <v>5200</v>
      </c>
      <c r="H2738" cm="1">
        <f t="array" ref="H2738">Food_Orders[[#This Row],[Quantity_Orderd]]*_xlfn.XLOOKUP(Food_Orders[[#This Row],[Food_ID]],Food_Catalog[[#All],[Food_ID]],Food_Catalog[[#All],[Client_Price_Per_Unit]],0,0)</f>
        <v>6240</v>
      </c>
      <c r="I2738">
        <f>Food_Orders[[#This Row],[Client_Price]]-Food_Orders[[#This Row],[Cost]]</f>
        <v>1040</v>
      </c>
    </row>
    <row r="2739" spans="1:9" x14ac:dyDescent="0.25">
      <c r="A2739">
        <v>114</v>
      </c>
      <c r="B2739" t="s">
        <v>29</v>
      </c>
      <c r="C2739" t="s">
        <v>8</v>
      </c>
      <c r="D2739" t="s">
        <v>30</v>
      </c>
      <c r="E2739" t="s">
        <v>10</v>
      </c>
      <c r="F2739" cm="1">
        <f t="array" ref="F2739">_xlfn.XLOOKUP(Food_Orders[[#This Row],[Event_No]],Event_Master[[#All],[Event_No]],Event_Master[[#All],[Guest_Count]],,0)</f>
        <v>130</v>
      </c>
      <c r="G2739" cm="1">
        <f t="array" ref="G2739">Food_Orders[[#This Row],[Quantity_Orderd]]*_xlfn.XLOOKUP(Food_Orders[[#This Row],[Food_ID]],Food_Catalog[[#All],[Food_ID]],Food_Catalog[[#All],[Price_Per_Unit]],0,0)</f>
        <v>3900</v>
      </c>
      <c r="H2739" cm="1">
        <f t="array" ref="H2739">Food_Orders[[#This Row],[Quantity_Orderd]]*_xlfn.XLOOKUP(Food_Orders[[#This Row],[Food_ID]],Food_Catalog[[#All],[Food_ID]],Food_Catalog[[#All],[Client_Price_Per_Unit]],0,0)</f>
        <v>4680</v>
      </c>
      <c r="I2739">
        <f>Food_Orders[[#This Row],[Client_Price]]-Food_Orders[[#This Row],[Cost]]</f>
        <v>780</v>
      </c>
    </row>
    <row r="2740" spans="1:9" x14ac:dyDescent="0.25">
      <c r="A2740">
        <v>114</v>
      </c>
      <c r="B2740" t="s">
        <v>37</v>
      </c>
      <c r="C2740" t="s">
        <v>8</v>
      </c>
      <c r="D2740" t="s">
        <v>38</v>
      </c>
      <c r="E2740" t="s">
        <v>10</v>
      </c>
      <c r="F2740" cm="1">
        <f t="array" ref="F2740">_xlfn.XLOOKUP(Food_Orders[[#This Row],[Event_No]],Event_Master[[#All],[Event_No]],Event_Master[[#All],[Guest_Count]],,0)</f>
        <v>130</v>
      </c>
      <c r="G2740" cm="1">
        <f t="array" ref="G2740">Food_Orders[[#This Row],[Quantity_Orderd]]*_xlfn.XLOOKUP(Food_Orders[[#This Row],[Food_ID]],Food_Catalog[[#All],[Food_ID]],Food_Catalog[[#All],[Price_Per_Unit]],0,0)</f>
        <v>3250</v>
      </c>
      <c r="H2740" cm="1">
        <f t="array" ref="H2740">Food_Orders[[#This Row],[Quantity_Orderd]]*_xlfn.XLOOKUP(Food_Orders[[#This Row],[Food_ID]],Food_Catalog[[#All],[Food_ID]],Food_Catalog[[#All],[Client_Price_Per_Unit]],0,0)</f>
        <v>3900</v>
      </c>
      <c r="I2740">
        <f>Food_Orders[[#This Row],[Client_Price]]-Food_Orders[[#This Row],[Cost]]</f>
        <v>650</v>
      </c>
    </row>
    <row r="2741" spans="1:9" x14ac:dyDescent="0.25">
      <c r="A2741">
        <v>114</v>
      </c>
      <c r="B2741" t="s">
        <v>82</v>
      </c>
      <c r="C2741" t="s">
        <v>83</v>
      </c>
      <c r="D2741" t="s">
        <v>84</v>
      </c>
      <c r="E2741" t="s">
        <v>85</v>
      </c>
      <c r="F2741" cm="1">
        <f t="array" ref="F2741">_xlfn.XLOOKUP(Food_Orders[[#This Row],[Event_No]],Event_Master[[#All],[Event_No]],Event_Master[[#All],[Guest_Count]],,0)</f>
        <v>130</v>
      </c>
      <c r="G2741" cm="1">
        <f t="array" ref="G2741">Food_Orders[[#This Row],[Quantity_Orderd]]*_xlfn.XLOOKUP(Food_Orders[[#This Row],[Food_ID]],Food_Catalog[[#All],[Food_ID]],Food_Catalog[[#All],[Price_Per_Unit]],0,0)</f>
        <v>2600</v>
      </c>
      <c r="H2741" cm="1">
        <f t="array" ref="H2741">Food_Orders[[#This Row],[Quantity_Orderd]]*_xlfn.XLOOKUP(Food_Orders[[#This Row],[Food_ID]],Food_Catalog[[#All],[Food_ID]],Food_Catalog[[#All],[Client_Price_Per_Unit]],0,0)</f>
        <v>3120</v>
      </c>
      <c r="I2741">
        <f>Food_Orders[[#This Row],[Client_Price]]-Food_Orders[[#This Row],[Cost]]</f>
        <v>520</v>
      </c>
    </row>
    <row r="2742" spans="1:9" x14ac:dyDescent="0.25">
      <c r="A2742">
        <v>114</v>
      </c>
      <c r="B2742" t="s">
        <v>86</v>
      </c>
      <c r="C2742" t="s">
        <v>83</v>
      </c>
      <c r="D2742" t="s">
        <v>87</v>
      </c>
      <c r="E2742" t="s">
        <v>85</v>
      </c>
      <c r="F2742" cm="1">
        <f t="array" ref="F2742">_xlfn.XLOOKUP(Food_Orders[[#This Row],[Event_No]],Event_Master[[#All],[Event_No]],Event_Master[[#All],[Guest_Count]],,0)</f>
        <v>130</v>
      </c>
      <c r="G2742" cm="1">
        <f t="array" ref="G2742">Food_Orders[[#This Row],[Quantity_Orderd]]*_xlfn.XLOOKUP(Food_Orders[[#This Row],[Food_ID]],Food_Catalog[[#All],[Food_ID]],Food_Catalog[[#All],[Price_Per_Unit]],0,0)</f>
        <v>2600</v>
      </c>
      <c r="H2742" cm="1">
        <f t="array" ref="H2742">Food_Orders[[#This Row],[Quantity_Orderd]]*_xlfn.XLOOKUP(Food_Orders[[#This Row],[Food_ID]],Food_Catalog[[#All],[Food_ID]],Food_Catalog[[#All],[Client_Price_Per_Unit]],0,0)</f>
        <v>3120</v>
      </c>
      <c r="I2742">
        <f>Food_Orders[[#This Row],[Client_Price]]-Food_Orders[[#This Row],[Cost]]</f>
        <v>520</v>
      </c>
    </row>
    <row r="2743" spans="1:9" x14ac:dyDescent="0.25">
      <c r="A2743">
        <v>114</v>
      </c>
      <c r="B2743" t="s">
        <v>96</v>
      </c>
      <c r="C2743" t="s">
        <v>83</v>
      </c>
      <c r="D2743" t="s">
        <v>97</v>
      </c>
      <c r="E2743" t="s">
        <v>79</v>
      </c>
      <c r="F2743" cm="1">
        <f t="array" ref="F2743">_xlfn.XLOOKUP(Food_Orders[[#This Row],[Event_No]],Event_Master[[#All],[Event_No]],Event_Master[[#All],[Guest_Count]],,0)</f>
        <v>130</v>
      </c>
      <c r="G2743" cm="1">
        <f t="array" ref="G2743">Food_Orders[[#This Row],[Quantity_Orderd]]*_xlfn.XLOOKUP(Food_Orders[[#This Row],[Food_ID]],Food_Catalog[[#All],[Food_ID]],Food_Catalog[[#All],[Price_Per_Unit]],0,0)</f>
        <v>3900</v>
      </c>
      <c r="H2743" cm="1">
        <f t="array" ref="H2743">Food_Orders[[#This Row],[Quantity_Orderd]]*_xlfn.XLOOKUP(Food_Orders[[#This Row],[Food_ID]],Food_Catalog[[#All],[Food_ID]],Food_Catalog[[#All],[Client_Price_Per_Unit]],0,0)</f>
        <v>4680</v>
      </c>
      <c r="I2743">
        <f>Food_Orders[[#This Row],[Client_Price]]-Food_Orders[[#This Row],[Cost]]</f>
        <v>780</v>
      </c>
    </row>
    <row r="2744" spans="1:9" x14ac:dyDescent="0.25">
      <c r="A2744">
        <v>114</v>
      </c>
      <c r="B2744" t="s">
        <v>88</v>
      </c>
      <c r="C2744" t="s">
        <v>83</v>
      </c>
      <c r="D2744" t="s">
        <v>89</v>
      </c>
      <c r="E2744" t="s">
        <v>85</v>
      </c>
      <c r="F2744" cm="1">
        <f t="array" ref="F2744">_xlfn.XLOOKUP(Food_Orders[[#This Row],[Event_No]],Event_Master[[#All],[Event_No]],Event_Master[[#All],[Guest_Count]],,0)</f>
        <v>130</v>
      </c>
      <c r="G2744" cm="1">
        <f t="array" ref="G2744">Food_Orders[[#This Row],[Quantity_Orderd]]*_xlfn.XLOOKUP(Food_Orders[[#This Row],[Food_ID]],Food_Catalog[[#All],[Food_ID]],Food_Catalog[[#All],[Price_Per_Unit]],0,0)</f>
        <v>1950</v>
      </c>
      <c r="H2744" cm="1">
        <f t="array" ref="H2744">Food_Orders[[#This Row],[Quantity_Orderd]]*_xlfn.XLOOKUP(Food_Orders[[#This Row],[Food_ID]],Food_Catalog[[#All],[Food_ID]],Food_Catalog[[#All],[Client_Price_Per_Unit]],0,0)</f>
        <v>2340</v>
      </c>
      <c r="I2744">
        <f>Food_Orders[[#This Row],[Client_Price]]-Food_Orders[[#This Row],[Cost]]</f>
        <v>390</v>
      </c>
    </row>
    <row r="2745" spans="1:9" x14ac:dyDescent="0.25">
      <c r="A2745">
        <v>114</v>
      </c>
      <c r="B2745" t="s">
        <v>92</v>
      </c>
      <c r="C2745" t="s">
        <v>83</v>
      </c>
      <c r="D2745" t="s">
        <v>93</v>
      </c>
      <c r="E2745" t="s">
        <v>85</v>
      </c>
      <c r="F2745" cm="1">
        <f t="array" ref="F2745">_xlfn.XLOOKUP(Food_Orders[[#This Row],[Event_No]],Event_Master[[#All],[Event_No]],Event_Master[[#All],[Guest_Count]],,0)</f>
        <v>130</v>
      </c>
      <c r="G2745" cm="1">
        <f t="array" ref="G2745">Food_Orders[[#This Row],[Quantity_Orderd]]*_xlfn.XLOOKUP(Food_Orders[[#This Row],[Food_ID]],Food_Catalog[[#All],[Food_ID]],Food_Catalog[[#All],[Price_Per_Unit]],0,0)</f>
        <v>1950</v>
      </c>
      <c r="H2745" cm="1">
        <f t="array" ref="H2745">Food_Orders[[#This Row],[Quantity_Orderd]]*_xlfn.XLOOKUP(Food_Orders[[#This Row],[Food_ID]],Food_Catalog[[#All],[Food_ID]],Food_Catalog[[#All],[Client_Price_Per_Unit]],0,0)</f>
        <v>2340</v>
      </c>
      <c r="I2745">
        <f>Food_Orders[[#This Row],[Client_Price]]-Food_Orders[[#This Row],[Cost]]</f>
        <v>390</v>
      </c>
    </row>
    <row r="2746" spans="1:9" x14ac:dyDescent="0.25">
      <c r="A2746">
        <v>114</v>
      </c>
      <c r="B2746" t="s">
        <v>98</v>
      </c>
      <c r="C2746" t="s">
        <v>83</v>
      </c>
      <c r="D2746" t="s">
        <v>99</v>
      </c>
      <c r="E2746" t="s">
        <v>85</v>
      </c>
      <c r="F2746" cm="1">
        <f t="array" ref="F2746">_xlfn.XLOOKUP(Food_Orders[[#This Row],[Event_No]],Event_Master[[#All],[Event_No]],Event_Master[[#All],[Guest_Count]],,0)</f>
        <v>130</v>
      </c>
      <c r="G2746" cm="1">
        <f t="array" ref="G2746">Food_Orders[[#This Row],[Quantity_Orderd]]*_xlfn.XLOOKUP(Food_Orders[[#This Row],[Food_ID]],Food_Catalog[[#All],[Food_ID]],Food_Catalog[[#All],[Price_Per_Unit]],0,0)</f>
        <v>1950</v>
      </c>
      <c r="H2746" cm="1">
        <f t="array" ref="H2746">Food_Orders[[#This Row],[Quantity_Orderd]]*_xlfn.XLOOKUP(Food_Orders[[#This Row],[Food_ID]],Food_Catalog[[#All],[Food_ID]],Food_Catalog[[#All],[Client_Price_Per_Unit]],0,0)</f>
        <v>2340</v>
      </c>
      <c r="I2746">
        <f>Food_Orders[[#This Row],[Client_Price]]-Food_Orders[[#This Row],[Cost]]</f>
        <v>390</v>
      </c>
    </row>
    <row r="2747" spans="1:9" x14ac:dyDescent="0.25">
      <c r="A2747">
        <v>114</v>
      </c>
      <c r="B2747" t="s">
        <v>104</v>
      </c>
      <c r="C2747" t="s">
        <v>105</v>
      </c>
      <c r="D2747" t="s">
        <v>106</v>
      </c>
      <c r="E2747" t="s">
        <v>107</v>
      </c>
      <c r="F2747" cm="1">
        <f t="array" ref="F2747">_xlfn.XLOOKUP(Food_Orders[[#This Row],[Event_No]],Event_Master[[#All],[Event_No]],Event_Master[[#All],[Guest_Count]],,0)</f>
        <v>130</v>
      </c>
      <c r="G2747" cm="1">
        <f t="array" ref="G2747">Food_Orders[[#This Row],[Quantity_Orderd]]*_xlfn.XLOOKUP(Food_Orders[[#This Row],[Food_ID]],Food_Catalog[[#All],[Food_ID]],Food_Catalog[[#All],[Price_Per_Unit]],0,0)</f>
        <v>1300</v>
      </c>
      <c r="H2747" cm="1">
        <f t="array" ref="H2747">Food_Orders[[#This Row],[Quantity_Orderd]]*_xlfn.XLOOKUP(Food_Orders[[#This Row],[Food_ID]],Food_Catalog[[#All],[Food_ID]],Food_Catalog[[#All],[Client_Price_Per_Unit]],0,0)</f>
        <v>1560</v>
      </c>
      <c r="I2747">
        <f>Food_Orders[[#This Row],[Client_Price]]-Food_Orders[[#This Row],[Cost]]</f>
        <v>260</v>
      </c>
    </row>
    <row r="2748" spans="1:9" x14ac:dyDescent="0.25">
      <c r="A2748">
        <v>114</v>
      </c>
      <c r="B2748" t="s">
        <v>108</v>
      </c>
      <c r="C2748" t="s">
        <v>105</v>
      </c>
      <c r="D2748" t="s">
        <v>109</v>
      </c>
      <c r="E2748" t="s">
        <v>107</v>
      </c>
      <c r="F2748" cm="1">
        <f t="array" ref="F2748">_xlfn.XLOOKUP(Food_Orders[[#This Row],[Event_No]],Event_Master[[#All],[Event_No]],Event_Master[[#All],[Guest_Count]],,0)</f>
        <v>130</v>
      </c>
      <c r="G2748" cm="1">
        <f t="array" ref="G2748">Food_Orders[[#This Row],[Quantity_Orderd]]*_xlfn.XLOOKUP(Food_Orders[[#This Row],[Food_ID]],Food_Catalog[[#All],[Food_ID]],Food_Catalog[[#All],[Price_Per_Unit]],0,0)</f>
        <v>1950</v>
      </c>
      <c r="H2748" cm="1">
        <f t="array" ref="H2748">Food_Orders[[#This Row],[Quantity_Orderd]]*_xlfn.XLOOKUP(Food_Orders[[#This Row],[Food_ID]],Food_Catalog[[#All],[Food_ID]],Food_Catalog[[#All],[Client_Price_Per_Unit]],0,0)</f>
        <v>2340</v>
      </c>
      <c r="I2748">
        <f>Food_Orders[[#This Row],[Client_Price]]-Food_Orders[[#This Row],[Cost]]</f>
        <v>390</v>
      </c>
    </row>
    <row r="2749" spans="1:9" x14ac:dyDescent="0.25">
      <c r="A2749">
        <v>114</v>
      </c>
      <c r="B2749" t="s">
        <v>118</v>
      </c>
      <c r="C2749" t="s">
        <v>119</v>
      </c>
      <c r="D2749" t="s">
        <v>120</v>
      </c>
      <c r="E2749" t="s">
        <v>112</v>
      </c>
      <c r="F2749" cm="1">
        <f t="array" ref="F2749">_xlfn.XLOOKUP(Food_Orders[[#This Row],[Event_No]],Event_Master[[#All],[Event_No]],Event_Master[[#All],[Guest_Count]],,0)</f>
        <v>130</v>
      </c>
      <c r="G2749" cm="1">
        <f t="array" ref="G2749">Food_Orders[[#This Row],[Quantity_Orderd]]*_xlfn.XLOOKUP(Food_Orders[[#This Row],[Food_ID]],Food_Catalog[[#All],[Food_ID]],Food_Catalog[[#All],[Price_Per_Unit]],0,0)</f>
        <v>1300</v>
      </c>
      <c r="H2749" cm="1">
        <f t="array" ref="H2749">Food_Orders[[#This Row],[Quantity_Orderd]]*_xlfn.XLOOKUP(Food_Orders[[#This Row],[Food_ID]],Food_Catalog[[#All],[Food_ID]],Food_Catalog[[#All],[Client_Price_Per_Unit]],0,0)</f>
        <v>1560</v>
      </c>
      <c r="I2749">
        <f>Food_Orders[[#This Row],[Client_Price]]-Food_Orders[[#This Row],[Cost]]</f>
        <v>260</v>
      </c>
    </row>
    <row r="2750" spans="1:9" x14ac:dyDescent="0.25">
      <c r="A2750">
        <v>114</v>
      </c>
      <c r="B2750" t="s">
        <v>129</v>
      </c>
      <c r="C2750" t="s">
        <v>119</v>
      </c>
      <c r="D2750" t="s">
        <v>130</v>
      </c>
      <c r="E2750" t="s">
        <v>112</v>
      </c>
      <c r="F2750" cm="1">
        <f t="array" ref="F2750">_xlfn.XLOOKUP(Food_Orders[[#This Row],[Event_No]],Event_Master[[#All],[Event_No]],Event_Master[[#All],[Guest_Count]],,0)</f>
        <v>130</v>
      </c>
      <c r="G2750" cm="1">
        <f t="array" ref="G2750">Food_Orders[[#This Row],[Quantity_Orderd]]*_xlfn.XLOOKUP(Food_Orders[[#This Row],[Food_ID]],Food_Catalog[[#All],[Food_ID]],Food_Catalog[[#All],[Price_Per_Unit]],0,0)</f>
        <v>1300</v>
      </c>
      <c r="H2750" cm="1">
        <f t="array" ref="H2750">Food_Orders[[#This Row],[Quantity_Orderd]]*_xlfn.XLOOKUP(Food_Orders[[#This Row],[Food_ID]],Food_Catalog[[#All],[Food_ID]],Food_Catalog[[#All],[Client_Price_Per_Unit]],0,0)</f>
        <v>1560</v>
      </c>
      <c r="I2750">
        <f>Food_Orders[[#This Row],[Client_Price]]-Food_Orders[[#This Row],[Cost]]</f>
        <v>260</v>
      </c>
    </row>
    <row r="2751" spans="1:9" x14ac:dyDescent="0.25">
      <c r="A2751">
        <v>114</v>
      </c>
      <c r="B2751" t="s">
        <v>127</v>
      </c>
      <c r="C2751" t="s">
        <v>119</v>
      </c>
      <c r="D2751" t="s">
        <v>128</v>
      </c>
      <c r="E2751" t="s">
        <v>107</v>
      </c>
      <c r="F2751" cm="1">
        <f t="array" ref="F2751">_xlfn.XLOOKUP(Food_Orders[[#This Row],[Event_No]],Event_Master[[#All],[Event_No]],Event_Master[[#All],[Guest_Count]],,0)</f>
        <v>130</v>
      </c>
      <c r="G2751" cm="1">
        <f t="array" ref="G2751">Food_Orders[[#This Row],[Quantity_Orderd]]*_xlfn.XLOOKUP(Food_Orders[[#This Row],[Food_ID]],Food_Catalog[[#All],[Food_ID]],Food_Catalog[[#All],[Price_Per_Unit]],0,0)</f>
        <v>2600</v>
      </c>
      <c r="H2751" cm="1">
        <f t="array" ref="H2751">Food_Orders[[#This Row],[Quantity_Orderd]]*_xlfn.XLOOKUP(Food_Orders[[#This Row],[Food_ID]],Food_Catalog[[#All],[Food_ID]],Food_Catalog[[#All],[Client_Price_Per_Unit]],0,0)</f>
        <v>3120</v>
      </c>
      <c r="I2751">
        <f>Food_Orders[[#This Row],[Client_Price]]-Food_Orders[[#This Row],[Cost]]</f>
        <v>520</v>
      </c>
    </row>
    <row r="2752" spans="1:9" x14ac:dyDescent="0.25">
      <c r="A2752">
        <v>114</v>
      </c>
      <c r="B2752" t="s">
        <v>124</v>
      </c>
      <c r="C2752" t="s">
        <v>119</v>
      </c>
      <c r="D2752" t="s">
        <v>125</v>
      </c>
      <c r="E2752" t="s">
        <v>126</v>
      </c>
      <c r="F2752" cm="1">
        <f t="array" ref="F2752">_xlfn.XLOOKUP(Food_Orders[[#This Row],[Event_No]],Event_Master[[#All],[Event_No]],Event_Master[[#All],[Guest_Count]],,0)</f>
        <v>130</v>
      </c>
      <c r="G2752" cm="1">
        <f t="array" ref="G2752">Food_Orders[[#This Row],[Quantity_Orderd]]*_xlfn.XLOOKUP(Food_Orders[[#This Row],[Food_ID]],Food_Catalog[[#All],[Food_ID]],Food_Catalog[[#All],[Price_Per_Unit]],0,0)</f>
        <v>2600</v>
      </c>
      <c r="H2752" cm="1">
        <f t="array" ref="H2752">Food_Orders[[#This Row],[Quantity_Orderd]]*_xlfn.XLOOKUP(Food_Orders[[#This Row],[Food_ID]],Food_Catalog[[#All],[Food_ID]],Food_Catalog[[#All],[Client_Price_Per_Unit]],0,0)</f>
        <v>3120</v>
      </c>
      <c r="I2752">
        <f>Food_Orders[[#This Row],[Client_Price]]-Food_Orders[[#This Row],[Cost]]</f>
        <v>520</v>
      </c>
    </row>
    <row r="2753" spans="1:9" x14ac:dyDescent="0.25">
      <c r="A2753">
        <v>114</v>
      </c>
      <c r="B2753" t="s">
        <v>121</v>
      </c>
      <c r="C2753" t="s">
        <v>119</v>
      </c>
      <c r="D2753" t="s">
        <v>122</v>
      </c>
      <c r="E2753" t="s">
        <v>123</v>
      </c>
      <c r="F2753" cm="1">
        <f t="array" ref="F2753">_xlfn.XLOOKUP(Food_Orders[[#This Row],[Event_No]],Event_Master[[#All],[Event_No]],Event_Master[[#All],[Guest_Count]],,0)</f>
        <v>130</v>
      </c>
      <c r="G2753" cm="1">
        <f t="array" ref="G2753">Food_Orders[[#This Row],[Quantity_Orderd]]*_xlfn.XLOOKUP(Food_Orders[[#This Row],[Food_ID]],Food_Catalog[[#All],[Food_ID]],Food_Catalog[[#All],[Price_Per_Unit]],0,0)</f>
        <v>1300</v>
      </c>
      <c r="H2753" cm="1">
        <f t="array" ref="H2753">Food_Orders[[#This Row],[Quantity_Orderd]]*_xlfn.XLOOKUP(Food_Orders[[#This Row],[Food_ID]],Food_Catalog[[#All],[Food_ID]],Food_Catalog[[#All],[Client_Price_Per_Unit]],0,0)</f>
        <v>1560</v>
      </c>
      <c r="I2753">
        <f>Food_Orders[[#This Row],[Client_Price]]-Food_Orders[[#This Row],[Cost]]</f>
        <v>260</v>
      </c>
    </row>
    <row r="2754" spans="1:9" x14ac:dyDescent="0.25">
      <c r="A2754">
        <v>115</v>
      </c>
      <c r="B2754" t="s">
        <v>60</v>
      </c>
      <c r="C2754" t="s">
        <v>61</v>
      </c>
      <c r="D2754" t="s">
        <v>62</v>
      </c>
      <c r="E2754" t="s">
        <v>10</v>
      </c>
      <c r="F2754" cm="1">
        <f t="array" ref="F2754">_xlfn.XLOOKUP(Food_Orders[[#This Row],[Event_No]],Event_Master[[#All],[Event_No]],Event_Master[[#All],[Guest_Count]],,0)</f>
        <v>250</v>
      </c>
      <c r="G2754" cm="1">
        <f t="array" ref="G2754">Food_Orders[[#This Row],[Quantity_Orderd]]*_xlfn.XLOOKUP(Food_Orders[[#This Row],[Food_ID]],Food_Catalog[[#All],[Food_ID]],Food_Catalog[[#All],[Price_Per_Unit]],0,0)</f>
        <v>5000</v>
      </c>
      <c r="H2754" cm="1">
        <f t="array" ref="H2754">Food_Orders[[#This Row],[Quantity_Orderd]]*_xlfn.XLOOKUP(Food_Orders[[#This Row],[Food_ID]],Food_Catalog[[#All],[Food_ID]],Food_Catalog[[#All],[Client_Price_Per_Unit]],0,0)</f>
        <v>6000</v>
      </c>
      <c r="I2754">
        <f>Food_Orders[[#This Row],[Client_Price]]-Food_Orders[[#This Row],[Cost]]</f>
        <v>1000</v>
      </c>
    </row>
    <row r="2755" spans="1:9" x14ac:dyDescent="0.25">
      <c r="A2755">
        <v>115</v>
      </c>
      <c r="B2755" t="s">
        <v>63</v>
      </c>
      <c r="C2755" t="s">
        <v>61</v>
      </c>
      <c r="D2755" t="s">
        <v>64</v>
      </c>
      <c r="E2755" t="s">
        <v>10</v>
      </c>
      <c r="F2755" cm="1">
        <f t="array" ref="F2755">_xlfn.XLOOKUP(Food_Orders[[#This Row],[Event_No]],Event_Master[[#All],[Event_No]],Event_Master[[#All],[Guest_Count]],,0)</f>
        <v>250</v>
      </c>
      <c r="G2755" cm="1">
        <f t="array" ref="G2755">Food_Orders[[#This Row],[Quantity_Orderd]]*_xlfn.XLOOKUP(Food_Orders[[#This Row],[Food_ID]],Food_Catalog[[#All],[Food_ID]],Food_Catalog[[#All],[Price_Per_Unit]],0,0)</f>
        <v>7500</v>
      </c>
      <c r="H2755" cm="1">
        <f t="array" ref="H2755">Food_Orders[[#This Row],[Quantity_Orderd]]*_xlfn.XLOOKUP(Food_Orders[[#This Row],[Food_ID]],Food_Catalog[[#All],[Food_ID]],Food_Catalog[[#All],[Client_Price_Per_Unit]],0,0)</f>
        <v>9000</v>
      </c>
      <c r="I2755">
        <f>Food_Orders[[#This Row],[Client_Price]]-Food_Orders[[#This Row],[Cost]]</f>
        <v>1500</v>
      </c>
    </row>
    <row r="2756" spans="1:9" x14ac:dyDescent="0.25">
      <c r="A2756">
        <v>115</v>
      </c>
      <c r="B2756" t="s">
        <v>71</v>
      </c>
      <c r="C2756" t="s">
        <v>61</v>
      </c>
      <c r="D2756" t="s">
        <v>72</v>
      </c>
      <c r="E2756" t="s">
        <v>10</v>
      </c>
      <c r="F2756" cm="1">
        <f t="array" ref="F2756">_xlfn.XLOOKUP(Food_Orders[[#This Row],[Event_No]],Event_Master[[#All],[Event_No]],Event_Master[[#All],[Guest_Count]],,0)</f>
        <v>250</v>
      </c>
      <c r="G2756" cm="1">
        <f t="array" ref="G2756">Food_Orders[[#This Row],[Quantity_Orderd]]*_xlfn.XLOOKUP(Food_Orders[[#This Row],[Food_ID]],Food_Catalog[[#All],[Food_ID]],Food_Catalog[[#All],[Price_Per_Unit]],0,0)</f>
        <v>6250</v>
      </c>
      <c r="H2756" cm="1">
        <f t="array" ref="H2756">Food_Orders[[#This Row],[Quantity_Orderd]]*_xlfn.XLOOKUP(Food_Orders[[#This Row],[Food_ID]],Food_Catalog[[#All],[Food_ID]],Food_Catalog[[#All],[Client_Price_Per_Unit]],0,0)</f>
        <v>7500</v>
      </c>
      <c r="I2756">
        <f>Food_Orders[[#This Row],[Client_Price]]-Food_Orders[[#This Row],[Cost]]</f>
        <v>1250</v>
      </c>
    </row>
    <row r="2757" spans="1:9" x14ac:dyDescent="0.25">
      <c r="A2757">
        <v>115</v>
      </c>
      <c r="B2757" t="s">
        <v>73</v>
      </c>
      <c r="C2757" t="s">
        <v>61</v>
      </c>
      <c r="D2757" t="s">
        <v>74</v>
      </c>
      <c r="E2757" t="s">
        <v>10</v>
      </c>
      <c r="F2757" cm="1">
        <f t="array" ref="F2757">_xlfn.XLOOKUP(Food_Orders[[#This Row],[Event_No]],Event_Master[[#All],[Event_No]],Event_Master[[#All],[Guest_Count]],,0)</f>
        <v>250</v>
      </c>
      <c r="G2757" cm="1">
        <f t="array" ref="G2757">Food_Orders[[#This Row],[Quantity_Orderd]]*_xlfn.XLOOKUP(Food_Orders[[#This Row],[Food_ID]],Food_Catalog[[#All],[Food_ID]],Food_Catalog[[#All],[Price_Per_Unit]],0,0)</f>
        <v>10000</v>
      </c>
      <c r="H2757" cm="1">
        <f t="array" ref="H2757">Food_Orders[[#This Row],[Quantity_Orderd]]*_xlfn.XLOOKUP(Food_Orders[[#This Row],[Food_ID]],Food_Catalog[[#All],[Food_ID]],Food_Catalog[[#All],[Client_Price_Per_Unit]],0,0)</f>
        <v>12000</v>
      </c>
      <c r="I2757">
        <f>Food_Orders[[#This Row],[Client_Price]]-Food_Orders[[#This Row],[Cost]]</f>
        <v>2000</v>
      </c>
    </row>
    <row r="2758" spans="1:9" x14ac:dyDescent="0.25">
      <c r="A2758">
        <v>115</v>
      </c>
      <c r="B2758" t="s">
        <v>75</v>
      </c>
      <c r="C2758" t="s">
        <v>61</v>
      </c>
      <c r="D2758" t="s">
        <v>76</v>
      </c>
      <c r="E2758" t="s">
        <v>10</v>
      </c>
      <c r="F2758" cm="1">
        <f t="array" ref="F2758">_xlfn.XLOOKUP(Food_Orders[[#This Row],[Event_No]],Event_Master[[#All],[Event_No]],Event_Master[[#All],[Guest_Count]],,0)</f>
        <v>250</v>
      </c>
      <c r="G2758" cm="1">
        <f t="array" ref="G2758">Food_Orders[[#This Row],[Quantity_Orderd]]*_xlfn.XLOOKUP(Food_Orders[[#This Row],[Food_ID]],Food_Catalog[[#All],[Food_ID]],Food_Catalog[[#All],[Price_Per_Unit]],0,0)</f>
        <v>10000</v>
      </c>
      <c r="H2758" cm="1">
        <f t="array" ref="H2758">Food_Orders[[#This Row],[Quantity_Orderd]]*_xlfn.XLOOKUP(Food_Orders[[#This Row],[Food_ID]],Food_Catalog[[#All],[Food_ID]],Food_Catalog[[#All],[Client_Price_Per_Unit]],0,0)</f>
        <v>12000</v>
      </c>
      <c r="I2758">
        <f>Food_Orders[[#This Row],[Client_Price]]-Food_Orders[[#This Row],[Cost]]</f>
        <v>2000</v>
      </c>
    </row>
    <row r="2759" spans="1:9" x14ac:dyDescent="0.25">
      <c r="A2759">
        <v>115</v>
      </c>
      <c r="B2759" t="s">
        <v>69</v>
      </c>
      <c r="C2759" t="s">
        <v>61</v>
      </c>
      <c r="D2759" t="s">
        <v>70</v>
      </c>
      <c r="E2759" t="s">
        <v>10</v>
      </c>
      <c r="F2759" cm="1">
        <f t="array" ref="F2759">_xlfn.XLOOKUP(Food_Orders[[#This Row],[Event_No]],Event_Master[[#All],[Event_No]],Event_Master[[#All],[Guest_Count]],,0)</f>
        <v>250</v>
      </c>
      <c r="G2759" cm="1">
        <f t="array" ref="G2759">Food_Orders[[#This Row],[Quantity_Orderd]]*_xlfn.XLOOKUP(Food_Orders[[#This Row],[Food_ID]],Food_Catalog[[#All],[Food_ID]],Food_Catalog[[#All],[Price_Per_Unit]],0,0)</f>
        <v>12500</v>
      </c>
      <c r="H2759" cm="1">
        <f t="array" ref="H2759">Food_Orders[[#This Row],[Quantity_Orderd]]*_xlfn.XLOOKUP(Food_Orders[[#This Row],[Food_ID]],Food_Catalog[[#All],[Food_ID]],Food_Catalog[[#All],[Client_Price_Per_Unit]],0,0)</f>
        <v>15000</v>
      </c>
      <c r="I2759">
        <f>Food_Orders[[#This Row],[Client_Price]]-Food_Orders[[#This Row],[Cost]]</f>
        <v>2500</v>
      </c>
    </row>
    <row r="2760" spans="1:9" x14ac:dyDescent="0.25">
      <c r="A2760">
        <v>115</v>
      </c>
      <c r="B2760" t="s">
        <v>58</v>
      </c>
      <c r="C2760" t="s">
        <v>40</v>
      </c>
      <c r="D2760" t="s">
        <v>59</v>
      </c>
      <c r="E2760" t="s">
        <v>10</v>
      </c>
      <c r="F2760" cm="1">
        <f t="array" ref="F2760">_xlfn.XLOOKUP(Food_Orders[[#This Row],[Event_No]],Event_Master[[#All],[Event_No]],Event_Master[[#All],[Guest_Count]],,0)</f>
        <v>250</v>
      </c>
      <c r="G2760" cm="1">
        <f t="array" ref="G2760">Food_Orders[[#This Row],[Quantity_Orderd]]*_xlfn.XLOOKUP(Food_Orders[[#This Row],[Food_ID]],Food_Catalog[[#All],[Food_ID]],Food_Catalog[[#All],[Price_Per_Unit]],0,0)</f>
        <v>22500</v>
      </c>
      <c r="H2760" cm="1">
        <f t="array" ref="H2760">Food_Orders[[#This Row],[Quantity_Orderd]]*_xlfn.XLOOKUP(Food_Orders[[#This Row],[Food_ID]],Food_Catalog[[#All],[Food_ID]],Food_Catalog[[#All],[Client_Price_Per_Unit]],0,0)</f>
        <v>27000</v>
      </c>
      <c r="I2760">
        <f>Food_Orders[[#This Row],[Client_Price]]-Food_Orders[[#This Row],[Cost]]</f>
        <v>4500</v>
      </c>
    </row>
    <row r="2761" spans="1:9" x14ac:dyDescent="0.25">
      <c r="A2761">
        <v>115</v>
      </c>
      <c r="B2761" t="s">
        <v>39</v>
      </c>
      <c r="C2761" t="s">
        <v>40</v>
      </c>
      <c r="D2761" t="s">
        <v>41</v>
      </c>
      <c r="E2761" t="s">
        <v>10</v>
      </c>
      <c r="F2761" cm="1">
        <f t="array" ref="F2761">_xlfn.XLOOKUP(Food_Orders[[#This Row],[Event_No]],Event_Master[[#All],[Event_No]],Event_Master[[#All],[Guest_Count]],,0)</f>
        <v>250</v>
      </c>
      <c r="G2761" cm="1">
        <f t="array" ref="G2761">Food_Orders[[#This Row],[Quantity_Orderd]]*_xlfn.XLOOKUP(Food_Orders[[#This Row],[Food_ID]],Food_Catalog[[#All],[Food_ID]],Food_Catalog[[#All],[Price_Per_Unit]],0,0)</f>
        <v>15000</v>
      </c>
      <c r="H2761" cm="1">
        <f t="array" ref="H2761">Food_Orders[[#This Row],[Quantity_Orderd]]*_xlfn.XLOOKUP(Food_Orders[[#This Row],[Food_ID]],Food_Catalog[[#All],[Food_ID]],Food_Catalog[[#All],[Client_Price_Per_Unit]],0,0)</f>
        <v>18000</v>
      </c>
      <c r="I2761">
        <f>Food_Orders[[#This Row],[Client_Price]]-Food_Orders[[#This Row],[Cost]]</f>
        <v>3000</v>
      </c>
    </row>
    <row r="2762" spans="1:9" x14ac:dyDescent="0.25">
      <c r="A2762">
        <v>115</v>
      </c>
      <c r="B2762" t="s">
        <v>42</v>
      </c>
      <c r="C2762" t="s">
        <v>40</v>
      </c>
      <c r="D2762" t="s">
        <v>43</v>
      </c>
      <c r="E2762" t="s">
        <v>10</v>
      </c>
      <c r="F2762" cm="1">
        <f t="array" ref="F2762">_xlfn.XLOOKUP(Food_Orders[[#This Row],[Event_No]],Event_Master[[#All],[Event_No]],Event_Master[[#All],[Guest_Count]],,0)</f>
        <v>250</v>
      </c>
      <c r="G2762" cm="1">
        <f t="array" ref="G2762">Food_Orders[[#This Row],[Quantity_Orderd]]*_xlfn.XLOOKUP(Food_Orders[[#This Row],[Food_ID]],Food_Catalog[[#All],[Food_ID]],Food_Catalog[[#All],[Price_Per_Unit]],0,0)</f>
        <v>17500</v>
      </c>
      <c r="H2762" cm="1">
        <f t="array" ref="H2762">Food_Orders[[#This Row],[Quantity_Orderd]]*_xlfn.XLOOKUP(Food_Orders[[#This Row],[Food_ID]],Food_Catalog[[#All],[Food_ID]],Food_Catalog[[#All],[Client_Price_Per_Unit]],0,0)</f>
        <v>21000</v>
      </c>
      <c r="I2762">
        <f>Food_Orders[[#This Row],[Client_Price]]-Food_Orders[[#This Row],[Cost]]</f>
        <v>3500</v>
      </c>
    </row>
    <row r="2763" spans="1:9" x14ac:dyDescent="0.25">
      <c r="A2763">
        <v>115</v>
      </c>
      <c r="B2763" t="s">
        <v>46</v>
      </c>
      <c r="C2763" t="s">
        <v>40</v>
      </c>
      <c r="D2763" t="s">
        <v>47</v>
      </c>
      <c r="E2763" t="s">
        <v>10</v>
      </c>
      <c r="F2763" cm="1">
        <f t="array" ref="F2763">_xlfn.XLOOKUP(Food_Orders[[#This Row],[Event_No]],Event_Master[[#All],[Event_No]],Event_Master[[#All],[Guest_Count]],,0)</f>
        <v>250</v>
      </c>
      <c r="G2763" cm="1">
        <f t="array" ref="G2763">Food_Orders[[#This Row],[Quantity_Orderd]]*_xlfn.XLOOKUP(Food_Orders[[#This Row],[Food_ID]],Food_Catalog[[#All],[Food_ID]],Food_Catalog[[#All],[Price_Per_Unit]],0,0)</f>
        <v>22500</v>
      </c>
      <c r="H2763" cm="1">
        <f t="array" ref="H2763">Food_Orders[[#This Row],[Quantity_Orderd]]*_xlfn.XLOOKUP(Food_Orders[[#This Row],[Food_ID]],Food_Catalog[[#All],[Food_ID]],Food_Catalog[[#All],[Client_Price_Per_Unit]],0,0)</f>
        <v>27000</v>
      </c>
      <c r="I2763">
        <f>Food_Orders[[#This Row],[Client_Price]]-Food_Orders[[#This Row],[Cost]]</f>
        <v>4500</v>
      </c>
    </row>
    <row r="2764" spans="1:9" x14ac:dyDescent="0.25">
      <c r="A2764">
        <v>115</v>
      </c>
      <c r="B2764" t="s">
        <v>50</v>
      </c>
      <c r="C2764" t="s">
        <v>40</v>
      </c>
      <c r="D2764" t="s">
        <v>51</v>
      </c>
      <c r="E2764" t="s">
        <v>10</v>
      </c>
      <c r="F2764" cm="1">
        <f t="array" ref="F2764">_xlfn.XLOOKUP(Food_Orders[[#This Row],[Event_No]],Event_Master[[#All],[Event_No]],Event_Master[[#All],[Guest_Count]],,0)</f>
        <v>250</v>
      </c>
      <c r="G2764" cm="1">
        <f t="array" ref="G2764">Food_Orders[[#This Row],[Quantity_Orderd]]*_xlfn.XLOOKUP(Food_Orders[[#This Row],[Food_ID]],Food_Catalog[[#All],[Food_ID]],Food_Catalog[[#All],[Price_Per_Unit]],0,0)</f>
        <v>20000</v>
      </c>
      <c r="H2764" cm="1">
        <f t="array" ref="H2764">Food_Orders[[#This Row],[Quantity_Orderd]]*_xlfn.XLOOKUP(Food_Orders[[#This Row],[Food_ID]],Food_Catalog[[#All],[Food_ID]],Food_Catalog[[#All],[Client_Price_Per_Unit]],0,0)</f>
        <v>24000</v>
      </c>
      <c r="I2764">
        <f>Food_Orders[[#This Row],[Client_Price]]-Food_Orders[[#This Row],[Cost]]</f>
        <v>4000</v>
      </c>
    </row>
    <row r="2765" spans="1:9" x14ac:dyDescent="0.25">
      <c r="A2765">
        <v>115</v>
      </c>
      <c r="B2765" t="s">
        <v>52</v>
      </c>
      <c r="C2765" t="s">
        <v>40</v>
      </c>
      <c r="D2765" t="s">
        <v>53</v>
      </c>
      <c r="E2765" t="s">
        <v>10</v>
      </c>
      <c r="F2765" cm="1">
        <f t="array" ref="F2765">_xlfn.XLOOKUP(Food_Orders[[#This Row],[Event_No]],Event_Master[[#All],[Event_No]],Event_Master[[#All],[Guest_Count]],,0)</f>
        <v>250</v>
      </c>
      <c r="G2765" cm="1">
        <f t="array" ref="G2765">Food_Orders[[#This Row],[Quantity_Orderd]]*_xlfn.XLOOKUP(Food_Orders[[#This Row],[Food_ID]],Food_Catalog[[#All],[Food_ID]],Food_Catalog[[#All],[Price_Per_Unit]],0,0)</f>
        <v>25000</v>
      </c>
      <c r="H2765" cm="1">
        <f t="array" ref="H2765">Food_Orders[[#This Row],[Quantity_Orderd]]*_xlfn.XLOOKUP(Food_Orders[[#This Row],[Food_ID]],Food_Catalog[[#All],[Food_ID]],Food_Catalog[[#All],[Client_Price_Per_Unit]],0,0)</f>
        <v>30000</v>
      </c>
      <c r="I2765">
        <f>Food_Orders[[#This Row],[Client_Price]]-Food_Orders[[#This Row],[Cost]]</f>
        <v>5000</v>
      </c>
    </row>
    <row r="2766" spans="1:9" x14ac:dyDescent="0.25">
      <c r="A2766">
        <v>115</v>
      </c>
      <c r="B2766" t="s">
        <v>27</v>
      </c>
      <c r="C2766" t="s">
        <v>8</v>
      </c>
      <c r="D2766" t="s">
        <v>28</v>
      </c>
      <c r="E2766" t="s">
        <v>10</v>
      </c>
      <c r="F2766" cm="1">
        <f t="array" ref="F2766">_xlfn.XLOOKUP(Food_Orders[[#This Row],[Event_No]],Event_Master[[#All],[Event_No]],Event_Master[[#All],[Guest_Count]],,0)</f>
        <v>250</v>
      </c>
      <c r="G2766" cm="1">
        <f t="array" ref="G2766">Food_Orders[[#This Row],[Quantity_Orderd]]*_xlfn.XLOOKUP(Food_Orders[[#This Row],[Food_ID]],Food_Catalog[[#All],[Food_ID]],Food_Catalog[[#All],[Price_Per_Unit]],0,0)</f>
        <v>10000</v>
      </c>
      <c r="H2766" cm="1">
        <f t="array" ref="H2766">Food_Orders[[#This Row],[Quantity_Orderd]]*_xlfn.XLOOKUP(Food_Orders[[#This Row],[Food_ID]],Food_Catalog[[#All],[Food_ID]],Food_Catalog[[#All],[Client_Price_Per_Unit]],0,0)</f>
        <v>12000</v>
      </c>
      <c r="I2766">
        <f>Food_Orders[[#This Row],[Client_Price]]-Food_Orders[[#This Row],[Cost]]</f>
        <v>2000</v>
      </c>
    </row>
    <row r="2767" spans="1:9" x14ac:dyDescent="0.25">
      <c r="A2767">
        <v>115</v>
      </c>
      <c r="B2767" t="s">
        <v>17</v>
      </c>
      <c r="C2767" t="s">
        <v>8</v>
      </c>
      <c r="D2767" t="s">
        <v>18</v>
      </c>
      <c r="E2767" t="s">
        <v>10</v>
      </c>
      <c r="F2767" cm="1">
        <f t="array" ref="F2767">_xlfn.XLOOKUP(Food_Orders[[#This Row],[Event_No]],Event_Master[[#All],[Event_No]],Event_Master[[#All],[Guest_Count]],,0)</f>
        <v>250</v>
      </c>
      <c r="G2767" cm="1">
        <f t="array" ref="G2767">Food_Orders[[#This Row],[Quantity_Orderd]]*_xlfn.XLOOKUP(Food_Orders[[#This Row],[Food_ID]],Food_Catalog[[#All],[Food_ID]],Food_Catalog[[#All],[Price_Per_Unit]],0,0)</f>
        <v>10000</v>
      </c>
      <c r="H2767" cm="1">
        <f t="array" ref="H2767">Food_Orders[[#This Row],[Quantity_Orderd]]*_xlfn.XLOOKUP(Food_Orders[[#This Row],[Food_ID]],Food_Catalog[[#All],[Food_ID]],Food_Catalog[[#All],[Client_Price_Per_Unit]],0,0)</f>
        <v>12000</v>
      </c>
      <c r="I2767">
        <f>Food_Orders[[#This Row],[Client_Price]]-Food_Orders[[#This Row],[Cost]]</f>
        <v>2000</v>
      </c>
    </row>
    <row r="2768" spans="1:9" x14ac:dyDescent="0.25">
      <c r="A2768">
        <v>115</v>
      </c>
      <c r="B2768" t="s">
        <v>29</v>
      </c>
      <c r="C2768" t="s">
        <v>8</v>
      </c>
      <c r="D2768" t="s">
        <v>30</v>
      </c>
      <c r="E2768" t="s">
        <v>10</v>
      </c>
      <c r="F2768" cm="1">
        <f t="array" ref="F2768">_xlfn.XLOOKUP(Food_Orders[[#This Row],[Event_No]],Event_Master[[#All],[Event_No]],Event_Master[[#All],[Guest_Count]],,0)</f>
        <v>250</v>
      </c>
      <c r="G2768" cm="1">
        <f t="array" ref="G2768">Food_Orders[[#This Row],[Quantity_Orderd]]*_xlfn.XLOOKUP(Food_Orders[[#This Row],[Food_ID]],Food_Catalog[[#All],[Food_ID]],Food_Catalog[[#All],[Price_Per_Unit]],0,0)</f>
        <v>7500</v>
      </c>
      <c r="H2768" cm="1">
        <f t="array" ref="H2768">Food_Orders[[#This Row],[Quantity_Orderd]]*_xlfn.XLOOKUP(Food_Orders[[#This Row],[Food_ID]],Food_Catalog[[#All],[Food_ID]],Food_Catalog[[#All],[Client_Price_Per_Unit]],0,0)</f>
        <v>9000</v>
      </c>
      <c r="I2768">
        <f>Food_Orders[[#This Row],[Client_Price]]-Food_Orders[[#This Row],[Cost]]</f>
        <v>1500</v>
      </c>
    </row>
    <row r="2769" spans="1:9" x14ac:dyDescent="0.25">
      <c r="A2769">
        <v>115</v>
      </c>
      <c r="B2769" t="s">
        <v>37</v>
      </c>
      <c r="C2769" t="s">
        <v>8</v>
      </c>
      <c r="D2769" t="s">
        <v>38</v>
      </c>
      <c r="E2769" t="s">
        <v>10</v>
      </c>
      <c r="F2769" cm="1">
        <f t="array" ref="F2769">_xlfn.XLOOKUP(Food_Orders[[#This Row],[Event_No]],Event_Master[[#All],[Event_No]],Event_Master[[#All],[Guest_Count]],,0)</f>
        <v>250</v>
      </c>
      <c r="G2769" cm="1">
        <f t="array" ref="G2769">Food_Orders[[#This Row],[Quantity_Orderd]]*_xlfn.XLOOKUP(Food_Orders[[#This Row],[Food_ID]],Food_Catalog[[#All],[Food_ID]],Food_Catalog[[#All],[Price_Per_Unit]],0,0)</f>
        <v>6250</v>
      </c>
      <c r="H2769" cm="1">
        <f t="array" ref="H2769">Food_Orders[[#This Row],[Quantity_Orderd]]*_xlfn.XLOOKUP(Food_Orders[[#This Row],[Food_ID]],Food_Catalog[[#All],[Food_ID]],Food_Catalog[[#All],[Client_Price_Per_Unit]],0,0)</f>
        <v>7500</v>
      </c>
      <c r="I2769">
        <f>Food_Orders[[#This Row],[Client_Price]]-Food_Orders[[#This Row],[Cost]]</f>
        <v>1250</v>
      </c>
    </row>
    <row r="2770" spans="1:9" x14ac:dyDescent="0.25">
      <c r="A2770">
        <v>115</v>
      </c>
      <c r="B2770" t="s">
        <v>82</v>
      </c>
      <c r="C2770" t="s">
        <v>83</v>
      </c>
      <c r="D2770" t="s">
        <v>84</v>
      </c>
      <c r="E2770" t="s">
        <v>85</v>
      </c>
      <c r="F2770" cm="1">
        <f t="array" ref="F2770">_xlfn.XLOOKUP(Food_Orders[[#This Row],[Event_No]],Event_Master[[#All],[Event_No]],Event_Master[[#All],[Guest_Count]],,0)</f>
        <v>250</v>
      </c>
      <c r="G2770" cm="1">
        <f t="array" ref="G2770">Food_Orders[[#This Row],[Quantity_Orderd]]*_xlfn.XLOOKUP(Food_Orders[[#This Row],[Food_ID]],Food_Catalog[[#All],[Food_ID]],Food_Catalog[[#All],[Price_Per_Unit]],0,0)</f>
        <v>5000</v>
      </c>
      <c r="H2770" cm="1">
        <f t="array" ref="H2770">Food_Orders[[#This Row],[Quantity_Orderd]]*_xlfn.XLOOKUP(Food_Orders[[#This Row],[Food_ID]],Food_Catalog[[#All],[Food_ID]],Food_Catalog[[#All],[Client_Price_Per_Unit]],0,0)</f>
        <v>6000</v>
      </c>
      <c r="I2770">
        <f>Food_Orders[[#This Row],[Client_Price]]-Food_Orders[[#This Row],[Cost]]</f>
        <v>1000</v>
      </c>
    </row>
    <row r="2771" spans="1:9" x14ac:dyDescent="0.25">
      <c r="A2771">
        <v>115</v>
      </c>
      <c r="B2771" t="s">
        <v>86</v>
      </c>
      <c r="C2771" t="s">
        <v>83</v>
      </c>
      <c r="D2771" t="s">
        <v>87</v>
      </c>
      <c r="E2771" t="s">
        <v>85</v>
      </c>
      <c r="F2771" cm="1">
        <f t="array" ref="F2771">_xlfn.XLOOKUP(Food_Orders[[#This Row],[Event_No]],Event_Master[[#All],[Event_No]],Event_Master[[#All],[Guest_Count]],,0)</f>
        <v>250</v>
      </c>
      <c r="G2771" cm="1">
        <f t="array" ref="G2771">Food_Orders[[#This Row],[Quantity_Orderd]]*_xlfn.XLOOKUP(Food_Orders[[#This Row],[Food_ID]],Food_Catalog[[#All],[Food_ID]],Food_Catalog[[#All],[Price_Per_Unit]],0,0)</f>
        <v>5000</v>
      </c>
      <c r="H2771" cm="1">
        <f t="array" ref="H2771">Food_Orders[[#This Row],[Quantity_Orderd]]*_xlfn.XLOOKUP(Food_Orders[[#This Row],[Food_ID]],Food_Catalog[[#All],[Food_ID]],Food_Catalog[[#All],[Client_Price_Per_Unit]],0,0)</f>
        <v>6000</v>
      </c>
      <c r="I2771">
        <f>Food_Orders[[#This Row],[Client_Price]]-Food_Orders[[#This Row],[Cost]]</f>
        <v>1000</v>
      </c>
    </row>
    <row r="2772" spans="1:9" x14ac:dyDescent="0.25">
      <c r="A2772">
        <v>115</v>
      </c>
      <c r="B2772" t="s">
        <v>96</v>
      </c>
      <c r="C2772" t="s">
        <v>83</v>
      </c>
      <c r="D2772" t="s">
        <v>97</v>
      </c>
      <c r="E2772" t="s">
        <v>79</v>
      </c>
      <c r="F2772" cm="1">
        <f t="array" ref="F2772">_xlfn.XLOOKUP(Food_Orders[[#This Row],[Event_No]],Event_Master[[#All],[Event_No]],Event_Master[[#All],[Guest_Count]],,0)</f>
        <v>250</v>
      </c>
      <c r="G2772" cm="1">
        <f t="array" ref="G2772">Food_Orders[[#This Row],[Quantity_Orderd]]*_xlfn.XLOOKUP(Food_Orders[[#This Row],[Food_ID]],Food_Catalog[[#All],[Food_ID]],Food_Catalog[[#All],[Price_Per_Unit]],0,0)</f>
        <v>7500</v>
      </c>
      <c r="H2772" cm="1">
        <f t="array" ref="H2772">Food_Orders[[#This Row],[Quantity_Orderd]]*_xlfn.XLOOKUP(Food_Orders[[#This Row],[Food_ID]],Food_Catalog[[#All],[Food_ID]],Food_Catalog[[#All],[Client_Price_Per_Unit]],0,0)</f>
        <v>9000</v>
      </c>
      <c r="I2772">
        <f>Food_Orders[[#This Row],[Client_Price]]-Food_Orders[[#This Row],[Cost]]</f>
        <v>1500</v>
      </c>
    </row>
    <row r="2773" spans="1:9" x14ac:dyDescent="0.25">
      <c r="A2773">
        <v>115</v>
      </c>
      <c r="B2773" t="s">
        <v>100</v>
      </c>
      <c r="C2773" t="s">
        <v>83</v>
      </c>
      <c r="D2773" t="s">
        <v>101</v>
      </c>
      <c r="E2773" t="s">
        <v>79</v>
      </c>
      <c r="F2773" cm="1">
        <f t="array" ref="F2773">_xlfn.XLOOKUP(Food_Orders[[#This Row],[Event_No]],Event_Master[[#All],[Event_No]],Event_Master[[#All],[Guest_Count]],,0)</f>
        <v>250</v>
      </c>
      <c r="G2773" cm="1">
        <f t="array" ref="G2773">Food_Orders[[#This Row],[Quantity_Orderd]]*_xlfn.XLOOKUP(Food_Orders[[#This Row],[Food_ID]],Food_Catalog[[#All],[Food_ID]],Food_Catalog[[#All],[Price_Per_Unit]],0,0)</f>
        <v>8750</v>
      </c>
      <c r="H2773" cm="1">
        <f t="array" ref="H2773">Food_Orders[[#This Row],[Quantity_Orderd]]*_xlfn.XLOOKUP(Food_Orders[[#This Row],[Food_ID]],Food_Catalog[[#All],[Food_ID]],Food_Catalog[[#All],[Client_Price_Per_Unit]],0,0)</f>
        <v>10500</v>
      </c>
      <c r="I2773">
        <f>Food_Orders[[#This Row],[Client_Price]]-Food_Orders[[#This Row],[Cost]]</f>
        <v>1750</v>
      </c>
    </row>
    <row r="2774" spans="1:9" x14ac:dyDescent="0.25">
      <c r="A2774">
        <v>115</v>
      </c>
      <c r="B2774" t="s">
        <v>92</v>
      </c>
      <c r="C2774" t="s">
        <v>83</v>
      </c>
      <c r="D2774" t="s">
        <v>93</v>
      </c>
      <c r="E2774" t="s">
        <v>85</v>
      </c>
      <c r="F2774" cm="1">
        <f t="array" ref="F2774">_xlfn.XLOOKUP(Food_Orders[[#This Row],[Event_No]],Event_Master[[#All],[Event_No]],Event_Master[[#All],[Guest_Count]],,0)</f>
        <v>250</v>
      </c>
      <c r="G2774" cm="1">
        <f t="array" ref="G2774">Food_Orders[[#This Row],[Quantity_Orderd]]*_xlfn.XLOOKUP(Food_Orders[[#This Row],[Food_ID]],Food_Catalog[[#All],[Food_ID]],Food_Catalog[[#All],[Price_Per_Unit]],0,0)</f>
        <v>3750</v>
      </c>
      <c r="H2774" cm="1">
        <f t="array" ref="H2774">Food_Orders[[#This Row],[Quantity_Orderd]]*_xlfn.XLOOKUP(Food_Orders[[#This Row],[Food_ID]],Food_Catalog[[#All],[Food_ID]],Food_Catalog[[#All],[Client_Price_Per_Unit]],0,0)</f>
        <v>4500</v>
      </c>
      <c r="I2774">
        <f>Food_Orders[[#This Row],[Client_Price]]-Food_Orders[[#This Row],[Cost]]</f>
        <v>750</v>
      </c>
    </row>
    <row r="2775" spans="1:9" x14ac:dyDescent="0.25">
      <c r="A2775">
        <v>115</v>
      </c>
      <c r="B2775" t="s">
        <v>98</v>
      </c>
      <c r="C2775" t="s">
        <v>83</v>
      </c>
      <c r="D2775" t="s">
        <v>99</v>
      </c>
      <c r="E2775" t="s">
        <v>85</v>
      </c>
      <c r="F2775" cm="1">
        <f t="array" ref="F2775">_xlfn.XLOOKUP(Food_Orders[[#This Row],[Event_No]],Event_Master[[#All],[Event_No]],Event_Master[[#All],[Guest_Count]],,0)</f>
        <v>250</v>
      </c>
      <c r="G2775" cm="1">
        <f t="array" ref="G2775">Food_Orders[[#This Row],[Quantity_Orderd]]*_xlfn.XLOOKUP(Food_Orders[[#This Row],[Food_ID]],Food_Catalog[[#All],[Food_ID]],Food_Catalog[[#All],[Price_Per_Unit]],0,0)</f>
        <v>3750</v>
      </c>
      <c r="H2775" cm="1">
        <f t="array" ref="H2775">Food_Orders[[#This Row],[Quantity_Orderd]]*_xlfn.XLOOKUP(Food_Orders[[#This Row],[Food_ID]],Food_Catalog[[#All],[Food_ID]],Food_Catalog[[#All],[Client_Price_Per_Unit]],0,0)</f>
        <v>4500</v>
      </c>
      <c r="I2775">
        <f>Food_Orders[[#This Row],[Client_Price]]-Food_Orders[[#This Row],[Cost]]</f>
        <v>750</v>
      </c>
    </row>
    <row r="2776" spans="1:9" x14ac:dyDescent="0.25">
      <c r="A2776">
        <v>115</v>
      </c>
      <c r="B2776" t="s">
        <v>104</v>
      </c>
      <c r="C2776" t="s">
        <v>105</v>
      </c>
      <c r="D2776" t="s">
        <v>106</v>
      </c>
      <c r="E2776" t="s">
        <v>107</v>
      </c>
      <c r="F2776" cm="1">
        <f t="array" ref="F2776">_xlfn.XLOOKUP(Food_Orders[[#This Row],[Event_No]],Event_Master[[#All],[Event_No]],Event_Master[[#All],[Guest_Count]],,0)</f>
        <v>250</v>
      </c>
      <c r="G2776" cm="1">
        <f t="array" ref="G2776">Food_Orders[[#This Row],[Quantity_Orderd]]*_xlfn.XLOOKUP(Food_Orders[[#This Row],[Food_ID]],Food_Catalog[[#All],[Food_ID]],Food_Catalog[[#All],[Price_Per_Unit]],0,0)</f>
        <v>2500</v>
      </c>
      <c r="H2776" cm="1">
        <f t="array" ref="H2776">Food_Orders[[#This Row],[Quantity_Orderd]]*_xlfn.XLOOKUP(Food_Orders[[#This Row],[Food_ID]],Food_Catalog[[#All],[Food_ID]],Food_Catalog[[#All],[Client_Price_Per_Unit]],0,0)</f>
        <v>3000</v>
      </c>
      <c r="I2776">
        <f>Food_Orders[[#This Row],[Client_Price]]-Food_Orders[[#This Row],[Cost]]</f>
        <v>500</v>
      </c>
    </row>
    <row r="2777" spans="1:9" x14ac:dyDescent="0.25">
      <c r="A2777">
        <v>115</v>
      </c>
      <c r="B2777" t="s">
        <v>108</v>
      </c>
      <c r="C2777" t="s">
        <v>105</v>
      </c>
      <c r="D2777" t="s">
        <v>109</v>
      </c>
      <c r="E2777" t="s">
        <v>107</v>
      </c>
      <c r="F2777" cm="1">
        <f t="array" ref="F2777">_xlfn.XLOOKUP(Food_Orders[[#This Row],[Event_No]],Event_Master[[#All],[Event_No]],Event_Master[[#All],[Guest_Count]],,0)</f>
        <v>250</v>
      </c>
      <c r="G2777" cm="1">
        <f t="array" ref="G2777">Food_Orders[[#This Row],[Quantity_Orderd]]*_xlfn.XLOOKUP(Food_Orders[[#This Row],[Food_ID]],Food_Catalog[[#All],[Food_ID]],Food_Catalog[[#All],[Price_Per_Unit]],0,0)</f>
        <v>3750</v>
      </c>
      <c r="H2777" cm="1">
        <f t="array" ref="H2777">Food_Orders[[#This Row],[Quantity_Orderd]]*_xlfn.XLOOKUP(Food_Orders[[#This Row],[Food_ID]],Food_Catalog[[#All],[Food_ID]],Food_Catalog[[#All],[Client_Price_Per_Unit]],0,0)</f>
        <v>4500</v>
      </c>
      <c r="I2777">
        <f>Food_Orders[[#This Row],[Client_Price]]-Food_Orders[[#This Row],[Cost]]</f>
        <v>750</v>
      </c>
    </row>
    <row r="2778" spans="1:9" x14ac:dyDescent="0.25">
      <c r="A2778">
        <v>115</v>
      </c>
      <c r="B2778" t="s">
        <v>118</v>
      </c>
      <c r="C2778" t="s">
        <v>119</v>
      </c>
      <c r="D2778" t="s">
        <v>120</v>
      </c>
      <c r="E2778" t="s">
        <v>112</v>
      </c>
      <c r="F2778" cm="1">
        <f t="array" ref="F2778">_xlfn.XLOOKUP(Food_Orders[[#This Row],[Event_No]],Event_Master[[#All],[Event_No]],Event_Master[[#All],[Guest_Count]],,0)</f>
        <v>250</v>
      </c>
      <c r="G2778" cm="1">
        <f t="array" ref="G2778">Food_Orders[[#This Row],[Quantity_Orderd]]*_xlfn.XLOOKUP(Food_Orders[[#This Row],[Food_ID]],Food_Catalog[[#All],[Food_ID]],Food_Catalog[[#All],[Price_Per_Unit]],0,0)</f>
        <v>2500</v>
      </c>
      <c r="H2778" cm="1">
        <f t="array" ref="H2778">Food_Orders[[#This Row],[Quantity_Orderd]]*_xlfn.XLOOKUP(Food_Orders[[#This Row],[Food_ID]],Food_Catalog[[#All],[Food_ID]],Food_Catalog[[#All],[Client_Price_Per_Unit]],0,0)</f>
        <v>3000</v>
      </c>
      <c r="I2778">
        <f>Food_Orders[[#This Row],[Client_Price]]-Food_Orders[[#This Row],[Cost]]</f>
        <v>500</v>
      </c>
    </row>
    <row r="2779" spans="1:9" x14ac:dyDescent="0.25">
      <c r="A2779">
        <v>115</v>
      </c>
      <c r="B2779" t="s">
        <v>129</v>
      </c>
      <c r="C2779" t="s">
        <v>119</v>
      </c>
      <c r="D2779" t="s">
        <v>130</v>
      </c>
      <c r="E2779" t="s">
        <v>112</v>
      </c>
      <c r="F2779" cm="1">
        <f t="array" ref="F2779">_xlfn.XLOOKUP(Food_Orders[[#This Row],[Event_No]],Event_Master[[#All],[Event_No]],Event_Master[[#All],[Guest_Count]],,0)</f>
        <v>250</v>
      </c>
      <c r="G2779" cm="1">
        <f t="array" ref="G2779">Food_Orders[[#This Row],[Quantity_Orderd]]*_xlfn.XLOOKUP(Food_Orders[[#This Row],[Food_ID]],Food_Catalog[[#All],[Food_ID]],Food_Catalog[[#All],[Price_Per_Unit]],0,0)</f>
        <v>2500</v>
      </c>
      <c r="H2779" cm="1">
        <f t="array" ref="H2779">Food_Orders[[#This Row],[Quantity_Orderd]]*_xlfn.XLOOKUP(Food_Orders[[#This Row],[Food_ID]],Food_Catalog[[#All],[Food_ID]],Food_Catalog[[#All],[Client_Price_Per_Unit]],0,0)</f>
        <v>3000</v>
      </c>
      <c r="I2779">
        <f>Food_Orders[[#This Row],[Client_Price]]-Food_Orders[[#This Row],[Cost]]</f>
        <v>500</v>
      </c>
    </row>
    <row r="2780" spans="1:9" x14ac:dyDescent="0.25">
      <c r="A2780">
        <v>115</v>
      </c>
      <c r="B2780" t="s">
        <v>127</v>
      </c>
      <c r="C2780" t="s">
        <v>119</v>
      </c>
      <c r="D2780" t="s">
        <v>128</v>
      </c>
      <c r="E2780" t="s">
        <v>107</v>
      </c>
      <c r="F2780" cm="1">
        <f t="array" ref="F2780">_xlfn.XLOOKUP(Food_Orders[[#This Row],[Event_No]],Event_Master[[#All],[Event_No]],Event_Master[[#All],[Guest_Count]],,0)</f>
        <v>250</v>
      </c>
      <c r="G2780" cm="1">
        <f t="array" ref="G2780">Food_Orders[[#This Row],[Quantity_Orderd]]*_xlfn.XLOOKUP(Food_Orders[[#This Row],[Food_ID]],Food_Catalog[[#All],[Food_ID]],Food_Catalog[[#All],[Price_Per_Unit]],0,0)</f>
        <v>5000</v>
      </c>
      <c r="H2780" cm="1">
        <f t="array" ref="H2780">Food_Orders[[#This Row],[Quantity_Orderd]]*_xlfn.XLOOKUP(Food_Orders[[#This Row],[Food_ID]],Food_Catalog[[#All],[Food_ID]],Food_Catalog[[#All],[Client_Price_Per_Unit]],0,0)</f>
        <v>6000</v>
      </c>
      <c r="I2780">
        <f>Food_Orders[[#This Row],[Client_Price]]-Food_Orders[[#This Row],[Cost]]</f>
        <v>1000</v>
      </c>
    </row>
    <row r="2781" spans="1:9" x14ac:dyDescent="0.25">
      <c r="A2781">
        <v>115</v>
      </c>
      <c r="B2781" t="s">
        <v>124</v>
      </c>
      <c r="C2781" t="s">
        <v>119</v>
      </c>
      <c r="D2781" t="s">
        <v>125</v>
      </c>
      <c r="E2781" t="s">
        <v>126</v>
      </c>
      <c r="F2781" cm="1">
        <f t="array" ref="F2781">_xlfn.XLOOKUP(Food_Orders[[#This Row],[Event_No]],Event_Master[[#All],[Event_No]],Event_Master[[#All],[Guest_Count]],,0)</f>
        <v>250</v>
      </c>
      <c r="G2781" cm="1">
        <f t="array" ref="G2781">Food_Orders[[#This Row],[Quantity_Orderd]]*_xlfn.XLOOKUP(Food_Orders[[#This Row],[Food_ID]],Food_Catalog[[#All],[Food_ID]],Food_Catalog[[#All],[Price_Per_Unit]],0,0)</f>
        <v>5000</v>
      </c>
      <c r="H2781" cm="1">
        <f t="array" ref="H2781">Food_Orders[[#This Row],[Quantity_Orderd]]*_xlfn.XLOOKUP(Food_Orders[[#This Row],[Food_ID]],Food_Catalog[[#All],[Food_ID]],Food_Catalog[[#All],[Client_Price_Per_Unit]],0,0)</f>
        <v>6000</v>
      </c>
      <c r="I2781">
        <f>Food_Orders[[#This Row],[Client_Price]]-Food_Orders[[#This Row],[Cost]]</f>
        <v>1000</v>
      </c>
    </row>
    <row r="2782" spans="1:9" x14ac:dyDescent="0.25">
      <c r="A2782">
        <v>115</v>
      </c>
      <c r="B2782" t="s">
        <v>121</v>
      </c>
      <c r="C2782" t="s">
        <v>119</v>
      </c>
      <c r="D2782" t="s">
        <v>122</v>
      </c>
      <c r="E2782" t="s">
        <v>123</v>
      </c>
      <c r="F2782" cm="1">
        <f t="array" ref="F2782">_xlfn.XLOOKUP(Food_Orders[[#This Row],[Event_No]],Event_Master[[#All],[Event_No]],Event_Master[[#All],[Guest_Count]],,0)</f>
        <v>250</v>
      </c>
      <c r="G2782" cm="1">
        <f t="array" ref="G2782">Food_Orders[[#This Row],[Quantity_Orderd]]*_xlfn.XLOOKUP(Food_Orders[[#This Row],[Food_ID]],Food_Catalog[[#All],[Food_ID]],Food_Catalog[[#All],[Price_Per_Unit]],0,0)</f>
        <v>2500</v>
      </c>
      <c r="H2782" cm="1">
        <f t="array" ref="H2782">Food_Orders[[#This Row],[Quantity_Orderd]]*_xlfn.XLOOKUP(Food_Orders[[#This Row],[Food_ID]],Food_Catalog[[#All],[Food_ID]],Food_Catalog[[#All],[Client_Price_Per_Unit]],0,0)</f>
        <v>3000</v>
      </c>
      <c r="I2782">
        <f>Food_Orders[[#This Row],[Client_Price]]-Food_Orders[[#This Row],[Cost]]</f>
        <v>500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F8CA1-423F-421B-9C40-38191A44CBAB}">
  <dimension ref="A1:H6"/>
  <sheetViews>
    <sheetView workbookViewId="0">
      <selection sqref="A1:XFD1048576"/>
    </sheetView>
  </sheetViews>
  <sheetFormatPr defaultRowHeight="15" x14ac:dyDescent="0.25"/>
  <cols>
    <col min="1" max="1" width="19.140625" bestFit="1" customWidth="1"/>
    <col min="2" max="2" width="18.42578125" bestFit="1" customWidth="1"/>
    <col min="3" max="3" width="18.85546875" bestFit="1" customWidth="1"/>
    <col min="4" max="4" width="11" bestFit="1" customWidth="1"/>
    <col min="5" max="5" width="7.140625" bestFit="1" customWidth="1"/>
    <col min="6" max="6" width="15.85546875" bestFit="1" customWidth="1"/>
    <col min="7" max="7" width="8.28515625" bestFit="1" customWidth="1"/>
    <col min="8" max="8" width="20.7109375" bestFit="1" customWidth="1"/>
  </cols>
  <sheetData>
    <row r="1" spans="1:8" x14ac:dyDescent="0.25">
      <c r="A1" t="s">
        <v>136</v>
      </c>
      <c r="B1" t="s">
        <v>137</v>
      </c>
      <c r="C1" t="s">
        <v>138</v>
      </c>
      <c r="D1" t="s">
        <v>139</v>
      </c>
      <c r="E1" t="s">
        <v>133</v>
      </c>
      <c r="F1" t="s">
        <v>140</v>
      </c>
      <c r="G1" t="s">
        <v>135</v>
      </c>
      <c r="H1" t="s">
        <v>141</v>
      </c>
    </row>
    <row r="2" spans="1:8" x14ac:dyDescent="0.25">
      <c r="A2" t="s">
        <v>142</v>
      </c>
      <c r="B2" t="s">
        <v>143</v>
      </c>
      <c r="C2" t="s">
        <v>144</v>
      </c>
      <c r="D2" t="s">
        <v>145</v>
      </c>
      <c r="E2">
        <v>8000</v>
      </c>
      <c r="F2">
        <v>9500</v>
      </c>
      <c r="G2">
        <v>1500</v>
      </c>
      <c r="H2" t="s">
        <v>146</v>
      </c>
    </row>
    <row r="3" spans="1:8" x14ac:dyDescent="0.25">
      <c r="A3" t="s">
        <v>147</v>
      </c>
      <c r="B3" t="s">
        <v>148</v>
      </c>
      <c r="C3" t="s">
        <v>149</v>
      </c>
      <c r="D3" t="s">
        <v>150</v>
      </c>
      <c r="E3">
        <v>12000</v>
      </c>
      <c r="F3">
        <v>14000</v>
      </c>
      <c r="G3">
        <v>2000</v>
      </c>
      <c r="H3" t="s">
        <v>151</v>
      </c>
    </row>
    <row r="4" spans="1:8" x14ac:dyDescent="0.25">
      <c r="A4" t="s">
        <v>152</v>
      </c>
      <c r="B4" t="s">
        <v>153</v>
      </c>
      <c r="C4" t="s">
        <v>154</v>
      </c>
      <c r="D4" t="s">
        <v>155</v>
      </c>
      <c r="E4">
        <v>15000</v>
      </c>
      <c r="F4">
        <v>18000</v>
      </c>
      <c r="G4">
        <v>3000</v>
      </c>
      <c r="H4" t="s">
        <v>156</v>
      </c>
    </row>
    <row r="5" spans="1:8" x14ac:dyDescent="0.25">
      <c r="A5" t="s">
        <v>157</v>
      </c>
      <c r="B5" t="s">
        <v>158</v>
      </c>
      <c r="C5" t="s">
        <v>159</v>
      </c>
      <c r="D5" t="s">
        <v>160</v>
      </c>
      <c r="E5">
        <v>10000</v>
      </c>
      <c r="F5">
        <v>12000</v>
      </c>
      <c r="G5">
        <v>2000</v>
      </c>
      <c r="H5" t="s">
        <v>161</v>
      </c>
    </row>
    <row r="6" spans="1:8" x14ac:dyDescent="0.25">
      <c r="A6" t="s">
        <v>162</v>
      </c>
      <c r="B6" t="s">
        <v>163</v>
      </c>
      <c r="C6" t="s">
        <v>164</v>
      </c>
      <c r="D6" t="s">
        <v>150</v>
      </c>
      <c r="E6">
        <v>7000</v>
      </c>
      <c r="F6">
        <v>8500</v>
      </c>
      <c r="G6">
        <v>1500</v>
      </c>
      <c r="H6" t="s">
        <v>165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0184D-264C-4134-BE7B-CCF4DDB72C7C}">
  <dimension ref="A1:G116"/>
  <sheetViews>
    <sheetView topLeftCell="A59" workbookViewId="0">
      <selection activeCell="G3" sqref="G3"/>
    </sheetView>
  </sheetViews>
  <sheetFormatPr defaultRowHeight="15" x14ac:dyDescent="0.25"/>
  <cols>
    <col min="1" max="1" width="11.85546875" bestFit="1" customWidth="1"/>
    <col min="2" max="2" width="21.7109375" bestFit="1" customWidth="1"/>
    <col min="3" max="3" width="19.140625" bestFit="1" customWidth="1"/>
    <col min="4" max="4" width="18.140625" bestFit="1" customWidth="1"/>
    <col min="5" max="5" width="7.140625" bestFit="1" customWidth="1"/>
    <col min="6" max="6" width="15.85546875" bestFit="1" customWidth="1"/>
    <col min="7" max="7" width="8.28515625" bestFit="1" customWidth="1"/>
  </cols>
  <sheetData>
    <row r="1" spans="1:7" x14ac:dyDescent="0.25">
      <c r="A1" t="s">
        <v>131</v>
      </c>
      <c r="B1" t="s">
        <v>166</v>
      </c>
      <c r="C1" t="s">
        <v>136</v>
      </c>
      <c r="D1" t="s">
        <v>137</v>
      </c>
      <c r="E1" t="s">
        <v>133</v>
      </c>
      <c r="F1" t="s">
        <v>140</v>
      </c>
      <c r="G1" t="s">
        <v>135</v>
      </c>
    </row>
    <row r="2" spans="1:7" x14ac:dyDescent="0.25">
      <c r="A2">
        <v>1</v>
      </c>
      <c r="B2" t="s">
        <v>153</v>
      </c>
      <c r="C2" t="s">
        <v>152</v>
      </c>
      <c r="D2" t="s">
        <v>153</v>
      </c>
      <c r="E2">
        <v>15000</v>
      </c>
      <c r="F2">
        <v>18000</v>
      </c>
      <c r="G2">
        <v>3000</v>
      </c>
    </row>
    <row r="3" spans="1:7" x14ac:dyDescent="0.25">
      <c r="A3">
        <v>2</v>
      </c>
      <c r="B3" t="s">
        <v>153</v>
      </c>
      <c r="C3" t="s">
        <v>152</v>
      </c>
      <c r="D3" t="s">
        <v>153</v>
      </c>
      <c r="E3">
        <v>15000</v>
      </c>
      <c r="F3">
        <v>18000</v>
      </c>
      <c r="G3">
        <v>3000</v>
      </c>
    </row>
    <row r="4" spans="1:7" x14ac:dyDescent="0.25">
      <c r="A4">
        <v>3</v>
      </c>
      <c r="B4" t="s">
        <v>167</v>
      </c>
      <c r="C4" t="s">
        <v>168</v>
      </c>
      <c r="D4" t="str">
        <f>Entertainment_Orders[[#This Row],[Entertainment_Type]]</f>
        <v>None</v>
      </c>
      <c r="E4">
        <v>0</v>
      </c>
      <c r="F4">
        <v>0</v>
      </c>
      <c r="G4">
        <v>0</v>
      </c>
    </row>
    <row r="5" spans="1:7" x14ac:dyDescent="0.25">
      <c r="A5">
        <v>4</v>
      </c>
      <c r="B5" t="s">
        <v>167</v>
      </c>
      <c r="C5" t="s">
        <v>168</v>
      </c>
      <c r="D5" t="str">
        <f>Entertainment_Orders[[#This Row],[Entertainment_Type]]</f>
        <v>None</v>
      </c>
      <c r="E5">
        <v>0</v>
      </c>
      <c r="F5">
        <v>0</v>
      </c>
      <c r="G5">
        <v>0</v>
      </c>
    </row>
    <row r="6" spans="1:7" x14ac:dyDescent="0.25">
      <c r="A6">
        <v>5</v>
      </c>
      <c r="B6" t="s">
        <v>167</v>
      </c>
      <c r="C6" t="s">
        <v>168</v>
      </c>
      <c r="D6" t="str">
        <f>Entertainment_Orders[[#This Row],[Entertainment_Type]]</f>
        <v>None</v>
      </c>
      <c r="E6">
        <v>0</v>
      </c>
      <c r="F6">
        <v>0</v>
      </c>
      <c r="G6">
        <v>0</v>
      </c>
    </row>
    <row r="7" spans="1:7" x14ac:dyDescent="0.25">
      <c r="A7">
        <v>6</v>
      </c>
      <c r="B7" t="s">
        <v>167</v>
      </c>
      <c r="C7" t="s">
        <v>168</v>
      </c>
      <c r="D7" t="str">
        <f>Entertainment_Orders[[#This Row],[Entertainment_Type]]</f>
        <v>None</v>
      </c>
      <c r="E7">
        <v>0</v>
      </c>
      <c r="F7">
        <v>0</v>
      </c>
      <c r="G7">
        <v>0</v>
      </c>
    </row>
    <row r="8" spans="1:7" x14ac:dyDescent="0.25">
      <c r="A8">
        <v>7</v>
      </c>
      <c r="B8" t="s">
        <v>169</v>
      </c>
      <c r="C8" t="s">
        <v>168</v>
      </c>
      <c r="D8" t="str">
        <f>Entertainment_Orders[[#This Row],[Entertainment_Type]]</f>
        <v>Anchoring + Games</v>
      </c>
      <c r="E8">
        <v>0</v>
      </c>
      <c r="F8">
        <v>0</v>
      </c>
      <c r="G8">
        <v>0</v>
      </c>
    </row>
    <row r="9" spans="1:7" x14ac:dyDescent="0.25">
      <c r="A9">
        <v>8</v>
      </c>
      <c r="B9" t="s">
        <v>170</v>
      </c>
      <c r="C9" t="s">
        <v>168</v>
      </c>
      <c r="D9" t="str">
        <f>Entertainment_Orders[[#This Row],[Entertainment_Type]]</f>
        <v>Live Band</v>
      </c>
      <c r="E9">
        <v>0</v>
      </c>
      <c r="F9">
        <v>0</v>
      </c>
      <c r="G9">
        <v>0</v>
      </c>
    </row>
    <row r="10" spans="1:7" x14ac:dyDescent="0.25">
      <c r="A10">
        <v>9</v>
      </c>
      <c r="B10" t="s">
        <v>167</v>
      </c>
      <c r="C10" t="s">
        <v>168</v>
      </c>
      <c r="D10" t="str">
        <f>Entertainment_Orders[[#This Row],[Entertainment_Type]]</f>
        <v>None</v>
      </c>
      <c r="E10">
        <v>0</v>
      </c>
      <c r="F10">
        <v>0</v>
      </c>
      <c r="G10">
        <v>0</v>
      </c>
    </row>
    <row r="11" spans="1:7" x14ac:dyDescent="0.25">
      <c r="A11">
        <v>10</v>
      </c>
      <c r="B11" t="s">
        <v>167</v>
      </c>
      <c r="C11" t="s">
        <v>168</v>
      </c>
      <c r="D11" t="str">
        <f>Entertainment_Orders[[#This Row],[Entertainment_Type]]</f>
        <v>None</v>
      </c>
      <c r="E11">
        <v>0</v>
      </c>
      <c r="F11">
        <v>0</v>
      </c>
      <c r="G11">
        <v>0</v>
      </c>
    </row>
    <row r="12" spans="1:7" x14ac:dyDescent="0.25">
      <c r="A12">
        <v>11</v>
      </c>
      <c r="B12" t="s">
        <v>167</v>
      </c>
      <c r="C12" t="s">
        <v>168</v>
      </c>
      <c r="D12" t="str">
        <f>Entertainment_Orders[[#This Row],[Entertainment_Type]]</f>
        <v>None</v>
      </c>
      <c r="E12">
        <v>0</v>
      </c>
      <c r="F12">
        <v>0</v>
      </c>
      <c r="G12">
        <v>0</v>
      </c>
    </row>
    <row r="13" spans="1:7" x14ac:dyDescent="0.25">
      <c r="A13">
        <v>12</v>
      </c>
      <c r="B13" t="s">
        <v>153</v>
      </c>
      <c r="C13" t="s">
        <v>152</v>
      </c>
      <c r="D13" t="s">
        <v>153</v>
      </c>
      <c r="E13">
        <v>15000</v>
      </c>
      <c r="F13">
        <v>18000</v>
      </c>
      <c r="G13">
        <v>3000</v>
      </c>
    </row>
    <row r="14" spans="1:7" x14ac:dyDescent="0.25">
      <c r="A14">
        <v>13</v>
      </c>
      <c r="B14" t="s">
        <v>169</v>
      </c>
      <c r="C14" t="s">
        <v>168</v>
      </c>
      <c r="D14" t="str">
        <f>Entertainment_Orders[[#This Row],[Entertainment_Type]]</f>
        <v>Anchoring + Games</v>
      </c>
      <c r="E14">
        <v>0</v>
      </c>
      <c r="F14">
        <v>0</v>
      </c>
      <c r="G14">
        <v>0</v>
      </c>
    </row>
    <row r="15" spans="1:7" x14ac:dyDescent="0.25">
      <c r="A15">
        <v>14</v>
      </c>
      <c r="B15" t="s">
        <v>153</v>
      </c>
      <c r="C15" t="s">
        <v>152</v>
      </c>
      <c r="D15" t="s">
        <v>153</v>
      </c>
      <c r="E15">
        <v>15000</v>
      </c>
      <c r="F15">
        <v>18000</v>
      </c>
      <c r="G15">
        <v>3000</v>
      </c>
    </row>
    <row r="16" spans="1:7" x14ac:dyDescent="0.25">
      <c r="A16">
        <v>15</v>
      </c>
      <c r="B16" t="s">
        <v>143</v>
      </c>
      <c r="C16" t="s">
        <v>142</v>
      </c>
      <c r="D16" t="s">
        <v>143</v>
      </c>
      <c r="E16">
        <v>8000</v>
      </c>
      <c r="F16">
        <v>9500</v>
      </c>
      <c r="G16">
        <v>1500</v>
      </c>
    </row>
    <row r="17" spans="1:7" x14ac:dyDescent="0.25">
      <c r="A17">
        <v>16</v>
      </c>
      <c r="B17" t="s">
        <v>143</v>
      </c>
      <c r="C17" t="s">
        <v>142</v>
      </c>
      <c r="D17" t="s">
        <v>143</v>
      </c>
      <c r="E17">
        <v>8000</v>
      </c>
      <c r="F17">
        <v>9500</v>
      </c>
      <c r="G17">
        <v>1500</v>
      </c>
    </row>
    <row r="18" spans="1:7" x14ac:dyDescent="0.25">
      <c r="A18">
        <v>17</v>
      </c>
      <c r="B18" t="s">
        <v>169</v>
      </c>
      <c r="C18" t="s">
        <v>168</v>
      </c>
      <c r="D18" t="str">
        <f>Entertainment_Orders[[#This Row],[Entertainment_Type]]</f>
        <v>Anchoring + Games</v>
      </c>
      <c r="E18">
        <v>0</v>
      </c>
      <c r="F18">
        <v>0</v>
      </c>
      <c r="G18">
        <v>0</v>
      </c>
    </row>
    <row r="19" spans="1:7" x14ac:dyDescent="0.25">
      <c r="A19">
        <v>18</v>
      </c>
      <c r="B19" t="s">
        <v>167</v>
      </c>
      <c r="C19" t="s">
        <v>168</v>
      </c>
      <c r="D19" t="str">
        <f>Entertainment_Orders[[#This Row],[Entertainment_Type]]</f>
        <v>None</v>
      </c>
      <c r="E19">
        <v>0</v>
      </c>
      <c r="F19">
        <v>0</v>
      </c>
      <c r="G19">
        <v>0</v>
      </c>
    </row>
    <row r="20" spans="1:7" x14ac:dyDescent="0.25">
      <c r="A20">
        <v>19</v>
      </c>
      <c r="B20" t="s">
        <v>167</v>
      </c>
      <c r="C20" t="s">
        <v>168</v>
      </c>
      <c r="D20" t="str">
        <f>Entertainment_Orders[[#This Row],[Entertainment_Type]]</f>
        <v>None</v>
      </c>
      <c r="E20">
        <v>0</v>
      </c>
      <c r="F20">
        <v>0</v>
      </c>
      <c r="G20">
        <v>0</v>
      </c>
    </row>
    <row r="21" spans="1:7" x14ac:dyDescent="0.25">
      <c r="A21">
        <v>20</v>
      </c>
      <c r="B21" t="s">
        <v>167</v>
      </c>
      <c r="C21" t="s">
        <v>168</v>
      </c>
      <c r="D21" t="str">
        <f>Entertainment_Orders[[#This Row],[Entertainment_Type]]</f>
        <v>None</v>
      </c>
      <c r="E21">
        <v>0</v>
      </c>
      <c r="F21">
        <v>0</v>
      </c>
      <c r="G21">
        <v>0</v>
      </c>
    </row>
    <row r="22" spans="1:7" x14ac:dyDescent="0.25">
      <c r="A22">
        <v>21</v>
      </c>
      <c r="B22" t="s">
        <v>153</v>
      </c>
      <c r="C22" t="s">
        <v>152</v>
      </c>
      <c r="D22" t="s">
        <v>153</v>
      </c>
      <c r="E22">
        <v>15000</v>
      </c>
      <c r="F22">
        <v>18000</v>
      </c>
      <c r="G22">
        <v>3000</v>
      </c>
    </row>
    <row r="23" spans="1:7" x14ac:dyDescent="0.25">
      <c r="A23">
        <v>22</v>
      </c>
      <c r="B23" t="s">
        <v>169</v>
      </c>
      <c r="C23" t="s">
        <v>168</v>
      </c>
      <c r="D23" t="str">
        <f>Entertainment_Orders[[#This Row],[Entertainment_Type]]</f>
        <v>Anchoring + Games</v>
      </c>
      <c r="E23">
        <v>0</v>
      </c>
      <c r="F23">
        <v>0</v>
      </c>
      <c r="G23">
        <v>0</v>
      </c>
    </row>
    <row r="24" spans="1:7" x14ac:dyDescent="0.25">
      <c r="A24">
        <v>23</v>
      </c>
      <c r="B24" t="s">
        <v>143</v>
      </c>
      <c r="C24" t="s">
        <v>142</v>
      </c>
      <c r="D24" t="s">
        <v>143</v>
      </c>
      <c r="E24">
        <v>8000</v>
      </c>
      <c r="F24">
        <v>9500</v>
      </c>
      <c r="G24">
        <v>1500</v>
      </c>
    </row>
    <row r="25" spans="1:7" x14ac:dyDescent="0.25">
      <c r="A25">
        <v>24</v>
      </c>
      <c r="B25" t="s">
        <v>153</v>
      </c>
      <c r="C25" t="s">
        <v>152</v>
      </c>
      <c r="D25" t="s">
        <v>153</v>
      </c>
      <c r="E25">
        <v>15000</v>
      </c>
      <c r="F25">
        <v>18000</v>
      </c>
      <c r="G25">
        <v>3000</v>
      </c>
    </row>
    <row r="26" spans="1:7" x14ac:dyDescent="0.25">
      <c r="A26">
        <v>25</v>
      </c>
      <c r="B26" t="s">
        <v>153</v>
      </c>
      <c r="C26" t="s">
        <v>152</v>
      </c>
      <c r="D26" t="s">
        <v>153</v>
      </c>
      <c r="E26">
        <v>15000</v>
      </c>
      <c r="F26">
        <v>18000</v>
      </c>
      <c r="G26">
        <v>3000</v>
      </c>
    </row>
    <row r="27" spans="1:7" x14ac:dyDescent="0.25">
      <c r="A27">
        <v>26</v>
      </c>
      <c r="B27" t="s">
        <v>143</v>
      </c>
      <c r="C27" t="s">
        <v>142</v>
      </c>
      <c r="D27" t="s">
        <v>143</v>
      </c>
      <c r="E27">
        <v>8000</v>
      </c>
      <c r="F27">
        <v>9500</v>
      </c>
      <c r="G27">
        <v>1500</v>
      </c>
    </row>
    <row r="28" spans="1:7" x14ac:dyDescent="0.25">
      <c r="A28">
        <v>27</v>
      </c>
      <c r="B28" t="s">
        <v>153</v>
      </c>
      <c r="C28" t="s">
        <v>152</v>
      </c>
      <c r="D28" t="s">
        <v>153</v>
      </c>
      <c r="E28">
        <v>15000</v>
      </c>
      <c r="F28">
        <v>18000</v>
      </c>
      <c r="G28">
        <v>3000</v>
      </c>
    </row>
    <row r="29" spans="1:7" x14ac:dyDescent="0.25">
      <c r="A29">
        <v>28</v>
      </c>
      <c r="B29" t="s">
        <v>143</v>
      </c>
      <c r="C29" t="s">
        <v>142</v>
      </c>
      <c r="D29" t="s">
        <v>143</v>
      </c>
      <c r="E29">
        <v>8000</v>
      </c>
      <c r="F29">
        <v>9500</v>
      </c>
      <c r="G29">
        <v>1500</v>
      </c>
    </row>
    <row r="30" spans="1:7" x14ac:dyDescent="0.25">
      <c r="A30">
        <v>29</v>
      </c>
      <c r="B30" t="s">
        <v>158</v>
      </c>
      <c r="C30" t="s">
        <v>157</v>
      </c>
      <c r="D30" t="s">
        <v>158</v>
      </c>
      <c r="E30">
        <v>10000</v>
      </c>
      <c r="F30">
        <v>12000</v>
      </c>
      <c r="G30">
        <v>2000</v>
      </c>
    </row>
    <row r="31" spans="1:7" x14ac:dyDescent="0.25">
      <c r="A31">
        <v>30</v>
      </c>
      <c r="B31" t="s">
        <v>158</v>
      </c>
      <c r="C31" t="s">
        <v>157</v>
      </c>
      <c r="D31" t="s">
        <v>158</v>
      </c>
      <c r="E31">
        <v>10000</v>
      </c>
      <c r="F31">
        <v>12000</v>
      </c>
      <c r="G31">
        <v>2000</v>
      </c>
    </row>
    <row r="32" spans="1:7" x14ac:dyDescent="0.25">
      <c r="A32">
        <v>31</v>
      </c>
      <c r="B32" t="s">
        <v>167</v>
      </c>
      <c r="C32" t="s">
        <v>168</v>
      </c>
      <c r="D32" t="str">
        <f>Entertainment_Orders[[#This Row],[Entertainment_Type]]</f>
        <v>None</v>
      </c>
      <c r="E32">
        <v>0</v>
      </c>
      <c r="F32">
        <v>0</v>
      </c>
      <c r="G32">
        <v>0</v>
      </c>
    </row>
    <row r="33" spans="1:7" x14ac:dyDescent="0.25">
      <c r="A33">
        <v>32</v>
      </c>
      <c r="B33" t="s">
        <v>167</v>
      </c>
      <c r="C33" t="s">
        <v>168</v>
      </c>
      <c r="D33" t="str">
        <f>Entertainment_Orders[[#This Row],[Entertainment_Type]]</f>
        <v>None</v>
      </c>
      <c r="E33">
        <v>0</v>
      </c>
      <c r="F33">
        <v>0</v>
      </c>
      <c r="G33">
        <v>0</v>
      </c>
    </row>
    <row r="34" spans="1:7" x14ac:dyDescent="0.25">
      <c r="A34">
        <v>33</v>
      </c>
      <c r="B34" t="s">
        <v>167</v>
      </c>
      <c r="C34" t="s">
        <v>168</v>
      </c>
      <c r="D34" t="str">
        <f>Entertainment_Orders[[#This Row],[Entertainment_Type]]</f>
        <v>None</v>
      </c>
      <c r="E34">
        <v>0</v>
      </c>
      <c r="F34">
        <v>0</v>
      </c>
      <c r="G34">
        <v>0</v>
      </c>
    </row>
    <row r="35" spans="1:7" x14ac:dyDescent="0.25">
      <c r="A35">
        <v>34</v>
      </c>
      <c r="B35" t="s">
        <v>163</v>
      </c>
      <c r="C35" t="s">
        <v>162</v>
      </c>
      <c r="D35" t="s">
        <v>163</v>
      </c>
      <c r="E35">
        <v>7000</v>
      </c>
      <c r="F35">
        <v>8500</v>
      </c>
      <c r="G35">
        <v>1500</v>
      </c>
    </row>
    <row r="36" spans="1:7" x14ac:dyDescent="0.25">
      <c r="A36">
        <v>35</v>
      </c>
      <c r="B36" t="s">
        <v>167</v>
      </c>
      <c r="C36" t="s">
        <v>168</v>
      </c>
      <c r="D36" t="str">
        <f>Entertainment_Orders[[#This Row],[Entertainment_Type]]</f>
        <v>None</v>
      </c>
      <c r="E36">
        <v>0</v>
      </c>
      <c r="F36">
        <v>0</v>
      </c>
      <c r="G36">
        <v>0</v>
      </c>
    </row>
    <row r="37" spans="1:7" x14ac:dyDescent="0.25">
      <c r="A37">
        <v>36</v>
      </c>
      <c r="B37" t="s">
        <v>143</v>
      </c>
      <c r="C37" t="s">
        <v>142</v>
      </c>
      <c r="D37" t="s">
        <v>143</v>
      </c>
      <c r="E37">
        <v>8000</v>
      </c>
      <c r="F37">
        <v>9500</v>
      </c>
      <c r="G37">
        <v>1500</v>
      </c>
    </row>
    <row r="38" spans="1:7" x14ac:dyDescent="0.25">
      <c r="A38">
        <v>37</v>
      </c>
      <c r="B38" t="s">
        <v>153</v>
      </c>
      <c r="C38" t="s">
        <v>152</v>
      </c>
      <c r="D38" t="s">
        <v>153</v>
      </c>
      <c r="E38">
        <v>15000</v>
      </c>
      <c r="F38">
        <v>18000</v>
      </c>
      <c r="G38">
        <v>3000</v>
      </c>
    </row>
    <row r="39" spans="1:7" x14ac:dyDescent="0.25">
      <c r="A39">
        <v>38</v>
      </c>
      <c r="B39" t="s">
        <v>153</v>
      </c>
      <c r="C39" t="s">
        <v>152</v>
      </c>
      <c r="D39" t="s">
        <v>153</v>
      </c>
      <c r="E39">
        <v>15000</v>
      </c>
      <c r="F39">
        <v>18000</v>
      </c>
      <c r="G39">
        <v>3000</v>
      </c>
    </row>
    <row r="40" spans="1:7" x14ac:dyDescent="0.25">
      <c r="A40">
        <v>39</v>
      </c>
      <c r="B40" t="s">
        <v>143</v>
      </c>
      <c r="C40" t="s">
        <v>142</v>
      </c>
      <c r="D40" t="s">
        <v>143</v>
      </c>
      <c r="E40">
        <v>8000</v>
      </c>
      <c r="F40">
        <v>9500</v>
      </c>
      <c r="G40">
        <v>1500</v>
      </c>
    </row>
    <row r="41" spans="1:7" x14ac:dyDescent="0.25">
      <c r="A41">
        <v>40</v>
      </c>
      <c r="B41" t="s">
        <v>143</v>
      </c>
      <c r="C41" t="s">
        <v>142</v>
      </c>
      <c r="D41" t="s">
        <v>143</v>
      </c>
      <c r="E41">
        <v>8000</v>
      </c>
      <c r="F41">
        <v>9500</v>
      </c>
      <c r="G41">
        <v>1500</v>
      </c>
    </row>
    <row r="42" spans="1:7" x14ac:dyDescent="0.25">
      <c r="A42">
        <v>41</v>
      </c>
      <c r="B42" t="s">
        <v>163</v>
      </c>
      <c r="C42" t="s">
        <v>162</v>
      </c>
      <c r="D42" t="s">
        <v>163</v>
      </c>
      <c r="E42">
        <v>7000</v>
      </c>
      <c r="F42">
        <v>8500</v>
      </c>
      <c r="G42">
        <v>1500</v>
      </c>
    </row>
    <row r="43" spans="1:7" x14ac:dyDescent="0.25">
      <c r="A43">
        <v>42</v>
      </c>
      <c r="B43" t="s">
        <v>163</v>
      </c>
      <c r="C43" t="s">
        <v>162</v>
      </c>
      <c r="D43" t="s">
        <v>163</v>
      </c>
      <c r="E43">
        <v>7000</v>
      </c>
      <c r="F43">
        <v>8500</v>
      </c>
      <c r="G43">
        <v>1500</v>
      </c>
    </row>
    <row r="44" spans="1:7" x14ac:dyDescent="0.25">
      <c r="A44">
        <v>43</v>
      </c>
      <c r="B44" t="s">
        <v>153</v>
      </c>
      <c r="C44" t="s">
        <v>152</v>
      </c>
      <c r="D44" t="s">
        <v>153</v>
      </c>
      <c r="E44">
        <v>15000</v>
      </c>
      <c r="F44">
        <v>18000</v>
      </c>
      <c r="G44">
        <v>3000</v>
      </c>
    </row>
    <row r="45" spans="1:7" x14ac:dyDescent="0.25">
      <c r="A45">
        <v>44</v>
      </c>
      <c r="B45" t="s">
        <v>167</v>
      </c>
      <c r="C45" t="s">
        <v>168</v>
      </c>
      <c r="D45" t="str">
        <f>Entertainment_Orders[[#This Row],[Entertainment_Type]]</f>
        <v>None</v>
      </c>
      <c r="E45">
        <v>0</v>
      </c>
      <c r="F45">
        <v>0</v>
      </c>
      <c r="G45">
        <v>0</v>
      </c>
    </row>
    <row r="46" spans="1:7" x14ac:dyDescent="0.25">
      <c r="A46">
        <v>45</v>
      </c>
      <c r="B46" t="s">
        <v>169</v>
      </c>
      <c r="C46" t="s">
        <v>168</v>
      </c>
      <c r="D46" t="str">
        <f>Entertainment_Orders[[#This Row],[Entertainment_Type]]</f>
        <v>Anchoring + Games</v>
      </c>
      <c r="E46">
        <v>0</v>
      </c>
      <c r="F46">
        <v>0</v>
      </c>
      <c r="G46">
        <v>0</v>
      </c>
    </row>
    <row r="47" spans="1:7" x14ac:dyDescent="0.25">
      <c r="A47">
        <v>46</v>
      </c>
      <c r="B47" t="s">
        <v>153</v>
      </c>
      <c r="C47" t="s">
        <v>152</v>
      </c>
      <c r="D47" t="s">
        <v>153</v>
      </c>
      <c r="E47">
        <v>15000</v>
      </c>
      <c r="F47">
        <v>18000</v>
      </c>
      <c r="G47">
        <v>3000</v>
      </c>
    </row>
    <row r="48" spans="1:7" x14ac:dyDescent="0.25">
      <c r="A48">
        <v>47</v>
      </c>
      <c r="B48" t="s">
        <v>169</v>
      </c>
      <c r="C48" t="s">
        <v>168</v>
      </c>
      <c r="D48" t="str">
        <f>Entertainment_Orders[[#This Row],[Entertainment_Type]]</f>
        <v>Anchoring + Games</v>
      </c>
      <c r="E48">
        <v>0</v>
      </c>
      <c r="F48">
        <v>0</v>
      </c>
      <c r="G48">
        <v>0</v>
      </c>
    </row>
    <row r="49" spans="1:7" x14ac:dyDescent="0.25">
      <c r="A49">
        <v>48</v>
      </c>
      <c r="B49" t="s">
        <v>163</v>
      </c>
      <c r="C49" t="s">
        <v>162</v>
      </c>
      <c r="D49" t="s">
        <v>163</v>
      </c>
      <c r="E49">
        <v>7000</v>
      </c>
      <c r="F49">
        <v>8500</v>
      </c>
      <c r="G49">
        <v>1500</v>
      </c>
    </row>
    <row r="50" spans="1:7" x14ac:dyDescent="0.25">
      <c r="A50">
        <v>49</v>
      </c>
      <c r="B50" t="s">
        <v>167</v>
      </c>
      <c r="C50" t="s">
        <v>168</v>
      </c>
      <c r="D50" t="str">
        <f>Entertainment_Orders[[#This Row],[Entertainment_Type]]</f>
        <v>None</v>
      </c>
      <c r="E50">
        <v>0</v>
      </c>
      <c r="F50">
        <v>0</v>
      </c>
      <c r="G50">
        <v>0</v>
      </c>
    </row>
    <row r="51" spans="1:7" x14ac:dyDescent="0.25">
      <c r="A51">
        <v>50</v>
      </c>
      <c r="B51" t="s">
        <v>153</v>
      </c>
      <c r="C51" t="s">
        <v>152</v>
      </c>
      <c r="D51" t="s">
        <v>153</v>
      </c>
      <c r="E51">
        <v>15000</v>
      </c>
      <c r="F51">
        <v>18000</v>
      </c>
      <c r="G51">
        <v>3000</v>
      </c>
    </row>
    <row r="52" spans="1:7" x14ac:dyDescent="0.25">
      <c r="A52">
        <v>51</v>
      </c>
      <c r="B52" t="s">
        <v>167</v>
      </c>
      <c r="C52" t="s">
        <v>168</v>
      </c>
      <c r="D52" t="str">
        <f>Entertainment_Orders[[#This Row],[Entertainment_Type]]</f>
        <v>None</v>
      </c>
      <c r="E52">
        <v>0</v>
      </c>
      <c r="F52">
        <v>0</v>
      </c>
      <c r="G52">
        <v>0</v>
      </c>
    </row>
    <row r="53" spans="1:7" x14ac:dyDescent="0.25">
      <c r="A53">
        <v>52</v>
      </c>
      <c r="B53" t="s">
        <v>153</v>
      </c>
      <c r="C53" t="s">
        <v>152</v>
      </c>
      <c r="D53" t="s">
        <v>153</v>
      </c>
      <c r="E53">
        <v>15000</v>
      </c>
      <c r="F53">
        <v>18000</v>
      </c>
      <c r="G53">
        <v>3000</v>
      </c>
    </row>
    <row r="54" spans="1:7" x14ac:dyDescent="0.25">
      <c r="A54">
        <v>53</v>
      </c>
      <c r="B54" t="s">
        <v>167</v>
      </c>
      <c r="C54" t="s">
        <v>168</v>
      </c>
      <c r="D54" t="str">
        <f>Entertainment_Orders[[#This Row],[Entertainment_Type]]</f>
        <v>None</v>
      </c>
      <c r="E54">
        <v>0</v>
      </c>
      <c r="F54">
        <v>0</v>
      </c>
      <c r="G54">
        <v>0</v>
      </c>
    </row>
    <row r="55" spans="1:7" x14ac:dyDescent="0.25">
      <c r="A55">
        <v>54</v>
      </c>
      <c r="B55" t="s">
        <v>167</v>
      </c>
      <c r="C55" t="s">
        <v>168</v>
      </c>
      <c r="D55" t="str">
        <f>Entertainment_Orders[[#This Row],[Entertainment_Type]]</f>
        <v>None</v>
      </c>
      <c r="E55">
        <v>0</v>
      </c>
      <c r="F55">
        <v>0</v>
      </c>
      <c r="G55">
        <v>0</v>
      </c>
    </row>
    <row r="56" spans="1:7" x14ac:dyDescent="0.25">
      <c r="A56">
        <v>55</v>
      </c>
      <c r="B56" t="s">
        <v>167</v>
      </c>
      <c r="C56" t="s">
        <v>168</v>
      </c>
      <c r="D56" t="str">
        <f>Entertainment_Orders[[#This Row],[Entertainment_Type]]</f>
        <v>None</v>
      </c>
      <c r="E56">
        <v>0</v>
      </c>
      <c r="F56">
        <v>0</v>
      </c>
      <c r="G56">
        <v>0</v>
      </c>
    </row>
    <row r="57" spans="1:7" x14ac:dyDescent="0.25">
      <c r="A57">
        <v>56</v>
      </c>
      <c r="B57" t="s">
        <v>167</v>
      </c>
      <c r="C57" t="s">
        <v>168</v>
      </c>
      <c r="D57" t="str">
        <f>Entertainment_Orders[[#This Row],[Entertainment_Type]]</f>
        <v>None</v>
      </c>
      <c r="E57">
        <v>0</v>
      </c>
      <c r="F57">
        <v>0</v>
      </c>
      <c r="G57">
        <v>0</v>
      </c>
    </row>
    <row r="58" spans="1:7" x14ac:dyDescent="0.25">
      <c r="A58">
        <v>57</v>
      </c>
      <c r="B58" t="s">
        <v>169</v>
      </c>
      <c r="C58" t="s">
        <v>168</v>
      </c>
      <c r="D58" t="str">
        <f>Entertainment_Orders[[#This Row],[Entertainment_Type]]</f>
        <v>Anchoring + Games</v>
      </c>
      <c r="E58">
        <v>0</v>
      </c>
      <c r="F58">
        <v>0</v>
      </c>
      <c r="G58">
        <v>0</v>
      </c>
    </row>
    <row r="59" spans="1:7" x14ac:dyDescent="0.25">
      <c r="A59">
        <v>58</v>
      </c>
      <c r="B59" t="s">
        <v>170</v>
      </c>
      <c r="C59" t="s">
        <v>168</v>
      </c>
      <c r="D59" t="str">
        <f>Entertainment_Orders[[#This Row],[Entertainment_Type]]</f>
        <v>Live Band</v>
      </c>
      <c r="E59">
        <v>0</v>
      </c>
      <c r="F59">
        <v>0</v>
      </c>
      <c r="G59">
        <v>0</v>
      </c>
    </row>
    <row r="60" spans="1:7" x14ac:dyDescent="0.25">
      <c r="A60">
        <v>59</v>
      </c>
      <c r="B60" t="s">
        <v>167</v>
      </c>
      <c r="C60" t="s">
        <v>168</v>
      </c>
      <c r="D60" t="str">
        <f>Entertainment_Orders[[#This Row],[Entertainment_Type]]</f>
        <v>None</v>
      </c>
      <c r="E60">
        <v>0</v>
      </c>
      <c r="F60">
        <v>0</v>
      </c>
      <c r="G60">
        <v>0</v>
      </c>
    </row>
    <row r="61" spans="1:7" x14ac:dyDescent="0.25">
      <c r="A61">
        <v>60</v>
      </c>
      <c r="B61" t="s">
        <v>167</v>
      </c>
      <c r="C61" t="s">
        <v>168</v>
      </c>
      <c r="D61" t="str">
        <f>Entertainment_Orders[[#This Row],[Entertainment_Type]]</f>
        <v>None</v>
      </c>
      <c r="E61">
        <v>0</v>
      </c>
      <c r="F61">
        <v>0</v>
      </c>
      <c r="G61">
        <v>0</v>
      </c>
    </row>
    <row r="62" spans="1:7" x14ac:dyDescent="0.25">
      <c r="A62">
        <v>61</v>
      </c>
      <c r="B62" t="s">
        <v>153</v>
      </c>
      <c r="C62" t="s">
        <v>152</v>
      </c>
      <c r="D62" t="s">
        <v>153</v>
      </c>
      <c r="E62">
        <v>15000</v>
      </c>
      <c r="F62">
        <v>18000</v>
      </c>
      <c r="G62">
        <v>3000</v>
      </c>
    </row>
    <row r="63" spans="1:7" x14ac:dyDescent="0.25">
      <c r="A63">
        <v>62</v>
      </c>
      <c r="B63" t="s">
        <v>167</v>
      </c>
      <c r="C63" t="s">
        <v>168</v>
      </c>
      <c r="D63" t="str">
        <f>Entertainment_Orders[[#This Row],[Entertainment_Type]]</f>
        <v>None</v>
      </c>
      <c r="E63">
        <v>0</v>
      </c>
      <c r="F63">
        <v>0</v>
      </c>
      <c r="G63">
        <v>0</v>
      </c>
    </row>
    <row r="64" spans="1:7" x14ac:dyDescent="0.25">
      <c r="A64">
        <v>63</v>
      </c>
      <c r="B64" t="s">
        <v>153</v>
      </c>
      <c r="C64" t="s">
        <v>152</v>
      </c>
      <c r="D64" t="s">
        <v>153</v>
      </c>
      <c r="E64">
        <v>15000</v>
      </c>
      <c r="F64">
        <v>18000</v>
      </c>
      <c r="G64">
        <v>3000</v>
      </c>
    </row>
    <row r="65" spans="1:7" x14ac:dyDescent="0.25">
      <c r="A65">
        <v>64</v>
      </c>
      <c r="B65" t="s">
        <v>169</v>
      </c>
      <c r="C65" t="s">
        <v>168</v>
      </c>
      <c r="D65" t="str">
        <f>Entertainment_Orders[[#This Row],[Entertainment_Type]]</f>
        <v>Anchoring + Games</v>
      </c>
      <c r="E65">
        <v>0</v>
      </c>
      <c r="F65">
        <v>0</v>
      </c>
      <c r="G65">
        <v>0</v>
      </c>
    </row>
    <row r="66" spans="1:7" x14ac:dyDescent="0.25">
      <c r="A66">
        <v>65</v>
      </c>
      <c r="B66" t="s">
        <v>153</v>
      </c>
      <c r="C66" t="s">
        <v>152</v>
      </c>
      <c r="D66" t="s">
        <v>153</v>
      </c>
      <c r="E66">
        <v>15000</v>
      </c>
      <c r="F66">
        <v>18000</v>
      </c>
      <c r="G66">
        <v>3000</v>
      </c>
    </row>
    <row r="67" spans="1:7" x14ac:dyDescent="0.25">
      <c r="A67">
        <v>66</v>
      </c>
      <c r="B67" t="s">
        <v>143</v>
      </c>
      <c r="C67" t="s">
        <v>142</v>
      </c>
      <c r="D67" t="s">
        <v>143</v>
      </c>
      <c r="E67">
        <v>8000</v>
      </c>
      <c r="F67">
        <v>9500</v>
      </c>
      <c r="G67">
        <v>1500</v>
      </c>
    </row>
    <row r="68" spans="1:7" x14ac:dyDescent="0.25">
      <c r="A68">
        <v>67</v>
      </c>
      <c r="B68" t="s">
        <v>143</v>
      </c>
      <c r="C68" t="s">
        <v>142</v>
      </c>
      <c r="D68" t="s">
        <v>143</v>
      </c>
      <c r="E68">
        <v>8000</v>
      </c>
      <c r="F68">
        <v>9500</v>
      </c>
      <c r="G68">
        <v>1500</v>
      </c>
    </row>
    <row r="69" spans="1:7" x14ac:dyDescent="0.25">
      <c r="A69">
        <v>68</v>
      </c>
      <c r="B69" t="s">
        <v>169</v>
      </c>
      <c r="C69" t="s">
        <v>168</v>
      </c>
      <c r="D69" t="str">
        <f>Entertainment_Orders[[#This Row],[Entertainment_Type]]</f>
        <v>Anchoring + Games</v>
      </c>
      <c r="E69">
        <v>0</v>
      </c>
      <c r="F69">
        <v>0</v>
      </c>
      <c r="G69">
        <v>0</v>
      </c>
    </row>
    <row r="70" spans="1:7" x14ac:dyDescent="0.25">
      <c r="A70">
        <v>69</v>
      </c>
      <c r="B70" t="s">
        <v>153</v>
      </c>
      <c r="C70" t="s">
        <v>152</v>
      </c>
      <c r="D70" t="s">
        <v>153</v>
      </c>
      <c r="E70">
        <v>15000</v>
      </c>
      <c r="F70">
        <v>18000</v>
      </c>
      <c r="G70">
        <v>3000</v>
      </c>
    </row>
    <row r="71" spans="1:7" x14ac:dyDescent="0.25">
      <c r="A71">
        <v>70</v>
      </c>
      <c r="B71" t="s">
        <v>167</v>
      </c>
      <c r="C71" t="s">
        <v>168</v>
      </c>
      <c r="D71" t="str">
        <f>Entertainment_Orders[[#This Row],[Entertainment_Type]]</f>
        <v>None</v>
      </c>
      <c r="E71">
        <v>0</v>
      </c>
      <c r="F71">
        <v>0</v>
      </c>
      <c r="G71">
        <v>0</v>
      </c>
    </row>
    <row r="72" spans="1:7" x14ac:dyDescent="0.25">
      <c r="A72">
        <v>71</v>
      </c>
      <c r="B72" t="s">
        <v>167</v>
      </c>
      <c r="C72" t="s">
        <v>168</v>
      </c>
      <c r="D72" t="str">
        <f>Entertainment_Orders[[#This Row],[Entertainment_Type]]</f>
        <v>None</v>
      </c>
      <c r="E72">
        <v>0</v>
      </c>
      <c r="F72">
        <v>0</v>
      </c>
      <c r="G72">
        <v>0</v>
      </c>
    </row>
    <row r="73" spans="1:7" x14ac:dyDescent="0.25">
      <c r="A73">
        <v>72</v>
      </c>
      <c r="B73" t="s">
        <v>167</v>
      </c>
      <c r="C73" t="s">
        <v>168</v>
      </c>
      <c r="D73" t="str">
        <f>Entertainment_Orders[[#This Row],[Entertainment_Type]]</f>
        <v>None</v>
      </c>
      <c r="E73">
        <v>0</v>
      </c>
      <c r="F73">
        <v>0</v>
      </c>
      <c r="G73">
        <v>0</v>
      </c>
    </row>
    <row r="74" spans="1:7" x14ac:dyDescent="0.25">
      <c r="A74">
        <v>73</v>
      </c>
      <c r="B74" t="s">
        <v>153</v>
      </c>
      <c r="C74" t="s">
        <v>152</v>
      </c>
      <c r="D74" t="s">
        <v>153</v>
      </c>
      <c r="E74">
        <v>15000</v>
      </c>
      <c r="F74">
        <v>18000</v>
      </c>
      <c r="G74">
        <v>3000</v>
      </c>
    </row>
    <row r="75" spans="1:7" x14ac:dyDescent="0.25">
      <c r="A75">
        <v>74</v>
      </c>
      <c r="B75" t="s">
        <v>153</v>
      </c>
      <c r="C75" t="s">
        <v>152</v>
      </c>
      <c r="D75" t="s">
        <v>153</v>
      </c>
      <c r="E75">
        <v>15000</v>
      </c>
      <c r="F75">
        <v>18000</v>
      </c>
      <c r="G75">
        <v>3000</v>
      </c>
    </row>
    <row r="76" spans="1:7" x14ac:dyDescent="0.25">
      <c r="A76">
        <v>75</v>
      </c>
      <c r="B76" t="s">
        <v>169</v>
      </c>
      <c r="C76" t="s">
        <v>168</v>
      </c>
      <c r="D76" t="str">
        <f>Entertainment_Orders[[#This Row],[Entertainment_Type]]</f>
        <v>Anchoring + Games</v>
      </c>
      <c r="E76">
        <v>0</v>
      </c>
      <c r="F76">
        <v>0</v>
      </c>
      <c r="G76">
        <v>0</v>
      </c>
    </row>
    <row r="77" spans="1:7" x14ac:dyDescent="0.25">
      <c r="A77">
        <v>76</v>
      </c>
      <c r="B77" t="s">
        <v>143</v>
      </c>
      <c r="C77" t="s">
        <v>142</v>
      </c>
      <c r="D77" t="s">
        <v>143</v>
      </c>
      <c r="E77">
        <v>8000</v>
      </c>
      <c r="F77">
        <v>9500</v>
      </c>
      <c r="G77">
        <v>1500</v>
      </c>
    </row>
    <row r="78" spans="1:7" x14ac:dyDescent="0.25">
      <c r="A78">
        <v>77</v>
      </c>
      <c r="B78" t="s">
        <v>143</v>
      </c>
      <c r="C78" t="s">
        <v>142</v>
      </c>
      <c r="D78" t="s">
        <v>143</v>
      </c>
      <c r="E78">
        <v>8000</v>
      </c>
      <c r="F78">
        <v>9500</v>
      </c>
      <c r="G78">
        <v>1500</v>
      </c>
    </row>
    <row r="79" spans="1:7" x14ac:dyDescent="0.25">
      <c r="A79">
        <v>78</v>
      </c>
      <c r="B79" t="s">
        <v>153</v>
      </c>
      <c r="C79" t="s">
        <v>152</v>
      </c>
      <c r="D79" t="s">
        <v>153</v>
      </c>
      <c r="E79">
        <v>15000</v>
      </c>
      <c r="F79">
        <v>18000</v>
      </c>
      <c r="G79">
        <v>3000</v>
      </c>
    </row>
    <row r="80" spans="1:7" x14ac:dyDescent="0.25">
      <c r="A80">
        <v>79</v>
      </c>
      <c r="B80" t="s">
        <v>153</v>
      </c>
      <c r="C80" t="s">
        <v>152</v>
      </c>
      <c r="D80" t="s">
        <v>153</v>
      </c>
      <c r="E80">
        <v>15000</v>
      </c>
      <c r="F80">
        <v>18000</v>
      </c>
      <c r="G80">
        <v>3000</v>
      </c>
    </row>
    <row r="81" spans="1:7" x14ac:dyDescent="0.25">
      <c r="A81">
        <v>80</v>
      </c>
      <c r="B81" t="s">
        <v>153</v>
      </c>
      <c r="C81" t="s">
        <v>152</v>
      </c>
      <c r="D81" t="s">
        <v>153</v>
      </c>
      <c r="E81">
        <v>15000</v>
      </c>
      <c r="F81">
        <v>18000</v>
      </c>
      <c r="G81">
        <v>3000</v>
      </c>
    </row>
    <row r="82" spans="1:7" x14ac:dyDescent="0.25">
      <c r="A82">
        <v>81</v>
      </c>
      <c r="B82" t="s">
        <v>143</v>
      </c>
      <c r="C82" t="s">
        <v>142</v>
      </c>
      <c r="D82" t="s">
        <v>143</v>
      </c>
      <c r="E82">
        <v>8000</v>
      </c>
      <c r="F82">
        <v>9500</v>
      </c>
      <c r="G82">
        <v>1500</v>
      </c>
    </row>
    <row r="83" spans="1:7" x14ac:dyDescent="0.25">
      <c r="A83">
        <v>82</v>
      </c>
      <c r="B83" t="s">
        <v>143</v>
      </c>
      <c r="C83" t="s">
        <v>142</v>
      </c>
      <c r="D83" t="s">
        <v>143</v>
      </c>
      <c r="E83">
        <v>8000</v>
      </c>
      <c r="F83">
        <v>9500</v>
      </c>
      <c r="G83">
        <v>1500</v>
      </c>
    </row>
    <row r="84" spans="1:7" x14ac:dyDescent="0.25">
      <c r="A84">
        <v>83</v>
      </c>
      <c r="B84" t="s">
        <v>158</v>
      </c>
      <c r="C84" t="s">
        <v>157</v>
      </c>
      <c r="D84" t="s">
        <v>158</v>
      </c>
      <c r="E84">
        <v>10000</v>
      </c>
      <c r="F84">
        <v>12000</v>
      </c>
      <c r="G84">
        <v>2000</v>
      </c>
    </row>
    <row r="85" spans="1:7" x14ac:dyDescent="0.25">
      <c r="A85">
        <v>84</v>
      </c>
      <c r="B85" t="s">
        <v>158</v>
      </c>
      <c r="C85" t="s">
        <v>157</v>
      </c>
      <c r="D85" t="s">
        <v>158</v>
      </c>
      <c r="E85">
        <v>10000</v>
      </c>
      <c r="F85">
        <v>12000</v>
      </c>
      <c r="G85">
        <v>2000</v>
      </c>
    </row>
    <row r="86" spans="1:7" x14ac:dyDescent="0.25">
      <c r="A86">
        <v>85</v>
      </c>
      <c r="B86" t="s">
        <v>167</v>
      </c>
      <c r="C86" t="s">
        <v>168</v>
      </c>
      <c r="D86" t="str">
        <f>Entertainment_Orders[[#This Row],[Entertainment_Type]]</f>
        <v>None</v>
      </c>
      <c r="E86">
        <v>0</v>
      </c>
      <c r="F86">
        <v>0</v>
      </c>
      <c r="G86">
        <v>0</v>
      </c>
    </row>
    <row r="87" spans="1:7" x14ac:dyDescent="0.25">
      <c r="A87">
        <v>86</v>
      </c>
      <c r="B87" t="s">
        <v>167</v>
      </c>
      <c r="C87" t="s">
        <v>168</v>
      </c>
      <c r="D87" t="str">
        <f>Entertainment_Orders[[#This Row],[Entertainment_Type]]</f>
        <v>None</v>
      </c>
      <c r="E87">
        <v>0</v>
      </c>
      <c r="F87">
        <v>0</v>
      </c>
      <c r="G87">
        <v>0</v>
      </c>
    </row>
    <row r="88" spans="1:7" x14ac:dyDescent="0.25">
      <c r="A88">
        <v>87</v>
      </c>
      <c r="B88" t="s">
        <v>167</v>
      </c>
      <c r="C88" t="s">
        <v>168</v>
      </c>
      <c r="D88" t="str">
        <f>Entertainment_Orders[[#This Row],[Entertainment_Type]]</f>
        <v>None</v>
      </c>
      <c r="E88">
        <v>0</v>
      </c>
      <c r="F88">
        <v>0</v>
      </c>
      <c r="G88">
        <v>0</v>
      </c>
    </row>
    <row r="89" spans="1:7" x14ac:dyDescent="0.25">
      <c r="A89">
        <v>88</v>
      </c>
      <c r="B89" t="s">
        <v>163</v>
      </c>
      <c r="C89" t="s">
        <v>162</v>
      </c>
      <c r="D89" t="s">
        <v>163</v>
      </c>
      <c r="E89">
        <v>7000</v>
      </c>
      <c r="F89">
        <v>8500</v>
      </c>
      <c r="G89">
        <v>1500</v>
      </c>
    </row>
    <row r="90" spans="1:7" x14ac:dyDescent="0.25">
      <c r="A90">
        <v>89</v>
      </c>
      <c r="B90" t="s">
        <v>153</v>
      </c>
      <c r="C90" t="s">
        <v>152</v>
      </c>
      <c r="D90" t="s">
        <v>153</v>
      </c>
      <c r="E90">
        <v>15000</v>
      </c>
      <c r="F90">
        <v>18000</v>
      </c>
      <c r="G90">
        <v>3000</v>
      </c>
    </row>
    <row r="91" spans="1:7" x14ac:dyDescent="0.25">
      <c r="A91">
        <v>90</v>
      </c>
      <c r="B91" t="s">
        <v>167</v>
      </c>
      <c r="C91" t="s">
        <v>168</v>
      </c>
      <c r="D91" t="str">
        <f>Entertainment_Orders[[#This Row],[Entertainment_Type]]</f>
        <v>None</v>
      </c>
      <c r="E91">
        <v>0</v>
      </c>
      <c r="F91">
        <v>0</v>
      </c>
      <c r="G91">
        <v>0</v>
      </c>
    </row>
    <row r="92" spans="1:7" x14ac:dyDescent="0.25">
      <c r="A92">
        <v>91</v>
      </c>
      <c r="B92" t="s">
        <v>143</v>
      </c>
      <c r="C92" t="s">
        <v>142</v>
      </c>
      <c r="D92" t="s">
        <v>143</v>
      </c>
      <c r="E92">
        <v>8000</v>
      </c>
      <c r="F92">
        <v>9500</v>
      </c>
      <c r="G92">
        <v>1500</v>
      </c>
    </row>
    <row r="93" spans="1:7" x14ac:dyDescent="0.25">
      <c r="A93">
        <v>92</v>
      </c>
      <c r="B93" t="s">
        <v>153</v>
      </c>
      <c r="C93" t="s">
        <v>152</v>
      </c>
      <c r="D93" t="s">
        <v>153</v>
      </c>
      <c r="E93">
        <v>15000</v>
      </c>
      <c r="F93">
        <v>18000</v>
      </c>
      <c r="G93">
        <v>3000</v>
      </c>
    </row>
    <row r="94" spans="1:7" x14ac:dyDescent="0.25">
      <c r="A94">
        <v>93</v>
      </c>
      <c r="B94" t="s">
        <v>153</v>
      </c>
      <c r="C94" t="s">
        <v>152</v>
      </c>
      <c r="D94" t="s">
        <v>153</v>
      </c>
      <c r="E94">
        <v>15000</v>
      </c>
      <c r="F94">
        <v>18000</v>
      </c>
      <c r="G94">
        <v>3000</v>
      </c>
    </row>
    <row r="95" spans="1:7" x14ac:dyDescent="0.25">
      <c r="A95">
        <v>94</v>
      </c>
      <c r="B95" t="s">
        <v>143</v>
      </c>
      <c r="C95" t="s">
        <v>142</v>
      </c>
      <c r="D95" t="s">
        <v>143</v>
      </c>
      <c r="E95">
        <v>8000</v>
      </c>
      <c r="F95">
        <v>9500</v>
      </c>
      <c r="G95">
        <v>1500</v>
      </c>
    </row>
    <row r="96" spans="1:7" x14ac:dyDescent="0.25">
      <c r="A96">
        <v>95</v>
      </c>
      <c r="B96" t="s">
        <v>143</v>
      </c>
      <c r="C96" t="s">
        <v>142</v>
      </c>
      <c r="D96" t="s">
        <v>143</v>
      </c>
      <c r="E96">
        <v>8000</v>
      </c>
      <c r="F96">
        <v>9500</v>
      </c>
      <c r="G96">
        <v>1500</v>
      </c>
    </row>
    <row r="97" spans="1:7" x14ac:dyDescent="0.25">
      <c r="A97">
        <v>96</v>
      </c>
      <c r="B97" t="s">
        <v>163</v>
      </c>
      <c r="C97" t="s">
        <v>162</v>
      </c>
      <c r="D97" t="s">
        <v>163</v>
      </c>
      <c r="E97">
        <v>7000</v>
      </c>
      <c r="F97">
        <v>8500</v>
      </c>
      <c r="G97">
        <v>1500</v>
      </c>
    </row>
    <row r="98" spans="1:7" x14ac:dyDescent="0.25">
      <c r="A98">
        <v>97</v>
      </c>
      <c r="B98" t="s">
        <v>163</v>
      </c>
      <c r="C98" t="s">
        <v>162</v>
      </c>
      <c r="D98" t="s">
        <v>163</v>
      </c>
      <c r="E98">
        <v>7000</v>
      </c>
      <c r="F98">
        <v>8500</v>
      </c>
      <c r="G98">
        <v>1500</v>
      </c>
    </row>
    <row r="99" spans="1:7" x14ac:dyDescent="0.25">
      <c r="A99">
        <v>98</v>
      </c>
      <c r="B99" t="s">
        <v>153</v>
      </c>
      <c r="C99" t="s">
        <v>152</v>
      </c>
      <c r="D99" t="s">
        <v>153</v>
      </c>
      <c r="E99">
        <v>15000</v>
      </c>
      <c r="F99">
        <v>18000</v>
      </c>
      <c r="G99">
        <v>3000</v>
      </c>
    </row>
    <row r="100" spans="1:7" x14ac:dyDescent="0.25">
      <c r="A100">
        <v>99</v>
      </c>
      <c r="B100" t="s">
        <v>153</v>
      </c>
      <c r="C100" t="s">
        <v>152</v>
      </c>
      <c r="D100" t="s">
        <v>153</v>
      </c>
      <c r="E100">
        <v>15000</v>
      </c>
      <c r="F100">
        <v>18000</v>
      </c>
      <c r="G100">
        <v>3000</v>
      </c>
    </row>
    <row r="101" spans="1:7" x14ac:dyDescent="0.25">
      <c r="A101">
        <v>100</v>
      </c>
      <c r="B101" t="s">
        <v>167</v>
      </c>
      <c r="C101" t="s">
        <v>168</v>
      </c>
      <c r="D101" t="str">
        <f>Entertainment_Orders[[#This Row],[Entertainment_Type]]</f>
        <v>None</v>
      </c>
      <c r="E101">
        <v>0</v>
      </c>
      <c r="F101">
        <v>0</v>
      </c>
      <c r="G101">
        <v>0</v>
      </c>
    </row>
    <row r="102" spans="1:7" x14ac:dyDescent="0.25">
      <c r="A102">
        <v>101</v>
      </c>
      <c r="B102" t="s">
        <v>169</v>
      </c>
      <c r="C102" t="s">
        <v>168</v>
      </c>
      <c r="D102" t="str">
        <f>Entertainment_Orders[[#This Row],[Entertainment_Type]]</f>
        <v>Anchoring + Games</v>
      </c>
      <c r="E102">
        <v>0</v>
      </c>
      <c r="F102">
        <v>0</v>
      </c>
      <c r="G102">
        <v>0</v>
      </c>
    </row>
    <row r="103" spans="1:7" x14ac:dyDescent="0.25">
      <c r="A103">
        <v>102</v>
      </c>
      <c r="B103" t="s">
        <v>153</v>
      </c>
      <c r="C103" t="s">
        <v>152</v>
      </c>
      <c r="D103" t="s">
        <v>153</v>
      </c>
      <c r="E103">
        <v>15000</v>
      </c>
      <c r="F103">
        <v>18000</v>
      </c>
      <c r="G103">
        <v>3000</v>
      </c>
    </row>
    <row r="104" spans="1:7" x14ac:dyDescent="0.25">
      <c r="A104">
        <v>103</v>
      </c>
      <c r="B104" t="s">
        <v>169</v>
      </c>
      <c r="C104" t="s">
        <v>168</v>
      </c>
      <c r="D104" t="str">
        <f>Entertainment_Orders[[#This Row],[Entertainment_Type]]</f>
        <v>Anchoring + Games</v>
      </c>
      <c r="E104">
        <v>0</v>
      </c>
      <c r="F104">
        <v>0</v>
      </c>
      <c r="G104">
        <v>0</v>
      </c>
    </row>
    <row r="105" spans="1:7" x14ac:dyDescent="0.25">
      <c r="A105">
        <v>104</v>
      </c>
      <c r="B105" t="s">
        <v>163</v>
      </c>
      <c r="C105" t="s">
        <v>162</v>
      </c>
      <c r="D105" t="s">
        <v>163</v>
      </c>
      <c r="E105">
        <v>7000</v>
      </c>
      <c r="F105">
        <v>8500</v>
      </c>
      <c r="G105">
        <v>1500</v>
      </c>
    </row>
    <row r="106" spans="1:7" x14ac:dyDescent="0.25">
      <c r="A106">
        <v>105</v>
      </c>
      <c r="B106" t="s">
        <v>153</v>
      </c>
      <c r="C106" t="s">
        <v>152</v>
      </c>
      <c r="D106" t="s">
        <v>153</v>
      </c>
      <c r="E106">
        <v>15000</v>
      </c>
      <c r="F106">
        <v>18000</v>
      </c>
      <c r="G106">
        <v>3000</v>
      </c>
    </row>
    <row r="107" spans="1:7" x14ac:dyDescent="0.25">
      <c r="A107">
        <v>106</v>
      </c>
      <c r="B107" t="s">
        <v>167</v>
      </c>
      <c r="C107" t="s">
        <v>168</v>
      </c>
      <c r="D107" t="str">
        <f>Entertainment_Orders[[#This Row],[Entertainment_Type]]</f>
        <v>None</v>
      </c>
      <c r="E107">
        <v>0</v>
      </c>
      <c r="F107">
        <v>0</v>
      </c>
      <c r="G107">
        <v>0</v>
      </c>
    </row>
    <row r="108" spans="1:7" x14ac:dyDescent="0.25">
      <c r="A108">
        <v>107</v>
      </c>
      <c r="B108" t="s">
        <v>153</v>
      </c>
      <c r="C108" t="s">
        <v>152</v>
      </c>
      <c r="D108" t="s">
        <v>153</v>
      </c>
      <c r="E108">
        <v>15000</v>
      </c>
      <c r="F108">
        <v>18000</v>
      </c>
      <c r="G108">
        <v>3000</v>
      </c>
    </row>
    <row r="109" spans="1:7" x14ac:dyDescent="0.25">
      <c r="A109">
        <v>108</v>
      </c>
      <c r="B109" t="s">
        <v>153</v>
      </c>
      <c r="C109" t="s">
        <v>152</v>
      </c>
      <c r="D109" t="s">
        <v>153</v>
      </c>
      <c r="E109">
        <v>15000</v>
      </c>
      <c r="F109">
        <v>18000</v>
      </c>
      <c r="G109">
        <v>3000</v>
      </c>
    </row>
    <row r="110" spans="1:7" x14ac:dyDescent="0.25">
      <c r="A110">
        <v>109</v>
      </c>
      <c r="B110" t="s">
        <v>167</v>
      </c>
      <c r="C110" t="s">
        <v>168</v>
      </c>
      <c r="D110" t="str">
        <f>Entertainment_Orders[[#This Row],[Entertainment_Type]]</f>
        <v>None</v>
      </c>
      <c r="E110">
        <v>0</v>
      </c>
      <c r="F110">
        <v>0</v>
      </c>
      <c r="G110">
        <v>0</v>
      </c>
    </row>
    <row r="111" spans="1:7" x14ac:dyDescent="0.25">
      <c r="A111">
        <v>110</v>
      </c>
      <c r="B111" t="s">
        <v>153</v>
      </c>
      <c r="C111" t="s">
        <v>152</v>
      </c>
      <c r="D111" t="s">
        <v>153</v>
      </c>
      <c r="E111">
        <v>15000</v>
      </c>
      <c r="F111">
        <v>18000</v>
      </c>
      <c r="G111">
        <v>3000</v>
      </c>
    </row>
    <row r="112" spans="1:7" x14ac:dyDescent="0.25">
      <c r="A112">
        <v>111</v>
      </c>
      <c r="B112" t="s">
        <v>167</v>
      </c>
      <c r="C112" t="s">
        <v>168</v>
      </c>
      <c r="D112" t="str">
        <f>Entertainment_Orders[[#This Row],[Entertainment_Type]]</f>
        <v>None</v>
      </c>
      <c r="E112">
        <v>0</v>
      </c>
      <c r="F112">
        <v>0</v>
      </c>
      <c r="G112">
        <v>0</v>
      </c>
    </row>
    <row r="113" spans="1:7" x14ac:dyDescent="0.25">
      <c r="A113">
        <v>112</v>
      </c>
      <c r="B113" t="s">
        <v>167</v>
      </c>
      <c r="C113" t="s">
        <v>168</v>
      </c>
      <c r="D113" t="str">
        <f>Entertainment_Orders[[#This Row],[Entertainment_Type]]</f>
        <v>None</v>
      </c>
      <c r="E113">
        <v>0</v>
      </c>
      <c r="F113">
        <v>0</v>
      </c>
    </row>
    <row r="114" spans="1:7" x14ac:dyDescent="0.25">
      <c r="A114">
        <v>113</v>
      </c>
      <c r="B114" t="s">
        <v>153</v>
      </c>
      <c r="C114" t="s">
        <v>152</v>
      </c>
      <c r="D114" t="s">
        <v>153</v>
      </c>
      <c r="E114">
        <v>15000</v>
      </c>
      <c r="F114">
        <v>18000</v>
      </c>
      <c r="G114">
        <v>3000</v>
      </c>
    </row>
    <row r="115" spans="1:7" x14ac:dyDescent="0.25">
      <c r="A115">
        <v>114</v>
      </c>
      <c r="B115" t="s">
        <v>167</v>
      </c>
      <c r="C115" t="s">
        <v>168</v>
      </c>
      <c r="D115" t="str">
        <f>Entertainment_Orders[[#This Row],[Entertainment_Type]]</f>
        <v>None</v>
      </c>
      <c r="E115">
        <v>0</v>
      </c>
      <c r="F115">
        <v>0</v>
      </c>
      <c r="G115">
        <v>0</v>
      </c>
    </row>
    <row r="116" spans="1:7" x14ac:dyDescent="0.25">
      <c r="A116">
        <v>115</v>
      </c>
      <c r="B116" t="s">
        <v>169</v>
      </c>
      <c r="C116" t="s">
        <v>168</v>
      </c>
      <c r="D116" t="str">
        <f>Entertainment_Orders[[#This Row],[Entertainment_Type]]</f>
        <v>Anchoring + Games</v>
      </c>
      <c r="E116">
        <v>0</v>
      </c>
      <c r="F116">
        <v>0</v>
      </c>
      <c r="G116">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1BEB-AE85-432E-BB00-55C6C29E16C5}">
  <dimension ref="A1:I6"/>
  <sheetViews>
    <sheetView workbookViewId="0">
      <selection sqref="A1:XFD1048576"/>
    </sheetView>
  </sheetViews>
  <sheetFormatPr defaultRowHeight="15" x14ac:dyDescent="0.25"/>
  <cols>
    <col min="1" max="1" width="16.85546875" bestFit="1" customWidth="1"/>
    <col min="2" max="2" width="19.7109375" bestFit="1" customWidth="1"/>
    <col min="3" max="3" width="16.28515625" bestFit="1" customWidth="1"/>
    <col min="4" max="4" width="7.140625" bestFit="1" customWidth="1"/>
    <col min="5" max="5" width="15.85546875" bestFit="1" customWidth="1"/>
    <col min="6" max="6" width="8.28515625" bestFit="1" customWidth="1"/>
    <col min="7" max="7" width="16" bestFit="1" customWidth="1"/>
    <col min="8" max="8" width="18.5703125" bestFit="1" customWidth="1"/>
    <col min="9" max="9" width="13.5703125" bestFit="1" customWidth="1"/>
  </cols>
  <sheetData>
    <row r="1" spans="1:9" x14ac:dyDescent="0.25">
      <c r="A1" t="s">
        <v>171</v>
      </c>
      <c r="B1" t="s">
        <v>172</v>
      </c>
      <c r="C1" t="s">
        <v>173</v>
      </c>
      <c r="D1" t="s">
        <v>133</v>
      </c>
      <c r="E1" t="s">
        <v>140</v>
      </c>
      <c r="F1" t="s">
        <v>135</v>
      </c>
      <c r="G1" t="s">
        <v>174</v>
      </c>
      <c r="H1" t="s">
        <v>175</v>
      </c>
      <c r="I1" t="s">
        <v>176</v>
      </c>
    </row>
    <row r="2" spans="1:9" x14ac:dyDescent="0.25">
      <c r="A2" t="s">
        <v>177</v>
      </c>
      <c r="B2" t="s">
        <v>178</v>
      </c>
      <c r="C2">
        <v>300</v>
      </c>
      <c r="D2">
        <v>15000</v>
      </c>
      <c r="E2">
        <v>18000</v>
      </c>
      <c r="F2">
        <v>3000</v>
      </c>
      <c r="G2" t="s">
        <v>179</v>
      </c>
      <c r="H2" t="s">
        <v>180</v>
      </c>
      <c r="I2" t="s">
        <v>181</v>
      </c>
    </row>
    <row r="3" spans="1:9" x14ac:dyDescent="0.25">
      <c r="A3" t="s">
        <v>182</v>
      </c>
      <c r="B3" t="s">
        <v>183</v>
      </c>
      <c r="C3">
        <v>1</v>
      </c>
      <c r="D3">
        <v>12000</v>
      </c>
      <c r="E3">
        <v>14500</v>
      </c>
      <c r="F3">
        <v>2500</v>
      </c>
      <c r="G3" t="s">
        <v>184</v>
      </c>
      <c r="H3" t="s">
        <v>185</v>
      </c>
      <c r="I3" t="s">
        <v>186</v>
      </c>
    </row>
    <row r="4" spans="1:9" x14ac:dyDescent="0.25">
      <c r="A4" t="s">
        <v>187</v>
      </c>
      <c r="B4" t="s">
        <v>188</v>
      </c>
      <c r="C4">
        <v>1</v>
      </c>
      <c r="D4">
        <v>8000</v>
      </c>
      <c r="E4">
        <v>9500</v>
      </c>
      <c r="F4">
        <v>1500</v>
      </c>
      <c r="G4" t="s">
        <v>184</v>
      </c>
      <c r="H4" t="s">
        <v>189</v>
      </c>
      <c r="I4" t="s">
        <v>190</v>
      </c>
    </row>
    <row r="5" spans="1:9" x14ac:dyDescent="0.25">
      <c r="A5" t="s">
        <v>191</v>
      </c>
      <c r="B5" t="s">
        <v>192</v>
      </c>
      <c r="C5">
        <v>5</v>
      </c>
      <c r="D5">
        <v>3000</v>
      </c>
      <c r="E5">
        <v>3600</v>
      </c>
      <c r="F5">
        <v>600</v>
      </c>
      <c r="G5" t="s">
        <v>179</v>
      </c>
      <c r="H5" t="s">
        <v>193</v>
      </c>
      <c r="I5" t="s">
        <v>194</v>
      </c>
    </row>
    <row r="6" spans="1:9" x14ac:dyDescent="0.25">
      <c r="A6" t="s">
        <v>195</v>
      </c>
      <c r="B6" t="s">
        <v>196</v>
      </c>
      <c r="C6">
        <v>10</v>
      </c>
      <c r="D6">
        <v>6000</v>
      </c>
      <c r="E6">
        <v>7200</v>
      </c>
      <c r="F6">
        <v>1200</v>
      </c>
      <c r="G6" t="s">
        <v>184</v>
      </c>
      <c r="H6" t="s">
        <v>197</v>
      </c>
      <c r="I6" t="s">
        <v>198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1A075-D595-4429-A3F4-393D218A66FF}">
  <dimension ref="A1:H565"/>
  <sheetViews>
    <sheetView topLeftCell="A536" workbookViewId="0">
      <selection activeCell="G2" sqref="G2"/>
    </sheetView>
  </sheetViews>
  <sheetFormatPr defaultRowHeight="15" x14ac:dyDescent="0.25"/>
  <cols>
    <col min="1" max="1" width="11.85546875" bestFit="1" customWidth="1"/>
    <col min="2" max="2" width="16.85546875" bestFit="1" customWidth="1"/>
    <col min="3" max="3" width="16.28515625" bestFit="1" customWidth="1"/>
    <col min="4" max="4" width="19.7109375" bestFit="1" customWidth="1"/>
    <col min="5" max="5" width="9.42578125" customWidth="1"/>
    <col min="6" max="6" width="15.85546875" bestFit="1" customWidth="1"/>
    <col min="7" max="7" width="8.28515625" bestFit="1" customWidth="1"/>
    <col min="8" max="8" width="13.5703125" bestFit="1" customWidth="1"/>
  </cols>
  <sheetData>
    <row r="1" spans="1:8" x14ac:dyDescent="0.25">
      <c r="A1" t="s">
        <v>131</v>
      </c>
      <c r="B1" t="s">
        <v>171</v>
      </c>
      <c r="C1" t="s">
        <v>173</v>
      </c>
      <c r="D1" t="s">
        <v>199</v>
      </c>
      <c r="E1" t="s">
        <v>133</v>
      </c>
      <c r="F1" t="s">
        <v>140</v>
      </c>
      <c r="G1" t="s">
        <v>135</v>
      </c>
      <c r="H1" t="s">
        <v>176</v>
      </c>
    </row>
    <row r="2" spans="1:8" x14ac:dyDescent="0.25">
      <c r="A2">
        <v>1</v>
      </c>
      <c r="B2" t="s">
        <v>177</v>
      </c>
      <c r="C2" cm="1">
        <f t="array" ref="C2">_xlfn.XLOOKUP(Logistics_Orders[[#This Row],[Logistics_ID]],Logistics_Catalog[[#All],[Logistics_ID]],Logistics_Catalog[[#All],[Base_Quantity]],0,0)</f>
        <v>300</v>
      </c>
      <c r="D2" cm="1">
        <f t="array" ref="D2">IF(Logistics_Orders[[#This Row],[Item]]="Chairs &amp; Tables",CEILING(_xlfn.XLOOKUP(Logistics_Orders[[#This Row],[Event_No]],Event_Master[[#All],[Event_No]],Event_Master[[#All],[Guest_Count]],,0)/Logistics_Orders[[#This Row],[Base_Quantity]],1),1)</f>
        <v>3</v>
      </c>
      <c r="E2" cm="1">
        <f t="array" ref="E2">Logistics_Orders[[#This Row],[Quantity_Ordered]]*_xlfn.XLOOKUP(Logistics_Orders[[#This Row],[Logistics_ID]],Logistics_Catalog[[#All],[Logistics_ID]],Logistics_Catalog[[#All],[Cost]],0,0)</f>
        <v>45000</v>
      </c>
      <c r="F2" cm="1">
        <f t="array" ref="F2">Logistics_Orders[[#This Row],[Quantity_Ordered]]*_xlfn.XLOOKUP(Logistics_Orders[[#This Row],[Logistics_ID]],Logistics_Catalog[[#All],[Logistics_ID]],Logistics_Catalog[[#All],[Client_Charge]],0,0)</f>
        <v>54000</v>
      </c>
      <c r="G2">
        <f>Logistics_Orders[[#This Row],[Client_Charge]]-Logistics_Orders[[#This Row],[Cost]]</f>
        <v>9000</v>
      </c>
      <c r="H2" t="s">
        <v>181</v>
      </c>
    </row>
    <row r="3" spans="1:8" x14ac:dyDescent="0.25">
      <c r="A3">
        <v>2</v>
      </c>
      <c r="B3" t="s">
        <v>177</v>
      </c>
      <c r="C3" cm="1">
        <f t="array" ref="C3">_xlfn.XLOOKUP(Logistics_Orders[[#This Row],[Logistics_ID]],Logistics_Catalog[[#All],[Logistics_ID]],Logistics_Catalog[[#All],[Base_Quantity]],0,0)</f>
        <v>300</v>
      </c>
      <c r="D3" cm="1">
        <f t="array" ref="D3">IF(Logistics_Orders[[#This Row],[Item]]="Chairs &amp; Tables",CEILING(_xlfn.XLOOKUP(Logistics_Orders[[#This Row],[Event_No]],Event_Master[[#All],[Event_No]],Event_Master[[#All],[Guest_Count]],,0)/Logistics_Orders[[#This Row],[Base_Quantity]],1),1)</f>
        <v>2</v>
      </c>
      <c r="E3" cm="1">
        <f t="array" ref="E3">Logistics_Orders[[#This Row],[Quantity_Ordered]]*_xlfn.XLOOKUP(Logistics_Orders[[#This Row],[Logistics_ID]],Logistics_Catalog[[#All],[Logistics_ID]],Logistics_Catalog[[#All],[Cost]],0,0)</f>
        <v>30000</v>
      </c>
      <c r="F3" cm="1">
        <f t="array" ref="F3">Logistics_Orders[[#This Row],[Quantity_Ordered]]*_xlfn.XLOOKUP(Logistics_Orders[[#This Row],[Logistics_ID]],Logistics_Catalog[[#All],[Logistics_ID]],Logistics_Catalog[[#All],[Client_Charge]],0,0)</f>
        <v>36000</v>
      </c>
      <c r="G3">
        <f>Logistics_Orders[[#This Row],[Client_Charge]]-Logistics_Orders[[#This Row],[Cost]]</f>
        <v>6000</v>
      </c>
      <c r="H3" t="s">
        <v>181</v>
      </c>
    </row>
    <row r="4" spans="1:8" x14ac:dyDescent="0.25">
      <c r="A4">
        <v>1</v>
      </c>
      <c r="B4" t="s">
        <v>182</v>
      </c>
      <c r="C4" cm="1">
        <f t="array" ref="C4">_xlfn.XLOOKUP(Logistics_Orders[[#This Row],[Logistics_ID]],Logistics_Catalog[[#All],[Logistics_ID]],Logistics_Catalog[[#All],[Base_Quantity]],0,0)</f>
        <v>1</v>
      </c>
      <c r="D4" cm="1">
        <f t="array" ref="D4">IF(Logistics_Orders[[#This Row],[Item]]="Chairs &amp; Tables",CEILING(_xlfn.XLOOKUP(Logistics_Orders[[#This Row],[Event_No]],Event_Master[[#All],[Event_No]],Event_Master[[#All],[Guest_Count]],,0)/Logistics_Orders[[#This Row],[Base_Quantity]],1),1)</f>
        <v>1</v>
      </c>
      <c r="E4" cm="1">
        <f t="array" ref="E4">Logistics_Orders[[#This Row],[Quantity_Ordered]]*_xlfn.XLOOKUP(Logistics_Orders[[#This Row],[Logistics_ID]],Logistics_Catalog[[#All],[Logistics_ID]],Logistics_Catalog[[#All],[Cost]],0,0)</f>
        <v>12000</v>
      </c>
      <c r="F4" cm="1">
        <f t="array" ref="F4">Logistics_Orders[[#This Row],[Quantity_Ordered]]*_xlfn.XLOOKUP(Logistics_Orders[[#This Row],[Logistics_ID]],Logistics_Catalog[[#All],[Logistics_ID]],Logistics_Catalog[[#All],[Client_Charge]],0,0)</f>
        <v>14500</v>
      </c>
      <c r="G4">
        <f>Logistics_Orders[[#This Row],[Client_Charge]]-Logistics_Orders[[#This Row],[Cost]]</f>
        <v>2500</v>
      </c>
      <c r="H4" t="s">
        <v>186</v>
      </c>
    </row>
    <row r="5" spans="1:8" x14ac:dyDescent="0.25">
      <c r="A5">
        <v>1</v>
      </c>
      <c r="B5" t="s">
        <v>191</v>
      </c>
      <c r="C5" cm="1">
        <f t="array" ref="C5">_xlfn.XLOOKUP(Logistics_Orders[[#This Row],[Logistics_ID]],Logistics_Catalog[[#All],[Logistics_ID]],Logistics_Catalog[[#All],[Base_Quantity]],0,0)</f>
        <v>5</v>
      </c>
      <c r="D5" cm="1">
        <f t="array" ref="D5">IF(Logistics_Orders[[#This Row],[Item]]="Chairs &amp; Tables",CEILING(_xlfn.XLOOKUP(Logistics_Orders[[#This Row],[Event_No]],Event_Master[[#All],[Event_No]],Event_Master[[#All],[Guest_Count]],,0)/Logistics_Orders[[#This Row],[Base_Quantity]],1),1)</f>
        <v>1</v>
      </c>
      <c r="E5" cm="1">
        <f t="array" ref="E5">Logistics_Orders[[#This Row],[Quantity_Ordered]]*_xlfn.XLOOKUP(Logistics_Orders[[#This Row],[Logistics_ID]],Logistics_Catalog[[#All],[Logistics_ID]],Logistics_Catalog[[#All],[Cost]],0,0)</f>
        <v>3000</v>
      </c>
      <c r="F5" cm="1">
        <f t="array" ref="F5">Logistics_Orders[[#This Row],[Quantity_Ordered]]*_xlfn.XLOOKUP(Logistics_Orders[[#This Row],[Logistics_ID]],Logistics_Catalog[[#All],[Logistics_ID]],Logistics_Catalog[[#All],[Client_Charge]],0,0)</f>
        <v>3600</v>
      </c>
      <c r="G5">
        <f>Logistics_Orders[[#This Row],[Client_Charge]]-Logistics_Orders[[#This Row],[Cost]]</f>
        <v>600</v>
      </c>
      <c r="H5" t="s">
        <v>194</v>
      </c>
    </row>
    <row r="6" spans="1:8" x14ac:dyDescent="0.25">
      <c r="A6">
        <v>1</v>
      </c>
      <c r="B6" t="s">
        <v>187</v>
      </c>
      <c r="C6" cm="1">
        <f t="array" ref="C6">_xlfn.XLOOKUP(Logistics_Orders[[#This Row],[Logistics_ID]],Logistics_Catalog[[#All],[Logistics_ID]],Logistics_Catalog[[#All],[Base_Quantity]],0,0)</f>
        <v>1</v>
      </c>
      <c r="D6" cm="1">
        <f t="array" ref="D6">IF(Logistics_Orders[[#This Row],[Item]]="Chairs &amp; Tables",CEILING(_xlfn.XLOOKUP(Logistics_Orders[[#This Row],[Event_No]],Event_Master[[#All],[Event_No]],Event_Master[[#All],[Guest_Count]],,0)/Logistics_Orders[[#This Row],[Base_Quantity]],1),1)</f>
        <v>1</v>
      </c>
      <c r="E6" cm="1">
        <f t="array" ref="E6">Logistics_Orders[[#This Row],[Quantity_Ordered]]*_xlfn.XLOOKUP(Logistics_Orders[[#This Row],[Logistics_ID]],Logistics_Catalog[[#All],[Logistics_ID]],Logistics_Catalog[[#All],[Cost]],0,0)</f>
        <v>8000</v>
      </c>
      <c r="F6" cm="1">
        <f t="array" ref="F6">Logistics_Orders[[#This Row],[Quantity_Ordered]]*_xlfn.XLOOKUP(Logistics_Orders[[#This Row],[Logistics_ID]],Logistics_Catalog[[#All],[Logistics_ID]],Logistics_Catalog[[#All],[Client_Charge]],0,0)</f>
        <v>9500</v>
      </c>
      <c r="G6">
        <f>Logistics_Orders[[#This Row],[Client_Charge]]-Logistics_Orders[[#This Row],[Cost]]</f>
        <v>1500</v>
      </c>
      <c r="H6" t="s">
        <v>190</v>
      </c>
    </row>
    <row r="7" spans="1:8" x14ac:dyDescent="0.25">
      <c r="A7">
        <v>1</v>
      </c>
      <c r="B7" t="s">
        <v>195</v>
      </c>
      <c r="C7" cm="1">
        <f t="array" ref="C7">_xlfn.XLOOKUP(Logistics_Orders[[#This Row],[Logistics_ID]],Logistics_Catalog[[#All],[Logistics_ID]],Logistics_Catalog[[#All],[Base_Quantity]],0,0)</f>
        <v>10</v>
      </c>
      <c r="D7" cm="1">
        <f t="array" ref="D7">IF(Logistics_Orders[[#This Row],[Item]]="Chairs &amp; Tables",CEILING(_xlfn.XLOOKUP(Logistics_Orders[[#This Row],[Event_No]],Event_Master[[#All],[Event_No]],Event_Master[[#All],[Guest_Count]],,0)/Logistics_Orders[[#This Row],[Base_Quantity]],1),1)</f>
        <v>1</v>
      </c>
      <c r="E7" cm="1">
        <f t="array" ref="E7">Logistics_Orders[[#This Row],[Quantity_Ordered]]*_xlfn.XLOOKUP(Logistics_Orders[[#This Row],[Logistics_ID]],Logistics_Catalog[[#All],[Logistics_ID]],Logistics_Catalog[[#All],[Cost]],0,0)</f>
        <v>6000</v>
      </c>
      <c r="F7" cm="1">
        <f t="array" ref="F7">Logistics_Orders[[#This Row],[Quantity_Ordered]]*_xlfn.XLOOKUP(Logistics_Orders[[#This Row],[Logistics_ID]],Logistics_Catalog[[#All],[Logistics_ID]],Logistics_Catalog[[#All],[Client_Charge]],0,0)</f>
        <v>7200</v>
      </c>
      <c r="G7">
        <f>Logistics_Orders[[#This Row],[Client_Charge]]-Logistics_Orders[[#This Row],[Cost]]</f>
        <v>1200</v>
      </c>
      <c r="H7" t="s">
        <v>198</v>
      </c>
    </row>
    <row r="8" spans="1:8" x14ac:dyDescent="0.25">
      <c r="A8">
        <v>2</v>
      </c>
      <c r="B8" t="s">
        <v>182</v>
      </c>
      <c r="C8" cm="1">
        <f t="array" ref="C8">_xlfn.XLOOKUP(Logistics_Orders[[#This Row],[Logistics_ID]],Logistics_Catalog[[#All],[Logistics_ID]],Logistics_Catalog[[#All],[Base_Quantity]],0,0)</f>
        <v>1</v>
      </c>
      <c r="D8" cm="1">
        <f t="array" ref="D8">IF(Logistics_Orders[[#This Row],[Item]]="Chairs &amp; Tables",CEILING(_xlfn.XLOOKUP(Logistics_Orders[[#This Row],[Event_No]],Event_Master[[#All],[Event_No]],Event_Master[[#All],[Guest_Count]],,0)/Logistics_Orders[[#This Row],[Base_Quantity]],1),1)</f>
        <v>1</v>
      </c>
      <c r="E8" cm="1">
        <f t="array" ref="E8">Logistics_Orders[[#This Row],[Quantity_Ordered]]*_xlfn.XLOOKUP(Logistics_Orders[[#This Row],[Logistics_ID]],Logistics_Catalog[[#All],[Logistics_ID]],Logistics_Catalog[[#All],[Cost]],0,0)</f>
        <v>12000</v>
      </c>
      <c r="F8" cm="1">
        <f t="array" ref="F8">Logistics_Orders[[#This Row],[Quantity_Ordered]]*_xlfn.XLOOKUP(Logistics_Orders[[#This Row],[Logistics_ID]],Logistics_Catalog[[#All],[Logistics_ID]],Logistics_Catalog[[#All],[Client_Charge]],0,0)</f>
        <v>14500</v>
      </c>
      <c r="G8">
        <f>Logistics_Orders[[#This Row],[Client_Charge]]-Logistics_Orders[[#This Row],[Cost]]</f>
        <v>2500</v>
      </c>
      <c r="H8" t="s">
        <v>186</v>
      </c>
    </row>
    <row r="9" spans="1:8" x14ac:dyDescent="0.25">
      <c r="A9">
        <v>2</v>
      </c>
      <c r="B9" t="s">
        <v>191</v>
      </c>
      <c r="C9" cm="1">
        <f t="array" ref="C9">_xlfn.XLOOKUP(Logistics_Orders[[#This Row],[Logistics_ID]],Logistics_Catalog[[#All],[Logistics_ID]],Logistics_Catalog[[#All],[Base_Quantity]],0,0)</f>
        <v>5</v>
      </c>
      <c r="D9" cm="1">
        <f t="array" ref="D9">IF(Logistics_Orders[[#This Row],[Item]]="Chairs &amp; Tables",CEILING(_xlfn.XLOOKUP(Logistics_Orders[[#This Row],[Event_No]],Event_Master[[#All],[Event_No]],Event_Master[[#All],[Guest_Count]],,0)/Logistics_Orders[[#This Row],[Base_Quantity]],1),1)</f>
        <v>1</v>
      </c>
      <c r="E9" cm="1">
        <f t="array" ref="E9">Logistics_Orders[[#This Row],[Quantity_Ordered]]*_xlfn.XLOOKUP(Logistics_Orders[[#This Row],[Logistics_ID]],Logistics_Catalog[[#All],[Logistics_ID]],Logistics_Catalog[[#All],[Cost]],0,0)</f>
        <v>3000</v>
      </c>
      <c r="F9" cm="1">
        <f t="array" ref="F9">Logistics_Orders[[#This Row],[Quantity_Ordered]]*_xlfn.XLOOKUP(Logistics_Orders[[#This Row],[Logistics_ID]],Logistics_Catalog[[#All],[Logistics_ID]],Logistics_Catalog[[#All],[Client_Charge]],0,0)</f>
        <v>3600</v>
      </c>
      <c r="G9">
        <f>Logistics_Orders[[#This Row],[Client_Charge]]-Logistics_Orders[[#This Row],[Cost]]</f>
        <v>600</v>
      </c>
      <c r="H9" t="s">
        <v>194</v>
      </c>
    </row>
    <row r="10" spans="1:8" x14ac:dyDescent="0.25">
      <c r="A10">
        <v>2</v>
      </c>
      <c r="B10" t="s">
        <v>195</v>
      </c>
      <c r="C10" cm="1">
        <f t="array" ref="C10">_xlfn.XLOOKUP(Logistics_Orders[[#This Row],[Logistics_ID]],Logistics_Catalog[[#All],[Logistics_ID]],Logistics_Catalog[[#All],[Base_Quantity]],0,0)</f>
        <v>10</v>
      </c>
      <c r="D10" cm="1">
        <f t="array" ref="D10">IF(Logistics_Orders[[#This Row],[Item]]="Chairs &amp; Tables",CEILING(_xlfn.XLOOKUP(Logistics_Orders[[#This Row],[Event_No]],Event_Master[[#All],[Event_No]],Event_Master[[#All],[Guest_Count]],,0)/Logistics_Orders[[#This Row],[Base_Quantity]],1),1)</f>
        <v>1</v>
      </c>
      <c r="E10" cm="1">
        <f t="array" ref="E10">Logistics_Orders[[#This Row],[Quantity_Ordered]]*_xlfn.XLOOKUP(Logistics_Orders[[#This Row],[Logistics_ID]],Logistics_Catalog[[#All],[Logistics_ID]],Logistics_Catalog[[#All],[Cost]],0,0)</f>
        <v>6000</v>
      </c>
      <c r="F10" cm="1">
        <f t="array" ref="F10">Logistics_Orders[[#This Row],[Quantity_Ordered]]*_xlfn.XLOOKUP(Logistics_Orders[[#This Row],[Logistics_ID]],Logistics_Catalog[[#All],[Logistics_ID]],Logistics_Catalog[[#All],[Client_Charge]],0,0)</f>
        <v>7200</v>
      </c>
      <c r="G10">
        <f>Logistics_Orders[[#This Row],[Client_Charge]]-Logistics_Orders[[#This Row],[Cost]]</f>
        <v>1200</v>
      </c>
      <c r="H10" t="s">
        <v>198</v>
      </c>
    </row>
    <row r="11" spans="1:8" x14ac:dyDescent="0.25">
      <c r="A11">
        <v>2</v>
      </c>
      <c r="B11" t="s">
        <v>187</v>
      </c>
      <c r="C11" cm="1">
        <f t="array" ref="C11">_xlfn.XLOOKUP(Logistics_Orders[[#This Row],[Logistics_ID]],Logistics_Catalog[[#All],[Logistics_ID]],Logistics_Catalog[[#All],[Base_Quantity]],0,0)</f>
        <v>1</v>
      </c>
      <c r="D11" cm="1">
        <f t="array" ref="D11">IF(Logistics_Orders[[#This Row],[Item]]="Chairs &amp; Tables",CEILING(_xlfn.XLOOKUP(Logistics_Orders[[#This Row],[Event_No]],Event_Master[[#All],[Event_No]],Event_Master[[#All],[Guest_Count]],,0)/Logistics_Orders[[#This Row],[Base_Quantity]],1),1)</f>
        <v>1</v>
      </c>
      <c r="E11" cm="1">
        <f t="array" ref="E11">Logistics_Orders[[#This Row],[Quantity_Ordered]]*_xlfn.XLOOKUP(Logistics_Orders[[#This Row],[Logistics_ID]],Logistics_Catalog[[#All],[Logistics_ID]],Logistics_Catalog[[#All],[Cost]],0,0)</f>
        <v>8000</v>
      </c>
      <c r="F11" cm="1">
        <f t="array" ref="F11">Logistics_Orders[[#This Row],[Quantity_Ordered]]*_xlfn.XLOOKUP(Logistics_Orders[[#This Row],[Logistics_ID]],Logistics_Catalog[[#All],[Logistics_ID]],Logistics_Catalog[[#All],[Client_Charge]],0,0)</f>
        <v>9500</v>
      </c>
      <c r="G11">
        <f>Logistics_Orders[[#This Row],[Client_Charge]]-Logistics_Orders[[#This Row],[Cost]]</f>
        <v>1500</v>
      </c>
      <c r="H11" t="s">
        <v>190</v>
      </c>
    </row>
    <row r="12" spans="1:8" x14ac:dyDescent="0.25">
      <c r="A12">
        <v>3</v>
      </c>
      <c r="B12" t="s">
        <v>177</v>
      </c>
      <c r="C12" cm="1">
        <f t="array" ref="C12">_xlfn.XLOOKUP(Logistics_Orders[[#This Row],[Logistics_ID]],Logistics_Catalog[[#All],[Logistics_ID]],Logistics_Catalog[[#All],[Base_Quantity]],0,0)</f>
        <v>300</v>
      </c>
      <c r="D12" cm="1">
        <f t="array" ref="D12">IF(Logistics_Orders[[#This Row],[Item]]="Chairs &amp; Tables",CEILING(_xlfn.XLOOKUP(Logistics_Orders[[#This Row],[Event_No]],Event_Master[[#All],[Event_No]],Event_Master[[#All],[Guest_Count]],,0)/Logistics_Orders[[#This Row],[Base_Quantity]],1),1)</f>
        <v>1</v>
      </c>
      <c r="E12" cm="1">
        <f t="array" ref="E12">Logistics_Orders[[#This Row],[Quantity_Ordered]]*_xlfn.XLOOKUP(Logistics_Orders[[#This Row],[Logistics_ID]],Logistics_Catalog[[#All],[Logistics_ID]],Logistics_Catalog[[#All],[Cost]],0,0)</f>
        <v>15000</v>
      </c>
      <c r="F12" cm="1">
        <f t="array" ref="F12">Logistics_Orders[[#This Row],[Quantity_Ordered]]*_xlfn.XLOOKUP(Logistics_Orders[[#This Row],[Logistics_ID]],Logistics_Catalog[[#All],[Logistics_ID]],Logistics_Catalog[[#All],[Client_Charge]],0,0)</f>
        <v>18000</v>
      </c>
      <c r="G12">
        <f>Logistics_Orders[[#This Row],[Client_Charge]]-Logistics_Orders[[#This Row],[Cost]]</f>
        <v>3000</v>
      </c>
      <c r="H12" t="s">
        <v>181</v>
      </c>
    </row>
    <row r="13" spans="1:8" x14ac:dyDescent="0.25">
      <c r="A13">
        <v>3</v>
      </c>
      <c r="B13" t="s">
        <v>182</v>
      </c>
      <c r="C13" cm="1">
        <f t="array" ref="C13">_xlfn.XLOOKUP(Logistics_Orders[[#This Row],[Logistics_ID]],Logistics_Catalog[[#All],[Logistics_ID]],Logistics_Catalog[[#All],[Base_Quantity]],0,0)</f>
        <v>1</v>
      </c>
      <c r="D13" cm="1">
        <f t="array" ref="D13">IF(Logistics_Orders[[#This Row],[Item]]="Chairs &amp; Tables",CEILING(_xlfn.XLOOKUP(Logistics_Orders[[#This Row],[Event_No]],Event_Master[[#All],[Event_No]],Event_Master[[#All],[Guest_Count]],,0)/Logistics_Orders[[#This Row],[Base_Quantity]],1),1)</f>
        <v>1</v>
      </c>
      <c r="E13" cm="1">
        <f t="array" ref="E13">Logistics_Orders[[#This Row],[Quantity_Ordered]]*_xlfn.XLOOKUP(Logistics_Orders[[#This Row],[Logistics_ID]],Logistics_Catalog[[#All],[Logistics_ID]],Logistics_Catalog[[#All],[Cost]],0,0)</f>
        <v>12000</v>
      </c>
      <c r="F13" cm="1">
        <f t="array" ref="F13">Logistics_Orders[[#This Row],[Quantity_Ordered]]*_xlfn.XLOOKUP(Logistics_Orders[[#This Row],[Logistics_ID]],Logistics_Catalog[[#All],[Logistics_ID]],Logistics_Catalog[[#All],[Client_Charge]],0,0)</f>
        <v>14500</v>
      </c>
      <c r="G13">
        <f>Logistics_Orders[[#This Row],[Client_Charge]]-Logistics_Orders[[#This Row],[Cost]]</f>
        <v>2500</v>
      </c>
      <c r="H13" t="s">
        <v>186</v>
      </c>
    </row>
    <row r="14" spans="1:8" x14ac:dyDescent="0.25">
      <c r="A14">
        <v>3</v>
      </c>
      <c r="B14" t="s">
        <v>191</v>
      </c>
      <c r="C14" cm="1">
        <f t="array" ref="C14">_xlfn.XLOOKUP(Logistics_Orders[[#This Row],[Logistics_ID]],Logistics_Catalog[[#All],[Logistics_ID]],Logistics_Catalog[[#All],[Base_Quantity]],0,0)</f>
        <v>5</v>
      </c>
      <c r="D14" cm="1">
        <f t="array" ref="D14">IF(Logistics_Orders[[#This Row],[Item]]="Chairs &amp; Tables",CEILING(_xlfn.XLOOKUP(Logistics_Orders[[#This Row],[Event_No]],Event_Master[[#All],[Event_No]],Event_Master[[#All],[Guest_Count]],,0)/Logistics_Orders[[#This Row],[Base_Quantity]],1),1)</f>
        <v>1</v>
      </c>
      <c r="E14" cm="1">
        <f t="array" ref="E14">Logistics_Orders[[#This Row],[Quantity_Ordered]]*_xlfn.XLOOKUP(Logistics_Orders[[#This Row],[Logistics_ID]],Logistics_Catalog[[#All],[Logistics_ID]],Logistics_Catalog[[#All],[Cost]],0,0)</f>
        <v>3000</v>
      </c>
      <c r="F14" cm="1">
        <f t="array" ref="F14">Logistics_Orders[[#This Row],[Quantity_Ordered]]*_xlfn.XLOOKUP(Logistics_Orders[[#This Row],[Logistics_ID]],Logistics_Catalog[[#All],[Logistics_ID]],Logistics_Catalog[[#All],[Client_Charge]],0,0)</f>
        <v>3600</v>
      </c>
      <c r="G14">
        <f>Logistics_Orders[[#This Row],[Client_Charge]]-Logistics_Orders[[#This Row],[Cost]]</f>
        <v>600</v>
      </c>
      <c r="H14" t="s">
        <v>194</v>
      </c>
    </row>
    <row r="15" spans="1:8" x14ac:dyDescent="0.25">
      <c r="A15">
        <v>3</v>
      </c>
      <c r="B15" t="s">
        <v>195</v>
      </c>
      <c r="C15" cm="1">
        <f t="array" ref="C15">_xlfn.XLOOKUP(Logistics_Orders[[#This Row],[Logistics_ID]],Logistics_Catalog[[#All],[Logistics_ID]],Logistics_Catalog[[#All],[Base_Quantity]],0,0)</f>
        <v>10</v>
      </c>
      <c r="D15" cm="1">
        <f t="array" ref="D15">IF(Logistics_Orders[[#This Row],[Item]]="Chairs &amp; Tables",CEILING(_xlfn.XLOOKUP(Logistics_Orders[[#This Row],[Event_No]],Event_Master[[#All],[Event_No]],Event_Master[[#All],[Guest_Count]],,0)/Logistics_Orders[[#This Row],[Base_Quantity]],1),1)</f>
        <v>1</v>
      </c>
      <c r="E15" cm="1">
        <f t="array" ref="E15">Logistics_Orders[[#This Row],[Quantity_Ordered]]*_xlfn.XLOOKUP(Logistics_Orders[[#This Row],[Logistics_ID]],Logistics_Catalog[[#All],[Logistics_ID]],Logistics_Catalog[[#All],[Cost]],0,0)</f>
        <v>6000</v>
      </c>
      <c r="F15" cm="1">
        <f t="array" ref="F15">Logistics_Orders[[#This Row],[Quantity_Ordered]]*_xlfn.XLOOKUP(Logistics_Orders[[#This Row],[Logistics_ID]],Logistics_Catalog[[#All],[Logistics_ID]],Logistics_Catalog[[#All],[Client_Charge]],0,0)</f>
        <v>7200</v>
      </c>
      <c r="G15">
        <f>Logistics_Orders[[#This Row],[Client_Charge]]-Logistics_Orders[[#This Row],[Cost]]</f>
        <v>1200</v>
      </c>
      <c r="H15" t="s">
        <v>198</v>
      </c>
    </row>
    <row r="16" spans="1:8" x14ac:dyDescent="0.25">
      <c r="A16">
        <v>3</v>
      </c>
      <c r="B16" t="s">
        <v>187</v>
      </c>
      <c r="C16" cm="1">
        <f t="array" ref="C16">_xlfn.XLOOKUP(Logistics_Orders[[#This Row],[Logistics_ID]],Logistics_Catalog[[#All],[Logistics_ID]],Logistics_Catalog[[#All],[Base_Quantity]],0,0)</f>
        <v>1</v>
      </c>
      <c r="D16" cm="1">
        <f t="array" ref="D16">IF(Logistics_Orders[[#This Row],[Item]]="Chairs &amp; Tables",CEILING(_xlfn.XLOOKUP(Logistics_Orders[[#This Row],[Event_No]],Event_Master[[#All],[Event_No]],Event_Master[[#All],[Guest_Count]],,0)/Logistics_Orders[[#This Row],[Base_Quantity]],1),1)</f>
        <v>1</v>
      </c>
      <c r="E16" cm="1">
        <f t="array" ref="E16">Logistics_Orders[[#This Row],[Quantity_Ordered]]*_xlfn.XLOOKUP(Logistics_Orders[[#This Row],[Logistics_ID]],Logistics_Catalog[[#All],[Logistics_ID]],Logistics_Catalog[[#All],[Cost]],0,0)</f>
        <v>8000</v>
      </c>
      <c r="F16" cm="1">
        <f t="array" ref="F16">Logistics_Orders[[#This Row],[Quantity_Ordered]]*_xlfn.XLOOKUP(Logistics_Orders[[#This Row],[Logistics_ID]],Logistics_Catalog[[#All],[Logistics_ID]],Logistics_Catalog[[#All],[Client_Charge]],0,0)</f>
        <v>9500</v>
      </c>
      <c r="G16">
        <f>Logistics_Orders[[#This Row],[Client_Charge]]-Logistics_Orders[[#This Row],[Cost]]</f>
        <v>1500</v>
      </c>
      <c r="H16" t="s">
        <v>190</v>
      </c>
    </row>
    <row r="17" spans="1:8" x14ac:dyDescent="0.25">
      <c r="A17">
        <v>4</v>
      </c>
      <c r="B17" t="s">
        <v>177</v>
      </c>
      <c r="C17" cm="1">
        <f t="array" ref="C17">_xlfn.XLOOKUP(Logistics_Orders[[#This Row],[Logistics_ID]],Logistics_Catalog[[#All],[Logistics_ID]],Logistics_Catalog[[#All],[Base_Quantity]],0,0)</f>
        <v>300</v>
      </c>
      <c r="D17" cm="1">
        <f t="array" ref="D17">IF(Logistics_Orders[[#This Row],[Item]]="Chairs &amp; Tables",CEILING(_xlfn.XLOOKUP(Logistics_Orders[[#This Row],[Event_No]],Event_Master[[#All],[Event_No]],Event_Master[[#All],[Guest_Count]],,0)/Logistics_Orders[[#This Row],[Base_Quantity]],1),1)</f>
        <v>1</v>
      </c>
      <c r="E17" cm="1">
        <f t="array" ref="E17">Logistics_Orders[[#This Row],[Quantity_Ordered]]*_xlfn.XLOOKUP(Logistics_Orders[[#This Row],[Logistics_ID]],Logistics_Catalog[[#All],[Logistics_ID]],Logistics_Catalog[[#All],[Cost]],0,0)</f>
        <v>15000</v>
      </c>
      <c r="F17" cm="1">
        <f t="array" ref="F17">Logistics_Orders[[#This Row],[Quantity_Ordered]]*_xlfn.XLOOKUP(Logistics_Orders[[#This Row],[Logistics_ID]],Logistics_Catalog[[#All],[Logistics_ID]],Logistics_Catalog[[#All],[Client_Charge]],0,0)</f>
        <v>18000</v>
      </c>
      <c r="G17">
        <f>Logistics_Orders[[#This Row],[Client_Charge]]-Logistics_Orders[[#This Row],[Cost]]</f>
        <v>3000</v>
      </c>
      <c r="H17" t="s">
        <v>181</v>
      </c>
    </row>
    <row r="18" spans="1:8" x14ac:dyDescent="0.25">
      <c r="A18">
        <v>4</v>
      </c>
      <c r="B18" t="s">
        <v>182</v>
      </c>
      <c r="C18" cm="1">
        <f t="array" ref="C18">_xlfn.XLOOKUP(Logistics_Orders[[#This Row],[Logistics_ID]],Logistics_Catalog[[#All],[Logistics_ID]],Logistics_Catalog[[#All],[Base_Quantity]],0,0)</f>
        <v>1</v>
      </c>
      <c r="D18" cm="1">
        <f t="array" ref="D18">IF(Logistics_Orders[[#This Row],[Item]]="Chairs &amp; Tables",CEILING(_xlfn.XLOOKUP(Logistics_Orders[[#This Row],[Event_No]],Event_Master[[#All],[Event_No]],Event_Master[[#All],[Guest_Count]],,0)/Logistics_Orders[[#This Row],[Base_Quantity]],1),1)</f>
        <v>1</v>
      </c>
      <c r="E18" cm="1">
        <f t="array" ref="E18">Logistics_Orders[[#This Row],[Quantity_Ordered]]*_xlfn.XLOOKUP(Logistics_Orders[[#This Row],[Logistics_ID]],Logistics_Catalog[[#All],[Logistics_ID]],Logistics_Catalog[[#All],[Cost]],0,0)</f>
        <v>12000</v>
      </c>
      <c r="F18" cm="1">
        <f t="array" ref="F18">Logistics_Orders[[#This Row],[Quantity_Ordered]]*_xlfn.XLOOKUP(Logistics_Orders[[#This Row],[Logistics_ID]],Logistics_Catalog[[#All],[Logistics_ID]],Logistics_Catalog[[#All],[Client_Charge]],0,0)</f>
        <v>14500</v>
      </c>
      <c r="G18">
        <f>Logistics_Orders[[#This Row],[Client_Charge]]-Logistics_Orders[[#This Row],[Cost]]</f>
        <v>2500</v>
      </c>
      <c r="H18" t="s">
        <v>186</v>
      </c>
    </row>
    <row r="19" spans="1:8" x14ac:dyDescent="0.25">
      <c r="A19">
        <v>4</v>
      </c>
      <c r="B19" t="s">
        <v>191</v>
      </c>
      <c r="C19" cm="1">
        <f t="array" ref="C19">_xlfn.XLOOKUP(Logistics_Orders[[#This Row],[Logistics_ID]],Logistics_Catalog[[#All],[Logistics_ID]],Logistics_Catalog[[#All],[Base_Quantity]],0,0)</f>
        <v>5</v>
      </c>
      <c r="D19" cm="1">
        <f t="array" ref="D19">IF(Logistics_Orders[[#This Row],[Item]]="Chairs &amp; Tables",CEILING(_xlfn.XLOOKUP(Logistics_Orders[[#This Row],[Event_No]],Event_Master[[#All],[Event_No]],Event_Master[[#All],[Guest_Count]],,0)/Logistics_Orders[[#This Row],[Base_Quantity]],1),1)</f>
        <v>1</v>
      </c>
      <c r="E19" cm="1">
        <f t="array" ref="E19">Logistics_Orders[[#This Row],[Quantity_Ordered]]*_xlfn.XLOOKUP(Logistics_Orders[[#This Row],[Logistics_ID]],Logistics_Catalog[[#All],[Logistics_ID]],Logistics_Catalog[[#All],[Cost]],0,0)</f>
        <v>3000</v>
      </c>
      <c r="F19" cm="1">
        <f t="array" ref="F19">Logistics_Orders[[#This Row],[Quantity_Ordered]]*_xlfn.XLOOKUP(Logistics_Orders[[#This Row],[Logistics_ID]],Logistics_Catalog[[#All],[Logistics_ID]],Logistics_Catalog[[#All],[Client_Charge]],0,0)</f>
        <v>3600</v>
      </c>
      <c r="G19">
        <f>Logistics_Orders[[#This Row],[Client_Charge]]-Logistics_Orders[[#This Row],[Cost]]</f>
        <v>600</v>
      </c>
      <c r="H19" t="s">
        <v>194</v>
      </c>
    </row>
    <row r="20" spans="1:8" x14ac:dyDescent="0.25">
      <c r="A20">
        <v>4</v>
      </c>
      <c r="B20" t="s">
        <v>195</v>
      </c>
      <c r="C20" cm="1">
        <f t="array" ref="C20">_xlfn.XLOOKUP(Logistics_Orders[[#This Row],[Logistics_ID]],Logistics_Catalog[[#All],[Logistics_ID]],Logistics_Catalog[[#All],[Base_Quantity]],0,0)</f>
        <v>10</v>
      </c>
      <c r="D20" cm="1">
        <f t="array" ref="D20">IF(Logistics_Orders[[#This Row],[Item]]="Chairs &amp; Tables",CEILING(_xlfn.XLOOKUP(Logistics_Orders[[#This Row],[Event_No]],Event_Master[[#All],[Event_No]],Event_Master[[#All],[Guest_Count]],,0)/Logistics_Orders[[#This Row],[Base_Quantity]],1),1)</f>
        <v>1</v>
      </c>
      <c r="E20" cm="1">
        <f t="array" ref="E20">Logistics_Orders[[#This Row],[Quantity_Ordered]]*_xlfn.XLOOKUP(Logistics_Orders[[#This Row],[Logistics_ID]],Logistics_Catalog[[#All],[Logistics_ID]],Logistics_Catalog[[#All],[Cost]],0,0)</f>
        <v>6000</v>
      </c>
      <c r="F20" cm="1">
        <f t="array" ref="F20">Logistics_Orders[[#This Row],[Quantity_Ordered]]*_xlfn.XLOOKUP(Logistics_Orders[[#This Row],[Logistics_ID]],Logistics_Catalog[[#All],[Logistics_ID]],Logistics_Catalog[[#All],[Client_Charge]],0,0)</f>
        <v>7200</v>
      </c>
      <c r="G20">
        <f>Logistics_Orders[[#This Row],[Client_Charge]]-Logistics_Orders[[#This Row],[Cost]]</f>
        <v>1200</v>
      </c>
      <c r="H20" t="s">
        <v>198</v>
      </c>
    </row>
    <row r="21" spans="1:8" x14ac:dyDescent="0.25">
      <c r="A21">
        <v>4</v>
      </c>
      <c r="B21" t="s">
        <v>187</v>
      </c>
      <c r="C21" cm="1">
        <f t="array" ref="C21">_xlfn.XLOOKUP(Logistics_Orders[[#This Row],[Logistics_ID]],Logistics_Catalog[[#All],[Logistics_ID]],Logistics_Catalog[[#All],[Base_Quantity]],0,0)</f>
        <v>1</v>
      </c>
      <c r="D21" cm="1">
        <f t="array" ref="D21">IF(Logistics_Orders[[#This Row],[Item]]="Chairs &amp; Tables",CEILING(_xlfn.XLOOKUP(Logistics_Orders[[#This Row],[Event_No]],Event_Master[[#All],[Event_No]],Event_Master[[#All],[Guest_Count]],,0)/Logistics_Orders[[#This Row],[Base_Quantity]],1),1)</f>
        <v>1</v>
      </c>
      <c r="E21" cm="1">
        <f t="array" ref="E21">Logistics_Orders[[#This Row],[Quantity_Ordered]]*_xlfn.XLOOKUP(Logistics_Orders[[#This Row],[Logistics_ID]],Logistics_Catalog[[#All],[Logistics_ID]],Logistics_Catalog[[#All],[Cost]],0,0)</f>
        <v>8000</v>
      </c>
      <c r="F21" cm="1">
        <f t="array" ref="F21">Logistics_Orders[[#This Row],[Quantity_Ordered]]*_xlfn.XLOOKUP(Logistics_Orders[[#This Row],[Logistics_ID]],Logistics_Catalog[[#All],[Logistics_ID]],Logistics_Catalog[[#All],[Client_Charge]],0,0)</f>
        <v>9500</v>
      </c>
      <c r="G21">
        <f>Logistics_Orders[[#This Row],[Client_Charge]]-Logistics_Orders[[#This Row],[Cost]]</f>
        <v>1500</v>
      </c>
      <c r="H21" t="s">
        <v>190</v>
      </c>
    </row>
    <row r="22" spans="1:8" x14ac:dyDescent="0.25">
      <c r="A22">
        <v>5</v>
      </c>
      <c r="B22" t="s">
        <v>177</v>
      </c>
      <c r="C22" cm="1">
        <f t="array" ref="C22">_xlfn.XLOOKUP(Logistics_Orders[[#This Row],[Logistics_ID]],Logistics_Catalog[[#All],[Logistics_ID]],Logistics_Catalog[[#All],[Base_Quantity]],0,0)</f>
        <v>300</v>
      </c>
      <c r="D22" cm="1">
        <f t="array" ref="D22">IF(Logistics_Orders[[#This Row],[Item]]="Chairs &amp; Tables",CEILING(_xlfn.XLOOKUP(Logistics_Orders[[#This Row],[Event_No]],Event_Master[[#All],[Event_No]],Event_Master[[#All],[Guest_Count]],,0)/Logistics_Orders[[#This Row],[Base_Quantity]],1),1)</f>
        <v>1</v>
      </c>
      <c r="E22" cm="1">
        <f t="array" ref="E22">Logistics_Orders[[#This Row],[Quantity_Ordered]]*_xlfn.XLOOKUP(Logistics_Orders[[#This Row],[Logistics_ID]],Logistics_Catalog[[#All],[Logistics_ID]],Logistics_Catalog[[#All],[Cost]],0,0)</f>
        <v>15000</v>
      </c>
      <c r="F22" cm="1">
        <f t="array" ref="F22">Logistics_Orders[[#This Row],[Quantity_Ordered]]*_xlfn.XLOOKUP(Logistics_Orders[[#This Row],[Logistics_ID]],Logistics_Catalog[[#All],[Logistics_ID]],Logistics_Catalog[[#All],[Client_Charge]],0,0)</f>
        <v>18000</v>
      </c>
      <c r="G22">
        <f>Logistics_Orders[[#This Row],[Client_Charge]]-Logistics_Orders[[#This Row],[Cost]]</f>
        <v>3000</v>
      </c>
      <c r="H22" t="s">
        <v>181</v>
      </c>
    </row>
    <row r="23" spans="1:8" x14ac:dyDescent="0.25">
      <c r="A23">
        <v>5</v>
      </c>
      <c r="B23" t="s">
        <v>182</v>
      </c>
      <c r="C23" cm="1">
        <f t="array" ref="C23">_xlfn.XLOOKUP(Logistics_Orders[[#This Row],[Logistics_ID]],Logistics_Catalog[[#All],[Logistics_ID]],Logistics_Catalog[[#All],[Base_Quantity]],0,0)</f>
        <v>1</v>
      </c>
      <c r="D23" cm="1">
        <f t="array" ref="D23">IF(Logistics_Orders[[#This Row],[Item]]="Chairs &amp; Tables",CEILING(_xlfn.XLOOKUP(Logistics_Orders[[#This Row],[Event_No]],Event_Master[[#All],[Event_No]],Event_Master[[#All],[Guest_Count]],,0)/Logistics_Orders[[#This Row],[Base_Quantity]],1),1)</f>
        <v>1</v>
      </c>
      <c r="E23" cm="1">
        <f t="array" ref="E23">Logistics_Orders[[#This Row],[Quantity_Ordered]]*_xlfn.XLOOKUP(Logistics_Orders[[#This Row],[Logistics_ID]],Logistics_Catalog[[#All],[Logistics_ID]],Logistics_Catalog[[#All],[Cost]],0,0)</f>
        <v>12000</v>
      </c>
      <c r="F23" cm="1">
        <f t="array" ref="F23">Logistics_Orders[[#This Row],[Quantity_Ordered]]*_xlfn.XLOOKUP(Logistics_Orders[[#This Row],[Logistics_ID]],Logistics_Catalog[[#All],[Logistics_ID]],Logistics_Catalog[[#All],[Client_Charge]],0,0)</f>
        <v>14500</v>
      </c>
      <c r="G23">
        <f>Logistics_Orders[[#This Row],[Client_Charge]]-Logistics_Orders[[#This Row],[Cost]]</f>
        <v>2500</v>
      </c>
      <c r="H23" t="s">
        <v>186</v>
      </c>
    </row>
    <row r="24" spans="1:8" x14ac:dyDescent="0.25">
      <c r="A24">
        <v>5</v>
      </c>
      <c r="B24" t="s">
        <v>191</v>
      </c>
      <c r="C24" cm="1">
        <f t="array" ref="C24">_xlfn.XLOOKUP(Logistics_Orders[[#This Row],[Logistics_ID]],Logistics_Catalog[[#All],[Logistics_ID]],Logistics_Catalog[[#All],[Base_Quantity]],0,0)</f>
        <v>5</v>
      </c>
      <c r="D24" cm="1">
        <f t="array" ref="D24">IF(Logistics_Orders[[#This Row],[Item]]="Chairs &amp; Tables",CEILING(_xlfn.XLOOKUP(Logistics_Orders[[#This Row],[Event_No]],Event_Master[[#All],[Event_No]],Event_Master[[#All],[Guest_Count]],,0)/Logistics_Orders[[#This Row],[Base_Quantity]],1),1)</f>
        <v>1</v>
      </c>
      <c r="E24" cm="1">
        <f t="array" ref="E24">Logistics_Orders[[#This Row],[Quantity_Ordered]]*_xlfn.XLOOKUP(Logistics_Orders[[#This Row],[Logistics_ID]],Logistics_Catalog[[#All],[Logistics_ID]],Logistics_Catalog[[#All],[Cost]],0,0)</f>
        <v>3000</v>
      </c>
      <c r="F24" cm="1">
        <f t="array" ref="F24">Logistics_Orders[[#This Row],[Quantity_Ordered]]*_xlfn.XLOOKUP(Logistics_Orders[[#This Row],[Logistics_ID]],Logistics_Catalog[[#All],[Logistics_ID]],Logistics_Catalog[[#All],[Client_Charge]],0,0)</f>
        <v>3600</v>
      </c>
      <c r="G24">
        <f>Logistics_Orders[[#This Row],[Client_Charge]]-Logistics_Orders[[#This Row],[Cost]]</f>
        <v>600</v>
      </c>
      <c r="H24" t="s">
        <v>194</v>
      </c>
    </row>
    <row r="25" spans="1:8" x14ac:dyDescent="0.25">
      <c r="A25">
        <v>5</v>
      </c>
      <c r="B25" t="s">
        <v>195</v>
      </c>
      <c r="C25" cm="1">
        <f t="array" ref="C25">_xlfn.XLOOKUP(Logistics_Orders[[#This Row],[Logistics_ID]],Logistics_Catalog[[#All],[Logistics_ID]],Logistics_Catalog[[#All],[Base_Quantity]],0,0)</f>
        <v>10</v>
      </c>
      <c r="D25" cm="1">
        <f t="array" ref="D25">IF(Logistics_Orders[[#This Row],[Item]]="Chairs &amp; Tables",CEILING(_xlfn.XLOOKUP(Logistics_Orders[[#This Row],[Event_No]],Event_Master[[#All],[Event_No]],Event_Master[[#All],[Guest_Count]],,0)/Logistics_Orders[[#This Row],[Base_Quantity]],1),1)</f>
        <v>1</v>
      </c>
      <c r="E25" cm="1">
        <f t="array" ref="E25">Logistics_Orders[[#This Row],[Quantity_Ordered]]*_xlfn.XLOOKUP(Logistics_Orders[[#This Row],[Logistics_ID]],Logistics_Catalog[[#All],[Logistics_ID]],Logistics_Catalog[[#All],[Cost]],0,0)</f>
        <v>6000</v>
      </c>
      <c r="F25" cm="1">
        <f t="array" ref="F25">Logistics_Orders[[#This Row],[Quantity_Ordered]]*_xlfn.XLOOKUP(Logistics_Orders[[#This Row],[Logistics_ID]],Logistics_Catalog[[#All],[Logistics_ID]],Logistics_Catalog[[#All],[Client_Charge]],0,0)</f>
        <v>7200</v>
      </c>
      <c r="G25">
        <f>Logistics_Orders[[#This Row],[Client_Charge]]-Logistics_Orders[[#This Row],[Cost]]</f>
        <v>1200</v>
      </c>
      <c r="H25" t="s">
        <v>198</v>
      </c>
    </row>
    <row r="26" spans="1:8" x14ac:dyDescent="0.25">
      <c r="A26">
        <v>5</v>
      </c>
      <c r="B26" t="s">
        <v>187</v>
      </c>
      <c r="C26" cm="1">
        <f t="array" ref="C26">_xlfn.XLOOKUP(Logistics_Orders[[#This Row],[Logistics_ID]],Logistics_Catalog[[#All],[Logistics_ID]],Logistics_Catalog[[#All],[Base_Quantity]],0,0)</f>
        <v>1</v>
      </c>
      <c r="D26" cm="1">
        <f t="array" ref="D26">IF(Logistics_Orders[[#This Row],[Item]]="Chairs &amp; Tables",CEILING(_xlfn.XLOOKUP(Logistics_Orders[[#This Row],[Event_No]],Event_Master[[#All],[Event_No]],Event_Master[[#All],[Guest_Count]],,0)/Logistics_Orders[[#This Row],[Base_Quantity]],1),1)</f>
        <v>1</v>
      </c>
      <c r="E26" cm="1">
        <f t="array" ref="E26">Logistics_Orders[[#This Row],[Quantity_Ordered]]*_xlfn.XLOOKUP(Logistics_Orders[[#This Row],[Logistics_ID]],Logistics_Catalog[[#All],[Logistics_ID]],Logistics_Catalog[[#All],[Cost]],0,0)</f>
        <v>8000</v>
      </c>
      <c r="F26" cm="1">
        <f t="array" ref="F26">Logistics_Orders[[#This Row],[Quantity_Ordered]]*_xlfn.XLOOKUP(Logistics_Orders[[#This Row],[Logistics_ID]],Logistics_Catalog[[#All],[Logistics_ID]],Logistics_Catalog[[#All],[Client_Charge]],0,0)</f>
        <v>9500</v>
      </c>
      <c r="G26">
        <f>Logistics_Orders[[#This Row],[Client_Charge]]-Logistics_Orders[[#This Row],[Cost]]</f>
        <v>1500</v>
      </c>
      <c r="H26" t="s">
        <v>190</v>
      </c>
    </row>
    <row r="27" spans="1:8" x14ac:dyDescent="0.25">
      <c r="A27">
        <v>6</v>
      </c>
      <c r="B27" t="s">
        <v>177</v>
      </c>
      <c r="C27" cm="1">
        <f t="array" ref="C27">_xlfn.XLOOKUP(Logistics_Orders[[#This Row],[Logistics_ID]],Logistics_Catalog[[#All],[Logistics_ID]],Logistics_Catalog[[#All],[Base_Quantity]],0,0)</f>
        <v>300</v>
      </c>
      <c r="D27" cm="1">
        <f t="array" ref="D27">IF(Logistics_Orders[[#This Row],[Item]]="Chairs &amp; Tables",CEILING(_xlfn.XLOOKUP(Logistics_Orders[[#This Row],[Event_No]],Event_Master[[#All],[Event_No]],Event_Master[[#All],[Guest_Count]],,0)/Logistics_Orders[[#This Row],[Base_Quantity]],1),1)</f>
        <v>1</v>
      </c>
      <c r="E27" cm="1">
        <f t="array" ref="E27">Logistics_Orders[[#This Row],[Quantity_Ordered]]*_xlfn.XLOOKUP(Logistics_Orders[[#This Row],[Logistics_ID]],Logistics_Catalog[[#All],[Logistics_ID]],Logistics_Catalog[[#All],[Cost]],0,0)</f>
        <v>15000</v>
      </c>
      <c r="F27" cm="1">
        <f t="array" ref="F27">Logistics_Orders[[#This Row],[Quantity_Ordered]]*_xlfn.XLOOKUP(Logistics_Orders[[#This Row],[Logistics_ID]],Logistics_Catalog[[#All],[Logistics_ID]],Logistics_Catalog[[#All],[Client_Charge]],0,0)</f>
        <v>18000</v>
      </c>
      <c r="G27">
        <f>Logistics_Orders[[#This Row],[Client_Charge]]-Logistics_Orders[[#This Row],[Cost]]</f>
        <v>3000</v>
      </c>
      <c r="H27" t="s">
        <v>181</v>
      </c>
    </row>
    <row r="28" spans="1:8" x14ac:dyDescent="0.25">
      <c r="A28">
        <v>6</v>
      </c>
      <c r="B28" t="s">
        <v>182</v>
      </c>
      <c r="C28" cm="1">
        <f t="array" ref="C28">_xlfn.XLOOKUP(Logistics_Orders[[#This Row],[Logistics_ID]],Logistics_Catalog[[#All],[Logistics_ID]],Logistics_Catalog[[#All],[Base_Quantity]],0,0)</f>
        <v>1</v>
      </c>
      <c r="D28" cm="1">
        <f t="array" ref="D28">IF(Logistics_Orders[[#This Row],[Item]]="Chairs &amp; Tables",CEILING(_xlfn.XLOOKUP(Logistics_Orders[[#This Row],[Event_No]],Event_Master[[#All],[Event_No]],Event_Master[[#All],[Guest_Count]],,0)/Logistics_Orders[[#This Row],[Base_Quantity]],1),1)</f>
        <v>1</v>
      </c>
      <c r="E28" cm="1">
        <f t="array" ref="E28">Logistics_Orders[[#This Row],[Quantity_Ordered]]*_xlfn.XLOOKUP(Logistics_Orders[[#This Row],[Logistics_ID]],Logistics_Catalog[[#All],[Logistics_ID]],Logistics_Catalog[[#All],[Cost]],0,0)</f>
        <v>12000</v>
      </c>
      <c r="F28" cm="1">
        <f t="array" ref="F28">Logistics_Orders[[#This Row],[Quantity_Ordered]]*_xlfn.XLOOKUP(Logistics_Orders[[#This Row],[Logistics_ID]],Logistics_Catalog[[#All],[Logistics_ID]],Logistics_Catalog[[#All],[Client_Charge]],0,0)</f>
        <v>14500</v>
      </c>
      <c r="G28">
        <f>Logistics_Orders[[#This Row],[Client_Charge]]-Logistics_Orders[[#This Row],[Cost]]</f>
        <v>2500</v>
      </c>
      <c r="H28" t="s">
        <v>186</v>
      </c>
    </row>
    <row r="29" spans="1:8" x14ac:dyDescent="0.25">
      <c r="A29">
        <v>6</v>
      </c>
      <c r="B29" t="s">
        <v>191</v>
      </c>
      <c r="C29" cm="1">
        <f t="array" ref="C29">_xlfn.XLOOKUP(Logistics_Orders[[#This Row],[Logistics_ID]],Logistics_Catalog[[#All],[Logistics_ID]],Logistics_Catalog[[#All],[Base_Quantity]],0,0)</f>
        <v>5</v>
      </c>
      <c r="D29" cm="1">
        <f t="array" ref="D29">IF(Logistics_Orders[[#This Row],[Item]]="Chairs &amp; Tables",CEILING(_xlfn.XLOOKUP(Logistics_Orders[[#This Row],[Event_No]],Event_Master[[#All],[Event_No]],Event_Master[[#All],[Guest_Count]],,0)/Logistics_Orders[[#This Row],[Base_Quantity]],1),1)</f>
        <v>1</v>
      </c>
      <c r="E29" cm="1">
        <f t="array" ref="E29">Logistics_Orders[[#This Row],[Quantity_Ordered]]*_xlfn.XLOOKUP(Logistics_Orders[[#This Row],[Logistics_ID]],Logistics_Catalog[[#All],[Logistics_ID]],Logistics_Catalog[[#All],[Cost]],0,0)</f>
        <v>3000</v>
      </c>
      <c r="F29" cm="1">
        <f t="array" ref="F29">Logistics_Orders[[#This Row],[Quantity_Ordered]]*_xlfn.XLOOKUP(Logistics_Orders[[#This Row],[Logistics_ID]],Logistics_Catalog[[#All],[Logistics_ID]],Logistics_Catalog[[#All],[Client_Charge]],0,0)</f>
        <v>3600</v>
      </c>
      <c r="G29">
        <f>Logistics_Orders[[#This Row],[Client_Charge]]-Logistics_Orders[[#This Row],[Cost]]</f>
        <v>600</v>
      </c>
      <c r="H29" t="s">
        <v>194</v>
      </c>
    </row>
    <row r="30" spans="1:8" x14ac:dyDescent="0.25">
      <c r="A30">
        <v>6</v>
      </c>
      <c r="B30" t="s">
        <v>195</v>
      </c>
      <c r="C30" cm="1">
        <f t="array" ref="C30">_xlfn.XLOOKUP(Logistics_Orders[[#This Row],[Logistics_ID]],Logistics_Catalog[[#All],[Logistics_ID]],Logistics_Catalog[[#All],[Base_Quantity]],0,0)</f>
        <v>10</v>
      </c>
      <c r="D30" cm="1">
        <f t="array" ref="D30">IF(Logistics_Orders[[#This Row],[Item]]="Chairs &amp; Tables",CEILING(_xlfn.XLOOKUP(Logistics_Orders[[#This Row],[Event_No]],Event_Master[[#All],[Event_No]],Event_Master[[#All],[Guest_Count]],,0)/Logistics_Orders[[#This Row],[Base_Quantity]],1),1)</f>
        <v>1</v>
      </c>
      <c r="E30" cm="1">
        <f t="array" ref="E30">Logistics_Orders[[#This Row],[Quantity_Ordered]]*_xlfn.XLOOKUP(Logistics_Orders[[#This Row],[Logistics_ID]],Logistics_Catalog[[#All],[Logistics_ID]],Logistics_Catalog[[#All],[Cost]],0,0)</f>
        <v>6000</v>
      </c>
      <c r="F30" cm="1">
        <f t="array" ref="F30">Logistics_Orders[[#This Row],[Quantity_Ordered]]*_xlfn.XLOOKUP(Logistics_Orders[[#This Row],[Logistics_ID]],Logistics_Catalog[[#All],[Logistics_ID]],Logistics_Catalog[[#All],[Client_Charge]],0,0)</f>
        <v>7200</v>
      </c>
      <c r="G30">
        <f>Logistics_Orders[[#This Row],[Client_Charge]]-Logistics_Orders[[#This Row],[Cost]]</f>
        <v>1200</v>
      </c>
      <c r="H30" t="s">
        <v>198</v>
      </c>
    </row>
    <row r="31" spans="1:8" x14ac:dyDescent="0.25">
      <c r="A31">
        <v>6</v>
      </c>
      <c r="B31" t="s">
        <v>187</v>
      </c>
      <c r="C31" cm="1">
        <f t="array" ref="C31">_xlfn.XLOOKUP(Logistics_Orders[[#This Row],[Logistics_ID]],Logistics_Catalog[[#All],[Logistics_ID]],Logistics_Catalog[[#All],[Base_Quantity]],0,0)</f>
        <v>1</v>
      </c>
      <c r="D31" cm="1">
        <f t="array" ref="D31">IF(Logistics_Orders[[#This Row],[Item]]="Chairs &amp; Tables",CEILING(_xlfn.XLOOKUP(Logistics_Orders[[#This Row],[Event_No]],Event_Master[[#All],[Event_No]],Event_Master[[#All],[Guest_Count]],,0)/Logistics_Orders[[#This Row],[Base_Quantity]],1),1)</f>
        <v>1</v>
      </c>
      <c r="E31" cm="1">
        <f t="array" ref="E31">Logistics_Orders[[#This Row],[Quantity_Ordered]]*_xlfn.XLOOKUP(Logistics_Orders[[#This Row],[Logistics_ID]],Logistics_Catalog[[#All],[Logistics_ID]],Logistics_Catalog[[#All],[Cost]],0,0)</f>
        <v>8000</v>
      </c>
      <c r="F31" cm="1">
        <f t="array" ref="F31">Logistics_Orders[[#This Row],[Quantity_Ordered]]*_xlfn.XLOOKUP(Logistics_Orders[[#This Row],[Logistics_ID]],Logistics_Catalog[[#All],[Logistics_ID]],Logistics_Catalog[[#All],[Client_Charge]],0,0)</f>
        <v>9500</v>
      </c>
      <c r="G31">
        <f>Logistics_Orders[[#This Row],[Client_Charge]]-Logistics_Orders[[#This Row],[Cost]]</f>
        <v>1500</v>
      </c>
      <c r="H31" t="s">
        <v>190</v>
      </c>
    </row>
    <row r="32" spans="1:8" x14ac:dyDescent="0.25">
      <c r="A32">
        <v>7</v>
      </c>
      <c r="B32" t="s">
        <v>177</v>
      </c>
      <c r="C32" cm="1">
        <f t="array" ref="C32">_xlfn.XLOOKUP(Logistics_Orders[[#This Row],[Logistics_ID]],Logistics_Catalog[[#All],[Logistics_ID]],Logistics_Catalog[[#All],[Base_Quantity]],0,0)</f>
        <v>300</v>
      </c>
      <c r="D32" cm="1">
        <f t="array" ref="D32">IF(Logistics_Orders[[#This Row],[Item]]="Chairs &amp; Tables",CEILING(_xlfn.XLOOKUP(Logistics_Orders[[#This Row],[Event_No]],Event_Master[[#All],[Event_No]],Event_Master[[#All],[Guest_Count]],,0)/Logistics_Orders[[#This Row],[Base_Quantity]],1),1)</f>
        <v>1</v>
      </c>
      <c r="E32" cm="1">
        <f t="array" ref="E32">Logistics_Orders[[#This Row],[Quantity_Ordered]]*_xlfn.XLOOKUP(Logistics_Orders[[#This Row],[Logistics_ID]],Logistics_Catalog[[#All],[Logistics_ID]],Logistics_Catalog[[#All],[Cost]],0,0)</f>
        <v>15000</v>
      </c>
      <c r="F32" cm="1">
        <f t="array" ref="F32">Logistics_Orders[[#This Row],[Quantity_Ordered]]*_xlfn.XLOOKUP(Logistics_Orders[[#This Row],[Logistics_ID]],Logistics_Catalog[[#All],[Logistics_ID]],Logistics_Catalog[[#All],[Client_Charge]],0,0)</f>
        <v>18000</v>
      </c>
      <c r="G32">
        <f>Logistics_Orders[[#This Row],[Client_Charge]]-Logistics_Orders[[#This Row],[Cost]]</f>
        <v>3000</v>
      </c>
      <c r="H32" t="s">
        <v>181</v>
      </c>
    </row>
    <row r="33" spans="1:8" x14ac:dyDescent="0.25">
      <c r="A33">
        <v>7</v>
      </c>
      <c r="B33" t="s">
        <v>182</v>
      </c>
      <c r="C33" cm="1">
        <f t="array" ref="C33">_xlfn.XLOOKUP(Logistics_Orders[[#This Row],[Logistics_ID]],Logistics_Catalog[[#All],[Logistics_ID]],Logistics_Catalog[[#All],[Base_Quantity]],0,0)</f>
        <v>1</v>
      </c>
      <c r="D33" cm="1">
        <f t="array" ref="D33">IF(Logistics_Orders[[#This Row],[Item]]="Chairs &amp; Tables",CEILING(_xlfn.XLOOKUP(Logistics_Orders[[#This Row],[Event_No]],Event_Master[[#All],[Event_No]],Event_Master[[#All],[Guest_Count]],,0)/Logistics_Orders[[#This Row],[Base_Quantity]],1),1)</f>
        <v>1</v>
      </c>
      <c r="E33" cm="1">
        <f t="array" ref="E33">Logistics_Orders[[#This Row],[Quantity_Ordered]]*_xlfn.XLOOKUP(Logistics_Orders[[#This Row],[Logistics_ID]],Logistics_Catalog[[#All],[Logistics_ID]],Logistics_Catalog[[#All],[Cost]],0,0)</f>
        <v>12000</v>
      </c>
      <c r="F33" cm="1">
        <f t="array" ref="F33">Logistics_Orders[[#This Row],[Quantity_Ordered]]*_xlfn.XLOOKUP(Logistics_Orders[[#This Row],[Logistics_ID]],Logistics_Catalog[[#All],[Logistics_ID]],Logistics_Catalog[[#All],[Client_Charge]],0,0)</f>
        <v>14500</v>
      </c>
      <c r="G33">
        <f>Logistics_Orders[[#This Row],[Client_Charge]]-Logistics_Orders[[#This Row],[Cost]]</f>
        <v>2500</v>
      </c>
      <c r="H33" t="s">
        <v>186</v>
      </c>
    </row>
    <row r="34" spans="1:8" x14ac:dyDescent="0.25">
      <c r="A34">
        <v>7</v>
      </c>
      <c r="B34" t="s">
        <v>191</v>
      </c>
      <c r="C34" cm="1">
        <f t="array" ref="C34">_xlfn.XLOOKUP(Logistics_Orders[[#This Row],[Logistics_ID]],Logistics_Catalog[[#All],[Logistics_ID]],Logistics_Catalog[[#All],[Base_Quantity]],0,0)</f>
        <v>5</v>
      </c>
      <c r="D34" cm="1">
        <f t="array" ref="D34">IF(Logistics_Orders[[#This Row],[Item]]="Chairs &amp; Tables",CEILING(_xlfn.XLOOKUP(Logistics_Orders[[#This Row],[Event_No]],Event_Master[[#All],[Event_No]],Event_Master[[#All],[Guest_Count]],,0)/Logistics_Orders[[#This Row],[Base_Quantity]],1),1)</f>
        <v>1</v>
      </c>
      <c r="E34" cm="1">
        <f t="array" ref="E34">Logistics_Orders[[#This Row],[Quantity_Ordered]]*_xlfn.XLOOKUP(Logistics_Orders[[#This Row],[Logistics_ID]],Logistics_Catalog[[#All],[Logistics_ID]],Logistics_Catalog[[#All],[Cost]],0,0)</f>
        <v>3000</v>
      </c>
      <c r="F34" cm="1">
        <f t="array" ref="F34">Logistics_Orders[[#This Row],[Quantity_Ordered]]*_xlfn.XLOOKUP(Logistics_Orders[[#This Row],[Logistics_ID]],Logistics_Catalog[[#All],[Logistics_ID]],Logistics_Catalog[[#All],[Client_Charge]],0,0)</f>
        <v>3600</v>
      </c>
      <c r="G34">
        <f>Logistics_Orders[[#This Row],[Client_Charge]]-Logistics_Orders[[#This Row],[Cost]]</f>
        <v>600</v>
      </c>
      <c r="H34" t="s">
        <v>194</v>
      </c>
    </row>
    <row r="35" spans="1:8" x14ac:dyDescent="0.25">
      <c r="A35">
        <v>7</v>
      </c>
      <c r="B35" t="s">
        <v>195</v>
      </c>
      <c r="C35" cm="1">
        <f t="array" ref="C35">_xlfn.XLOOKUP(Logistics_Orders[[#This Row],[Logistics_ID]],Logistics_Catalog[[#All],[Logistics_ID]],Logistics_Catalog[[#All],[Base_Quantity]],0,0)</f>
        <v>10</v>
      </c>
      <c r="D35" cm="1">
        <f t="array" ref="D35">IF(Logistics_Orders[[#This Row],[Item]]="Chairs &amp; Tables",CEILING(_xlfn.XLOOKUP(Logistics_Orders[[#This Row],[Event_No]],Event_Master[[#All],[Event_No]],Event_Master[[#All],[Guest_Count]],,0)/Logistics_Orders[[#This Row],[Base_Quantity]],1),1)</f>
        <v>1</v>
      </c>
      <c r="E35" cm="1">
        <f t="array" ref="E35">Logistics_Orders[[#This Row],[Quantity_Ordered]]*_xlfn.XLOOKUP(Logistics_Orders[[#This Row],[Logistics_ID]],Logistics_Catalog[[#All],[Logistics_ID]],Logistics_Catalog[[#All],[Cost]],0,0)</f>
        <v>6000</v>
      </c>
      <c r="F35" cm="1">
        <f t="array" ref="F35">Logistics_Orders[[#This Row],[Quantity_Ordered]]*_xlfn.XLOOKUP(Logistics_Orders[[#This Row],[Logistics_ID]],Logistics_Catalog[[#All],[Logistics_ID]],Logistics_Catalog[[#All],[Client_Charge]],0,0)</f>
        <v>7200</v>
      </c>
      <c r="G35">
        <f>Logistics_Orders[[#This Row],[Client_Charge]]-Logistics_Orders[[#This Row],[Cost]]</f>
        <v>1200</v>
      </c>
      <c r="H35" t="s">
        <v>198</v>
      </c>
    </row>
    <row r="36" spans="1:8" x14ac:dyDescent="0.25">
      <c r="A36">
        <v>8</v>
      </c>
      <c r="B36" t="s">
        <v>177</v>
      </c>
      <c r="C36" cm="1">
        <f t="array" ref="C36">_xlfn.XLOOKUP(Logistics_Orders[[#This Row],[Logistics_ID]],Logistics_Catalog[[#All],[Logistics_ID]],Logistics_Catalog[[#All],[Base_Quantity]],0,0)</f>
        <v>300</v>
      </c>
      <c r="D36" cm="1">
        <f t="array" ref="D36">IF(Logistics_Orders[[#This Row],[Item]]="Chairs &amp; Tables",CEILING(_xlfn.XLOOKUP(Logistics_Orders[[#This Row],[Event_No]],Event_Master[[#All],[Event_No]],Event_Master[[#All],[Guest_Count]],,0)/Logistics_Orders[[#This Row],[Base_Quantity]],1),1)</f>
        <v>1</v>
      </c>
      <c r="E36" cm="1">
        <f t="array" ref="E36">Logistics_Orders[[#This Row],[Quantity_Ordered]]*_xlfn.XLOOKUP(Logistics_Orders[[#This Row],[Logistics_ID]],Logistics_Catalog[[#All],[Logistics_ID]],Logistics_Catalog[[#All],[Cost]],0,0)</f>
        <v>15000</v>
      </c>
      <c r="F36" cm="1">
        <f t="array" ref="F36">Logistics_Orders[[#This Row],[Quantity_Ordered]]*_xlfn.XLOOKUP(Logistics_Orders[[#This Row],[Logistics_ID]],Logistics_Catalog[[#All],[Logistics_ID]],Logistics_Catalog[[#All],[Client_Charge]],0,0)</f>
        <v>18000</v>
      </c>
      <c r="G36">
        <f>Logistics_Orders[[#This Row],[Client_Charge]]-Logistics_Orders[[#This Row],[Cost]]</f>
        <v>3000</v>
      </c>
      <c r="H36" t="s">
        <v>181</v>
      </c>
    </row>
    <row r="37" spans="1:8" x14ac:dyDescent="0.25">
      <c r="A37">
        <v>8</v>
      </c>
      <c r="B37" t="s">
        <v>191</v>
      </c>
      <c r="C37" cm="1">
        <f t="array" ref="C37">_xlfn.XLOOKUP(Logistics_Orders[[#This Row],[Logistics_ID]],Logistics_Catalog[[#All],[Logistics_ID]],Logistics_Catalog[[#All],[Base_Quantity]],0,0)</f>
        <v>5</v>
      </c>
      <c r="D37" cm="1">
        <f t="array" ref="D37">IF(Logistics_Orders[[#This Row],[Item]]="Chairs &amp; Tables",CEILING(_xlfn.XLOOKUP(Logistics_Orders[[#This Row],[Event_No]],Event_Master[[#All],[Event_No]],Event_Master[[#All],[Guest_Count]],,0)/Logistics_Orders[[#This Row],[Base_Quantity]],1),1)</f>
        <v>1</v>
      </c>
      <c r="E37" cm="1">
        <f t="array" ref="E37">Logistics_Orders[[#This Row],[Quantity_Ordered]]*_xlfn.XLOOKUP(Logistics_Orders[[#This Row],[Logistics_ID]],Logistics_Catalog[[#All],[Logistics_ID]],Logistics_Catalog[[#All],[Cost]],0,0)</f>
        <v>3000</v>
      </c>
      <c r="F37" cm="1">
        <f t="array" ref="F37">Logistics_Orders[[#This Row],[Quantity_Ordered]]*_xlfn.XLOOKUP(Logistics_Orders[[#This Row],[Logistics_ID]],Logistics_Catalog[[#All],[Logistics_ID]],Logistics_Catalog[[#All],[Client_Charge]],0,0)</f>
        <v>3600</v>
      </c>
      <c r="G37">
        <f>Logistics_Orders[[#This Row],[Client_Charge]]-Logistics_Orders[[#This Row],[Cost]]</f>
        <v>600</v>
      </c>
      <c r="H37" t="s">
        <v>194</v>
      </c>
    </row>
    <row r="38" spans="1:8" x14ac:dyDescent="0.25">
      <c r="A38">
        <v>8</v>
      </c>
      <c r="B38" t="s">
        <v>195</v>
      </c>
      <c r="C38" cm="1">
        <f t="array" ref="C38">_xlfn.XLOOKUP(Logistics_Orders[[#This Row],[Logistics_ID]],Logistics_Catalog[[#All],[Logistics_ID]],Logistics_Catalog[[#All],[Base_Quantity]],0,0)</f>
        <v>10</v>
      </c>
      <c r="D38" cm="1">
        <f t="array" ref="D38">IF(Logistics_Orders[[#This Row],[Item]]="Chairs &amp; Tables",CEILING(_xlfn.XLOOKUP(Logistics_Orders[[#This Row],[Event_No]],Event_Master[[#All],[Event_No]],Event_Master[[#All],[Guest_Count]],,0)/Logistics_Orders[[#This Row],[Base_Quantity]],1),1)</f>
        <v>1</v>
      </c>
      <c r="E38" cm="1">
        <f t="array" ref="E38">Logistics_Orders[[#This Row],[Quantity_Ordered]]*_xlfn.XLOOKUP(Logistics_Orders[[#This Row],[Logistics_ID]],Logistics_Catalog[[#All],[Logistics_ID]],Logistics_Catalog[[#All],[Cost]],0,0)</f>
        <v>6000</v>
      </c>
      <c r="F38" cm="1">
        <f t="array" ref="F38">Logistics_Orders[[#This Row],[Quantity_Ordered]]*_xlfn.XLOOKUP(Logistics_Orders[[#This Row],[Logistics_ID]],Logistics_Catalog[[#All],[Logistics_ID]],Logistics_Catalog[[#All],[Client_Charge]],0,0)</f>
        <v>7200</v>
      </c>
      <c r="G38">
        <f>Logistics_Orders[[#This Row],[Client_Charge]]-Logistics_Orders[[#This Row],[Cost]]</f>
        <v>1200</v>
      </c>
      <c r="H38" t="s">
        <v>198</v>
      </c>
    </row>
    <row r="39" spans="1:8" x14ac:dyDescent="0.25">
      <c r="A39">
        <v>8</v>
      </c>
      <c r="B39" t="s">
        <v>187</v>
      </c>
      <c r="C39" cm="1">
        <f t="array" ref="C39">_xlfn.XLOOKUP(Logistics_Orders[[#This Row],[Logistics_ID]],Logistics_Catalog[[#All],[Logistics_ID]],Logistics_Catalog[[#All],[Base_Quantity]],0,0)</f>
        <v>1</v>
      </c>
      <c r="D39" cm="1">
        <f t="array" ref="D39">IF(Logistics_Orders[[#This Row],[Item]]="Chairs &amp; Tables",CEILING(_xlfn.XLOOKUP(Logistics_Orders[[#This Row],[Event_No]],Event_Master[[#All],[Event_No]],Event_Master[[#All],[Guest_Count]],,0)/Logistics_Orders[[#This Row],[Base_Quantity]],1),1)</f>
        <v>1</v>
      </c>
      <c r="E39" cm="1">
        <f t="array" ref="E39">Logistics_Orders[[#This Row],[Quantity_Ordered]]*_xlfn.XLOOKUP(Logistics_Orders[[#This Row],[Logistics_ID]],Logistics_Catalog[[#All],[Logistics_ID]],Logistics_Catalog[[#All],[Cost]],0,0)</f>
        <v>8000</v>
      </c>
      <c r="F39" cm="1">
        <f t="array" ref="F39">Logistics_Orders[[#This Row],[Quantity_Ordered]]*_xlfn.XLOOKUP(Logistics_Orders[[#This Row],[Logistics_ID]],Logistics_Catalog[[#All],[Logistics_ID]],Logistics_Catalog[[#All],[Client_Charge]],0,0)</f>
        <v>9500</v>
      </c>
      <c r="G39">
        <f>Logistics_Orders[[#This Row],[Client_Charge]]-Logistics_Orders[[#This Row],[Cost]]</f>
        <v>1500</v>
      </c>
      <c r="H39" t="s">
        <v>190</v>
      </c>
    </row>
    <row r="40" spans="1:8" x14ac:dyDescent="0.25">
      <c r="A40">
        <v>9</v>
      </c>
      <c r="B40" t="s">
        <v>177</v>
      </c>
      <c r="C40" cm="1">
        <f t="array" ref="C40">_xlfn.XLOOKUP(Logistics_Orders[[#This Row],[Logistics_ID]],Logistics_Catalog[[#All],[Logistics_ID]],Logistics_Catalog[[#All],[Base_Quantity]],0,0)</f>
        <v>300</v>
      </c>
      <c r="D40" cm="1">
        <f t="array" ref="D40">IF(Logistics_Orders[[#This Row],[Item]]="Chairs &amp; Tables",CEILING(_xlfn.XLOOKUP(Logistics_Orders[[#This Row],[Event_No]],Event_Master[[#All],[Event_No]],Event_Master[[#All],[Guest_Count]],,0)/Logistics_Orders[[#This Row],[Base_Quantity]],1),1)</f>
        <v>1</v>
      </c>
      <c r="E40" cm="1">
        <f t="array" ref="E40">Logistics_Orders[[#This Row],[Quantity_Ordered]]*_xlfn.XLOOKUP(Logistics_Orders[[#This Row],[Logistics_ID]],Logistics_Catalog[[#All],[Logistics_ID]],Logistics_Catalog[[#All],[Cost]],0,0)</f>
        <v>15000</v>
      </c>
      <c r="F40" cm="1">
        <f t="array" ref="F40">Logistics_Orders[[#This Row],[Quantity_Ordered]]*_xlfn.XLOOKUP(Logistics_Orders[[#This Row],[Logistics_ID]],Logistics_Catalog[[#All],[Logistics_ID]],Logistics_Catalog[[#All],[Client_Charge]],0,0)</f>
        <v>18000</v>
      </c>
      <c r="G40">
        <f>Logistics_Orders[[#This Row],[Client_Charge]]-Logistics_Orders[[#This Row],[Cost]]</f>
        <v>3000</v>
      </c>
      <c r="H40" t="s">
        <v>181</v>
      </c>
    </row>
    <row r="41" spans="1:8" x14ac:dyDescent="0.25">
      <c r="A41">
        <v>9</v>
      </c>
      <c r="B41" t="s">
        <v>182</v>
      </c>
      <c r="C41" cm="1">
        <f t="array" ref="C41">_xlfn.XLOOKUP(Logistics_Orders[[#This Row],[Logistics_ID]],Logistics_Catalog[[#All],[Logistics_ID]],Logistics_Catalog[[#All],[Base_Quantity]],0,0)</f>
        <v>1</v>
      </c>
      <c r="D41" cm="1">
        <f t="array" ref="D41">IF(Logistics_Orders[[#This Row],[Item]]="Chairs &amp; Tables",CEILING(_xlfn.XLOOKUP(Logistics_Orders[[#This Row],[Event_No]],Event_Master[[#All],[Event_No]],Event_Master[[#All],[Guest_Count]],,0)/Logistics_Orders[[#This Row],[Base_Quantity]],1),1)</f>
        <v>1</v>
      </c>
      <c r="E41" cm="1">
        <f t="array" ref="E41">Logistics_Orders[[#This Row],[Quantity_Ordered]]*_xlfn.XLOOKUP(Logistics_Orders[[#This Row],[Logistics_ID]],Logistics_Catalog[[#All],[Logistics_ID]],Logistics_Catalog[[#All],[Cost]],0,0)</f>
        <v>12000</v>
      </c>
      <c r="F41" cm="1">
        <f t="array" ref="F41">Logistics_Orders[[#This Row],[Quantity_Ordered]]*_xlfn.XLOOKUP(Logistics_Orders[[#This Row],[Logistics_ID]],Logistics_Catalog[[#All],[Logistics_ID]],Logistics_Catalog[[#All],[Client_Charge]],0,0)</f>
        <v>14500</v>
      </c>
      <c r="G41">
        <f>Logistics_Orders[[#This Row],[Client_Charge]]-Logistics_Orders[[#This Row],[Cost]]</f>
        <v>2500</v>
      </c>
      <c r="H41" t="s">
        <v>186</v>
      </c>
    </row>
    <row r="42" spans="1:8" x14ac:dyDescent="0.25">
      <c r="A42">
        <v>9</v>
      </c>
      <c r="B42" t="s">
        <v>191</v>
      </c>
      <c r="C42" cm="1">
        <f t="array" ref="C42">_xlfn.XLOOKUP(Logistics_Orders[[#This Row],[Logistics_ID]],Logistics_Catalog[[#All],[Logistics_ID]],Logistics_Catalog[[#All],[Base_Quantity]],0,0)</f>
        <v>5</v>
      </c>
      <c r="D42" cm="1">
        <f t="array" ref="D42">IF(Logistics_Orders[[#This Row],[Item]]="Chairs &amp; Tables",CEILING(_xlfn.XLOOKUP(Logistics_Orders[[#This Row],[Event_No]],Event_Master[[#All],[Event_No]],Event_Master[[#All],[Guest_Count]],,0)/Logistics_Orders[[#This Row],[Base_Quantity]],1),1)</f>
        <v>1</v>
      </c>
      <c r="E42" cm="1">
        <f t="array" ref="E42">Logistics_Orders[[#This Row],[Quantity_Ordered]]*_xlfn.XLOOKUP(Logistics_Orders[[#This Row],[Logistics_ID]],Logistics_Catalog[[#All],[Logistics_ID]],Logistics_Catalog[[#All],[Cost]],0,0)</f>
        <v>3000</v>
      </c>
      <c r="F42" cm="1">
        <f t="array" ref="F42">Logistics_Orders[[#This Row],[Quantity_Ordered]]*_xlfn.XLOOKUP(Logistics_Orders[[#This Row],[Logistics_ID]],Logistics_Catalog[[#All],[Logistics_ID]],Logistics_Catalog[[#All],[Client_Charge]],0,0)</f>
        <v>3600</v>
      </c>
      <c r="G42">
        <f>Logistics_Orders[[#This Row],[Client_Charge]]-Logistics_Orders[[#This Row],[Cost]]</f>
        <v>600</v>
      </c>
      <c r="H42" t="s">
        <v>194</v>
      </c>
    </row>
    <row r="43" spans="1:8" x14ac:dyDescent="0.25">
      <c r="A43">
        <v>9</v>
      </c>
      <c r="B43" t="s">
        <v>195</v>
      </c>
      <c r="C43" cm="1">
        <f t="array" ref="C43">_xlfn.XLOOKUP(Logistics_Orders[[#This Row],[Logistics_ID]],Logistics_Catalog[[#All],[Logistics_ID]],Logistics_Catalog[[#All],[Base_Quantity]],0,0)</f>
        <v>10</v>
      </c>
      <c r="D43" cm="1">
        <f t="array" ref="D43">IF(Logistics_Orders[[#This Row],[Item]]="Chairs &amp; Tables",CEILING(_xlfn.XLOOKUP(Logistics_Orders[[#This Row],[Event_No]],Event_Master[[#All],[Event_No]],Event_Master[[#All],[Guest_Count]],,0)/Logistics_Orders[[#This Row],[Base_Quantity]],1),1)</f>
        <v>1</v>
      </c>
      <c r="E43" cm="1">
        <f t="array" ref="E43">Logistics_Orders[[#This Row],[Quantity_Ordered]]*_xlfn.XLOOKUP(Logistics_Orders[[#This Row],[Logistics_ID]],Logistics_Catalog[[#All],[Logistics_ID]],Logistics_Catalog[[#All],[Cost]],0,0)</f>
        <v>6000</v>
      </c>
      <c r="F43" cm="1">
        <f t="array" ref="F43">Logistics_Orders[[#This Row],[Quantity_Ordered]]*_xlfn.XLOOKUP(Logistics_Orders[[#This Row],[Logistics_ID]],Logistics_Catalog[[#All],[Logistics_ID]],Logistics_Catalog[[#All],[Client_Charge]],0,0)</f>
        <v>7200</v>
      </c>
      <c r="G43">
        <f>Logistics_Orders[[#This Row],[Client_Charge]]-Logistics_Orders[[#This Row],[Cost]]</f>
        <v>1200</v>
      </c>
      <c r="H43" t="s">
        <v>198</v>
      </c>
    </row>
    <row r="44" spans="1:8" x14ac:dyDescent="0.25">
      <c r="A44">
        <v>9</v>
      </c>
      <c r="B44" t="s">
        <v>187</v>
      </c>
      <c r="C44" cm="1">
        <f t="array" ref="C44">_xlfn.XLOOKUP(Logistics_Orders[[#This Row],[Logistics_ID]],Logistics_Catalog[[#All],[Logistics_ID]],Logistics_Catalog[[#All],[Base_Quantity]],0,0)</f>
        <v>1</v>
      </c>
      <c r="D44" cm="1">
        <f t="array" ref="D44">IF(Logistics_Orders[[#This Row],[Item]]="Chairs &amp; Tables",CEILING(_xlfn.XLOOKUP(Logistics_Orders[[#This Row],[Event_No]],Event_Master[[#All],[Event_No]],Event_Master[[#All],[Guest_Count]],,0)/Logistics_Orders[[#This Row],[Base_Quantity]],1),1)</f>
        <v>1</v>
      </c>
      <c r="E44" cm="1">
        <f t="array" ref="E44">Logistics_Orders[[#This Row],[Quantity_Ordered]]*_xlfn.XLOOKUP(Logistics_Orders[[#This Row],[Logistics_ID]],Logistics_Catalog[[#All],[Logistics_ID]],Logistics_Catalog[[#All],[Cost]],0,0)</f>
        <v>8000</v>
      </c>
      <c r="F44" cm="1">
        <f t="array" ref="F44">Logistics_Orders[[#This Row],[Quantity_Ordered]]*_xlfn.XLOOKUP(Logistics_Orders[[#This Row],[Logistics_ID]],Logistics_Catalog[[#All],[Logistics_ID]],Logistics_Catalog[[#All],[Client_Charge]],0,0)</f>
        <v>9500</v>
      </c>
      <c r="G44">
        <f>Logistics_Orders[[#This Row],[Client_Charge]]-Logistics_Orders[[#This Row],[Cost]]</f>
        <v>1500</v>
      </c>
      <c r="H44" t="s">
        <v>190</v>
      </c>
    </row>
    <row r="45" spans="1:8" x14ac:dyDescent="0.25">
      <c r="A45">
        <v>10</v>
      </c>
      <c r="B45" t="s">
        <v>177</v>
      </c>
      <c r="C45" cm="1">
        <f t="array" ref="C45">_xlfn.XLOOKUP(Logistics_Orders[[#This Row],[Logistics_ID]],Logistics_Catalog[[#All],[Logistics_ID]],Logistics_Catalog[[#All],[Base_Quantity]],0,0)</f>
        <v>300</v>
      </c>
      <c r="D45" cm="1">
        <f t="array" ref="D45">IF(Logistics_Orders[[#This Row],[Item]]="Chairs &amp; Tables",CEILING(_xlfn.XLOOKUP(Logistics_Orders[[#This Row],[Event_No]],Event_Master[[#All],[Event_No]],Event_Master[[#All],[Guest_Count]],,0)/Logistics_Orders[[#This Row],[Base_Quantity]],1),1)</f>
        <v>1</v>
      </c>
      <c r="E45" cm="1">
        <f t="array" ref="E45">Logistics_Orders[[#This Row],[Quantity_Ordered]]*_xlfn.XLOOKUP(Logistics_Orders[[#This Row],[Logistics_ID]],Logistics_Catalog[[#All],[Logistics_ID]],Logistics_Catalog[[#All],[Cost]],0,0)</f>
        <v>15000</v>
      </c>
      <c r="F45" cm="1">
        <f t="array" ref="F45">Logistics_Orders[[#This Row],[Quantity_Ordered]]*_xlfn.XLOOKUP(Logistics_Orders[[#This Row],[Logistics_ID]],Logistics_Catalog[[#All],[Logistics_ID]],Logistics_Catalog[[#All],[Client_Charge]],0,0)</f>
        <v>18000</v>
      </c>
      <c r="G45">
        <f>Logistics_Orders[[#This Row],[Client_Charge]]-Logistics_Orders[[#This Row],[Cost]]</f>
        <v>3000</v>
      </c>
      <c r="H45" t="s">
        <v>181</v>
      </c>
    </row>
    <row r="46" spans="1:8" x14ac:dyDescent="0.25">
      <c r="A46">
        <v>10</v>
      </c>
      <c r="B46" t="s">
        <v>182</v>
      </c>
      <c r="C46" cm="1">
        <f t="array" ref="C46">_xlfn.XLOOKUP(Logistics_Orders[[#This Row],[Logistics_ID]],Logistics_Catalog[[#All],[Logistics_ID]],Logistics_Catalog[[#All],[Base_Quantity]],0,0)</f>
        <v>1</v>
      </c>
      <c r="D46" cm="1">
        <f t="array" ref="D46">IF(Logistics_Orders[[#This Row],[Item]]="Chairs &amp; Tables",CEILING(_xlfn.XLOOKUP(Logistics_Orders[[#This Row],[Event_No]],Event_Master[[#All],[Event_No]],Event_Master[[#All],[Guest_Count]],,0)/Logistics_Orders[[#This Row],[Base_Quantity]],1),1)</f>
        <v>1</v>
      </c>
      <c r="E46" cm="1">
        <f t="array" ref="E46">Logistics_Orders[[#This Row],[Quantity_Ordered]]*_xlfn.XLOOKUP(Logistics_Orders[[#This Row],[Logistics_ID]],Logistics_Catalog[[#All],[Logistics_ID]],Logistics_Catalog[[#All],[Cost]],0,0)</f>
        <v>12000</v>
      </c>
      <c r="F46" cm="1">
        <f t="array" ref="F46">Logistics_Orders[[#This Row],[Quantity_Ordered]]*_xlfn.XLOOKUP(Logistics_Orders[[#This Row],[Logistics_ID]],Logistics_Catalog[[#All],[Logistics_ID]],Logistics_Catalog[[#All],[Client_Charge]],0,0)</f>
        <v>14500</v>
      </c>
      <c r="G46">
        <f>Logistics_Orders[[#This Row],[Client_Charge]]-Logistics_Orders[[#This Row],[Cost]]</f>
        <v>2500</v>
      </c>
      <c r="H46" t="s">
        <v>186</v>
      </c>
    </row>
    <row r="47" spans="1:8" x14ac:dyDescent="0.25">
      <c r="A47">
        <v>10</v>
      </c>
      <c r="B47" t="s">
        <v>191</v>
      </c>
      <c r="C47" cm="1">
        <f t="array" ref="C47">_xlfn.XLOOKUP(Logistics_Orders[[#This Row],[Logistics_ID]],Logistics_Catalog[[#All],[Logistics_ID]],Logistics_Catalog[[#All],[Base_Quantity]],0,0)</f>
        <v>5</v>
      </c>
      <c r="D47" cm="1">
        <f t="array" ref="D47">IF(Logistics_Orders[[#This Row],[Item]]="Chairs &amp; Tables",CEILING(_xlfn.XLOOKUP(Logistics_Orders[[#This Row],[Event_No]],Event_Master[[#All],[Event_No]],Event_Master[[#All],[Guest_Count]],,0)/Logistics_Orders[[#This Row],[Base_Quantity]],1),1)</f>
        <v>1</v>
      </c>
      <c r="E47" cm="1">
        <f t="array" ref="E47">Logistics_Orders[[#This Row],[Quantity_Ordered]]*_xlfn.XLOOKUP(Logistics_Orders[[#This Row],[Logistics_ID]],Logistics_Catalog[[#All],[Logistics_ID]],Logistics_Catalog[[#All],[Cost]],0,0)</f>
        <v>3000</v>
      </c>
      <c r="F47" cm="1">
        <f t="array" ref="F47">Logistics_Orders[[#This Row],[Quantity_Ordered]]*_xlfn.XLOOKUP(Logistics_Orders[[#This Row],[Logistics_ID]],Logistics_Catalog[[#All],[Logistics_ID]],Logistics_Catalog[[#All],[Client_Charge]],0,0)</f>
        <v>3600</v>
      </c>
      <c r="G47">
        <f>Logistics_Orders[[#This Row],[Client_Charge]]-Logistics_Orders[[#This Row],[Cost]]</f>
        <v>600</v>
      </c>
      <c r="H47" t="s">
        <v>194</v>
      </c>
    </row>
    <row r="48" spans="1:8" x14ac:dyDescent="0.25">
      <c r="A48">
        <v>10</v>
      </c>
      <c r="B48" t="s">
        <v>195</v>
      </c>
      <c r="C48" cm="1">
        <f t="array" ref="C48">_xlfn.XLOOKUP(Logistics_Orders[[#This Row],[Logistics_ID]],Logistics_Catalog[[#All],[Logistics_ID]],Logistics_Catalog[[#All],[Base_Quantity]],0,0)</f>
        <v>10</v>
      </c>
      <c r="D48" cm="1">
        <f t="array" ref="D48">IF(Logistics_Orders[[#This Row],[Item]]="Chairs &amp; Tables",CEILING(_xlfn.XLOOKUP(Logistics_Orders[[#This Row],[Event_No]],Event_Master[[#All],[Event_No]],Event_Master[[#All],[Guest_Count]],,0)/Logistics_Orders[[#This Row],[Base_Quantity]],1),1)</f>
        <v>1</v>
      </c>
      <c r="E48" cm="1">
        <f t="array" ref="E48">Logistics_Orders[[#This Row],[Quantity_Ordered]]*_xlfn.XLOOKUP(Logistics_Orders[[#This Row],[Logistics_ID]],Logistics_Catalog[[#All],[Logistics_ID]],Logistics_Catalog[[#All],[Cost]],0,0)</f>
        <v>6000</v>
      </c>
      <c r="F48" cm="1">
        <f t="array" ref="F48">Logistics_Orders[[#This Row],[Quantity_Ordered]]*_xlfn.XLOOKUP(Logistics_Orders[[#This Row],[Logistics_ID]],Logistics_Catalog[[#All],[Logistics_ID]],Logistics_Catalog[[#All],[Client_Charge]],0,0)</f>
        <v>7200</v>
      </c>
      <c r="G48">
        <f>Logistics_Orders[[#This Row],[Client_Charge]]-Logistics_Orders[[#This Row],[Cost]]</f>
        <v>1200</v>
      </c>
      <c r="H48" t="s">
        <v>198</v>
      </c>
    </row>
    <row r="49" spans="1:8" x14ac:dyDescent="0.25">
      <c r="A49">
        <v>10</v>
      </c>
      <c r="B49" t="s">
        <v>187</v>
      </c>
      <c r="C49" cm="1">
        <f t="array" ref="C49">_xlfn.XLOOKUP(Logistics_Orders[[#This Row],[Logistics_ID]],Logistics_Catalog[[#All],[Logistics_ID]],Logistics_Catalog[[#All],[Base_Quantity]],0,0)</f>
        <v>1</v>
      </c>
      <c r="D49" cm="1">
        <f t="array" ref="D49">IF(Logistics_Orders[[#This Row],[Item]]="Chairs &amp; Tables",CEILING(_xlfn.XLOOKUP(Logistics_Orders[[#This Row],[Event_No]],Event_Master[[#All],[Event_No]],Event_Master[[#All],[Guest_Count]],,0)/Logistics_Orders[[#This Row],[Base_Quantity]],1),1)</f>
        <v>1</v>
      </c>
      <c r="E49" cm="1">
        <f t="array" ref="E49">Logistics_Orders[[#This Row],[Quantity_Ordered]]*_xlfn.XLOOKUP(Logistics_Orders[[#This Row],[Logistics_ID]],Logistics_Catalog[[#All],[Logistics_ID]],Logistics_Catalog[[#All],[Cost]],0,0)</f>
        <v>8000</v>
      </c>
      <c r="F49" cm="1">
        <f t="array" ref="F49">Logistics_Orders[[#This Row],[Quantity_Ordered]]*_xlfn.XLOOKUP(Logistics_Orders[[#This Row],[Logistics_ID]],Logistics_Catalog[[#All],[Logistics_ID]],Logistics_Catalog[[#All],[Client_Charge]],0,0)</f>
        <v>9500</v>
      </c>
      <c r="G49">
        <f>Logistics_Orders[[#This Row],[Client_Charge]]-Logistics_Orders[[#This Row],[Cost]]</f>
        <v>1500</v>
      </c>
      <c r="H49" t="s">
        <v>190</v>
      </c>
    </row>
    <row r="50" spans="1:8" x14ac:dyDescent="0.25">
      <c r="A50">
        <v>11</v>
      </c>
      <c r="B50" t="s">
        <v>177</v>
      </c>
      <c r="C50" cm="1">
        <f t="array" ref="C50">_xlfn.XLOOKUP(Logistics_Orders[[#This Row],[Logistics_ID]],Logistics_Catalog[[#All],[Logistics_ID]],Logistics_Catalog[[#All],[Base_Quantity]],0,0)</f>
        <v>300</v>
      </c>
      <c r="D50" cm="1">
        <f t="array" ref="D50">IF(Logistics_Orders[[#This Row],[Item]]="Chairs &amp; Tables",CEILING(_xlfn.XLOOKUP(Logistics_Orders[[#This Row],[Event_No]],Event_Master[[#All],[Event_No]],Event_Master[[#All],[Guest_Count]],,0)/Logistics_Orders[[#This Row],[Base_Quantity]],1),1)</f>
        <v>2</v>
      </c>
      <c r="E50" cm="1">
        <f t="array" ref="E50">Logistics_Orders[[#This Row],[Quantity_Ordered]]*_xlfn.XLOOKUP(Logistics_Orders[[#This Row],[Logistics_ID]],Logistics_Catalog[[#All],[Logistics_ID]],Logistics_Catalog[[#All],[Cost]],0,0)</f>
        <v>30000</v>
      </c>
      <c r="F50" cm="1">
        <f t="array" ref="F50">Logistics_Orders[[#This Row],[Quantity_Ordered]]*_xlfn.XLOOKUP(Logistics_Orders[[#This Row],[Logistics_ID]],Logistics_Catalog[[#All],[Logistics_ID]],Logistics_Catalog[[#All],[Client_Charge]],0,0)</f>
        <v>36000</v>
      </c>
      <c r="G50">
        <f>Logistics_Orders[[#This Row],[Client_Charge]]-Logistics_Orders[[#This Row],[Cost]]</f>
        <v>6000</v>
      </c>
      <c r="H50" t="s">
        <v>181</v>
      </c>
    </row>
    <row r="51" spans="1:8" x14ac:dyDescent="0.25">
      <c r="A51">
        <v>11</v>
      </c>
      <c r="B51" t="s">
        <v>182</v>
      </c>
      <c r="C51" cm="1">
        <f t="array" ref="C51">_xlfn.XLOOKUP(Logistics_Orders[[#This Row],[Logistics_ID]],Logistics_Catalog[[#All],[Logistics_ID]],Logistics_Catalog[[#All],[Base_Quantity]],0,0)</f>
        <v>1</v>
      </c>
      <c r="D51" cm="1">
        <f t="array" ref="D51">IF(Logistics_Orders[[#This Row],[Item]]="Chairs &amp; Tables",CEILING(_xlfn.XLOOKUP(Logistics_Orders[[#This Row],[Event_No]],Event_Master[[#All],[Event_No]],Event_Master[[#All],[Guest_Count]],,0)/Logistics_Orders[[#This Row],[Base_Quantity]],1),1)</f>
        <v>1</v>
      </c>
      <c r="E51" cm="1">
        <f t="array" ref="E51">Logistics_Orders[[#This Row],[Quantity_Ordered]]*_xlfn.XLOOKUP(Logistics_Orders[[#This Row],[Logistics_ID]],Logistics_Catalog[[#All],[Logistics_ID]],Logistics_Catalog[[#All],[Cost]],0,0)</f>
        <v>12000</v>
      </c>
      <c r="F51" cm="1">
        <f t="array" ref="F51">Logistics_Orders[[#This Row],[Quantity_Ordered]]*_xlfn.XLOOKUP(Logistics_Orders[[#This Row],[Logistics_ID]],Logistics_Catalog[[#All],[Logistics_ID]],Logistics_Catalog[[#All],[Client_Charge]],0,0)</f>
        <v>14500</v>
      </c>
      <c r="G51">
        <f>Logistics_Orders[[#This Row],[Client_Charge]]-Logistics_Orders[[#This Row],[Cost]]</f>
        <v>2500</v>
      </c>
      <c r="H51" t="s">
        <v>186</v>
      </c>
    </row>
    <row r="52" spans="1:8" x14ac:dyDescent="0.25">
      <c r="A52">
        <v>11</v>
      </c>
      <c r="B52" t="s">
        <v>191</v>
      </c>
      <c r="C52" cm="1">
        <f t="array" ref="C52">_xlfn.XLOOKUP(Logistics_Orders[[#This Row],[Logistics_ID]],Logistics_Catalog[[#All],[Logistics_ID]],Logistics_Catalog[[#All],[Base_Quantity]],0,0)</f>
        <v>5</v>
      </c>
      <c r="D52" cm="1">
        <f t="array" ref="D52">IF(Logistics_Orders[[#This Row],[Item]]="Chairs &amp; Tables",CEILING(_xlfn.XLOOKUP(Logistics_Orders[[#This Row],[Event_No]],Event_Master[[#All],[Event_No]],Event_Master[[#All],[Guest_Count]],,0)/Logistics_Orders[[#This Row],[Base_Quantity]],1),1)</f>
        <v>1</v>
      </c>
      <c r="E52" cm="1">
        <f t="array" ref="E52">Logistics_Orders[[#This Row],[Quantity_Ordered]]*_xlfn.XLOOKUP(Logistics_Orders[[#This Row],[Logistics_ID]],Logistics_Catalog[[#All],[Logistics_ID]],Logistics_Catalog[[#All],[Cost]],0,0)</f>
        <v>3000</v>
      </c>
      <c r="F52" cm="1">
        <f t="array" ref="F52">Logistics_Orders[[#This Row],[Quantity_Ordered]]*_xlfn.XLOOKUP(Logistics_Orders[[#This Row],[Logistics_ID]],Logistics_Catalog[[#All],[Logistics_ID]],Logistics_Catalog[[#All],[Client_Charge]],0,0)</f>
        <v>3600</v>
      </c>
      <c r="G52">
        <f>Logistics_Orders[[#This Row],[Client_Charge]]-Logistics_Orders[[#This Row],[Cost]]</f>
        <v>600</v>
      </c>
      <c r="H52" t="s">
        <v>194</v>
      </c>
    </row>
    <row r="53" spans="1:8" x14ac:dyDescent="0.25">
      <c r="A53">
        <v>11</v>
      </c>
      <c r="B53" t="s">
        <v>195</v>
      </c>
      <c r="C53" cm="1">
        <f t="array" ref="C53">_xlfn.XLOOKUP(Logistics_Orders[[#This Row],[Logistics_ID]],Logistics_Catalog[[#All],[Logistics_ID]],Logistics_Catalog[[#All],[Base_Quantity]],0,0)</f>
        <v>10</v>
      </c>
      <c r="D53" cm="1">
        <f t="array" ref="D53">IF(Logistics_Orders[[#This Row],[Item]]="Chairs &amp; Tables",CEILING(_xlfn.XLOOKUP(Logistics_Orders[[#This Row],[Event_No]],Event_Master[[#All],[Event_No]],Event_Master[[#All],[Guest_Count]],,0)/Logistics_Orders[[#This Row],[Base_Quantity]],1),1)</f>
        <v>1</v>
      </c>
      <c r="E53" cm="1">
        <f t="array" ref="E53">Logistics_Orders[[#This Row],[Quantity_Ordered]]*_xlfn.XLOOKUP(Logistics_Orders[[#This Row],[Logistics_ID]],Logistics_Catalog[[#All],[Logistics_ID]],Logistics_Catalog[[#All],[Cost]],0,0)</f>
        <v>6000</v>
      </c>
      <c r="F53" cm="1">
        <f t="array" ref="F53">Logistics_Orders[[#This Row],[Quantity_Ordered]]*_xlfn.XLOOKUP(Logistics_Orders[[#This Row],[Logistics_ID]],Logistics_Catalog[[#All],[Logistics_ID]],Logistics_Catalog[[#All],[Client_Charge]],0,0)</f>
        <v>7200</v>
      </c>
      <c r="G53">
        <f>Logistics_Orders[[#This Row],[Client_Charge]]-Logistics_Orders[[#This Row],[Cost]]</f>
        <v>1200</v>
      </c>
      <c r="H53" t="s">
        <v>198</v>
      </c>
    </row>
    <row r="54" spans="1:8" x14ac:dyDescent="0.25">
      <c r="A54">
        <v>11</v>
      </c>
      <c r="B54" t="s">
        <v>187</v>
      </c>
      <c r="C54" cm="1">
        <f t="array" ref="C54">_xlfn.XLOOKUP(Logistics_Orders[[#This Row],[Logistics_ID]],Logistics_Catalog[[#All],[Logistics_ID]],Logistics_Catalog[[#All],[Base_Quantity]],0,0)</f>
        <v>1</v>
      </c>
      <c r="D54" cm="1">
        <f t="array" ref="D54">IF(Logistics_Orders[[#This Row],[Item]]="Chairs &amp; Tables",CEILING(_xlfn.XLOOKUP(Logistics_Orders[[#This Row],[Event_No]],Event_Master[[#All],[Event_No]],Event_Master[[#All],[Guest_Count]],,0)/Logistics_Orders[[#This Row],[Base_Quantity]],1),1)</f>
        <v>1</v>
      </c>
      <c r="E54" cm="1">
        <f t="array" ref="E54">Logistics_Orders[[#This Row],[Quantity_Ordered]]*_xlfn.XLOOKUP(Logistics_Orders[[#This Row],[Logistics_ID]],Logistics_Catalog[[#All],[Logistics_ID]],Logistics_Catalog[[#All],[Cost]],0,0)</f>
        <v>8000</v>
      </c>
      <c r="F54" cm="1">
        <f t="array" ref="F54">Logistics_Orders[[#This Row],[Quantity_Ordered]]*_xlfn.XLOOKUP(Logistics_Orders[[#This Row],[Logistics_ID]],Logistics_Catalog[[#All],[Logistics_ID]],Logistics_Catalog[[#All],[Client_Charge]],0,0)</f>
        <v>9500</v>
      </c>
      <c r="G54">
        <f>Logistics_Orders[[#This Row],[Client_Charge]]-Logistics_Orders[[#This Row],[Cost]]</f>
        <v>1500</v>
      </c>
      <c r="H54" t="s">
        <v>190</v>
      </c>
    </row>
    <row r="55" spans="1:8" x14ac:dyDescent="0.25">
      <c r="A55">
        <v>12</v>
      </c>
      <c r="B55" t="s">
        <v>177</v>
      </c>
      <c r="C55" cm="1">
        <f t="array" ref="C55">_xlfn.XLOOKUP(Logistics_Orders[[#This Row],[Logistics_ID]],Logistics_Catalog[[#All],[Logistics_ID]],Logistics_Catalog[[#All],[Base_Quantity]],0,0)</f>
        <v>300</v>
      </c>
      <c r="D55" cm="1">
        <f t="array" ref="D55">IF(Logistics_Orders[[#This Row],[Item]]="Chairs &amp; Tables",CEILING(_xlfn.XLOOKUP(Logistics_Orders[[#This Row],[Event_No]],Event_Master[[#All],[Event_No]],Event_Master[[#All],[Guest_Count]],,0)/Logistics_Orders[[#This Row],[Base_Quantity]],1),1)</f>
        <v>2</v>
      </c>
      <c r="E55" cm="1">
        <f t="array" ref="E55">Logistics_Orders[[#This Row],[Quantity_Ordered]]*_xlfn.XLOOKUP(Logistics_Orders[[#This Row],[Logistics_ID]],Logistics_Catalog[[#All],[Logistics_ID]],Logistics_Catalog[[#All],[Cost]],0,0)</f>
        <v>30000</v>
      </c>
      <c r="F55" cm="1">
        <f t="array" ref="F55">Logistics_Orders[[#This Row],[Quantity_Ordered]]*_xlfn.XLOOKUP(Logistics_Orders[[#This Row],[Logistics_ID]],Logistics_Catalog[[#All],[Logistics_ID]],Logistics_Catalog[[#All],[Client_Charge]],0,0)</f>
        <v>36000</v>
      </c>
      <c r="G55">
        <f>Logistics_Orders[[#This Row],[Client_Charge]]-Logistics_Orders[[#This Row],[Cost]]</f>
        <v>6000</v>
      </c>
      <c r="H55" t="s">
        <v>181</v>
      </c>
    </row>
    <row r="56" spans="1:8" x14ac:dyDescent="0.25">
      <c r="A56">
        <v>12</v>
      </c>
      <c r="B56" t="s">
        <v>182</v>
      </c>
      <c r="C56" cm="1">
        <f t="array" ref="C56">_xlfn.XLOOKUP(Logistics_Orders[[#This Row],[Logistics_ID]],Logistics_Catalog[[#All],[Logistics_ID]],Logistics_Catalog[[#All],[Base_Quantity]],0,0)</f>
        <v>1</v>
      </c>
      <c r="D56" cm="1">
        <f t="array" ref="D56">IF(Logistics_Orders[[#This Row],[Item]]="Chairs &amp; Tables",CEILING(_xlfn.XLOOKUP(Logistics_Orders[[#This Row],[Event_No]],Event_Master[[#All],[Event_No]],Event_Master[[#All],[Guest_Count]],,0)/Logistics_Orders[[#This Row],[Base_Quantity]],1),1)</f>
        <v>1</v>
      </c>
      <c r="E56" cm="1">
        <f t="array" ref="E56">Logistics_Orders[[#This Row],[Quantity_Ordered]]*_xlfn.XLOOKUP(Logistics_Orders[[#This Row],[Logistics_ID]],Logistics_Catalog[[#All],[Logistics_ID]],Logistics_Catalog[[#All],[Cost]],0,0)</f>
        <v>12000</v>
      </c>
      <c r="F56" cm="1">
        <f t="array" ref="F56">Logistics_Orders[[#This Row],[Quantity_Ordered]]*_xlfn.XLOOKUP(Logistics_Orders[[#This Row],[Logistics_ID]],Logistics_Catalog[[#All],[Logistics_ID]],Logistics_Catalog[[#All],[Client_Charge]],0,0)</f>
        <v>14500</v>
      </c>
      <c r="G56">
        <f>Logistics_Orders[[#This Row],[Client_Charge]]-Logistics_Orders[[#This Row],[Cost]]</f>
        <v>2500</v>
      </c>
      <c r="H56" t="s">
        <v>186</v>
      </c>
    </row>
    <row r="57" spans="1:8" x14ac:dyDescent="0.25">
      <c r="A57">
        <v>12</v>
      </c>
      <c r="B57" t="s">
        <v>191</v>
      </c>
      <c r="C57" cm="1">
        <f t="array" ref="C57">_xlfn.XLOOKUP(Logistics_Orders[[#This Row],[Logistics_ID]],Logistics_Catalog[[#All],[Logistics_ID]],Logistics_Catalog[[#All],[Base_Quantity]],0,0)</f>
        <v>5</v>
      </c>
      <c r="D57" cm="1">
        <f t="array" ref="D57">IF(Logistics_Orders[[#This Row],[Item]]="Chairs &amp; Tables",CEILING(_xlfn.XLOOKUP(Logistics_Orders[[#This Row],[Event_No]],Event_Master[[#All],[Event_No]],Event_Master[[#All],[Guest_Count]],,0)/Logistics_Orders[[#This Row],[Base_Quantity]],1),1)</f>
        <v>1</v>
      </c>
      <c r="E57" cm="1">
        <f t="array" ref="E57">Logistics_Orders[[#This Row],[Quantity_Ordered]]*_xlfn.XLOOKUP(Logistics_Orders[[#This Row],[Logistics_ID]],Logistics_Catalog[[#All],[Logistics_ID]],Logistics_Catalog[[#All],[Cost]],0,0)</f>
        <v>3000</v>
      </c>
      <c r="F57" cm="1">
        <f t="array" ref="F57">Logistics_Orders[[#This Row],[Quantity_Ordered]]*_xlfn.XLOOKUP(Logistics_Orders[[#This Row],[Logistics_ID]],Logistics_Catalog[[#All],[Logistics_ID]],Logistics_Catalog[[#All],[Client_Charge]],0,0)</f>
        <v>3600</v>
      </c>
      <c r="G57">
        <f>Logistics_Orders[[#This Row],[Client_Charge]]-Logistics_Orders[[#This Row],[Cost]]</f>
        <v>600</v>
      </c>
      <c r="H57" t="s">
        <v>194</v>
      </c>
    </row>
    <row r="58" spans="1:8" x14ac:dyDescent="0.25">
      <c r="A58">
        <v>12</v>
      </c>
      <c r="B58" t="s">
        <v>195</v>
      </c>
      <c r="C58" cm="1">
        <f t="array" ref="C58">_xlfn.XLOOKUP(Logistics_Orders[[#This Row],[Logistics_ID]],Logistics_Catalog[[#All],[Logistics_ID]],Logistics_Catalog[[#All],[Base_Quantity]],0,0)</f>
        <v>10</v>
      </c>
      <c r="D58" cm="1">
        <f t="array" ref="D58">IF(Logistics_Orders[[#This Row],[Item]]="Chairs &amp; Tables",CEILING(_xlfn.XLOOKUP(Logistics_Orders[[#This Row],[Event_No]],Event_Master[[#All],[Event_No]],Event_Master[[#All],[Guest_Count]],,0)/Logistics_Orders[[#This Row],[Base_Quantity]],1),1)</f>
        <v>1</v>
      </c>
      <c r="E58" cm="1">
        <f t="array" ref="E58">Logistics_Orders[[#This Row],[Quantity_Ordered]]*_xlfn.XLOOKUP(Logistics_Orders[[#This Row],[Logistics_ID]],Logistics_Catalog[[#All],[Logistics_ID]],Logistics_Catalog[[#All],[Cost]],0,0)</f>
        <v>6000</v>
      </c>
      <c r="F58" cm="1">
        <f t="array" ref="F58">Logistics_Orders[[#This Row],[Quantity_Ordered]]*_xlfn.XLOOKUP(Logistics_Orders[[#This Row],[Logistics_ID]],Logistics_Catalog[[#All],[Logistics_ID]],Logistics_Catalog[[#All],[Client_Charge]],0,0)</f>
        <v>7200</v>
      </c>
      <c r="G58">
        <f>Logistics_Orders[[#This Row],[Client_Charge]]-Logistics_Orders[[#This Row],[Cost]]</f>
        <v>1200</v>
      </c>
      <c r="H58" t="s">
        <v>198</v>
      </c>
    </row>
    <row r="59" spans="1:8" x14ac:dyDescent="0.25">
      <c r="A59">
        <v>12</v>
      </c>
      <c r="B59" t="s">
        <v>187</v>
      </c>
      <c r="C59" cm="1">
        <f t="array" ref="C59">_xlfn.XLOOKUP(Logistics_Orders[[#This Row],[Logistics_ID]],Logistics_Catalog[[#All],[Logistics_ID]],Logistics_Catalog[[#All],[Base_Quantity]],0,0)</f>
        <v>1</v>
      </c>
      <c r="D59" cm="1">
        <f t="array" ref="D59">IF(Logistics_Orders[[#This Row],[Item]]="Chairs &amp; Tables",CEILING(_xlfn.XLOOKUP(Logistics_Orders[[#This Row],[Event_No]],Event_Master[[#All],[Event_No]],Event_Master[[#All],[Guest_Count]],,0)/Logistics_Orders[[#This Row],[Base_Quantity]],1),1)</f>
        <v>1</v>
      </c>
      <c r="E59" cm="1">
        <f t="array" ref="E59">Logistics_Orders[[#This Row],[Quantity_Ordered]]*_xlfn.XLOOKUP(Logistics_Orders[[#This Row],[Logistics_ID]],Logistics_Catalog[[#All],[Logistics_ID]],Logistics_Catalog[[#All],[Cost]],0,0)</f>
        <v>8000</v>
      </c>
      <c r="F59" cm="1">
        <f t="array" ref="F59">Logistics_Orders[[#This Row],[Quantity_Ordered]]*_xlfn.XLOOKUP(Logistics_Orders[[#This Row],[Logistics_ID]],Logistics_Catalog[[#All],[Logistics_ID]],Logistics_Catalog[[#All],[Client_Charge]],0,0)</f>
        <v>9500</v>
      </c>
      <c r="G59">
        <f>Logistics_Orders[[#This Row],[Client_Charge]]-Logistics_Orders[[#This Row],[Cost]]</f>
        <v>1500</v>
      </c>
      <c r="H59" t="s">
        <v>190</v>
      </c>
    </row>
    <row r="60" spans="1:8" x14ac:dyDescent="0.25">
      <c r="A60">
        <v>13</v>
      </c>
      <c r="B60" t="s">
        <v>177</v>
      </c>
      <c r="C60" cm="1">
        <f t="array" ref="C60">_xlfn.XLOOKUP(Logistics_Orders[[#This Row],[Logistics_ID]],Logistics_Catalog[[#All],[Logistics_ID]],Logistics_Catalog[[#All],[Base_Quantity]],0,0)</f>
        <v>300</v>
      </c>
      <c r="D60" cm="1">
        <f t="array" ref="D60">IF(Logistics_Orders[[#This Row],[Item]]="Chairs &amp; Tables",CEILING(_xlfn.XLOOKUP(Logistics_Orders[[#This Row],[Event_No]],Event_Master[[#All],[Event_No]],Event_Master[[#All],[Guest_Count]],,0)/Logistics_Orders[[#This Row],[Base_Quantity]],1),1)</f>
        <v>2</v>
      </c>
      <c r="E60" cm="1">
        <f t="array" ref="E60">Logistics_Orders[[#This Row],[Quantity_Ordered]]*_xlfn.XLOOKUP(Logistics_Orders[[#This Row],[Logistics_ID]],Logistics_Catalog[[#All],[Logistics_ID]],Logistics_Catalog[[#All],[Cost]],0,0)</f>
        <v>30000</v>
      </c>
      <c r="F60" cm="1">
        <f t="array" ref="F60">Logistics_Orders[[#This Row],[Quantity_Ordered]]*_xlfn.XLOOKUP(Logistics_Orders[[#This Row],[Logistics_ID]],Logistics_Catalog[[#All],[Logistics_ID]],Logistics_Catalog[[#All],[Client_Charge]],0,0)</f>
        <v>36000</v>
      </c>
      <c r="G60">
        <f>Logistics_Orders[[#This Row],[Client_Charge]]-Logistics_Orders[[#This Row],[Cost]]</f>
        <v>6000</v>
      </c>
      <c r="H60" t="s">
        <v>181</v>
      </c>
    </row>
    <row r="61" spans="1:8" x14ac:dyDescent="0.25">
      <c r="A61">
        <v>13</v>
      </c>
      <c r="B61" t="s">
        <v>182</v>
      </c>
      <c r="C61" cm="1">
        <f t="array" ref="C61">_xlfn.XLOOKUP(Logistics_Orders[[#This Row],[Logistics_ID]],Logistics_Catalog[[#All],[Logistics_ID]],Logistics_Catalog[[#All],[Base_Quantity]],0,0)</f>
        <v>1</v>
      </c>
      <c r="D61" cm="1">
        <f t="array" ref="D61">IF(Logistics_Orders[[#This Row],[Item]]="Chairs &amp; Tables",CEILING(_xlfn.XLOOKUP(Logistics_Orders[[#This Row],[Event_No]],Event_Master[[#All],[Event_No]],Event_Master[[#All],[Guest_Count]],,0)/Logistics_Orders[[#This Row],[Base_Quantity]],1),1)</f>
        <v>1</v>
      </c>
      <c r="E61" cm="1">
        <f t="array" ref="E61">Logistics_Orders[[#This Row],[Quantity_Ordered]]*_xlfn.XLOOKUP(Logistics_Orders[[#This Row],[Logistics_ID]],Logistics_Catalog[[#All],[Logistics_ID]],Logistics_Catalog[[#All],[Cost]],0,0)</f>
        <v>12000</v>
      </c>
      <c r="F61" cm="1">
        <f t="array" ref="F61">Logistics_Orders[[#This Row],[Quantity_Ordered]]*_xlfn.XLOOKUP(Logistics_Orders[[#This Row],[Logistics_ID]],Logistics_Catalog[[#All],[Logistics_ID]],Logistics_Catalog[[#All],[Client_Charge]],0,0)</f>
        <v>14500</v>
      </c>
      <c r="G61">
        <f>Logistics_Orders[[#This Row],[Client_Charge]]-Logistics_Orders[[#This Row],[Cost]]</f>
        <v>2500</v>
      </c>
      <c r="H61" t="s">
        <v>186</v>
      </c>
    </row>
    <row r="62" spans="1:8" x14ac:dyDescent="0.25">
      <c r="A62">
        <v>13</v>
      </c>
      <c r="B62" t="s">
        <v>191</v>
      </c>
      <c r="C62" cm="1">
        <f t="array" ref="C62">_xlfn.XLOOKUP(Logistics_Orders[[#This Row],[Logistics_ID]],Logistics_Catalog[[#All],[Logistics_ID]],Logistics_Catalog[[#All],[Base_Quantity]],0,0)</f>
        <v>5</v>
      </c>
      <c r="D62" cm="1">
        <f t="array" ref="D62">IF(Logistics_Orders[[#This Row],[Item]]="Chairs &amp; Tables",CEILING(_xlfn.XLOOKUP(Logistics_Orders[[#This Row],[Event_No]],Event_Master[[#All],[Event_No]],Event_Master[[#All],[Guest_Count]],,0)/Logistics_Orders[[#This Row],[Base_Quantity]],1),1)</f>
        <v>1</v>
      </c>
      <c r="E62" cm="1">
        <f t="array" ref="E62">Logistics_Orders[[#This Row],[Quantity_Ordered]]*_xlfn.XLOOKUP(Logistics_Orders[[#This Row],[Logistics_ID]],Logistics_Catalog[[#All],[Logistics_ID]],Logistics_Catalog[[#All],[Cost]],0,0)</f>
        <v>3000</v>
      </c>
      <c r="F62" cm="1">
        <f t="array" ref="F62">Logistics_Orders[[#This Row],[Quantity_Ordered]]*_xlfn.XLOOKUP(Logistics_Orders[[#This Row],[Logistics_ID]],Logistics_Catalog[[#All],[Logistics_ID]],Logistics_Catalog[[#All],[Client_Charge]],0,0)</f>
        <v>3600</v>
      </c>
      <c r="G62">
        <f>Logistics_Orders[[#This Row],[Client_Charge]]-Logistics_Orders[[#This Row],[Cost]]</f>
        <v>600</v>
      </c>
      <c r="H62" t="s">
        <v>194</v>
      </c>
    </row>
    <row r="63" spans="1:8" x14ac:dyDescent="0.25">
      <c r="A63">
        <v>13</v>
      </c>
      <c r="B63" t="s">
        <v>195</v>
      </c>
      <c r="C63" cm="1">
        <f t="array" ref="C63">_xlfn.XLOOKUP(Logistics_Orders[[#This Row],[Logistics_ID]],Logistics_Catalog[[#All],[Logistics_ID]],Logistics_Catalog[[#All],[Base_Quantity]],0,0)</f>
        <v>10</v>
      </c>
      <c r="D63" cm="1">
        <f t="array" ref="D63">IF(Logistics_Orders[[#This Row],[Item]]="Chairs &amp; Tables",CEILING(_xlfn.XLOOKUP(Logistics_Orders[[#This Row],[Event_No]],Event_Master[[#All],[Event_No]],Event_Master[[#All],[Guest_Count]],,0)/Logistics_Orders[[#This Row],[Base_Quantity]],1),1)</f>
        <v>1</v>
      </c>
      <c r="E63" cm="1">
        <f t="array" ref="E63">Logistics_Orders[[#This Row],[Quantity_Ordered]]*_xlfn.XLOOKUP(Logistics_Orders[[#This Row],[Logistics_ID]],Logistics_Catalog[[#All],[Logistics_ID]],Logistics_Catalog[[#All],[Cost]],0,0)</f>
        <v>6000</v>
      </c>
      <c r="F63" cm="1">
        <f t="array" ref="F63">Logistics_Orders[[#This Row],[Quantity_Ordered]]*_xlfn.XLOOKUP(Logistics_Orders[[#This Row],[Logistics_ID]],Logistics_Catalog[[#All],[Logistics_ID]],Logistics_Catalog[[#All],[Client_Charge]],0,0)</f>
        <v>7200</v>
      </c>
      <c r="G63">
        <f>Logistics_Orders[[#This Row],[Client_Charge]]-Logistics_Orders[[#This Row],[Cost]]</f>
        <v>1200</v>
      </c>
      <c r="H63" t="s">
        <v>198</v>
      </c>
    </row>
    <row r="64" spans="1:8" x14ac:dyDescent="0.25">
      <c r="A64">
        <v>13</v>
      </c>
      <c r="B64" t="s">
        <v>187</v>
      </c>
      <c r="C64" cm="1">
        <f t="array" ref="C64">_xlfn.XLOOKUP(Logistics_Orders[[#This Row],[Logistics_ID]],Logistics_Catalog[[#All],[Logistics_ID]],Logistics_Catalog[[#All],[Base_Quantity]],0,0)</f>
        <v>1</v>
      </c>
      <c r="D64" cm="1">
        <f t="array" ref="D64">IF(Logistics_Orders[[#This Row],[Item]]="Chairs &amp; Tables",CEILING(_xlfn.XLOOKUP(Logistics_Orders[[#This Row],[Event_No]],Event_Master[[#All],[Event_No]],Event_Master[[#All],[Guest_Count]],,0)/Logistics_Orders[[#This Row],[Base_Quantity]],1),1)</f>
        <v>1</v>
      </c>
      <c r="E64" cm="1">
        <f t="array" ref="E64">Logistics_Orders[[#This Row],[Quantity_Ordered]]*_xlfn.XLOOKUP(Logistics_Orders[[#This Row],[Logistics_ID]],Logistics_Catalog[[#All],[Logistics_ID]],Logistics_Catalog[[#All],[Cost]],0,0)</f>
        <v>8000</v>
      </c>
      <c r="F64" cm="1">
        <f t="array" ref="F64">Logistics_Orders[[#This Row],[Quantity_Ordered]]*_xlfn.XLOOKUP(Logistics_Orders[[#This Row],[Logistics_ID]],Logistics_Catalog[[#All],[Logistics_ID]],Logistics_Catalog[[#All],[Client_Charge]],0,0)</f>
        <v>9500</v>
      </c>
      <c r="G64">
        <f>Logistics_Orders[[#This Row],[Client_Charge]]-Logistics_Orders[[#This Row],[Cost]]</f>
        <v>1500</v>
      </c>
      <c r="H64" t="s">
        <v>190</v>
      </c>
    </row>
    <row r="65" spans="1:8" x14ac:dyDescent="0.25">
      <c r="A65">
        <v>14</v>
      </c>
      <c r="B65" t="s">
        <v>177</v>
      </c>
      <c r="C65" cm="1">
        <f t="array" ref="C65">_xlfn.XLOOKUP(Logistics_Orders[[#This Row],[Logistics_ID]],Logistics_Catalog[[#All],[Logistics_ID]],Logistics_Catalog[[#All],[Base_Quantity]],0,0)</f>
        <v>300</v>
      </c>
      <c r="D65" cm="1">
        <f t="array" ref="D65">IF(Logistics_Orders[[#This Row],[Item]]="Chairs &amp; Tables",CEILING(_xlfn.XLOOKUP(Logistics_Orders[[#This Row],[Event_No]],Event_Master[[#All],[Event_No]],Event_Master[[#All],[Guest_Count]],,0)/Logistics_Orders[[#This Row],[Base_Quantity]],1),1)</f>
        <v>2</v>
      </c>
      <c r="E65" cm="1">
        <f t="array" ref="E65">Logistics_Orders[[#This Row],[Quantity_Ordered]]*_xlfn.XLOOKUP(Logistics_Orders[[#This Row],[Logistics_ID]],Logistics_Catalog[[#All],[Logistics_ID]],Logistics_Catalog[[#All],[Cost]],0,0)</f>
        <v>30000</v>
      </c>
      <c r="F65" cm="1">
        <f t="array" ref="F65">Logistics_Orders[[#This Row],[Quantity_Ordered]]*_xlfn.XLOOKUP(Logistics_Orders[[#This Row],[Logistics_ID]],Logistics_Catalog[[#All],[Logistics_ID]],Logistics_Catalog[[#All],[Client_Charge]],0,0)</f>
        <v>36000</v>
      </c>
      <c r="G65">
        <f>Logistics_Orders[[#This Row],[Client_Charge]]-Logistics_Orders[[#This Row],[Cost]]</f>
        <v>6000</v>
      </c>
      <c r="H65" t="s">
        <v>181</v>
      </c>
    </row>
    <row r="66" spans="1:8" x14ac:dyDescent="0.25">
      <c r="A66">
        <v>14</v>
      </c>
      <c r="B66" t="s">
        <v>182</v>
      </c>
      <c r="C66" cm="1">
        <f t="array" ref="C66">_xlfn.XLOOKUP(Logistics_Orders[[#This Row],[Logistics_ID]],Logistics_Catalog[[#All],[Logistics_ID]],Logistics_Catalog[[#All],[Base_Quantity]],0,0)</f>
        <v>1</v>
      </c>
      <c r="D66" cm="1">
        <f t="array" ref="D66">IF(Logistics_Orders[[#This Row],[Item]]="Chairs &amp; Tables",CEILING(_xlfn.XLOOKUP(Logistics_Orders[[#This Row],[Event_No]],Event_Master[[#All],[Event_No]],Event_Master[[#All],[Guest_Count]],,0)/Logistics_Orders[[#This Row],[Base_Quantity]],1),1)</f>
        <v>1</v>
      </c>
      <c r="E66" cm="1">
        <f t="array" ref="E66">Logistics_Orders[[#This Row],[Quantity_Ordered]]*_xlfn.XLOOKUP(Logistics_Orders[[#This Row],[Logistics_ID]],Logistics_Catalog[[#All],[Logistics_ID]],Logistics_Catalog[[#All],[Cost]],0,0)</f>
        <v>12000</v>
      </c>
      <c r="F66" cm="1">
        <f t="array" ref="F66">Logistics_Orders[[#This Row],[Quantity_Ordered]]*_xlfn.XLOOKUP(Logistics_Orders[[#This Row],[Logistics_ID]],Logistics_Catalog[[#All],[Logistics_ID]],Logistics_Catalog[[#All],[Client_Charge]],0,0)</f>
        <v>14500</v>
      </c>
      <c r="G66">
        <f>Logistics_Orders[[#This Row],[Client_Charge]]-Logistics_Orders[[#This Row],[Cost]]</f>
        <v>2500</v>
      </c>
      <c r="H66" t="s">
        <v>186</v>
      </c>
    </row>
    <row r="67" spans="1:8" x14ac:dyDescent="0.25">
      <c r="A67">
        <v>14</v>
      </c>
      <c r="B67" t="s">
        <v>191</v>
      </c>
      <c r="C67" cm="1">
        <f t="array" ref="C67">_xlfn.XLOOKUP(Logistics_Orders[[#This Row],[Logistics_ID]],Logistics_Catalog[[#All],[Logistics_ID]],Logistics_Catalog[[#All],[Base_Quantity]],0,0)</f>
        <v>5</v>
      </c>
      <c r="D67" cm="1">
        <f t="array" ref="D67">IF(Logistics_Orders[[#This Row],[Item]]="Chairs &amp; Tables",CEILING(_xlfn.XLOOKUP(Logistics_Orders[[#This Row],[Event_No]],Event_Master[[#All],[Event_No]],Event_Master[[#All],[Guest_Count]],,0)/Logistics_Orders[[#This Row],[Base_Quantity]],1),1)</f>
        <v>1</v>
      </c>
      <c r="E67" cm="1">
        <f t="array" ref="E67">Logistics_Orders[[#This Row],[Quantity_Ordered]]*_xlfn.XLOOKUP(Logistics_Orders[[#This Row],[Logistics_ID]],Logistics_Catalog[[#All],[Logistics_ID]],Logistics_Catalog[[#All],[Cost]],0,0)</f>
        <v>3000</v>
      </c>
      <c r="F67" cm="1">
        <f t="array" ref="F67">Logistics_Orders[[#This Row],[Quantity_Ordered]]*_xlfn.XLOOKUP(Logistics_Orders[[#This Row],[Logistics_ID]],Logistics_Catalog[[#All],[Logistics_ID]],Logistics_Catalog[[#All],[Client_Charge]],0,0)</f>
        <v>3600</v>
      </c>
      <c r="G67">
        <f>Logistics_Orders[[#This Row],[Client_Charge]]-Logistics_Orders[[#This Row],[Cost]]</f>
        <v>600</v>
      </c>
      <c r="H67" t="s">
        <v>194</v>
      </c>
    </row>
    <row r="68" spans="1:8" x14ac:dyDescent="0.25">
      <c r="A68">
        <v>14</v>
      </c>
      <c r="B68" t="s">
        <v>195</v>
      </c>
      <c r="C68" cm="1">
        <f t="array" ref="C68">_xlfn.XLOOKUP(Logistics_Orders[[#This Row],[Logistics_ID]],Logistics_Catalog[[#All],[Logistics_ID]],Logistics_Catalog[[#All],[Base_Quantity]],0,0)</f>
        <v>10</v>
      </c>
      <c r="D68" cm="1">
        <f t="array" ref="D68">IF(Logistics_Orders[[#This Row],[Item]]="Chairs &amp; Tables",CEILING(_xlfn.XLOOKUP(Logistics_Orders[[#This Row],[Event_No]],Event_Master[[#All],[Event_No]],Event_Master[[#All],[Guest_Count]],,0)/Logistics_Orders[[#This Row],[Base_Quantity]],1),1)</f>
        <v>1</v>
      </c>
      <c r="E68" cm="1">
        <f t="array" ref="E68">Logistics_Orders[[#This Row],[Quantity_Ordered]]*_xlfn.XLOOKUP(Logistics_Orders[[#This Row],[Logistics_ID]],Logistics_Catalog[[#All],[Logistics_ID]],Logistics_Catalog[[#All],[Cost]],0,0)</f>
        <v>6000</v>
      </c>
      <c r="F68" cm="1">
        <f t="array" ref="F68">Logistics_Orders[[#This Row],[Quantity_Ordered]]*_xlfn.XLOOKUP(Logistics_Orders[[#This Row],[Logistics_ID]],Logistics_Catalog[[#All],[Logistics_ID]],Logistics_Catalog[[#All],[Client_Charge]],0,0)</f>
        <v>7200</v>
      </c>
      <c r="G68">
        <f>Logistics_Orders[[#This Row],[Client_Charge]]-Logistics_Orders[[#This Row],[Cost]]</f>
        <v>1200</v>
      </c>
      <c r="H68" t="s">
        <v>198</v>
      </c>
    </row>
    <row r="69" spans="1:8" x14ac:dyDescent="0.25">
      <c r="A69">
        <v>14</v>
      </c>
      <c r="B69" t="s">
        <v>187</v>
      </c>
      <c r="C69" cm="1">
        <f t="array" ref="C69">_xlfn.XLOOKUP(Logistics_Orders[[#This Row],[Logistics_ID]],Logistics_Catalog[[#All],[Logistics_ID]],Logistics_Catalog[[#All],[Base_Quantity]],0,0)</f>
        <v>1</v>
      </c>
      <c r="D69" cm="1">
        <f t="array" ref="D69">IF(Logistics_Orders[[#This Row],[Item]]="Chairs &amp; Tables",CEILING(_xlfn.XLOOKUP(Logistics_Orders[[#This Row],[Event_No]],Event_Master[[#All],[Event_No]],Event_Master[[#All],[Guest_Count]],,0)/Logistics_Orders[[#This Row],[Base_Quantity]],1),1)</f>
        <v>1</v>
      </c>
      <c r="E69" cm="1">
        <f t="array" ref="E69">Logistics_Orders[[#This Row],[Quantity_Ordered]]*_xlfn.XLOOKUP(Logistics_Orders[[#This Row],[Logistics_ID]],Logistics_Catalog[[#All],[Logistics_ID]],Logistics_Catalog[[#All],[Cost]],0,0)</f>
        <v>8000</v>
      </c>
      <c r="F69" cm="1">
        <f t="array" ref="F69">Logistics_Orders[[#This Row],[Quantity_Ordered]]*_xlfn.XLOOKUP(Logistics_Orders[[#This Row],[Logistics_ID]],Logistics_Catalog[[#All],[Logistics_ID]],Logistics_Catalog[[#All],[Client_Charge]],0,0)</f>
        <v>9500</v>
      </c>
      <c r="G69">
        <f>Logistics_Orders[[#This Row],[Client_Charge]]-Logistics_Orders[[#This Row],[Cost]]</f>
        <v>1500</v>
      </c>
      <c r="H69" t="s">
        <v>190</v>
      </c>
    </row>
    <row r="70" spans="1:8" x14ac:dyDescent="0.25">
      <c r="A70">
        <v>15</v>
      </c>
      <c r="B70" t="s">
        <v>177</v>
      </c>
      <c r="C70" cm="1">
        <f t="array" ref="C70">_xlfn.XLOOKUP(Logistics_Orders[[#This Row],[Logistics_ID]],Logistics_Catalog[[#All],[Logistics_ID]],Logistics_Catalog[[#All],[Base_Quantity]],0,0)</f>
        <v>300</v>
      </c>
      <c r="D70" cm="1">
        <f t="array" ref="D70">IF(Logistics_Orders[[#This Row],[Item]]="Chairs &amp; Tables",CEILING(_xlfn.XLOOKUP(Logistics_Orders[[#This Row],[Event_No]],Event_Master[[#All],[Event_No]],Event_Master[[#All],[Guest_Count]],,0)/Logistics_Orders[[#This Row],[Base_Quantity]],1),1)</f>
        <v>3</v>
      </c>
      <c r="E70" cm="1">
        <f t="array" ref="E70">Logistics_Orders[[#This Row],[Quantity_Ordered]]*_xlfn.XLOOKUP(Logistics_Orders[[#This Row],[Logistics_ID]],Logistics_Catalog[[#All],[Logistics_ID]],Logistics_Catalog[[#All],[Cost]],0,0)</f>
        <v>45000</v>
      </c>
      <c r="F70" cm="1">
        <f t="array" ref="F70">Logistics_Orders[[#This Row],[Quantity_Ordered]]*_xlfn.XLOOKUP(Logistics_Orders[[#This Row],[Logistics_ID]],Logistics_Catalog[[#All],[Logistics_ID]],Logistics_Catalog[[#All],[Client_Charge]],0,0)</f>
        <v>54000</v>
      </c>
      <c r="G70">
        <f>Logistics_Orders[[#This Row],[Client_Charge]]-Logistics_Orders[[#This Row],[Cost]]</f>
        <v>9000</v>
      </c>
      <c r="H70" t="s">
        <v>181</v>
      </c>
    </row>
    <row r="71" spans="1:8" x14ac:dyDescent="0.25">
      <c r="A71">
        <v>15</v>
      </c>
      <c r="B71" t="s">
        <v>182</v>
      </c>
      <c r="C71" cm="1">
        <f t="array" ref="C71">_xlfn.XLOOKUP(Logistics_Orders[[#This Row],[Logistics_ID]],Logistics_Catalog[[#All],[Logistics_ID]],Logistics_Catalog[[#All],[Base_Quantity]],0,0)</f>
        <v>1</v>
      </c>
      <c r="D71" cm="1">
        <f t="array" ref="D71">IF(Logistics_Orders[[#This Row],[Item]]="Chairs &amp; Tables",CEILING(_xlfn.XLOOKUP(Logistics_Orders[[#This Row],[Event_No]],Event_Master[[#All],[Event_No]],Event_Master[[#All],[Guest_Count]],,0)/Logistics_Orders[[#This Row],[Base_Quantity]],1),1)</f>
        <v>1</v>
      </c>
      <c r="E71" cm="1">
        <f t="array" ref="E71">Logistics_Orders[[#This Row],[Quantity_Ordered]]*_xlfn.XLOOKUP(Logistics_Orders[[#This Row],[Logistics_ID]],Logistics_Catalog[[#All],[Logistics_ID]],Logistics_Catalog[[#All],[Cost]],0,0)</f>
        <v>12000</v>
      </c>
      <c r="F71" cm="1">
        <f t="array" ref="F71">Logistics_Orders[[#This Row],[Quantity_Ordered]]*_xlfn.XLOOKUP(Logistics_Orders[[#This Row],[Logistics_ID]],Logistics_Catalog[[#All],[Logistics_ID]],Logistics_Catalog[[#All],[Client_Charge]],0,0)</f>
        <v>14500</v>
      </c>
      <c r="G71">
        <f>Logistics_Orders[[#This Row],[Client_Charge]]-Logistics_Orders[[#This Row],[Cost]]</f>
        <v>2500</v>
      </c>
      <c r="H71" t="s">
        <v>186</v>
      </c>
    </row>
    <row r="72" spans="1:8" x14ac:dyDescent="0.25">
      <c r="A72">
        <v>15</v>
      </c>
      <c r="B72" t="s">
        <v>191</v>
      </c>
      <c r="C72" cm="1">
        <f t="array" ref="C72">_xlfn.XLOOKUP(Logistics_Orders[[#This Row],[Logistics_ID]],Logistics_Catalog[[#All],[Logistics_ID]],Logistics_Catalog[[#All],[Base_Quantity]],0,0)</f>
        <v>5</v>
      </c>
      <c r="D72" cm="1">
        <f t="array" ref="D72">IF(Logistics_Orders[[#This Row],[Item]]="Chairs &amp; Tables",CEILING(_xlfn.XLOOKUP(Logistics_Orders[[#This Row],[Event_No]],Event_Master[[#All],[Event_No]],Event_Master[[#All],[Guest_Count]],,0)/Logistics_Orders[[#This Row],[Base_Quantity]],1),1)</f>
        <v>1</v>
      </c>
      <c r="E72" cm="1">
        <f t="array" ref="E72">Logistics_Orders[[#This Row],[Quantity_Ordered]]*_xlfn.XLOOKUP(Logistics_Orders[[#This Row],[Logistics_ID]],Logistics_Catalog[[#All],[Logistics_ID]],Logistics_Catalog[[#All],[Cost]],0,0)</f>
        <v>3000</v>
      </c>
      <c r="F72" cm="1">
        <f t="array" ref="F72">Logistics_Orders[[#This Row],[Quantity_Ordered]]*_xlfn.XLOOKUP(Logistics_Orders[[#This Row],[Logistics_ID]],Logistics_Catalog[[#All],[Logistics_ID]],Logistics_Catalog[[#All],[Client_Charge]],0,0)</f>
        <v>3600</v>
      </c>
      <c r="G72">
        <f>Logistics_Orders[[#This Row],[Client_Charge]]-Logistics_Orders[[#This Row],[Cost]]</f>
        <v>600</v>
      </c>
      <c r="H72" t="s">
        <v>194</v>
      </c>
    </row>
    <row r="73" spans="1:8" x14ac:dyDescent="0.25">
      <c r="A73">
        <v>15</v>
      </c>
      <c r="B73" t="s">
        <v>195</v>
      </c>
      <c r="C73" cm="1">
        <f t="array" ref="C73">_xlfn.XLOOKUP(Logistics_Orders[[#This Row],[Logistics_ID]],Logistics_Catalog[[#All],[Logistics_ID]],Logistics_Catalog[[#All],[Base_Quantity]],0,0)</f>
        <v>10</v>
      </c>
      <c r="D73" cm="1">
        <f t="array" ref="D73">IF(Logistics_Orders[[#This Row],[Item]]="Chairs &amp; Tables",CEILING(_xlfn.XLOOKUP(Logistics_Orders[[#This Row],[Event_No]],Event_Master[[#All],[Event_No]],Event_Master[[#All],[Guest_Count]],,0)/Logistics_Orders[[#This Row],[Base_Quantity]],1),1)</f>
        <v>1</v>
      </c>
      <c r="E73" cm="1">
        <f t="array" ref="E73">Logistics_Orders[[#This Row],[Quantity_Ordered]]*_xlfn.XLOOKUP(Logistics_Orders[[#This Row],[Logistics_ID]],Logistics_Catalog[[#All],[Logistics_ID]],Logistics_Catalog[[#All],[Cost]],0,0)</f>
        <v>6000</v>
      </c>
      <c r="F73" cm="1">
        <f t="array" ref="F73">Logistics_Orders[[#This Row],[Quantity_Ordered]]*_xlfn.XLOOKUP(Logistics_Orders[[#This Row],[Logistics_ID]],Logistics_Catalog[[#All],[Logistics_ID]],Logistics_Catalog[[#All],[Client_Charge]],0,0)</f>
        <v>7200</v>
      </c>
      <c r="G73">
        <f>Logistics_Orders[[#This Row],[Client_Charge]]-Logistics_Orders[[#This Row],[Cost]]</f>
        <v>1200</v>
      </c>
      <c r="H73" t="s">
        <v>198</v>
      </c>
    </row>
    <row r="74" spans="1:8" x14ac:dyDescent="0.25">
      <c r="A74">
        <v>15</v>
      </c>
      <c r="B74" t="s">
        <v>187</v>
      </c>
      <c r="C74" cm="1">
        <f t="array" ref="C74">_xlfn.XLOOKUP(Logistics_Orders[[#This Row],[Logistics_ID]],Logistics_Catalog[[#All],[Logistics_ID]],Logistics_Catalog[[#All],[Base_Quantity]],0,0)</f>
        <v>1</v>
      </c>
      <c r="D74" cm="1">
        <f t="array" ref="D74">IF(Logistics_Orders[[#This Row],[Item]]="Chairs &amp; Tables",CEILING(_xlfn.XLOOKUP(Logistics_Orders[[#This Row],[Event_No]],Event_Master[[#All],[Event_No]],Event_Master[[#All],[Guest_Count]],,0)/Logistics_Orders[[#This Row],[Base_Quantity]],1),1)</f>
        <v>1</v>
      </c>
      <c r="E74" cm="1">
        <f t="array" ref="E74">Logistics_Orders[[#This Row],[Quantity_Ordered]]*_xlfn.XLOOKUP(Logistics_Orders[[#This Row],[Logistics_ID]],Logistics_Catalog[[#All],[Logistics_ID]],Logistics_Catalog[[#All],[Cost]],0,0)</f>
        <v>8000</v>
      </c>
      <c r="F74" cm="1">
        <f t="array" ref="F74">Logistics_Orders[[#This Row],[Quantity_Ordered]]*_xlfn.XLOOKUP(Logistics_Orders[[#This Row],[Logistics_ID]],Logistics_Catalog[[#All],[Logistics_ID]],Logistics_Catalog[[#All],[Client_Charge]],0,0)</f>
        <v>9500</v>
      </c>
      <c r="G74">
        <f>Logistics_Orders[[#This Row],[Client_Charge]]-Logistics_Orders[[#This Row],[Cost]]</f>
        <v>1500</v>
      </c>
      <c r="H74" t="s">
        <v>190</v>
      </c>
    </row>
    <row r="75" spans="1:8" x14ac:dyDescent="0.25">
      <c r="A75">
        <v>16</v>
      </c>
      <c r="B75" t="s">
        <v>177</v>
      </c>
      <c r="C75" cm="1">
        <f t="array" ref="C75">_xlfn.XLOOKUP(Logistics_Orders[[#This Row],[Logistics_ID]],Logistics_Catalog[[#All],[Logistics_ID]],Logistics_Catalog[[#All],[Base_Quantity]],0,0)</f>
        <v>300</v>
      </c>
      <c r="D75" cm="1">
        <f t="array" ref="D75">IF(Logistics_Orders[[#This Row],[Item]]="Chairs &amp; Tables",CEILING(_xlfn.XLOOKUP(Logistics_Orders[[#This Row],[Event_No]],Event_Master[[#All],[Event_No]],Event_Master[[#All],[Guest_Count]],,0)/Logistics_Orders[[#This Row],[Base_Quantity]],1),1)</f>
        <v>3</v>
      </c>
      <c r="E75" cm="1">
        <f t="array" ref="E75">Logistics_Orders[[#This Row],[Quantity_Ordered]]*_xlfn.XLOOKUP(Logistics_Orders[[#This Row],[Logistics_ID]],Logistics_Catalog[[#All],[Logistics_ID]],Logistics_Catalog[[#All],[Cost]],0,0)</f>
        <v>45000</v>
      </c>
      <c r="F75" cm="1">
        <f t="array" ref="F75">Logistics_Orders[[#This Row],[Quantity_Ordered]]*_xlfn.XLOOKUP(Logistics_Orders[[#This Row],[Logistics_ID]],Logistics_Catalog[[#All],[Logistics_ID]],Logistics_Catalog[[#All],[Client_Charge]],0,0)</f>
        <v>54000</v>
      </c>
      <c r="G75">
        <f>Logistics_Orders[[#This Row],[Client_Charge]]-Logistics_Orders[[#This Row],[Cost]]</f>
        <v>9000</v>
      </c>
      <c r="H75" t="s">
        <v>181</v>
      </c>
    </row>
    <row r="76" spans="1:8" x14ac:dyDescent="0.25">
      <c r="A76">
        <v>16</v>
      </c>
      <c r="B76" t="s">
        <v>182</v>
      </c>
      <c r="C76" cm="1">
        <f t="array" ref="C76">_xlfn.XLOOKUP(Logistics_Orders[[#This Row],[Logistics_ID]],Logistics_Catalog[[#All],[Logistics_ID]],Logistics_Catalog[[#All],[Base_Quantity]],0,0)</f>
        <v>1</v>
      </c>
      <c r="D76" cm="1">
        <f t="array" ref="D76">IF(Logistics_Orders[[#This Row],[Item]]="Chairs &amp; Tables",CEILING(_xlfn.XLOOKUP(Logistics_Orders[[#This Row],[Event_No]],Event_Master[[#All],[Event_No]],Event_Master[[#All],[Guest_Count]],,0)/Logistics_Orders[[#This Row],[Base_Quantity]],1),1)</f>
        <v>1</v>
      </c>
      <c r="E76" cm="1">
        <f t="array" ref="E76">Logistics_Orders[[#This Row],[Quantity_Ordered]]*_xlfn.XLOOKUP(Logistics_Orders[[#This Row],[Logistics_ID]],Logistics_Catalog[[#All],[Logistics_ID]],Logistics_Catalog[[#All],[Cost]],0,0)</f>
        <v>12000</v>
      </c>
      <c r="F76" cm="1">
        <f t="array" ref="F76">Logistics_Orders[[#This Row],[Quantity_Ordered]]*_xlfn.XLOOKUP(Logistics_Orders[[#This Row],[Logistics_ID]],Logistics_Catalog[[#All],[Logistics_ID]],Logistics_Catalog[[#All],[Client_Charge]],0,0)</f>
        <v>14500</v>
      </c>
      <c r="G76">
        <f>Logistics_Orders[[#This Row],[Client_Charge]]-Logistics_Orders[[#This Row],[Cost]]</f>
        <v>2500</v>
      </c>
      <c r="H76" t="s">
        <v>186</v>
      </c>
    </row>
    <row r="77" spans="1:8" x14ac:dyDescent="0.25">
      <c r="A77">
        <v>16</v>
      </c>
      <c r="B77" t="s">
        <v>191</v>
      </c>
      <c r="C77" cm="1">
        <f t="array" ref="C77">_xlfn.XLOOKUP(Logistics_Orders[[#This Row],[Logistics_ID]],Logistics_Catalog[[#All],[Logistics_ID]],Logistics_Catalog[[#All],[Base_Quantity]],0,0)</f>
        <v>5</v>
      </c>
      <c r="D77" cm="1">
        <f t="array" ref="D77">IF(Logistics_Orders[[#This Row],[Item]]="Chairs &amp; Tables",CEILING(_xlfn.XLOOKUP(Logistics_Orders[[#This Row],[Event_No]],Event_Master[[#All],[Event_No]],Event_Master[[#All],[Guest_Count]],,0)/Logistics_Orders[[#This Row],[Base_Quantity]],1),1)</f>
        <v>1</v>
      </c>
      <c r="E77" cm="1">
        <f t="array" ref="E77">Logistics_Orders[[#This Row],[Quantity_Ordered]]*_xlfn.XLOOKUP(Logistics_Orders[[#This Row],[Logistics_ID]],Logistics_Catalog[[#All],[Logistics_ID]],Logistics_Catalog[[#All],[Cost]],0,0)</f>
        <v>3000</v>
      </c>
      <c r="F77" cm="1">
        <f t="array" ref="F77">Logistics_Orders[[#This Row],[Quantity_Ordered]]*_xlfn.XLOOKUP(Logistics_Orders[[#This Row],[Logistics_ID]],Logistics_Catalog[[#All],[Logistics_ID]],Logistics_Catalog[[#All],[Client_Charge]],0,0)</f>
        <v>3600</v>
      </c>
      <c r="G77">
        <f>Logistics_Orders[[#This Row],[Client_Charge]]-Logistics_Orders[[#This Row],[Cost]]</f>
        <v>600</v>
      </c>
      <c r="H77" t="s">
        <v>194</v>
      </c>
    </row>
    <row r="78" spans="1:8" x14ac:dyDescent="0.25">
      <c r="A78">
        <v>16</v>
      </c>
      <c r="B78" t="s">
        <v>195</v>
      </c>
      <c r="C78" cm="1">
        <f t="array" ref="C78">_xlfn.XLOOKUP(Logistics_Orders[[#This Row],[Logistics_ID]],Logistics_Catalog[[#All],[Logistics_ID]],Logistics_Catalog[[#All],[Base_Quantity]],0,0)</f>
        <v>10</v>
      </c>
      <c r="D78" cm="1">
        <f t="array" ref="D78">IF(Logistics_Orders[[#This Row],[Item]]="Chairs &amp; Tables",CEILING(_xlfn.XLOOKUP(Logistics_Orders[[#This Row],[Event_No]],Event_Master[[#All],[Event_No]],Event_Master[[#All],[Guest_Count]],,0)/Logistics_Orders[[#This Row],[Base_Quantity]],1),1)</f>
        <v>1</v>
      </c>
      <c r="E78" cm="1">
        <f t="array" ref="E78">Logistics_Orders[[#This Row],[Quantity_Ordered]]*_xlfn.XLOOKUP(Logistics_Orders[[#This Row],[Logistics_ID]],Logistics_Catalog[[#All],[Logistics_ID]],Logistics_Catalog[[#All],[Cost]],0,0)</f>
        <v>6000</v>
      </c>
      <c r="F78" cm="1">
        <f t="array" ref="F78">Logistics_Orders[[#This Row],[Quantity_Ordered]]*_xlfn.XLOOKUP(Logistics_Orders[[#This Row],[Logistics_ID]],Logistics_Catalog[[#All],[Logistics_ID]],Logistics_Catalog[[#All],[Client_Charge]],0,0)</f>
        <v>7200</v>
      </c>
      <c r="G78">
        <f>Logistics_Orders[[#This Row],[Client_Charge]]-Logistics_Orders[[#This Row],[Cost]]</f>
        <v>1200</v>
      </c>
      <c r="H78" t="s">
        <v>198</v>
      </c>
    </row>
    <row r="79" spans="1:8" x14ac:dyDescent="0.25">
      <c r="A79">
        <v>16</v>
      </c>
      <c r="B79" t="s">
        <v>187</v>
      </c>
      <c r="C79" cm="1">
        <f t="array" ref="C79">_xlfn.XLOOKUP(Logistics_Orders[[#This Row],[Logistics_ID]],Logistics_Catalog[[#All],[Logistics_ID]],Logistics_Catalog[[#All],[Base_Quantity]],0,0)</f>
        <v>1</v>
      </c>
      <c r="D79" cm="1">
        <f t="array" ref="D79">IF(Logistics_Orders[[#This Row],[Item]]="Chairs &amp; Tables",CEILING(_xlfn.XLOOKUP(Logistics_Orders[[#This Row],[Event_No]],Event_Master[[#All],[Event_No]],Event_Master[[#All],[Guest_Count]],,0)/Logistics_Orders[[#This Row],[Base_Quantity]],1),1)</f>
        <v>1</v>
      </c>
      <c r="E79" cm="1">
        <f t="array" ref="E79">Logistics_Orders[[#This Row],[Quantity_Ordered]]*_xlfn.XLOOKUP(Logistics_Orders[[#This Row],[Logistics_ID]],Logistics_Catalog[[#All],[Logistics_ID]],Logistics_Catalog[[#All],[Cost]],0,0)</f>
        <v>8000</v>
      </c>
      <c r="F79" cm="1">
        <f t="array" ref="F79">Logistics_Orders[[#This Row],[Quantity_Ordered]]*_xlfn.XLOOKUP(Logistics_Orders[[#This Row],[Logistics_ID]],Logistics_Catalog[[#All],[Logistics_ID]],Logistics_Catalog[[#All],[Client_Charge]],0,0)</f>
        <v>9500</v>
      </c>
      <c r="G79">
        <f>Logistics_Orders[[#This Row],[Client_Charge]]-Logistics_Orders[[#This Row],[Cost]]</f>
        <v>1500</v>
      </c>
      <c r="H79" t="s">
        <v>190</v>
      </c>
    </row>
    <row r="80" spans="1:8" x14ac:dyDescent="0.25">
      <c r="A80">
        <v>17</v>
      </c>
      <c r="B80" t="s">
        <v>177</v>
      </c>
      <c r="C80" cm="1">
        <f t="array" ref="C80">_xlfn.XLOOKUP(Logistics_Orders[[#This Row],[Logistics_ID]],Logistics_Catalog[[#All],[Logistics_ID]],Logistics_Catalog[[#All],[Base_Quantity]],0,0)</f>
        <v>300</v>
      </c>
      <c r="D80" cm="1">
        <f t="array" ref="D80">IF(Logistics_Orders[[#This Row],[Item]]="Chairs &amp; Tables",CEILING(_xlfn.XLOOKUP(Logistics_Orders[[#This Row],[Event_No]],Event_Master[[#All],[Event_No]],Event_Master[[#All],[Guest_Count]],,0)/Logistics_Orders[[#This Row],[Base_Quantity]],1),1)</f>
        <v>3</v>
      </c>
      <c r="E80" cm="1">
        <f t="array" ref="E80">Logistics_Orders[[#This Row],[Quantity_Ordered]]*_xlfn.XLOOKUP(Logistics_Orders[[#This Row],[Logistics_ID]],Logistics_Catalog[[#All],[Logistics_ID]],Logistics_Catalog[[#All],[Cost]],0,0)</f>
        <v>45000</v>
      </c>
      <c r="F80" cm="1">
        <f t="array" ref="F80">Logistics_Orders[[#This Row],[Quantity_Ordered]]*_xlfn.XLOOKUP(Logistics_Orders[[#This Row],[Logistics_ID]],Logistics_Catalog[[#All],[Logistics_ID]],Logistics_Catalog[[#All],[Client_Charge]],0,0)</f>
        <v>54000</v>
      </c>
      <c r="G80">
        <f>Logistics_Orders[[#This Row],[Client_Charge]]-Logistics_Orders[[#This Row],[Cost]]</f>
        <v>9000</v>
      </c>
      <c r="H80" t="s">
        <v>181</v>
      </c>
    </row>
    <row r="81" spans="1:8" x14ac:dyDescent="0.25">
      <c r="A81">
        <v>17</v>
      </c>
      <c r="B81" t="s">
        <v>182</v>
      </c>
      <c r="C81" cm="1">
        <f t="array" ref="C81">_xlfn.XLOOKUP(Logistics_Orders[[#This Row],[Logistics_ID]],Logistics_Catalog[[#All],[Logistics_ID]],Logistics_Catalog[[#All],[Base_Quantity]],0,0)</f>
        <v>1</v>
      </c>
      <c r="D81" cm="1">
        <f t="array" ref="D81">IF(Logistics_Orders[[#This Row],[Item]]="Chairs &amp; Tables",CEILING(_xlfn.XLOOKUP(Logistics_Orders[[#This Row],[Event_No]],Event_Master[[#All],[Event_No]],Event_Master[[#All],[Guest_Count]],,0)/Logistics_Orders[[#This Row],[Base_Quantity]],1),1)</f>
        <v>1</v>
      </c>
      <c r="E81" cm="1">
        <f t="array" ref="E81">Logistics_Orders[[#This Row],[Quantity_Ordered]]*_xlfn.XLOOKUP(Logistics_Orders[[#This Row],[Logistics_ID]],Logistics_Catalog[[#All],[Logistics_ID]],Logistics_Catalog[[#All],[Cost]],0,0)</f>
        <v>12000</v>
      </c>
      <c r="F81" cm="1">
        <f t="array" ref="F81">Logistics_Orders[[#This Row],[Quantity_Ordered]]*_xlfn.XLOOKUP(Logistics_Orders[[#This Row],[Logistics_ID]],Logistics_Catalog[[#All],[Logistics_ID]],Logistics_Catalog[[#All],[Client_Charge]],0,0)</f>
        <v>14500</v>
      </c>
      <c r="G81">
        <f>Logistics_Orders[[#This Row],[Client_Charge]]-Logistics_Orders[[#This Row],[Cost]]</f>
        <v>2500</v>
      </c>
      <c r="H81" t="s">
        <v>186</v>
      </c>
    </row>
    <row r="82" spans="1:8" x14ac:dyDescent="0.25">
      <c r="A82">
        <v>17</v>
      </c>
      <c r="B82" t="s">
        <v>191</v>
      </c>
      <c r="C82" cm="1">
        <f t="array" ref="C82">_xlfn.XLOOKUP(Logistics_Orders[[#This Row],[Logistics_ID]],Logistics_Catalog[[#All],[Logistics_ID]],Logistics_Catalog[[#All],[Base_Quantity]],0,0)</f>
        <v>5</v>
      </c>
      <c r="D82" cm="1">
        <f t="array" ref="D82">IF(Logistics_Orders[[#This Row],[Item]]="Chairs &amp; Tables",CEILING(_xlfn.XLOOKUP(Logistics_Orders[[#This Row],[Event_No]],Event_Master[[#All],[Event_No]],Event_Master[[#All],[Guest_Count]],,0)/Logistics_Orders[[#This Row],[Base_Quantity]],1),1)</f>
        <v>1</v>
      </c>
      <c r="E82" cm="1">
        <f t="array" ref="E82">Logistics_Orders[[#This Row],[Quantity_Ordered]]*_xlfn.XLOOKUP(Logistics_Orders[[#This Row],[Logistics_ID]],Logistics_Catalog[[#All],[Logistics_ID]],Logistics_Catalog[[#All],[Cost]],0,0)</f>
        <v>3000</v>
      </c>
      <c r="F82" cm="1">
        <f t="array" ref="F82">Logistics_Orders[[#This Row],[Quantity_Ordered]]*_xlfn.XLOOKUP(Logistics_Orders[[#This Row],[Logistics_ID]],Logistics_Catalog[[#All],[Logistics_ID]],Logistics_Catalog[[#All],[Client_Charge]],0,0)</f>
        <v>3600</v>
      </c>
      <c r="G82">
        <f>Logistics_Orders[[#This Row],[Client_Charge]]-Logistics_Orders[[#This Row],[Cost]]</f>
        <v>600</v>
      </c>
      <c r="H82" t="s">
        <v>194</v>
      </c>
    </row>
    <row r="83" spans="1:8" x14ac:dyDescent="0.25">
      <c r="A83">
        <v>17</v>
      </c>
      <c r="B83" t="s">
        <v>195</v>
      </c>
      <c r="C83" cm="1">
        <f t="array" ref="C83">_xlfn.XLOOKUP(Logistics_Orders[[#This Row],[Logistics_ID]],Logistics_Catalog[[#All],[Logistics_ID]],Logistics_Catalog[[#All],[Base_Quantity]],0,0)</f>
        <v>10</v>
      </c>
      <c r="D83" cm="1">
        <f t="array" ref="D83">IF(Logistics_Orders[[#This Row],[Item]]="Chairs &amp; Tables",CEILING(_xlfn.XLOOKUP(Logistics_Orders[[#This Row],[Event_No]],Event_Master[[#All],[Event_No]],Event_Master[[#All],[Guest_Count]],,0)/Logistics_Orders[[#This Row],[Base_Quantity]],1),1)</f>
        <v>1</v>
      </c>
      <c r="E83" cm="1">
        <f t="array" ref="E83">Logistics_Orders[[#This Row],[Quantity_Ordered]]*_xlfn.XLOOKUP(Logistics_Orders[[#This Row],[Logistics_ID]],Logistics_Catalog[[#All],[Logistics_ID]],Logistics_Catalog[[#All],[Cost]],0,0)</f>
        <v>6000</v>
      </c>
      <c r="F83" cm="1">
        <f t="array" ref="F83">Logistics_Orders[[#This Row],[Quantity_Ordered]]*_xlfn.XLOOKUP(Logistics_Orders[[#This Row],[Logistics_ID]],Logistics_Catalog[[#All],[Logistics_ID]],Logistics_Catalog[[#All],[Client_Charge]],0,0)</f>
        <v>7200</v>
      </c>
      <c r="G83">
        <f>Logistics_Orders[[#This Row],[Client_Charge]]-Logistics_Orders[[#This Row],[Cost]]</f>
        <v>1200</v>
      </c>
      <c r="H83" t="s">
        <v>198</v>
      </c>
    </row>
    <row r="84" spans="1:8" x14ac:dyDescent="0.25">
      <c r="A84">
        <v>17</v>
      </c>
      <c r="B84" t="s">
        <v>187</v>
      </c>
      <c r="C84" cm="1">
        <f t="array" ref="C84">_xlfn.XLOOKUP(Logistics_Orders[[#This Row],[Logistics_ID]],Logistics_Catalog[[#All],[Logistics_ID]],Logistics_Catalog[[#All],[Base_Quantity]],0,0)</f>
        <v>1</v>
      </c>
      <c r="D84" cm="1">
        <f t="array" ref="D84">IF(Logistics_Orders[[#This Row],[Item]]="Chairs &amp; Tables",CEILING(_xlfn.XLOOKUP(Logistics_Orders[[#This Row],[Event_No]],Event_Master[[#All],[Event_No]],Event_Master[[#All],[Guest_Count]],,0)/Logistics_Orders[[#This Row],[Base_Quantity]],1),1)</f>
        <v>1</v>
      </c>
      <c r="E84" cm="1">
        <f t="array" ref="E84">Logistics_Orders[[#This Row],[Quantity_Ordered]]*_xlfn.XLOOKUP(Logistics_Orders[[#This Row],[Logistics_ID]],Logistics_Catalog[[#All],[Logistics_ID]],Logistics_Catalog[[#All],[Cost]],0,0)</f>
        <v>8000</v>
      </c>
      <c r="F84" cm="1">
        <f t="array" ref="F84">Logistics_Orders[[#This Row],[Quantity_Ordered]]*_xlfn.XLOOKUP(Logistics_Orders[[#This Row],[Logistics_ID]],Logistics_Catalog[[#All],[Logistics_ID]],Logistics_Catalog[[#All],[Client_Charge]],0,0)</f>
        <v>9500</v>
      </c>
      <c r="G84">
        <f>Logistics_Orders[[#This Row],[Client_Charge]]-Logistics_Orders[[#This Row],[Cost]]</f>
        <v>1500</v>
      </c>
      <c r="H84" t="s">
        <v>190</v>
      </c>
    </row>
    <row r="85" spans="1:8" x14ac:dyDescent="0.25">
      <c r="A85">
        <v>18</v>
      </c>
      <c r="B85" t="s">
        <v>177</v>
      </c>
      <c r="C85" cm="1">
        <f t="array" ref="C85">_xlfn.XLOOKUP(Logistics_Orders[[#This Row],[Logistics_ID]],Logistics_Catalog[[#All],[Logistics_ID]],Logistics_Catalog[[#All],[Base_Quantity]],0,0)</f>
        <v>300</v>
      </c>
      <c r="D85" cm="1">
        <f t="array" ref="D85">IF(Logistics_Orders[[#This Row],[Item]]="Chairs &amp; Tables",CEILING(_xlfn.XLOOKUP(Logistics_Orders[[#This Row],[Event_No]],Event_Master[[#All],[Event_No]],Event_Master[[#All],[Guest_Count]],,0)/Logistics_Orders[[#This Row],[Base_Quantity]],1),1)</f>
        <v>1</v>
      </c>
      <c r="E85" cm="1">
        <f t="array" ref="E85">Logistics_Orders[[#This Row],[Quantity_Ordered]]*_xlfn.XLOOKUP(Logistics_Orders[[#This Row],[Logistics_ID]],Logistics_Catalog[[#All],[Logistics_ID]],Logistics_Catalog[[#All],[Cost]],0,0)</f>
        <v>15000</v>
      </c>
      <c r="F85" cm="1">
        <f t="array" ref="F85">Logistics_Orders[[#This Row],[Quantity_Ordered]]*_xlfn.XLOOKUP(Logistics_Orders[[#This Row],[Logistics_ID]],Logistics_Catalog[[#All],[Logistics_ID]],Logistics_Catalog[[#All],[Client_Charge]],0,0)</f>
        <v>18000</v>
      </c>
      <c r="G85">
        <f>Logistics_Orders[[#This Row],[Client_Charge]]-Logistics_Orders[[#This Row],[Cost]]</f>
        <v>3000</v>
      </c>
      <c r="H85" t="s">
        <v>181</v>
      </c>
    </row>
    <row r="86" spans="1:8" x14ac:dyDescent="0.25">
      <c r="A86">
        <v>18</v>
      </c>
      <c r="B86" t="s">
        <v>182</v>
      </c>
      <c r="C86" cm="1">
        <f t="array" ref="C86">_xlfn.XLOOKUP(Logistics_Orders[[#This Row],[Logistics_ID]],Logistics_Catalog[[#All],[Logistics_ID]],Logistics_Catalog[[#All],[Base_Quantity]],0,0)</f>
        <v>1</v>
      </c>
      <c r="D86" cm="1">
        <f t="array" ref="D86">IF(Logistics_Orders[[#This Row],[Item]]="Chairs &amp; Tables",CEILING(_xlfn.XLOOKUP(Logistics_Orders[[#This Row],[Event_No]],Event_Master[[#All],[Event_No]],Event_Master[[#All],[Guest_Count]],,0)/Logistics_Orders[[#This Row],[Base_Quantity]],1),1)</f>
        <v>1</v>
      </c>
      <c r="E86" cm="1">
        <f t="array" ref="E86">Logistics_Orders[[#This Row],[Quantity_Ordered]]*_xlfn.XLOOKUP(Logistics_Orders[[#This Row],[Logistics_ID]],Logistics_Catalog[[#All],[Logistics_ID]],Logistics_Catalog[[#All],[Cost]],0,0)</f>
        <v>12000</v>
      </c>
      <c r="F86" cm="1">
        <f t="array" ref="F86">Logistics_Orders[[#This Row],[Quantity_Ordered]]*_xlfn.XLOOKUP(Logistics_Orders[[#This Row],[Logistics_ID]],Logistics_Catalog[[#All],[Logistics_ID]],Logistics_Catalog[[#All],[Client_Charge]],0,0)</f>
        <v>14500</v>
      </c>
      <c r="G86">
        <f>Logistics_Orders[[#This Row],[Client_Charge]]-Logistics_Orders[[#This Row],[Cost]]</f>
        <v>2500</v>
      </c>
      <c r="H86" t="s">
        <v>186</v>
      </c>
    </row>
    <row r="87" spans="1:8" x14ac:dyDescent="0.25">
      <c r="A87">
        <v>18</v>
      </c>
      <c r="B87" t="s">
        <v>191</v>
      </c>
      <c r="C87" cm="1">
        <f t="array" ref="C87">_xlfn.XLOOKUP(Logistics_Orders[[#This Row],[Logistics_ID]],Logistics_Catalog[[#All],[Logistics_ID]],Logistics_Catalog[[#All],[Base_Quantity]],0,0)</f>
        <v>5</v>
      </c>
      <c r="D87" cm="1">
        <f t="array" ref="D87">IF(Logistics_Orders[[#This Row],[Item]]="Chairs &amp; Tables",CEILING(_xlfn.XLOOKUP(Logistics_Orders[[#This Row],[Event_No]],Event_Master[[#All],[Event_No]],Event_Master[[#All],[Guest_Count]],,0)/Logistics_Orders[[#This Row],[Base_Quantity]],1),1)</f>
        <v>1</v>
      </c>
      <c r="E87" cm="1">
        <f t="array" ref="E87">Logistics_Orders[[#This Row],[Quantity_Ordered]]*_xlfn.XLOOKUP(Logistics_Orders[[#This Row],[Logistics_ID]],Logistics_Catalog[[#All],[Logistics_ID]],Logistics_Catalog[[#All],[Cost]],0,0)</f>
        <v>3000</v>
      </c>
      <c r="F87" cm="1">
        <f t="array" ref="F87">Logistics_Orders[[#This Row],[Quantity_Ordered]]*_xlfn.XLOOKUP(Logistics_Orders[[#This Row],[Logistics_ID]],Logistics_Catalog[[#All],[Logistics_ID]],Logistics_Catalog[[#All],[Client_Charge]],0,0)</f>
        <v>3600</v>
      </c>
      <c r="G87">
        <f>Logistics_Orders[[#This Row],[Client_Charge]]-Logistics_Orders[[#This Row],[Cost]]</f>
        <v>600</v>
      </c>
      <c r="H87" t="s">
        <v>194</v>
      </c>
    </row>
    <row r="88" spans="1:8" x14ac:dyDescent="0.25">
      <c r="A88">
        <v>18</v>
      </c>
      <c r="B88" t="s">
        <v>195</v>
      </c>
      <c r="C88" cm="1">
        <f t="array" ref="C88">_xlfn.XLOOKUP(Logistics_Orders[[#This Row],[Logistics_ID]],Logistics_Catalog[[#All],[Logistics_ID]],Logistics_Catalog[[#All],[Base_Quantity]],0,0)</f>
        <v>10</v>
      </c>
      <c r="D88" cm="1">
        <f t="array" ref="D88">IF(Logistics_Orders[[#This Row],[Item]]="Chairs &amp; Tables",CEILING(_xlfn.XLOOKUP(Logistics_Orders[[#This Row],[Event_No]],Event_Master[[#All],[Event_No]],Event_Master[[#All],[Guest_Count]],,0)/Logistics_Orders[[#This Row],[Base_Quantity]],1),1)</f>
        <v>1</v>
      </c>
      <c r="E88" cm="1">
        <f t="array" ref="E88">Logistics_Orders[[#This Row],[Quantity_Ordered]]*_xlfn.XLOOKUP(Logistics_Orders[[#This Row],[Logistics_ID]],Logistics_Catalog[[#All],[Logistics_ID]],Logistics_Catalog[[#All],[Cost]],0,0)</f>
        <v>6000</v>
      </c>
      <c r="F88" cm="1">
        <f t="array" ref="F88">Logistics_Orders[[#This Row],[Quantity_Ordered]]*_xlfn.XLOOKUP(Logistics_Orders[[#This Row],[Logistics_ID]],Logistics_Catalog[[#All],[Logistics_ID]],Logistics_Catalog[[#All],[Client_Charge]],0,0)</f>
        <v>7200</v>
      </c>
      <c r="G88">
        <f>Logistics_Orders[[#This Row],[Client_Charge]]-Logistics_Orders[[#This Row],[Cost]]</f>
        <v>1200</v>
      </c>
      <c r="H88" t="s">
        <v>198</v>
      </c>
    </row>
    <row r="89" spans="1:8" x14ac:dyDescent="0.25">
      <c r="A89">
        <v>18</v>
      </c>
      <c r="B89" t="s">
        <v>187</v>
      </c>
      <c r="C89" cm="1">
        <f t="array" ref="C89">_xlfn.XLOOKUP(Logistics_Orders[[#This Row],[Logistics_ID]],Logistics_Catalog[[#All],[Logistics_ID]],Logistics_Catalog[[#All],[Base_Quantity]],0,0)</f>
        <v>1</v>
      </c>
      <c r="D89" cm="1">
        <f t="array" ref="D89">IF(Logistics_Orders[[#This Row],[Item]]="Chairs &amp; Tables",CEILING(_xlfn.XLOOKUP(Logistics_Orders[[#This Row],[Event_No]],Event_Master[[#All],[Event_No]],Event_Master[[#All],[Guest_Count]],,0)/Logistics_Orders[[#This Row],[Base_Quantity]],1),1)</f>
        <v>1</v>
      </c>
      <c r="E89" cm="1">
        <f t="array" ref="E89">Logistics_Orders[[#This Row],[Quantity_Ordered]]*_xlfn.XLOOKUP(Logistics_Orders[[#This Row],[Logistics_ID]],Logistics_Catalog[[#All],[Logistics_ID]],Logistics_Catalog[[#All],[Cost]],0,0)</f>
        <v>8000</v>
      </c>
      <c r="F89" cm="1">
        <f t="array" ref="F89">Logistics_Orders[[#This Row],[Quantity_Ordered]]*_xlfn.XLOOKUP(Logistics_Orders[[#This Row],[Logistics_ID]],Logistics_Catalog[[#All],[Logistics_ID]],Logistics_Catalog[[#All],[Client_Charge]],0,0)</f>
        <v>9500</v>
      </c>
      <c r="G89">
        <f>Logistics_Orders[[#This Row],[Client_Charge]]-Logistics_Orders[[#This Row],[Cost]]</f>
        <v>1500</v>
      </c>
      <c r="H89" t="s">
        <v>190</v>
      </c>
    </row>
    <row r="90" spans="1:8" x14ac:dyDescent="0.25">
      <c r="A90">
        <v>19</v>
      </c>
      <c r="B90" t="s">
        <v>177</v>
      </c>
      <c r="C90" cm="1">
        <f t="array" ref="C90">_xlfn.XLOOKUP(Logistics_Orders[[#This Row],[Logistics_ID]],Logistics_Catalog[[#All],[Logistics_ID]],Logistics_Catalog[[#All],[Base_Quantity]],0,0)</f>
        <v>300</v>
      </c>
      <c r="D90" cm="1">
        <f t="array" ref="D90">IF(Logistics_Orders[[#This Row],[Item]]="Chairs &amp; Tables",CEILING(_xlfn.XLOOKUP(Logistics_Orders[[#This Row],[Event_No]],Event_Master[[#All],[Event_No]],Event_Master[[#All],[Guest_Count]],,0)/Logistics_Orders[[#This Row],[Base_Quantity]],1),1)</f>
        <v>1</v>
      </c>
      <c r="E90" cm="1">
        <f t="array" ref="E90">Logistics_Orders[[#This Row],[Quantity_Ordered]]*_xlfn.XLOOKUP(Logistics_Orders[[#This Row],[Logistics_ID]],Logistics_Catalog[[#All],[Logistics_ID]],Logistics_Catalog[[#All],[Cost]],0,0)</f>
        <v>15000</v>
      </c>
      <c r="F90" cm="1">
        <f t="array" ref="F90">Logistics_Orders[[#This Row],[Quantity_Ordered]]*_xlfn.XLOOKUP(Logistics_Orders[[#This Row],[Logistics_ID]],Logistics_Catalog[[#All],[Logistics_ID]],Logistics_Catalog[[#All],[Client_Charge]],0,0)</f>
        <v>18000</v>
      </c>
      <c r="G90">
        <f>Logistics_Orders[[#This Row],[Client_Charge]]-Logistics_Orders[[#This Row],[Cost]]</f>
        <v>3000</v>
      </c>
      <c r="H90" t="s">
        <v>181</v>
      </c>
    </row>
    <row r="91" spans="1:8" x14ac:dyDescent="0.25">
      <c r="A91">
        <v>19</v>
      </c>
      <c r="B91" t="s">
        <v>182</v>
      </c>
      <c r="C91" cm="1">
        <f t="array" ref="C91">_xlfn.XLOOKUP(Logistics_Orders[[#This Row],[Logistics_ID]],Logistics_Catalog[[#All],[Logistics_ID]],Logistics_Catalog[[#All],[Base_Quantity]],0,0)</f>
        <v>1</v>
      </c>
      <c r="D91" cm="1">
        <f t="array" ref="D91">IF(Logistics_Orders[[#This Row],[Item]]="Chairs &amp; Tables",CEILING(_xlfn.XLOOKUP(Logistics_Orders[[#This Row],[Event_No]],Event_Master[[#All],[Event_No]],Event_Master[[#All],[Guest_Count]],,0)/Logistics_Orders[[#This Row],[Base_Quantity]],1),1)</f>
        <v>1</v>
      </c>
      <c r="E91" cm="1">
        <f t="array" ref="E91">Logistics_Orders[[#This Row],[Quantity_Ordered]]*_xlfn.XLOOKUP(Logistics_Orders[[#This Row],[Logistics_ID]],Logistics_Catalog[[#All],[Logistics_ID]],Logistics_Catalog[[#All],[Cost]],0,0)</f>
        <v>12000</v>
      </c>
      <c r="F91" cm="1">
        <f t="array" ref="F91">Logistics_Orders[[#This Row],[Quantity_Ordered]]*_xlfn.XLOOKUP(Logistics_Orders[[#This Row],[Logistics_ID]],Logistics_Catalog[[#All],[Logistics_ID]],Logistics_Catalog[[#All],[Client_Charge]],0,0)</f>
        <v>14500</v>
      </c>
      <c r="G91">
        <f>Logistics_Orders[[#This Row],[Client_Charge]]-Logistics_Orders[[#This Row],[Cost]]</f>
        <v>2500</v>
      </c>
      <c r="H91" t="s">
        <v>186</v>
      </c>
    </row>
    <row r="92" spans="1:8" x14ac:dyDescent="0.25">
      <c r="A92">
        <v>19</v>
      </c>
      <c r="B92" t="s">
        <v>191</v>
      </c>
      <c r="C92" cm="1">
        <f t="array" ref="C92">_xlfn.XLOOKUP(Logistics_Orders[[#This Row],[Logistics_ID]],Logistics_Catalog[[#All],[Logistics_ID]],Logistics_Catalog[[#All],[Base_Quantity]],0,0)</f>
        <v>5</v>
      </c>
      <c r="D92" cm="1">
        <f t="array" ref="D92">IF(Logistics_Orders[[#This Row],[Item]]="Chairs &amp; Tables",CEILING(_xlfn.XLOOKUP(Logistics_Orders[[#This Row],[Event_No]],Event_Master[[#All],[Event_No]],Event_Master[[#All],[Guest_Count]],,0)/Logistics_Orders[[#This Row],[Base_Quantity]],1),1)</f>
        <v>1</v>
      </c>
      <c r="E92" cm="1">
        <f t="array" ref="E92">Logistics_Orders[[#This Row],[Quantity_Ordered]]*_xlfn.XLOOKUP(Logistics_Orders[[#This Row],[Logistics_ID]],Logistics_Catalog[[#All],[Logistics_ID]],Logistics_Catalog[[#All],[Cost]],0,0)</f>
        <v>3000</v>
      </c>
      <c r="F92" cm="1">
        <f t="array" ref="F92">Logistics_Orders[[#This Row],[Quantity_Ordered]]*_xlfn.XLOOKUP(Logistics_Orders[[#This Row],[Logistics_ID]],Logistics_Catalog[[#All],[Logistics_ID]],Logistics_Catalog[[#All],[Client_Charge]],0,0)</f>
        <v>3600</v>
      </c>
      <c r="G92">
        <f>Logistics_Orders[[#This Row],[Client_Charge]]-Logistics_Orders[[#This Row],[Cost]]</f>
        <v>600</v>
      </c>
      <c r="H92" t="s">
        <v>194</v>
      </c>
    </row>
    <row r="93" spans="1:8" x14ac:dyDescent="0.25">
      <c r="A93">
        <v>19</v>
      </c>
      <c r="B93" t="s">
        <v>195</v>
      </c>
      <c r="C93" cm="1">
        <f t="array" ref="C93">_xlfn.XLOOKUP(Logistics_Orders[[#This Row],[Logistics_ID]],Logistics_Catalog[[#All],[Logistics_ID]],Logistics_Catalog[[#All],[Base_Quantity]],0,0)</f>
        <v>10</v>
      </c>
      <c r="D93" cm="1">
        <f t="array" ref="D93">IF(Logistics_Orders[[#This Row],[Item]]="Chairs &amp; Tables",CEILING(_xlfn.XLOOKUP(Logistics_Orders[[#This Row],[Event_No]],Event_Master[[#All],[Event_No]],Event_Master[[#All],[Guest_Count]],,0)/Logistics_Orders[[#This Row],[Base_Quantity]],1),1)</f>
        <v>1</v>
      </c>
      <c r="E93" cm="1">
        <f t="array" ref="E93">Logistics_Orders[[#This Row],[Quantity_Ordered]]*_xlfn.XLOOKUP(Logistics_Orders[[#This Row],[Logistics_ID]],Logistics_Catalog[[#All],[Logistics_ID]],Logistics_Catalog[[#All],[Cost]],0,0)</f>
        <v>6000</v>
      </c>
      <c r="F93" cm="1">
        <f t="array" ref="F93">Logistics_Orders[[#This Row],[Quantity_Ordered]]*_xlfn.XLOOKUP(Logistics_Orders[[#This Row],[Logistics_ID]],Logistics_Catalog[[#All],[Logistics_ID]],Logistics_Catalog[[#All],[Client_Charge]],0,0)</f>
        <v>7200</v>
      </c>
      <c r="G93">
        <f>Logistics_Orders[[#This Row],[Client_Charge]]-Logistics_Orders[[#This Row],[Cost]]</f>
        <v>1200</v>
      </c>
      <c r="H93" t="s">
        <v>198</v>
      </c>
    </row>
    <row r="94" spans="1:8" x14ac:dyDescent="0.25">
      <c r="A94">
        <v>19</v>
      </c>
      <c r="B94" t="s">
        <v>187</v>
      </c>
      <c r="C94" cm="1">
        <f t="array" ref="C94">_xlfn.XLOOKUP(Logistics_Orders[[#This Row],[Logistics_ID]],Logistics_Catalog[[#All],[Logistics_ID]],Logistics_Catalog[[#All],[Base_Quantity]],0,0)</f>
        <v>1</v>
      </c>
      <c r="D94" cm="1">
        <f t="array" ref="D94">IF(Logistics_Orders[[#This Row],[Item]]="Chairs &amp; Tables",CEILING(_xlfn.XLOOKUP(Logistics_Orders[[#This Row],[Event_No]],Event_Master[[#All],[Event_No]],Event_Master[[#All],[Guest_Count]],,0)/Logistics_Orders[[#This Row],[Base_Quantity]],1),1)</f>
        <v>1</v>
      </c>
      <c r="E94" cm="1">
        <f t="array" ref="E94">Logistics_Orders[[#This Row],[Quantity_Ordered]]*_xlfn.XLOOKUP(Logistics_Orders[[#This Row],[Logistics_ID]],Logistics_Catalog[[#All],[Logistics_ID]],Logistics_Catalog[[#All],[Cost]],0,0)</f>
        <v>8000</v>
      </c>
      <c r="F94" cm="1">
        <f t="array" ref="F94">Logistics_Orders[[#This Row],[Quantity_Ordered]]*_xlfn.XLOOKUP(Logistics_Orders[[#This Row],[Logistics_ID]],Logistics_Catalog[[#All],[Logistics_ID]],Logistics_Catalog[[#All],[Client_Charge]],0,0)</f>
        <v>9500</v>
      </c>
      <c r="G94">
        <f>Logistics_Orders[[#This Row],[Client_Charge]]-Logistics_Orders[[#This Row],[Cost]]</f>
        <v>1500</v>
      </c>
      <c r="H94" t="s">
        <v>190</v>
      </c>
    </row>
    <row r="95" spans="1:8" x14ac:dyDescent="0.25">
      <c r="A95">
        <v>20</v>
      </c>
      <c r="B95" t="s">
        <v>177</v>
      </c>
      <c r="C95" cm="1">
        <f t="array" ref="C95">_xlfn.XLOOKUP(Logistics_Orders[[#This Row],[Logistics_ID]],Logistics_Catalog[[#All],[Logistics_ID]],Logistics_Catalog[[#All],[Base_Quantity]],0,0)</f>
        <v>300</v>
      </c>
      <c r="D95" cm="1">
        <f t="array" ref="D95">IF(Logistics_Orders[[#This Row],[Item]]="Chairs &amp; Tables",CEILING(_xlfn.XLOOKUP(Logistics_Orders[[#This Row],[Event_No]],Event_Master[[#All],[Event_No]],Event_Master[[#All],[Guest_Count]],,0)/Logistics_Orders[[#This Row],[Base_Quantity]],1),1)</f>
        <v>1</v>
      </c>
      <c r="E95" cm="1">
        <f t="array" ref="E95">Logistics_Orders[[#This Row],[Quantity_Ordered]]*_xlfn.XLOOKUP(Logistics_Orders[[#This Row],[Logistics_ID]],Logistics_Catalog[[#All],[Logistics_ID]],Logistics_Catalog[[#All],[Cost]],0,0)</f>
        <v>15000</v>
      </c>
      <c r="F95" cm="1">
        <f t="array" ref="F95">Logistics_Orders[[#This Row],[Quantity_Ordered]]*_xlfn.XLOOKUP(Logistics_Orders[[#This Row],[Logistics_ID]],Logistics_Catalog[[#All],[Logistics_ID]],Logistics_Catalog[[#All],[Client_Charge]],0,0)</f>
        <v>18000</v>
      </c>
      <c r="G95">
        <f>Logistics_Orders[[#This Row],[Client_Charge]]-Logistics_Orders[[#This Row],[Cost]]</f>
        <v>3000</v>
      </c>
      <c r="H95" t="s">
        <v>181</v>
      </c>
    </row>
    <row r="96" spans="1:8" x14ac:dyDescent="0.25">
      <c r="A96">
        <v>20</v>
      </c>
      <c r="B96" t="s">
        <v>182</v>
      </c>
      <c r="C96" cm="1">
        <f t="array" ref="C96">_xlfn.XLOOKUP(Logistics_Orders[[#This Row],[Logistics_ID]],Logistics_Catalog[[#All],[Logistics_ID]],Logistics_Catalog[[#All],[Base_Quantity]],0,0)</f>
        <v>1</v>
      </c>
      <c r="D96" cm="1">
        <f t="array" ref="D96">IF(Logistics_Orders[[#This Row],[Item]]="Chairs &amp; Tables",CEILING(_xlfn.XLOOKUP(Logistics_Orders[[#This Row],[Event_No]],Event_Master[[#All],[Event_No]],Event_Master[[#All],[Guest_Count]],,0)/Logistics_Orders[[#This Row],[Base_Quantity]],1),1)</f>
        <v>1</v>
      </c>
      <c r="E96" cm="1">
        <f t="array" ref="E96">Logistics_Orders[[#This Row],[Quantity_Ordered]]*_xlfn.XLOOKUP(Logistics_Orders[[#This Row],[Logistics_ID]],Logistics_Catalog[[#All],[Logistics_ID]],Logistics_Catalog[[#All],[Cost]],0,0)</f>
        <v>12000</v>
      </c>
      <c r="F96" cm="1">
        <f t="array" ref="F96">Logistics_Orders[[#This Row],[Quantity_Ordered]]*_xlfn.XLOOKUP(Logistics_Orders[[#This Row],[Logistics_ID]],Logistics_Catalog[[#All],[Logistics_ID]],Logistics_Catalog[[#All],[Client_Charge]],0,0)</f>
        <v>14500</v>
      </c>
      <c r="G96">
        <f>Logistics_Orders[[#This Row],[Client_Charge]]-Logistics_Orders[[#This Row],[Cost]]</f>
        <v>2500</v>
      </c>
      <c r="H96" t="s">
        <v>186</v>
      </c>
    </row>
    <row r="97" spans="1:8" x14ac:dyDescent="0.25">
      <c r="A97">
        <v>20</v>
      </c>
      <c r="B97" t="s">
        <v>191</v>
      </c>
      <c r="C97" cm="1">
        <f t="array" ref="C97">_xlfn.XLOOKUP(Logistics_Orders[[#This Row],[Logistics_ID]],Logistics_Catalog[[#All],[Logistics_ID]],Logistics_Catalog[[#All],[Base_Quantity]],0,0)</f>
        <v>5</v>
      </c>
      <c r="D97" cm="1">
        <f t="array" ref="D97">IF(Logistics_Orders[[#This Row],[Item]]="Chairs &amp; Tables",CEILING(_xlfn.XLOOKUP(Logistics_Orders[[#This Row],[Event_No]],Event_Master[[#All],[Event_No]],Event_Master[[#All],[Guest_Count]],,0)/Logistics_Orders[[#This Row],[Base_Quantity]],1),1)</f>
        <v>1</v>
      </c>
      <c r="E97" cm="1">
        <f t="array" ref="E97">Logistics_Orders[[#This Row],[Quantity_Ordered]]*_xlfn.XLOOKUP(Logistics_Orders[[#This Row],[Logistics_ID]],Logistics_Catalog[[#All],[Logistics_ID]],Logistics_Catalog[[#All],[Cost]],0,0)</f>
        <v>3000</v>
      </c>
      <c r="F97" cm="1">
        <f t="array" ref="F97">Logistics_Orders[[#This Row],[Quantity_Ordered]]*_xlfn.XLOOKUP(Logistics_Orders[[#This Row],[Logistics_ID]],Logistics_Catalog[[#All],[Logistics_ID]],Logistics_Catalog[[#All],[Client_Charge]],0,0)</f>
        <v>3600</v>
      </c>
      <c r="G97">
        <f>Logistics_Orders[[#This Row],[Client_Charge]]-Logistics_Orders[[#This Row],[Cost]]</f>
        <v>600</v>
      </c>
      <c r="H97" t="s">
        <v>194</v>
      </c>
    </row>
    <row r="98" spans="1:8" x14ac:dyDescent="0.25">
      <c r="A98">
        <v>20</v>
      </c>
      <c r="B98" t="s">
        <v>195</v>
      </c>
      <c r="C98" cm="1">
        <f t="array" ref="C98">_xlfn.XLOOKUP(Logistics_Orders[[#This Row],[Logistics_ID]],Logistics_Catalog[[#All],[Logistics_ID]],Logistics_Catalog[[#All],[Base_Quantity]],0,0)</f>
        <v>10</v>
      </c>
      <c r="D98" cm="1">
        <f t="array" ref="D98">IF(Logistics_Orders[[#This Row],[Item]]="Chairs &amp; Tables",CEILING(_xlfn.XLOOKUP(Logistics_Orders[[#This Row],[Event_No]],Event_Master[[#All],[Event_No]],Event_Master[[#All],[Guest_Count]],,0)/Logistics_Orders[[#This Row],[Base_Quantity]],1),1)</f>
        <v>1</v>
      </c>
      <c r="E98" cm="1">
        <f t="array" ref="E98">Logistics_Orders[[#This Row],[Quantity_Ordered]]*_xlfn.XLOOKUP(Logistics_Orders[[#This Row],[Logistics_ID]],Logistics_Catalog[[#All],[Logistics_ID]],Logistics_Catalog[[#All],[Cost]],0,0)</f>
        <v>6000</v>
      </c>
      <c r="F98" cm="1">
        <f t="array" ref="F98">Logistics_Orders[[#This Row],[Quantity_Ordered]]*_xlfn.XLOOKUP(Logistics_Orders[[#This Row],[Logistics_ID]],Logistics_Catalog[[#All],[Logistics_ID]],Logistics_Catalog[[#All],[Client_Charge]],0,0)</f>
        <v>7200</v>
      </c>
      <c r="G98">
        <f>Logistics_Orders[[#This Row],[Client_Charge]]-Logistics_Orders[[#This Row],[Cost]]</f>
        <v>1200</v>
      </c>
      <c r="H98" t="s">
        <v>198</v>
      </c>
    </row>
    <row r="99" spans="1:8" x14ac:dyDescent="0.25">
      <c r="A99">
        <v>20</v>
      </c>
      <c r="B99" t="s">
        <v>187</v>
      </c>
      <c r="C99" cm="1">
        <f t="array" ref="C99">_xlfn.XLOOKUP(Logistics_Orders[[#This Row],[Logistics_ID]],Logistics_Catalog[[#All],[Logistics_ID]],Logistics_Catalog[[#All],[Base_Quantity]],0,0)</f>
        <v>1</v>
      </c>
      <c r="D99" cm="1">
        <f t="array" ref="D99">IF(Logistics_Orders[[#This Row],[Item]]="Chairs &amp; Tables",CEILING(_xlfn.XLOOKUP(Logistics_Orders[[#This Row],[Event_No]],Event_Master[[#All],[Event_No]],Event_Master[[#All],[Guest_Count]],,0)/Logistics_Orders[[#This Row],[Base_Quantity]],1),1)</f>
        <v>1</v>
      </c>
      <c r="E99" cm="1">
        <f t="array" ref="E99">Logistics_Orders[[#This Row],[Quantity_Ordered]]*_xlfn.XLOOKUP(Logistics_Orders[[#This Row],[Logistics_ID]],Logistics_Catalog[[#All],[Logistics_ID]],Logistics_Catalog[[#All],[Cost]],0,0)</f>
        <v>8000</v>
      </c>
      <c r="F99" cm="1">
        <f t="array" ref="F99">Logistics_Orders[[#This Row],[Quantity_Ordered]]*_xlfn.XLOOKUP(Logistics_Orders[[#This Row],[Logistics_ID]],Logistics_Catalog[[#All],[Logistics_ID]],Logistics_Catalog[[#All],[Client_Charge]],0,0)</f>
        <v>9500</v>
      </c>
      <c r="G99">
        <f>Logistics_Orders[[#This Row],[Client_Charge]]-Logistics_Orders[[#This Row],[Cost]]</f>
        <v>1500</v>
      </c>
      <c r="H99" t="s">
        <v>190</v>
      </c>
    </row>
    <row r="100" spans="1:8" x14ac:dyDescent="0.25">
      <c r="A100">
        <v>21</v>
      </c>
      <c r="B100" t="s">
        <v>177</v>
      </c>
      <c r="C100" cm="1">
        <f t="array" ref="C100">_xlfn.XLOOKUP(Logistics_Orders[[#This Row],[Logistics_ID]],Logistics_Catalog[[#All],[Logistics_ID]],Logistics_Catalog[[#All],[Base_Quantity]],0,0)</f>
        <v>300</v>
      </c>
      <c r="D100" cm="1">
        <f t="array" ref="D100">IF(Logistics_Orders[[#This Row],[Item]]="Chairs &amp; Tables",CEILING(_xlfn.XLOOKUP(Logistics_Orders[[#This Row],[Event_No]],Event_Master[[#All],[Event_No]],Event_Master[[#All],[Guest_Count]],,0)/Logistics_Orders[[#This Row],[Base_Quantity]],1),1)</f>
        <v>2</v>
      </c>
      <c r="E100" cm="1">
        <f t="array" ref="E100">Logistics_Orders[[#This Row],[Quantity_Ordered]]*_xlfn.XLOOKUP(Logistics_Orders[[#This Row],[Logistics_ID]],Logistics_Catalog[[#All],[Logistics_ID]],Logistics_Catalog[[#All],[Cost]],0,0)</f>
        <v>30000</v>
      </c>
      <c r="F100" cm="1">
        <f t="array" ref="F100">Logistics_Orders[[#This Row],[Quantity_Ordered]]*_xlfn.XLOOKUP(Logistics_Orders[[#This Row],[Logistics_ID]],Logistics_Catalog[[#All],[Logistics_ID]],Logistics_Catalog[[#All],[Client_Charge]],0,0)</f>
        <v>36000</v>
      </c>
      <c r="G100">
        <f>Logistics_Orders[[#This Row],[Client_Charge]]-Logistics_Orders[[#This Row],[Cost]]</f>
        <v>6000</v>
      </c>
      <c r="H100" t="s">
        <v>181</v>
      </c>
    </row>
    <row r="101" spans="1:8" x14ac:dyDescent="0.25">
      <c r="A101">
        <v>21</v>
      </c>
      <c r="B101" t="s">
        <v>182</v>
      </c>
      <c r="C101" cm="1">
        <f t="array" ref="C101">_xlfn.XLOOKUP(Logistics_Orders[[#This Row],[Logistics_ID]],Logistics_Catalog[[#All],[Logistics_ID]],Logistics_Catalog[[#All],[Base_Quantity]],0,0)</f>
        <v>1</v>
      </c>
      <c r="D101" cm="1">
        <f t="array" ref="D101">IF(Logistics_Orders[[#This Row],[Item]]="Chairs &amp; Tables",CEILING(_xlfn.XLOOKUP(Logistics_Orders[[#This Row],[Event_No]],Event_Master[[#All],[Event_No]],Event_Master[[#All],[Guest_Count]],,0)/Logistics_Orders[[#This Row],[Base_Quantity]],1),1)</f>
        <v>1</v>
      </c>
      <c r="E101" cm="1">
        <f t="array" ref="E101">Logistics_Orders[[#This Row],[Quantity_Ordered]]*_xlfn.XLOOKUP(Logistics_Orders[[#This Row],[Logistics_ID]],Logistics_Catalog[[#All],[Logistics_ID]],Logistics_Catalog[[#All],[Cost]],0,0)</f>
        <v>12000</v>
      </c>
      <c r="F101" cm="1">
        <f t="array" ref="F101">Logistics_Orders[[#This Row],[Quantity_Ordered]]*_xlfn.XLOOKUP(Logistics_Orders[[#This Row],[Logistics_ID]],Logistics_Catalog[[#All],[Logistics_ID]],Logistics_Catalog[[#All],[Client_Charge]],0,0)</f>
        <v>14500</v>
      </c>
      <c r="G101">
        <f>Logistics_Orders[[#This Row],[Client_Charge]]-Logistics_Orders[[#This Row],[Cost]]</f>
        <v>2500</v>
      </c>
      <c r="H101" t="s">
        <v>186</v>
      </c>
    </row>
    <row r="102" spans="1:8" x14ac:dyDescent="0.25">
      <c r="A102">
        <v>21</v>
      </c>
      <c r="B102" t="s">
        <v>191</v>
      </c>
      <c r="C102" cm="1">
        <f t="array" ref="C102">_xlfn.XLOOKUP(Logistics_Orders[[#This Row],[Logistics_ID]],Logistics_Catalog[[#All],[Logistics_ID]],Logistics_Catalog[[#All],[Base_Quantity]],0,0)</f>
        <v>5</v>
      </c>
      <c r="D102" cm="1">
        <f t="array" ref="D102">IF(Logistics_Orders[[#This Row],[Item]]="Chairs &amp; Tables",CEILING(_xlfn.XLOOKUP(Logistics_Orders[[#This Row],[Event_No]],Event_Master[[#All],[Event_No]],Event_Master[[#All],[Guest_Count]],,0)/Logistics_Orders[[#This Row],[Base_Quantity]],1),1)</f>
        <v>1</v>
      </c>
      <c r="E102" cm="1">
        <f t="array" ref="E102">Logistics_Orders[[#This Row],[Quantity_Ordered]]*_xlfn.XLOOKUP(Logistics_Orders[[#This Row],[Logistics_ID]],Logistics_Catalog[[#All],[Logistics_ID]],Logistics_Catalog[[#All],[Cost]],0,0)</f>
        <v>3000</v>
      </c>
      <c r="F102" cm="1">
        <f t="array" ref="F102">Logistics_Orders[[#This Row],[Quantity_Ordered]]*_xlfn.XLOOKUP(Logistics_Orders[[#This Row],[Logistics_ID]],Logistics_Catalog[[#All],[Logistics_ID]],Logistics_Catalog[[#All],[Client_Charge]],0,0)</f>
        <v>3600</v>
      </c>
      <c r="G102">
        <f>Logistics_Orders[[#This Row],[Client_Charge]]-Logistics_Orders[[#This Row],[Cost]]</f>
        <v>600</v>
      </c>
      <c r="H102" t="s">
        <v>194</v>
      </c>
    </row>
    <row r="103" spans="1:8" x14ac:dyDescent="0.25">
      <c r="A103">
        <v>21</v>
      </c>
      <c r="B103" t="s">
        <v>195</v>
      </c>
      <c r="C103" cm="1">
        <f t="array" ref="C103">_xlfn.XLOOKUP(Logistics_Orders[[#This Row],[Logistics_ID]],Logistics_Catalog[[#All],[Logistics_ID]],Logistics_Catalog[[#All],[Base_Quantity]],0,0)</f>
        <v>10</v>
      </c>
      <c r="D103" cm="1">
        <f t="array" ref="D103">IF(Logistics_Orders[[#This Row],[Item]]="Chairs &amp; Tables",CEILING(_xlfn.XLOOKUP(Logistics_Orders[[#This Row],[Event_No]],Event_Master[[#All],[Event_No]],Event_Master[[#All],[Guest_Count]],,0)/Logistics_Orders[[#This Row],[Base_Quantity]],1),1)</f>
        <v>1</v>
      </c>
      <c r="E103" cm="1">
        <f t="array" ref="E103">Logistics_Orders[[#This Row],[Quantity_Ordered]]*_xlfn.XLOOKUP(Logistics_Orders[[#This Row],[Logistics_ID]],Logistics_Catalog[[#All],[Logistics_ID]],Logistics_Catalog[[#All],[Cost]],0,0)</f>
        <v>6000</v>
      </c>
      <c r="F103" cm="1">
        <f t="array" ref="F103">Logistics_Orders[[#This Row],[Quantity_Ordered]]*_xlfn.XLOOKUP(Logistics_Orders[[#This Row],[Logistics_ID]],Logistics_Catalog[[#All],[Logistics_ID]],Logistics_Catalog[[#All],[Client_Charge]],0,0)</f>
        <v>7200</v>
      </c>
      <c r="G103">
        <f>Logistics_Orders[[#This Row],[Client_Charge]]-Logistics_Orders[[#This Row],[Cost]]</f>
        <v>1200</v>
      </c>
      <c r="H103" t="s">
        <v>198</v>
      </c>
    </row>
    <row r="104" spans="1:8" x14ac:dyDescent="0.25">
      <c r="A104">
        <v>21</v>
      </c>
      <c r="B104" t="s">
        <v>187</v>
      </c>
      <c r="C104" cm="1">
        <f t="array" ref="C104">_xlfn.XLOOKUP(Logistics_Orders[[#This Row],[Logistics_ID]],Logistics_Catalog[[#All],[Logistics_ID]],Logistics_Catalog[[#All],[Base_Quantity]],0,0)</f>
        <v>1</v>
      </c>
      <c r="D104" cm="1">
        <f t="array" ref="D104">IF(Logistics_Orders[[#This Row],[Item]]="Chairs &amp; Tables",CEILING(_xlfn.XLOOKUP(Logistics_Orders[[#This Row],[Event_No]],Event_Master[[#All],[Event_No]],Event_Master[[#All],[Guest_Count]],,0)/Logistics_Orders[[#This Row],[Base_Quantity]],1),1)</f>
        <v>1</v>
      </c>
      <c r="E104" cm="1">
        <f t="array" ref="E104">Logistics_Orders[[#This Row],[Quantity_Ordered]]*_xlfn.XLOOKUP(Logistics_Orders[[#This Row],[Logistics_ID]],Logistics_Catalog[[#All],[Logistics_ID]],Logistics_Catalog[[#All],[Cost]],0,0)</f>
        <v>8000</v>
      </c>
      <c r="F104" cm="1">
        <f t="array" ref="F104">Logistics_Orders[[#This Row],[Quantity_Ordered]]*_xlfn.XLOOKUP(Logistics_Orders[[#This Row],[Logistics_ID]],Logistics_Catalog[[#All],[Logistics_ID]],Logistics_Catalog[[#All],[Client_Charge]],0,0)</f>
        <v>9500</v>
      </c>
      <c r="G104">
        <f>Logistics_Orders[[#This Row],[Client_Charge]]-Logistics_Orders[[#This Row],[Cost]]</f>
        <v>1500</v>
      </c>
      <c r="H104" t="s">
        <v>190</v>
      </c>
    </row>
    <row r="105" spans="1:8" x14ac:dyDescent="0.25">
      <c r="A105">
        <v>22</v>
      </c>
      <c r="B105" t="s">
        <v>177</v>
      </c>
      <c r="C105" cm="1">
        <f t="array" ref="C105">_xlfn.XLOOKUP(Logistics_Orders[[#This Row],[Logistics_ID]],Logistics_Catalog[[#All],[Logistics_ID]],Logistics_Catalog[[#All],[Base_Quantity]],0,0)</f>
        <v>300</v>
      </c>
      <c r="D105" cm="1">
        <f t="array" ref="D105">IF(Logistics_Orders[[#This Row],[Item]]="Chairs &amp; Tables",CEILING(_xlfn.XLOOKUP(Logistics_Orders[[#This Row],[Event_No]],Event_Master[[#All],[Event_No]],Event_Master[[#All],[Guest_Count]],,0)/Logistics_Orders[[#This Row],[Base_Quantity]],1),1)</f>
        <v>2</v>
      </c>
      <c r="E105" cm="1">
        <f t="array" ref="E105">Logistics_Orders[[#This Row],[Quantity_Ordered]]*_xlfn.XLOOKUP(Logistics_Orders[[#This Row],[Logistics_ID]],Logistics_Catalog[[#All],[Logistics_ID]],Logistics_Catalog[[#All],[Cost]],0,0)</f>
        <v>30000</v>
      </c>
      <c r="F105" cm="1">
        <f t="array" ref="F105">Logistics_Orders[[#This Row],[Quantity_Ordered]]*_xlfn.XLOOKUP(Logistics_Orders[[#This Row],[Logistics_ID]],Logistics_Catalog[[#All],[Logistics_ID]],Logistics_Catalog[[#All],[Client_Charge]],0,0)</f>
        <v>36000</v>
      </c>
      <c r="G105">
        <f>Logistics_Orders[[#This Row],[Client_Charge]]-Logistics_Orders[[#This Row],[Cost]]</f>
        <v>6000</v>
      </c>
      <c r="H105" t="s">
        <v>181</v>
      </c>
    </row>
    <row r="106" spans="1:8" x14ac:dyDescent="0.25">
      <c r="A106">
        <v>22</v>
      </c>
      <c r="B106" t="s">
        <v>182</v>
      </c>
      <c r="C106" cm="1">
        <f t="array" ref="C106">_xlfn.XLOOKUP(Logistics_Orders[[#This Row],[Logistics_ID]],Logistics_Catalog[[#All],[Logistics_ID]],Logistics_Catalog[[#All],[Base_Quantity]],0,0)</f>
        <v>1</v>
      </c>
      <c r="D106" cm="1">
        <f t="array" ref="D106">IF(Logistics_Orders[[#This Row],[Item]]="Chairs &amp; Tables",CEILING(_xlfn.XLOOKUP(Logistics_Orders[[#This Row],[Event_No]],Event_Master[[#All],[Event_No]],Event_Master[[#All],[Guest_Count]],,0)/Logistics_Orders[[#This Row],[Base_Quantity]],1),1)</f>
        <v>1</v>
      </c>
      <c r="E106" cm="1">
        <f t="array" ref="E106">Logistics_Orders[[#This Row],[Quantity_Ordered]]*_xlfn.XLOOKUP(Logistics_Orders[[#This Row],[Logistics_ID]],Logistics_Catalog[[#All],[Logistics_ID]],Logistics_Catalog[[#All],[Cost]],0,0)</f>
        <v>12000</v>
      </c>
      <c r="F106" cm="1">
        <f t="array" ref="F106">Logistics_Orders[[#This Row],[Quantity_Ordered]]*_xlfn.XLOOKUP(Logistics_Orders[[#This Row],[Logistics_ID]],Logistics_Catalog[[#All],[Logistics_ID]],Logistics_Catalog[[#All],[Client_Charge]],0,0)</f>
        <v>14500</v>
      </c>
      <c r="G106">
        <f>Logistics_Orders[[#This Row],[Client_Charge]]-Logistics_Orders[[#This Row],[Cost]]</f>
        <v>2500</v>
      </c>
      <c r="H106" t="s">
        <v>186</v>
      </c>
    </row>
    <row r="107" spans="1:8" x14ac:dyDescent="0.25">
      <c r="A107">
        <v>22</v>
      </c>
      <c r="B107" t="s">
        <v>191</v>
      </c>
      <c r="C107" cm="1">
        <f t="array" ref="C107">_xlfn.XLOOKUP(Logistics_Orders[[#This Row],[Logistics_ID]],Logistics_Catalog[[#All],[Logistics_ID]],Logistics_Catalog[[#All],[Base_Quantity]],0,0)</f>
        <v>5</v>
      </c>
      <c r="D107" cm="1">
        <f t="array" ref="D107">IF(Logistics_Orders[[#This Row],[Item]]="Chairs &amp; Tables",CEILING(_xlfn.XLOOKUP(Logistics_Orders[[#This Row],[Event_No]],Event_Master[[#All],[Event_No]],Event_Master[[#All],[Guest_Count]],,0)/Logistics_Orders[[#This Row],[Base_Quantity]],1),1)</f>
        <v>1</v>
      </c>
      <c r="E107" cm="1">
        <f t="array" ref="E107">Logistics_Orders[[#This Row],[Quantity_Ordered]]*_xlfn.XLOOKUP(Logistics_Orders[[#This Row],[Logistics_ID]],Logistics_Catalog[[#All],[Logistics_ID]],Logistics_Catalog[[#All],[Cost]],0,0)</f>
        <v>3000</v>
      </c>
      <c r="F107" cm="1">
        <f t="array" ref="F107">Logistics_Orders[[#This Row],[Quantity_Ordered]]*_xlfn.XLOOKUP(Logistics_Orders[[#This Row],[Logistics_ID]],Logistics_Catalog[[#All],[Logistics_ID]],Logistics_Catalog[[#All],[Client_Charge]],0,0)</f>
        <v>3600</v>
      </c>
      <c r="G107">
        <f>Logistics_Orders[[#This Row],[Client_Charge]]-Logistics_Orders[[#This Row],[Cost]]</f>
        <v>600</v>
      </c>
      <c r="H107" t="s">
        <v>194</v>
      </c>
    </row>
    <row r="108" spans="1:8" x14ac:dyDescent="0.25">
      <c r="A108">
        <v>22</v>
      </c>
      <c r="B108" t="s">
        <v>195</v>
      </c>
      <c r="C108" cm="1">
        <f t="array" ref="C108">_xlfn.XLOOKUP(Logistics_Orders[[#This Row],[Logistics_ID]],Logistics_Catalog[[#All],[Logistics_ID]],Logistics_Catalog[[#All],[Base_Quantity]],0,0)</f>
        <v>10</v>
      </c>
      <c r="D108" cm="1">
        <f t="array" ref="D108">IF(Logistics_Orders[[#This Row],[Item]]="Chairs &amp; Tables",CEILING(_xlfn.XLOOKUP(Logistics_Orders[[#This Row],[Event_No]],Event_Master[[#All],[Event_No]],Event_Master[[#All],[Guest_Count]],,0)/Logistics_Orders[[#This Row],[Base_Quantity]],1),1)</f>
        <v>1</v>
      </c>
      <c r="E108" cm="1">
        <f t="array" ref="E108">Logistics_Orders[[#This Row],[Quantity_Ordered]]*_xlfn.XLOOKUP(Logistics_Orders[[#This Row],[Logistics_ID]],Logistics_Catalog[[#All],[Logistics_ID]],Logistics_Catalog[[#All],[Cost]],0,0)</f>
        <v>6000</v>
      </c>
      <c r="F108" cm="1">
        <f t="array" ref="F108">Logistics_Orders[[#This Row],[Quantity_Ordered]]*_xlfn.XLOOKUP(Logistics_Orders[[#This Row],[Logistics_ID]],Logistics_Catalog[[#All],[Logistics_ID]],Logistics_Catalog[[#All],[Client_Charge]],0,0)</f>
        <v>7200</v>
      </c>
      <c r="G108">
        <f>Logistics_Orders[[#This Row],[Client_Charge]]-Logistics_Orders[[#This Row],[Cost]]</f>
        <v>1200</v>
      </c>
      <c r="H108" t="s">
        <v>198</v>
      </c>
    </row>
    <row r="109" spans="1:8" x14ac:dyDescent="0.25">
      <c r="A109">
        <v>22</v>
      </c>
      <c r="B109" t="s">
        <v>187</v>
      </c>
      <c r="C109" cm="1">
        <f t="array" ref="C109">_xlfn.XLOOKUP(Logistics_Orders[[#This Row],[Logistics_ID]],Logistics_Catalog[[#All],[Logistics_ID]],Logistics_Catalog[[#All],[Base_Quantity]],0,0)</f>
        <v>1</v>
      </c>
      <c r="D109" cm="1">
        <f t="array" ref="D109">IF(Logistics_Orders[[#This Row],[Item]]="Chairs &amp; Tables",CEILING(_xlfn.XLOOKUP(Logistics_Orders[[#This Row],[Event_No]],Event_Master[[#All],[Event_No]],Event_Master[[#All],[Guest_Count]],,0)/Logistics_Orders[[#This Row],[Base_Quantity]],1),1)</f>
        <v>1</v>
      </c>
      <c r="E109" cm="1">
        <f t="array" ref="E109">Logistics_Orders[[#This Row],[Quantity_Ordered]]*_xlfn.XLOOKUP(Logistics_Orders[[#This Row],[Logistics_ID]],Logistics_Catalog[[#All],[Logistics_ID]],Logistics_Catalog[[#All],[Cost]],0,0)</f>
        <v>8000</v>
      </c>
      <c r="F109" cm="1">
        <f t="array" ref="F109">Logistics_Orders[[#This Row],[Quantity_Ordered]]*_xlfn.XLOOKUP(Logistics_Orders[[#This Row],[Logistics_ID]],Logistics_Catalog[[#All],[Logistics_ID]],Logistics_Catalog[[#All],[Client_Charge]],0,0)</f>
        <v>9500</v>
      </c>
      <c r="G109">
        <f>Logistics_Orders[[#This Row],[Client_Charge]]-Logistics_Orders[[#This Row],[Cost]]</f>
        <v>1500</v>
      </c>
      <c r="H109" t="s">
        <v>190</v>
      </c>
    </row>
    <row r="110" spans="1:8" x14ac:dyDescent="0.25">
      <c r="A110">
        <v>23</v>
      </c>
      <c r="B110" t="s">
        <v>177</v>
      </c>
      <c r="C110" cm="1">
        <f t="array" ref="C110">_xlfn.XLOOKUP(Logistics_Orders[[#This Row],[Logistics_ID]],Logistics_Catalog[[#All],[Logistics_ID]],Logistics_Catalog[[#All],[Base_Quantity]],0,0)</f>
        <v>300</v>
      </c>
      <c r="D110" cm="1">
        <f t="array" ref="D110">IF(Logistics_Orders[[#This Row],[Item]]="Chairs &amp; Tables",CEILING(_xlfn.XLOOKUP(Logistics_Orders[[#This Row],[Event_No]],Event_Master[[#All],[Event_No]],Event_Master[[#All],[Guest_Count]],,0)/Logistics_Orders[[#This Row],[Base_Quantity]],1),1)</f>
        <v>3</v>
      </c>
      <c r="E110" cm="1">
        <f t="array" ref="E110">Logistics_Orders[[#This Row],[Quantity_Ordered]]*_xlfn.XLOOKUP(Logistics_Orders[[#This Row],[Logistics_ID]],Logistics_Catalog[[#All],[Logistics_ID]],Logistics_Catalog[[#All],[Cost]],0,0)</f>
        <v>45000</v>
      </c>
      <c r="F110" cm="1">
        <f t="array" ref="F110">Logistics_Orders[[#This Row],[Quantity_Ordered]]*_xlfn.XLOOKUP(Logistics_Orders[[#This Row],[Logistics_ID]],Logistics_Catalog[[#All],[Logistics_ID]],Logistics_Catalog[[#All],[Client_Charge]],0,0)</f>
        <v>54000</v>
      </c>
      <c r="G110">
        <f>Logistics_Orders[[#This Row],[Client_Charge]]-Logistics_Orders[[#This Row],[Cost]]</f>
        <v>9000</v>
      </c>
      <c r="H110" t="s">
        <v>181</v>
      </c>
    </row>
    <row r="111" spans="1:8" x14ac:dyDescent="0.25">
      <c r="A111">
        <v>23</v>
      </c>
      <c r="B111" t="s">
        <v>182</v>
      </c>
      <c r="C111" cm="1">
        <f t="array" ref="C111">_xlfn.XLOOKUP(Logistics_Orders[[#This Row],[Logistics_ID]],Logistics_Catalog[[#All],[Logistics_ID]],Logistics_Catalog[[#All],[Base_Quantity]],0,0)</f>
        <v>1</v>
      </c>
      <c r="D111" cm="1">
        <f t="array" ref="D111">IF(Logistics_Orders[[#This Row],[Item]]="Chairs &amp; Tables",CEILING(_xlfn.XLOOKUP(Logistics_Orders[[#This Row],[Event_No]],Event_Master[[#All],[Event_No]],Event_Master[[#All],[Guest_Count]],,0)/Logistics_Orders[[#This Row],[Base_Quantity]],1),1)</f>
        <v>1</v>
      </c>
      <c r="E111" cm="1">
        <f t="array" ref="E111">Logistics_Orders[[#This Row],[Quantity_Ordered]]*_xlfn.XLOOKUP(Logistics_Orders[[#This Row],[Logistics_ID]],Logistics_Catalog[[#All],[Logistics_ID]],Logistics_Catalog[[#All],[Cost]],0,0)</f>
        <v>12000</v>
      </c>
      <c r="F111" cm="1">
        <f t="array" ref="F111">Logistics_Orders[[#This Row],[Quantity_Ordered]]*_xlfn.XLOOKUP(Logistics_Orders[[#This Row],[Logistics_ID]],Logistics_Catalog[[#All],[Logistics_ID]],Logistics_Catalog[[#All],[Client_Charge]],0,0)</f>
        <v>14500</v>
      </c>
      <c r="G111">
        <f>Logistics_Orders[[#This Row],[Client_Charge]]-Logistics_Orders[[#This Row],[Cost]]</f>
        <v>2500</v>
      </c>
      <c r="H111" t="s">
        <v>186</v>
      </c>
    </row>
    <row r="112" spans="1:8" x14ac:dyDescent="0.25">
      <c r="A112">
        <v>23</v>
      </c>
      <c r="B112" t="s">
        <v>191</v>
      </c>
      <c r="C112" cm="1">
        <f t="array" ref="C112">_xlfn.XLOOKUP(Logistics_Orders[[#This Row],[Logistics_ID]],Logistics_Catalog[[#All],[Logistics_ID]],Logistics_Catalog[[#All],[Base_Quantity]],0,0)</f>
        <v>5</v>
      </c>
      <c r="D112" cm="1">
        <f t="array" ref="D112">IF(Logistics_Orders[[#This Row],[Item]]="Chairs &amp; Tables",CEILING(_xlfn.XLOOKUP(Logistics_Orders[[#This Row],[Event_No]],Event_Master[[#All],[Event_No]],Event_Master[[#All],[Guest_Count]],,0)/Logistics_Orders[[#This Row],[Base_Quantity]],1),1)</f>
        <v>1</v>
      </c>
      <c r="E112" cm="1">
        <f t="array" ref="E112">Logistics_Orders[[#This Row],[Quantity_Ordered]]*_xlfn.XLOOKUP(Logistics_Orders[[#This Row],[Logistics_ID]],Logistics_Catalog[[#All],[Logistics_ID]],Logistics_Catalog[[#All],[Cost]],0,0)</f>
        <v>3000</v>
      </c>
      <c r="F112" cm="1">
        <f t="array" ref="F112">Logistics_Orders[[#This Row],[Quantity_Ordered]]*_xlfn.XLOOKUP(Logistics_Orders[[#This Row],[Logistics_ID]],Logistics_Catalog[[#All],[Logistics_ID]],Logistics_Catalog[[#All],[Client_Charge]],0,0)</f>
        <v>3600</v>
      </c>
      <c r="G112">
        <f>Logistics_Orders[[#This Row],[Client_Charge]]-Logistics_Orders[[#This Row],[Cost]]</f>
        <v>600</v>
      </c>
      <c r="H112" t="s">
        <v>194</v>
      </c>
    </row>
    <row r="113" spans="1:8" x14ac:dyDescent="0.25">
      <c r="A113">
        <v>23</v>
      </c>
      <c r="B113" t="s">
        <v>195</v>
      </c>
      <c r="C113" cm="1">
        <f t="array" ref="C113">_xlfn.XLOOKUP(Logistics_Orders[[#This Row],[Logistics_ID]],Logistics_Catalog[[#All],[Logistics_ID]],Logistics_Catalog[[#All],[Base_Quantity]],0,0)</f>
        <v>10</v>
      </c>
      <c r="D113" cm="1">
        <f t="array" ref="D113">IF(Logistics_Orders[[#This Row],[Item]]="Chairs &amp; Tables",CEILING(_xlfn.XLOOKUP(Logistics_Orders[[#This Row],[Event_No]],Event_Master[[#All],[Event_No]],Event_Master[[#All],[Guest_Count]],,0)/Logistics_Orders[[#This Row],[Base_Quantity]],1),1)</f>
        <v>1</v>
      </c>
      <c r="E113" cm="1">
        <f t="array" ref="E113">Logistics_Orders[[#This Row],[Quantity_Ordered]]*_xlfn.XLOOKUP(Logistics_Orders[[#This Row],[Logistics_ID]],Logistics_Catalog[[#All],[Logistics_ID]],Logistics_Catalog[[#All],[Cost]],0,0)</f>
        <v>6000</v>
      </c>
      <c r="F113" cm="1">
        <f t="array" ref="F113">Logistics_Orders[[#This Row],[Quantity_Ordered]]*_xlfn.XLOOKUP(Logistics_Orders[[#This Row],[Logistics_ID]],Logistics_Catalog[[#All],[Logistics_ID]],Logistics_Catalog[[#All],[Client_Charge]],0,0)</f>
        <v>7200</v>
      </c>
      <c r="G113">
        <f>Logistics_Orders[[#This Row],[Client_Charge]]-Logistics_Orders[[#This Row],[Cost]]</f>
        <v>1200</v>
      </c>
      <c r="H113" t="s">
        <v>198</v>
      </c>
    </row>
    <row r="114" spans="1:8" x14ac:dyDescent="0.25">
      <c r="A114">
        <v>23</v>
      </c>
      <c r="B114" t="s">
        <v>187</v>
      </c>
      <c r="C114" cm="1">
        <f t="array" ref="C114">_xlfn.XLOOKUP(Logistics_Orders[[#This Row],[Logistics_ID]],Logistics_Catalog[[#All],[Logistics_ID]],Logistics_Catalog[[#All],[Base_Quantity]],0,0)</f>
        <v>1</v>
      </c>
      <c r="D114" cm="1">
        <f t="array" ref="D114">IF(Logistics_Orders[[#This Row],[Item]]="Chairs &amp; Tables",CEILING(_xlfn.XLOOKUP(Logistics_Orders[[#This Row],[Event_No]],Event_Master[[#All],[Event_No]],Event_Master[[#All],[Guest_Count]],,0)/Logistics_Orders[[#This Row],[Base_Quantity]],1),1)</f>
        <v>1</v>
      </c>
      <c r="E114" cm="1">
        <f t="array" ref="E114">Logistics_Orders[[#This Row],[Quantity_Ordered]]*_xlfn.XLOOKUP(Logistics_Orders[[#This Row],[Logistics_ID]],Logistics_Catalog[[#All],[Logistics_ID]],Logistics_Catalog[[#All],[Cost]],0,0)</f>
        <v>8000</v>
      </c>
      <c r="F114" cm="1">
        <f t="array" ref="F114">Logistics_Orders[[#This Row],[Quantity_Ordered]]*_xlfn.XLOOKUP(Logistics_Orders[[#This Row],[Logistics_ID]],Logistics_Catalog[[#All],[Logistics_ID]],Logistics_Catalog[[#All],[Client_Charge]],0,0)</f>
        <v>9500</v>
      </c>
      <c r="G114">
        <f>Logistics_Orders[[#This Row],[Client_Charge]]-Logistics_Orders[[#This Row],[Cost]]</f>
        <v>1500</v>
      </c>
      <c r="H114" t="s">
        <v>190</v>
      </c>
    </row>
    <row r="115" spans="1:8" x14ac:dyDescent="0.25">
      <c r="A115">
        <v>24</v>
      </c>
      <c r="B115" t="s">
        <v>177</v>
      </c>
      <c r="C115" cm="1">
        <f t="array" ref="C115">_xlfn.XLOOKUP(Logistics_Orders[[#This Row],[Logistics_ID]],Logistics_Catalog[[#All],[Logistics_ID]],Logistics_Catalog[[#All],[Base_Quantity]],0,0)</f>
        <v>300</v>
      </c>
      <c r="D115" cm="1">
        <f t="array" ref="D115">IF(Logistics_Orders[[#This Row],[Item]]="Chairs &amp; Tables",CEILING(_xlfn.XLOOKUP(Logistics_Orders[[#This Row],[Event_No]],Event_Master[[#All],[Event_No]],Event_Master[[#All],[Guest_Count]],,0)/Logistics_Orders[[#This Row],[Base_Quantity]],1),1)</f>
        <v>5</v>
      </c>
      <c r="E115" cm="1">
        <f t="array" ref="E115">Logistics_Orders[[#This Row],[Quantity_Ordered]]*_xlfn.XLOOKUP(Logistics_Orders[[#This Row],[Logistics_ID]],Logistics_Catalog[[#All],[Logistics_ID]],Logistics_Catalog[[#All],[Cost]],0,0)</f>
        <v>75000</v>
      </c>
      <c r="F115" cm="1">
        <f t="array" ref="F115">Logistics_Orders[[#This Row],[Quantity_Ordered]]*_xlfn.XLOOKUP(Logistics_Orders[[#This Row],[Logistics_ID]],Logistics_Catalog[[#All],[Logistics_ID]],Logistics_Catalog[[#All],[Client_Charge]],0,0)</f>
        <v>90000</v>
      </c>
      <c r="G115">
        <f>Logistics_Orders[[#This Row],[Client_Charge]]-Logistics_Orders[[#This Row],[Cost]]</f>
        <v>15000</v>
      </c>
      <c r="H115" t="s">
        <v>181</v>
      </c>
    </row>
    <row r="116" spans="1:8" x14ac:dyDescent="0.25">
      <c r="A116">
        <v>24</v>
      </c>
      <c r="B116" t="s">
        <v>182</v>
      </c>
      <c r="C116" cm="1">
        <f t="array" ref="C116">_xlfn.XLOOKUP(Logistics_Orders[[#This Row],[Logistics_ID]],Logistics_Catalog[[#All],[Logistics_ID]],Logistics_Catalog[[#All],[Base_Quantity]],0,0)</f>
        <v>1</v>
      </c>
      <c r="D116" cm="1">
        <f t="array" ref="D116">IF(Logistics_Orders[[#This Row],[Item]]="Chairs &amp; Tables",CEILING(_xlfn.XLOOKUP(Logistics_Orders[[#This Row],[Event_No]],Event_Master[[#All],[Event_No]],Event_Master[[#All],[Guest_Count]],,0)/Logistics_Orders[[#This Row],[Base_Quantity]],1),1)</f>
        <v>1</v>
      </c>
      <c r="E116" cm="1">
        <f t="array" ref="E116">Logistics_Orders[[#This Row],[Quantity_Ordered]]*_xlfn.XLOOKUP(Logistics_Orders[[#This Row],[Logistics_ID]],Logistics_Catalog[[#All],[Logistics_ID]],Logistics_Catalog[[#All],[Cost]],0,0)</f>
        <v>12000</v>
      </c>
      <c r="F116" cm="1">
        <f t="array" ref="F116">Logistics_Orders[[#This Row],[Quantity_Ordered]]*_xlfn.XLOOKUP(Logistics_Orders[[#This Row],[Logistics_ID]],Logistics_Catalog[[#All],[Logistics_ID]],Logistics_Catalog[[#All],[Client_Charge]],0,0)</f>
        <v>14500</v>
      </c>
      <c r="G116">
        <f>Logistics_Orders[[#This Row],[Client_Charge]]-Logistics_Orders[[#This Row],[Cost]]</f>
        <v>2500</v>
      </c>
      <c r="H116" t="s">
        <v>186</v>
      </c>
    </row>
    <row r="117" spans="1:8" x14ac:dyDescent="0.25">
      <c r="A117">
        <v>24</v>
      </c>
      <c r="B117" t="s">
        <v>191</v>
      </c>
      <c r="C117" cm="1">
        <f t="array" ref="C117">_xlfn.XLOOKUP(Logistics_Orders[[#This Row],[Logistics_ID]],Logistics_Catalog[[#All],[Logistics_ID]],Logistics_Catalog[[#All],[Base_Quantity]],0,0)</f>
        <v>5</v>
      </c>
      <c r="D117" cm="1">
        <f t="array" ref="D117">IF(Logistics_Orders[[#This Row],[Item]]="Chairs &amp; Tables",CEILING(_xlfn.XLOOKUP(Logistics_Orders[[#This Row],[Event_No]],Event_Master[[#All],[Event_No]],Event_Master[[#All],[Guest_Count]],,0)/Logistics_Orders[[#This Row],[Base_Quantity]],1),1)</f>
        <v>1</v>
      </c>
      <c r="E117" cm="1">
        <f t="array" ref="E117">Logistics_Orders[[#This Row],[Quantity_Ordered]]*_xlfn.XLOOKUP(Logistics_Orders[[#This Row],[Logistics_ID]],Logistics_Catalog[[#All],[Logistics_ID]],Logistics_Catalog[[#All],[Cost]],0,0)</f>
        <v>3000</v>
      </c>
      <c r="F117" cm="1">
        <f t="array" ref="F117">Logistics_Orders[[#This Row],[Quantity_Ordered]]*_xlfn.XLOOKUP(Logistics_Orders[[#This Row],[Logistics_ID]],Logistics_Catalog[[#All],[Logistics_ID]],Logistics_Catalog[[#All],[Client_Charge]],0,0)</f>
        <v>3600</v>
      </c>
      <c r="G117">
        <f>Logistics_Orders[[#This Row],[Client_Charge]]-Logistics_Orders[[#This Row],[Cost]]</f>
        <v>600</v>
      </c>
      <c r="H117" t="s">
        <v>194</v>
      </c>
    </row>
    <row r="118" spans="1:8" x14ac:dyDescent="0.25">
      <c r="A118">
        <v>24</v>
      </c>
      <c r="B118" t="s">
        <v>195</v>
      </c>
      <c r="C118" cm="1">
        <f t="array" ref="C118">_xlfn.XLOOKUP(Logistics_Orders[[#This Row],[Logistics_ID]],Logistics_Catalog[[#All],[Logistics_ID]],Logistics_Catalog[[#All],[Base_Quantity]],0,0)</f>
        <v>10</v>
      </c>
      <c r="D118" cm="1">
        <f t="array" ref="D118">IF(Logistics_Orders[[#This Row],[Item]]="Chairs &amp; Tables",CEILING(_xlfn.XLOOKUP(Logistics_Orders[[#This Row],[Event_No]],Event_Master[[#All],[Event_No]],Event_Master[[#All],[Guest_Count]],,0)/Logistics_Orders[[#This Row],[Base_Quantity]],1),1)</f>
        <v>1</v>
      </c>
      <c r="E118" cm="1">
        <f t="array" ref="E118">Logistics_Orders[[#This Row],[Quantity_Ordered]]*_xlfn.XLOOKUP(Logistics_Orders[[#This Row],[Logistics_ID]],Logistics_Catalog[[#All],[Logistics_ID]],Logistics_Catalog[[#All],[Cost]],0,0)</f>
        <v>6000</v>
      </c>
      <c r="F118" cm="1">
        <f t="array" ref="F118">Logistics_Orders[[#This Row],[Quantity_Ordered]]*_xlfn.XLOOKUP(Logistics_Orders[[#This Row],[Logistics_ID]],Logistics_Catalog[[#All],[Logistics_ID]],Logistics_Catalog[[#All],[Client_Charge]],0,0)</f>
        <v>7200</v>
      </c>
      <c r="G118">
        <f>Logistics_Orders[[#This Row],[Client_Charge]]-Logistics_Orders[[#This Row],[Cost]]</f>
        <v>1200</v>
      </c>
      <c r="H118" t="s">
        <v>198</v>
      </c>
    </row>
    <row r="119" spans="1:8" x14ac:dyDescent="0.25">
      <c r="A119">
        <v>24</v>
      </c>
      <c r="B119" t="s">
        <v>187</v>
      </c>
      <c r="C119" cm="1">
        <f t="array" ref="C119">_xlfn.XLOOKUP(Logistics_Orders[[#This Row],[Logistics_ID]],Logistics_Catalog[[#All],[Logistics_ID]],Logistics_Catalog[[#All],[Base_Quantity]],0,0)</f>
        <v>1</v>
      </c>
      <c r="D119" cm="1">
        <f t="array" ref="D119">IF(Logistics_Orders[[#This Row],[Item]]="Chairs &amp; Tables",CEILING(_xlfn.XLOOKUP(Logistics_Orders[[#This Row],[Event_No]],Event_Master[[#All],[Event_No]],Event_Master[[#All],[Guest_Count]],,0)/Logistics_Orders[[#This Row],[Base_Quantity]],1),1)</f>
        <v>1</v>
      </c>
      <c r="E119" cm="1">
        <f t="array" ref="E119">Logistics_Orders[[#This Row],[Quantity_Ordered]]*_xlfn.XLOOKUP(Logistics_Orders[[#This Row],[Logistics_ID]],Logistics_Catalog[[#All],[Logistics_ID]],Logistics_Catalog[[#All],[Cost]],0,0)</f>
        <v>8000</v>
      </c>
      <c r="F119" cm="1">
        <f t="array" ref="F119">Logistics_Orders[[#This Row],[Quantity_Ordered]]*_xlfn.XLOOKUP(Logistics_Orders[[#This Row],[Logistics_ID]],Logistics_Catalog[[#All],[Logistics_ID]],Logistics_Catalog[[#All],[Client_Charge]],0,0)</f>
        <v>9500</v>
      </c>
      <c r="G119">
        <f>Logistics_Orders[[#This Row],[Client_Charge]]-Logistics_Orders[[#This Row],[Cost]]</f>
        <v>1500</v>
      </c>
      <c r="H119" t="s">
        <v>190</v>
      </c>
    </row>
    <row r="120" spans="1:8" x14ac:dyDescent="0.25">
      <c r="A120">
        <v>25</v>
      </c>
      <c r="B120" t="s">
        <v>177</v>
      </c>
      <c r="C120" cm="1">
        <f t="array" ref="C120">_xlfn.XLOOKUP(Logistics_Orders[[#This Row],[Logistics_ID]],Logistics_Catalog[[#All],[Logistics_ID]],Logistics_Catalog[[#All],[Base_Quantity]],0,0)</f>
        <v>300</v>
      </c>
      <c r="D120" cm="1">
        <f t="array" ref="D120">IF(Logistics_Orders[[#This Row],[Item]]="Chairs &amp; Tables",CEILING(_xlfn.XLOOKUP(Logistics_Orders[[#This Row],[Event_No]],Event_Master[[#All],[Event_No]],Event_Master[[#All],[Guest_Count]],,0)/Logistics_Orders[[#This Row],[Base_Quantity]],1),1)</f>
        <v>4</v>
      </c>
      <c r="E120" cm="1">
        <f t="array" ref="E120">Logistics_Orders[[#This Row],[Quantity_Ordered]]*_xlfn.XLOOKUP(Logistics_Orders[[#This Row],[Logistics_ID]],Logistics_Catalog[[#All],[Logistics_ID]],Logistics_Catalog[[#All],[Cost]],0,0)</f>
        <v>60000</v>
      </c>
      <c r="F120" cm="1">
        <f t="array" ref="F120">Logistics_Orders[[#This Row],[Quantity_Ordered]]*_xlfn.XLOOKUP(Logistics_Orders[[#This Row],[Logistics_ID]],Logistics_Catalog[[#All],[Logistics_ID]],Logistics_Catalog[[#All],[Client_Charge]],0,0)</f>
        <v>72000</v>
      </c>
      <c r="G120">
        <f>Logistics_Orders[[#This Row],[Client_Charge]]-Logistics_Orders[[#This Row],[Cost]]</f>
        <v>12000</v>
      </c>
      <c r="H120" t="s">
        <v>181</v>
      </c>
    </row>
    <row r="121" spans="1:8" x14ac:dyDescent="0.25">
      <c r="A121">
        <v>25</v>
      </c>
      <c r="B121" t="s">
        <v>182</v>
      </c>
      <c r="C121" cm="1">
        <f t="array" ref="C121">_xlfn.XLOOKUP(Logistics_Orders[[#This Row],[Logistics_ID]],Logistics_Catalog[[#All],[Logistics_ID]],Logistics_Catalog[[#All],[Base_Quantity]],0,0)</f>
        <v>1</v>
      </c>
      <c r="D121" cm="1">
        <f t="array" ref="D121">IF(Logistics_Orders[[#This Row],[Item]]="Chairs &amp; Tables",CEILING(_xlfn.XLOOKUP(Logistics_Orders[[#This Row],[Event_No]],Event_Master[[#All],[Event_No]],Event_Master[[#All],[Guest_Count]],,0)/Logistics_Orders[[#This Row],[Base_Quantity]],1),1)</f>
        <v>1</v>
      </c>
      <c r="E121" cm="1">
        <f t="array" ref="E121">Logistics_Orders[[#This Row],[Quantity_Ordered]]*_xlfn.XLOOKUP(Logistics_Orders[[#This Row],[Logistics_ID]],Logistics_Catalog[[#All],[Logistics_ID]],Logistics_Catalog[[#All],[Cost]],0,0)</f>
        <v>12000</v>
      </c>
      <c r="F121" cm="1">
        <f t="array" ref="F121">Logistics_Orders[[#This Row],[Quantity_Ordered]]*_xlfn.XLOOKUP(Logistics_Orders[[#This Row],[Logistics_ID]],Logistics_Catalog[[#All],[Logistics_ID]],Logistics_Catalog[[#All],[Client_Charge]],0,0)</f>
        <v>14500</v>
      </c>
      <c r="G121">
        <f>Logistics_Orders[[#This Row],[Client_Charge]]-Logistics_Orders[[#This Row],[Cost]]</f>
        <v>2500</v>
      </c>
      <c r="H121" t="s">
        <v>186</v>
      </c>
    </row>
    <row r="122" spans="1:8" x14ac:dyDescent="0.25">
      <c r="A122">
        <v>25</v>
      </c>
      <c r="B122" t="s">
        <v>191</v>
      </c>
      <c r="C122" cm="1">
        <f t="array" ref="C122">_xlfn.XLOOKUP(Logistics_Orders[[#This Row],[Logistics_ID]],Logistics_Catalog[[#All],[Logistics_ID]],Logistics_Catalog[[#All],[Base_Quantity]],0,0)</f>
        <v>5</v>
      </c>
      <c r="D122" cm="1">
        <f t="array" ref="D122">IF(Logistics_Orders[[#This Row],[Item]]="Chairs &amp; Tables",CEILING(_xlfn.XLOOKUP(Logistics_Orders[[#This Row],[Event_No]],Event_Master[[#All],[Event_No]],Event_Master[[#All],[Guest_Count]],,0)/Logistics_Orders[[#This Row],[Base_Quantity]],1),1)</f>
        <v>1</v>
      </c>
      <c r="E122" cm="1">
        <f t="array" ref="E122">Logistics_Orders[[#This Row],[Quantity_Ordered]]*_xlfn.XLOOKUP(Logistics_Orders[[#This Row],[Logistics_ID]],Logistics_Catalog[[#All],[Logistics_ID]],Logistics_Catalog[[#All],[Cost]],0,0)</f>
        <v>3000</v>
      </c>
      <c r="F122" cm="1">
        <f t="array" ref="F122">Logistics_Orders[[#This Row],[Quantity_Ordered]]*_xlfn.XLOOKUP(Logistics_Orders[[#This Row],[Logistics_ID]],Logistics_Catalog[[#All],[Logistics_ID]],Logistics_Catalog[[#All],[Client_Charge]],0,0)</f>
        <v>3600</v>
      </c>
      <c r="G122">
        <f>Logistics_Orders[[#This Row],[Client_Charge]]-Logistics_Orders[[#This Row],[Cost]]</f>
        <v>600</v>
      </c>
      <c r="H122" t="s">
        <v>194</v>
      </c>
    </row>
    <row r="123" spans="1:8" x14ac:dyDescent="0.25">
      <c r="A123">
        <v>25</v>
      </c>
      <c r="B123" t="s">
        <v>195</v>
      </c>
      <c r="C123" cm="1">
        <f t="array" ref="C123">_xlfn.XLOOKUP(Logistics_Orders[[#This Row],[Logistics_ID]],Logistics_Catalog[[#All],[Logistics_ID]],Logistics_Catalog[[#All],[Base_Quantity]],0,0)</f>
        <v>10</v>
      </c>
      <c r="D123" cm="1">
        <f t="array" ref="D123">IF(Logistics_Orders[[#This Row],[Item]]="Chairs &amp; Tables",CEILING(_xlfn.XLOOKUP(Logistics_Orders[[#This Row],[Event_No]],Event_Master[[#All],[Event_No]],Event_Master[[#All],[Guest_Count]],,0)/Logistics_Orders[[#This Row],[Base_Quantity]],1),1)</f>
        <v>1</v>
      </c>
      <c r="E123" cm="1">
        <f t="array" ref="E123">Logistics_Orders[[#This Row],[Quantity_Ordered]]*_xlfn.XLOOKUP(Logistics_Orders[[#This Row],[Logistics_ID]],Logistics_Catalog[[#All],[Logistics_ID]],Logistics_Catalog[[#All],[Cost]],0,0)</f>
        <v>6000</v>
      </c>
      <c r="F123" cm="1">
        <f t="array" ref="F123">Logistics_Orders[[#This Row],[Quantity_Ordered]]*_xlfn.XLOOKUP(Logistics_Orders[[#This Row],[Logistics_ID]],Logistics_Catalog[[#All],[Logistics_ID]],Logistics_Catalog[[#All],[Client_Charge]],0,0)</f>
        <v>7200</v>
      </c>
      <c r="G123">
        <f>Logistics_Orders[[#This Row],[Client_Charge]]-Logistics_Orders[[#This Row],[Cost]]</f>
        <v>1200</v>
      </c>
      <c r="H123" t="s">
        <v>198</v>
      </c>
    </row>
    <row r="124" spans="1:8" x14ac:dyDescent="0.25">
      <c r="A124">
        <v>25</v>
      </c>
      <c r="B124" t="s">
        <v>187</v>
      </c>
      <c r="C124" cm="1">
        <f t="array" ref="C124">_xlfn.XLOOKUP(Logistics_Orders[[#This Row],[Logistics_ID]],Logistics_Catalog[[#All],[Logistics_ID]],Logistics_Catalog[[#All],[Base_Quantity]],0,0)</f>
        <v>1</v>
      </c>
      <c r="D124" cm="1">
        <f t="array" ref="D124">IF(Logistics_Orders[[#This Row],[Item]]="Chairs &amp; Tables",CEILING(_xlfn.XLOOKUP(Logistics_Orders[[#This Row],[Event_No]],Event_Master[[#All],[Event_No]],Event_Master[[#All],[Guest_Count]],,0)/Logistics_Orders[[#This Row],[Base_Quantity]],1),1)</f>
        <v>1</v>
      </c>
      <c r="E124" cm="1">
        <f t="array" ref="E124">Logistics_Orders[[#This Row],[Quantity_Ordered]]*_xlfn.XLOOKUP(Logistics_Orders[[#This Row],[Logistics_ID]],Logistics_Catalog[[#All],[Logistics_ID]],Logistics_Catalog[[#All],[Cost]],0,0)</f>
        <v>8000</v>
      </c>
      <c r="F124" cm="1">
        <f t="array" ref="F124">Logistics_Orders[[#This Row],[Quantity_Ordered]]*_xlfn.XLOOKUP(Logistics_Orders[[#This Row],[Logistics_ID]],Logistics_Catalog[[#All],[Logistics_ID]],Logistics_Catalog[[#All],[Client_Charge]],0,0)</f>
        <v>9500</v>
      </c>
      <c r="G124">
        <f>Logistics_Orders[[#This Row],[Client_Charge]]-Logistics_Orders[[#This Row],[Cost]]</f>
        <v>1500</v>
      </c>
      <c r="H124" t="s">
        <v>190</v>
      </c>
    </row>
    <row r="125" spans="1:8" x14ac:dyDescent="0.25">
      <c r="A125">
        <v>26</v>
      </c>
      <c r="B125" t="s">
        <v>177</v>
      </c>
      <c r="C125" cm="1">
        <f t="array" ref="C125">_xlfn.XLOOKUP(Logistics_Orders[[#This Row],[Logistics_ID]],Logistics_Catalog[[#All],[Logistics_ID]],Logistics_Catalog[[#All],[Base_Quantity]],0,0)</f>
        <v>300</v>
      </c>
      <c r="D125" cm="1">
        <f t="array" ref="D125">IF(Logistics_Orders[[#This Row],[Item]]="Chairs &amp; Tables",CEILING(_xlfn.XLOOKUP(Logistics_Orders[[#This Row],[Event_No]],Event_Master[[#All],[Event_No]],Event_Master[[#All],[Guest_Count]],,0)/Logistics_Orders[[#This Row],[Base_Quantity]],1),1)</f>
        <v>4</v>
      </c>
      <c r="E125" cm="1">
        <f t="array" ref="E125">Logistics_Orders[[#This Row],[Quantity_Ordered]]*_xlfn.XLOOKUP(Logistics_Orders[[#This Row],[Logistics_ID]],Logistics_Catalog[[#All],[Logistics_ID]],Logistics_Catalog[[#All],[Cost]],0,0)</f>
        <v>60000</v>
      </c>
      <c r="F125" cm="1">
        <f t="array" ref="F125">Logistics_Orders[[#This Row],[Quantity_Ordered]]*_xlfn.XLOOKUP(Logistics_Orders[[#This Row],[Logistics_ID]],Logistics_Catalog[[#All],[Logistics_ID]],Logistics_Catalog[[#All],[Client_Charge]],0,0)</f>
        <v>72000</v>
      </c>
      <c r="G125">
        <f>Logistics_Orders[[#This Row],[Client_Charge]]-Logistics_Orders[[#This Row],[Cost]]</f>
        <v>12000</v>
      </c>
      <c r="H125" t="s">
        <v>181</v>
      </c>
    </row>
    <row r="126" spans="1:8" x14ac:dyDescent="0.25">
      <c r="A126">
        <v>26</v>
      </c>
      <c r="B126" t="s">
        <v>182</v>
      </c>
      <c r="C126" cm="1">
        <f t="array" ref="C126">_xlfn.XLOOKUP(Logistics_Orders[[#This Row],[Logistics_ID]],Logistics_Catalog[[#All],[Logistics_ID]],Logistics_Catalog[[#All],[Base_Quantity]],0,0)</f>
        <v>1</v>
      </c>
      <c r="D126" cm="1">
        <f t="array" ref="D126">IF(Logistics_Orders[[#This Row],[Item]]="Chairs &amp; Tables",CEILING(_xlfn.XLOOKUP(Logistics_Orders[[#This Row],[Event_No]],Event_Master[[#All],[Event_No]],Event_Master[[#All],[Guest_Count]],,0)/Logistics_Orders[[#This Row],[Base_Quantity]],1),1)</f>
        <v>1</v>
      </c>
      <c r="E126" cm="1">
        <f t="array" ref="E126">Logistics_Orders[[#This Row],[Quantity_Ordered]]*_xlfn.XLOOKUP(Logistics_Orders[[#This Row],[Logistics_ID]],Logistics_Catalog[[#All],[Logistics_ID]],Logistics_Catalog[[#All],[Cost]],0,0)</f>
        <v>12000</v>
      </c>
      <c r="F126" cm="1">
        <f t="array" ref="F126">Logistics_Orders[[#This Row],[Quantity_Ordered]]*_xlfn.XLOOKUP(Logistics_Orders[[#This Row],[Logistics_ID]],Logistics_Catalog[[#All],[Logistics_ID]],Logistics_Catalog[[#All],[Client_Charge]],0,0)</f>
        <v>14500</v>
      </c>
      <c r="G126">
        <f>Logistics_Orders[[#This Row],[Client_Charge]]-Logistics_Orders[[#This Row],[Cost]]</f>
        <v>2500</v>
      </c>
      <c r="H126" t="s">
        <v>186</v>
      </c>
    </row>
    <row r="127" spans="1:8" x14ac:dyDescent="0.25">
      <c r="A127">
        <v>26</v>
      </c>
      <c r="B127" t="s">
        <v>191</v>
      </c>
      <c r="C127" cm="1">
        <f t="array" ref="C127">_xlfn.XLOOKUP(Logistics_Orders[[#This Row],[Logistics_ID]],Logistics_Catalog[[#All],[Logistics_ID]],Logistics_Catalog[[#All],[Base_Quantity]],0,0)</f>
        <v>5</v>
      </c>
      <c r="D127" cm="1">
        <f t="array" ref="D127">IF(Logistics_Orders[[#This Row],[Item]]="Chairs &amp; Tables",CEILING(_xlfn.XLOOKUP(Logistics_Orders[[#This Row],[Event_No]],Event_Master[[#All],[Event_No]],Event_Master[[#All],[Guest_Count]],,0)/Logistics_Orders[[#This Row],[Base_Quantity]],1),1)</f>
        <v>1</v>
      </c>
      <c r="E127" cm="1">
        <f t="array" ref="E127">Logistics_Orders[[#This Row],[Quantity_Ordered]]*_xlfn.XLOOKUP(Logistics_Orders[[#This Row],[Logistics_ID]],Logistics_Catalog[[#All],[Logistics_ID]],Logistics_Catalog[[#All],[Cost]],0,0)</f>
        <v>3000</v>
      </c>
      <c r="F127" cm="1">
        <f t="array" ref="F127">Logistics_Orders[[#This Row],[Quantity_Ordered]]*_xlfn.XLOOKUP(Logistics_Orders[[#This Row],[Logistics_ID]],Logistics_Catalog[[#All],[Logistics_ID]],Logistics_Catalog[[#All],[Client_Charge]],0,0)</f>
        <v>3600</v>
      </c>
      <c r="G127">
        <f>Logistics_Orders[[#This Row],[Client_Charge]]-Logistics_Orders[[#This Row],[Cost]]</f>
        <v>600</v>
      </c>
      <c r="H127" t="s">
        <v>194</v>
      </c>
    </row>
    <row r="128" spans="1:8" x14ac:dyDescent="0.25">
      <c r="A128">
        <v>26</v>
      </c>
      <c r="B128" t="s">
        <v>195</v>
      </c>
      <c r="C128" cm="1">
        <f t="array" ref="C128">_xlfn.XLOOKUP(Logistics_Orders[[#This Row],[Logistics_ID]],Logistics_Catalog[[#All],[Logistics_ID]],Logistics_Catalog[[#All],[Base_Quantity]],0,0)</f>
        <v>10</v>
      </c>
      <c r="D128" cm="1">
        <f t="array" ref="D128">IF(Logistics_Orders[[#This Row],[Item]]="Chairs &amp; Tables",CEILING(_xlfn.XLOOKUP(Logistics_Orders[[#This Row],[Event_No]],Event_Master[[#All],[Event_No]],Event_Master[[#All],[Guest_Count]],,0)/Logistics_Orders[[#This Row],[Base_Quantity]],1),1)</f>
        <v>1</v>
      </c>
      <c r="E128" cm="1">
        <f t="array" ref="E128">Logistics_Orders[[#This Row],[Quantity_Ordered]]*_xlfn.XLOOKUP(Logistics_Orders[[#This Row],[Logistics_ID]],Logistics_Catalog[[#All],[Logistics_ID]],Logistics_Catalog[[#All],[Cost]],0,0)</f>
        <v>6000</v>
      </c>
      <c r="F128" cm="1">
        <f t="array" ref="F128">Logistics_Orders[[#This Row],[Quantity_Ordered]]*_xlfn.XLOOKUP(Logistics_Orders[[#This Row],[Logistics_ID]],Logistics_Catalog[[#All],[Logistics_ID]],Logistics_Catalog[[#All],[Client_Charge]],0,0)</f>
        <v>7200</v>
      </c>
      <c r="G128">
        <f>Logistics_Orders[[#This Row],[Client_Charge]]-Logistics_Orders[[#This Row],[Cost]]</f>
        <v>1200</v>
      </c>
      <c r="H128" t="s">
        <v>198</v>
      </c>
    </row>
    <row r="129" spans="1:8" x14ac:dyDescent="0.25">
      <c r="A129">
        <v>26</v>
      </c>
      <c r="B129" t="s">
        <v>187</v>
      </c>
      <c r="C129" cm="1">
        <f t="array" ref="C129">_xlfn.XLOOKUP(Logistics_Orders[[#This Row],[Logistics_ID]],Logistics_Catalog[[#All],[Logistics_ID]],Logistics_Catalog[[#All],[Base_Quantity]],0,0)</f>
        <v>1</v>
      </c>
      <c r="D129" cm="1">
        <f t="array" ref="D129">IF(Logistics_Orders[[#This Row],[Item]]="Chairs &amp; Tables",CEILING(_xlfn.XLOOKUP(Logistics_Orders[[#This Row],[Event_No]],Event_Master[[#All],[Event_No]],Event_Master[[#All],[Guest_Count]],,0)/Logistics_Orders[[#This Row],[Base_Quantity]],1),1)</f>
        <v>1</v>
      </c>
      <c r="E129" cm="1">
        <f t="array" ref="E129">Logistics_Orders[[#This Row],[Quantity_Ordered]]*_xlfn.XLOOKUP(Logistics_Orders[[#This Row],[Logistics_ID]],Logistics_Catalog[[#All],[Logistics_ID]],Logistics_Catalog[[#All],[Cost]],0,0)</f>
        <v>8000</v>
      </c>
      <c r="F129" cm="1">
        <f t="array" ref="F129">Logistics_Orders[[#This Row],[Quantity_Ordered]]*_xlfn.XLOOKUP(Logistics_Orders[[#This Row],[Logistics_ID]],Logistics_Catalog[[#All],[Logistics_ID]],Logistics_Catalog[[#All],[Client_Charge]],0,0)</f>
        <v>9500</v>
      </c>
      <c r="G129">
        <f>Logistics_Orders[[#This Row],[Client_Charge]]-Logistics_Orders[[#This Row],[Cost]]</f>
        <v>1500</v>
      </c>
      <c r="H129" t="s">
        <v>190</v>
      </c>
    </row>
    <row r="130" spans="1:8" x14ac:dyDescent="0.25">
      <c r="A130">
        <v>27</v>
      </c>
      <c r="B130" t="s">
        <v>177</v>
      </c>
      <c r="C130" cm="1">
        <f t="array" ref="C130">_xlfn.XLOOKUP(Logistics_Orders[[#This Row],[Logistics_ID]],Logistics_Catalog[[#All],[Logistics_ID]],Logistics_Catalog[[#All],[Base_Quantity]],0,0)</f>
        <v>300</v>
      </c>
      <c r="D130" cm="1">
        <f t="array" ref="D130">IF(Logistics_Orders[[#This Row],[Item]]="Chairs &amp; Tables",CEILING(_xlfn.XLOOKUP(Logistics_Orders[[#This Row],[Event_No]],Event_Master[[#All],[Event_No]],Event_Master[[#All],[Guest_Count]],,0)/Logistics_Orders[[#This Row],[Base_Quantity]],1),1)</f>
        <v>3</v>
      </c>
      <c r="E130" cm="1">
        <f t="array" ref="E130">Logistics_Orders[[#This Row],[Quantity_Ordered]]*_xlfn.XLOOKUP(Logistics_Orders[[#This Row],[Logistics_ID]],Logistics_Catalog[[#All],[Logistics_ID]],Logistics_Catalog[[#All],[Cost]],0,0)</f>
        <v>45000</v>
      </c>
      <c r="F130" cm="1">
        <f t="array" ref="F130">Logistics_Orders[[#This Row],[Quantity_Ordered]]*_xlfn.XLOOKUP(Logistics_Orders[[#This Row],[Logistics_ID]],Logistics_Catalog[[#All],[Logistics_ID]],Logistics_Catalog[[#All],[Client_Charge]],0,0)</f>
        <v>54000</v>
      </c>
      <c r="G130">
        <f>Logistics_Orders[[#This Row],[Client_Charge]]-Logistics_Orders[[#This Row],[Cost]]</f>
        <v>9000</v>
      </c>
      <c r="H130" t="s">
        <v>181</v>
      </c>
    </row>
    <row r="131" spans="1:8" x14ac:dyDescent="0.25">
      <c r="A131">
        <v>27</v>
      </c>
      <c r="B131" t="s">
        <v>182</v>
      </c>
      <c r="C131" cm="1">
        <f t="array" ref="C131">_xlfn.XLOOKUP(Logistics_Orders[[#This Row],[Logistics_ID]],Logistics_Catalog[[#All],[Logistics_ID]],Logistics_Catalog[[#All],[Base_Quantity]],0,0)</f>
        <v>1</v>
      </c>
      <c r="D131" cm="1">
        <f t="array" ref="D131">IF(Logistics_Orders[[#This Row],[Item]]="Chairs &amp; Tables",CEILING(_xlfn.XLOOKUP(Logistics_Orders[[#This Row],[Event_No]],Event_Master[[#All],[Event_No]],Event_Master[[#All],[Guest_Count]],,0)/Logistics_Orders[[#This Row],[Base_Quantity]],1),1)</f>
        <v>1</v>
      </c>
      <c r="E131" cm="1">
        <f t="array" ref="E131">Logistics_Orders[[#This Row],[Quantity_Ordered]]*_xlfn.XLOOKUP(Logistics_Orders[[#This Row],[Logistics_ID]],Logistics_Catalog[[#All],[Logistics_ID]],Logistics_Catalog[[#All],[Cost]],0,0)</f>
        <v>12000</v>
      </c>
      <c r="F131" cm="1">
        <f t="array" ref="F131">Logistics_Orders[[#This Row],[Quantity_Ordered]]*_xlfn.XLOOKUP(Logistics_Orders[[#This Row],[Logistics_ID]],Logistics_Catalog[[#All],[Logistics_ID]],Logistics_Catalog[[#All],[Client_Charge]],0,0)</f>
        <v>14500</v>
      </c>
      <c r="G131">
        <f>Logistics_Orders[[#This Row],[Client_Charge]]-Logistics_Orders[[#This Row],[Cost]]</f>
        <v>2500</v>
      </c>
      <c r="H131" t="s">
        <v>186</v>
      </c>
    </row>
    <row r="132" spans="1:8" x14ac:dyDescent="0.25">
      <c r="A132">
        <v>27</v>
      </c>
      <c r="B132" t="s">
        <v>191</v>
      </c>
      <c r="C132" cm="1">
        <f t="array" ref="C132">_xlfn.XLOOKUP(Logistics_Orders[[#This Row],[Logistics_ID]],Logistics_Catalog[[#All],[Logistics_ID]],Logistics_Catalog[[#All],[Base_Quantity]],0,0)</f>
        <v>5</v>
      </c>
      <c r="D132" cm="1">
        <f t="array" ref="D132">IF(Logistics_Orders[[#This Row],[Item]]="Chairs &amp; Tables",CEILING(_xlfn.XLOOKUP(Logistics_Orders[[#This Row],[Event_No]],Event_Master[[#All],[Event_No]],Event_Master[[#All],[Guest_Count]],,0)/Logistics_Orders[[#This Row],[Base_Quantity]],1),1)</f>
        <v>1</v>
      </c>
      <c r="E132" cm="1">
        <f t="array" ref="E132">Logistics_Orders[[#This Row],[Quantity_Ordered]]*_xlfn.XLOOKUP(Logistics_Orders[[#This Row],[Logistics_ID]],Logistics_Catalog[[#All],[Logistics_ID]],Logistics_Catalog[[#All],[Cost]],0,0)</f>
        <v>3000</v>
      </c>
      <c r="F132" cm="1">
        <f t="array" ref="F132">Logistics_Orders[[#This Row],[Quantity_Ordered]]*_xlfn.XLOOKUP(Logistics_Orders[[#This Row],[Logistics_ID]],Logistics_Catalog[[#All],[Logistics_ID]],Logistics_Catalog[[#All],[Client_Charge]],0,0)</f>
        <v>3600</v>
      </c>
      <c r="G132">
        <f>Logistics_Orders[[#This Row],[Client_Charge]]-Logistics_Orders[[#This Row],[Cost]]</f>
        <v>600</v>
      </c>
      <c r="H132" t="s">
        <v>194</v>
      </c>
    </row>
    <row r="133" spans="1:8" x14ac:dyDescent="0.25">
      <c r="A133">
        <v>27</v>
      </c>
      <c r="B133" t="s">
        <v>195</v>
      </c>
      <c r="C133" cm="1">
        <f t="array" ref="C133">_xlfn.XLOOKUP(Logistics_Orders[[#This Row],[Logistics_ID]],Logistics_Catalog[[#All],[Logistics_ID]],Logistics_Catalog[[#All],[Base_Quantity]],0,0)</f>
        <v>10</v>
      </c>
      <c r="D133" cm="1">
        <f t="array" ref="D133">IF(Logistics_Orders[[#This Row],[Item]]="Chairs &amp; Tables",CEILING(_xlfn.XLOOKUP(Logistics_Orders[[#This Row],[Event_No]],Event_Master[[#All],[Event_No]],Event_Master[[#All],[Guest_Count]],,0)/Logistics_Orders[[#This Row],[Base_Quantity]],1),1)</f>
        <v>1</v>
      </c>
      <c r="E133" cm="1">
        <f t="array" ref="E133">Logistics_Orders[[#This Row],[Quantity_Ordered]]*_xlfn.XLOOKUP(Logistics_Orders[[#This Row],[Logistics_ID]],Logistics_Catalog[[#All],[Logistics_ID]],Logistics_Catalog[[#All],[Cost]],0,0)</f>
        <v>6000</v>
      </c>
      <c r="F133" cm="1">
        <f t="array" ref="F133">Logistics_Orders[[#This Row],[Quantity_Ordered]]*_xlfn.XLOOKUP(Logistics_Orders[[#This Row],[Logistics_ID]],Logistics_Catalog[[#All],[Logistics_ID]],Logistics_Catalog[[#All],[Client_Charge]],0,0)</f>
        <v>7200</v>
      </c>
      <c r="G133">
        <f>Logistics_Orders[[#This Row],[Client_Charge]]-Logistics_Orders[[#This Row],[Cost]]</f>
        <v>1200</v>
      </c>
      <c r="H133" t="s">
        <v>198</v>
      </c>
    </row>
    <row r="134" spans="1:8" x14ac:dyDescent="0.25">
      <c r="A134">
        <v>27</v>
      </c>
      <c r="B134" t="s">
        <v>187</v>
      </c>
      <c r="C134" cm="1">
        <f t="array" ref="C134">_xlfn.XLOOKUP(Logistics_Orders[[#This Row],[Logistics_ID]],Logistics_Catalog[[#All],[Logistics_ID]],Logistics_Catalog[[#All],[Base_Quantity]],0,0)</f>
        <v>1</v>
      </c>
      <c r="D134" cm="1">
        <f t="array" ref="D134">IF(Logistics_Orders[[#This Row],[Item]]="Chairs &amp; Tables",CEILING(_xlfn.XLOOKUP(Logistics_Orders[[#This Row],[Event_No]],Event_Master[[#All],[Event_No]],Event_Master[[#All],[Guest_Count]],,0)/Logistics_Orders[[#This Row],[Base_Quantity]],1),1)</f>
        <v>1</v>
      </c>
      <c r="E134" cm="1">
        <f t="array" ref="E134">Logistics_Orders[[#This Row],[Quantity_Ordered]]*_xlfn.XLOOKUP(Logistics_Orders[[#This Row],[Logistics_ID]],Logistics_Catalog[[#All],[Logistics_ID]],Logistics_Catalog[[#All],[Cost]],0,0)</f>
        <v>8000</v>
      </c>
      <c r="F134" cm="1">
        <f t="array" ref="F134">Logistics_Orders[[#This Row],[Quantity_Ordered]]*_xlfn.XLOOKUP(Logistics_Orders[[#This Row],[Logistics_ID]],Logistics_Catalog[[#All],[Logistics_ID]],Logistics_Catalog[[#All],[Client_Charge]],0,0)</f>
        <v>9500</v>
      </c>
      <c r="G134">
        <f>Logistics_Orders[[#This Row],[Client_Charge]]-Logistics_Orders[[#This Row],[Cost]]</f>
        <v>1500</v>
      </c>
      <c r="H134" t="s">
        <v>190</v>
      </c>
    </row>
    <row r="135" spans="1:8" x14ac:dyDescent="0.25">
      <c r="A135">
        <v>28</v>
      </c>
      <c r="B135" t="s">
        <v>177</v>
      </c>
      <c r="C135" cm="1">
        <f t="array" ref="C135">_xlfn.XLOOKUP(Logistics_Orders[[#This Row],[Logistics_ID]],Logistics_Catalog[[#All],[Logistics_ID]],Logistics_Catalog[[#All],[Base_Quantity]],0,0)</f>
        <v>300</v>
      </c>
      <c r="D135" cm="1">
        <f t="array" ref="D135">IF(Logistics_Orders[[#This Row],[Item]]="Chairs &amp; Tables",CEILING(_xlfn.XLOOKUP(Logistics_Orders[[#This Row],[Event_No]],Event_Master[[#All],[Event_No]],Event_Master[[#All],[Guest_Count]],,0)/Logistics_Orders[[#This Row],[Base_Quantity]],1),1)</f>
        <v>3</v>
      </c>
      <c r="E135" cm="1">
        <f t="array" ref="E135">Logistics_Orders[[#This Row],[Quantity_Ordered]]*_xlfn.XLOOKUP(Logistics_Orders[[#This Row],[Logistics_ID]],Logistics_Catalog[[#All],[Logistics_ID]],Logistics_Catalog[[#All],[Cost]],0,0)</f>
        <v>45000</v>
      </c>
      <c r="F135" cm="1">
        <f t="array" ref="F135">Logistics_Orders[[#This Row],[Quantity_Ordered]]*_xlfn.XLOOKUP(Logistics_Orders[[#This Row],[Logistics_ID]],Logistics_Catalog[[#All],[Logistics_ID]],Logistics_Catalog[[#All],[Client_Charge]],0,0)</f>
        <v>54000</v>
      </c>
      <c r="G135">
        <f>Logistics_Orders[[#This Row],[Client_Charge]]-Logistics_Orders[[#This Row],[Cost]]</f>
        <v>9000</v>
      </c>
      <c r="H135" t="s">
        <v>181</v>
      </c>
    </row>
    <row r="136" spans="1:8" x14ac:dyDescent="0.25">
      <c r="A136">
        <v>28</v>
      </c>
      <c r="B136" t="s">
        <v>182</v>
      </c>
      <c r="C136" cm="1">
        <f t="array" ref="C136">_xlfn.XLOOKUP(Logistics_Orders[[#This Row],[Logistics_ID]],Logistics_Catalog[[#All],[Logistics_ID]],Logistics_Catalog[[#All],[Base_Quantity]],0,0)</f>
        <v>1</v>
      </c>
      <c r="D136" cm="1">
        <f t="array" ref="D136">IF(Logistics_Orders[[#This Row],[Item]]="Chairs &amp; Tables",CEILING(_xlfn.XLOOKUP(Logistics_Orders[[#This Row],[Event_No]],Event_Master[[#All],[Event_No]],Event_Master[[#All],[Guest_Count]],,0)/Logistics_Orders[[#This Row],[Base_Quantity]],1),1)</f>
        <v>1</v>
      </c>
      <c r="E136" cm="1">
        <f t="array" ref="E136">Logistics_Orders[[#This Row],[Quantity_Ordered]]*_xlfn.XLOOKUP(Logistics_Orders[[#This Row],[Logistics_ID]],Logistics_Catalog[[#All],[Logistics_ID]],Logistics_Catalog[[#All],[Cost]],0,0)</f>
        <v>12000</v>
      </c>
      <c r="F136" cm="1">
        <f t="array" ref="F136">Logistics_Orders[[#This Row],[Quantity_Ordered]]*_xlfn.XLOOKUP(Logistics_Orders[[#This Row],[Logistics_ID]],Logistics_Catalog[[#All],[Logistics_ID]],Logistics_Catalog[[#All],[Client_Charge]],0,0)</f>
        <v>14500</v>
      </c>
      <c r="G136">
        <f>Logistics_Orders[[#This Row],[Client_Charge]]-Logistics_Orders[[#This Row],[Cost]]</f>
        <v>2500</v>
      </c>
      <c r="H136" t="s">
        <v>186</v>
      </c>
    </row>
    <row r="137" spans="1:8" x14ac:dyDescent="0.25">
      <c r="A137">
        <v>28</v>
      </c>
      <c r="B137" t="s">
        <v>191</v>
      </c>
      <c r="C137" cm="1">
        <f t="array" ref="C137">_xlfn.XLOOKUP(Logistics_Orders[[#This Row],[Logistics_ID]],Logistics_Catalog[[#All],[Logistics_ID]],Logistics_Catalog[[#All],[Base_Quantity]],0,0)</f>
        <v>5</v>
      </c>
      <c r="D137" cm="1">
        <f t="array" ref="D137">IF(Logistics_Orders[[#This Row],[Item]]="Chairs &amp; Tables",CEILING(_xlfn.XLOOKUP(Logistics_Orders[[#This Row],[Event_No]],Event_Master[[#All],[Event_No]],Event_Master[[#All],[Guest_Count]],,0)/Logistics_Orders[[#This Row],[Base_Quantity]],1),1)</f>
        <v>1</v>
      </c>
      <c r="E137" cm="1">
        <f t="array" ref="E137">Logistics_Orders[[#This Row],[Quantity_Ordered]]*_xlfn.XLOOKUP(Logistics_Orders[[#This Row],[Logistics_ID]],Logistics_Catalog[[#All],[Logistics_ID]],Logistics_Catalog[[#All],[Cost]],0,0)</f>
        <v>3000</v>
      </c>
      <c r="F137" cm="1">
        <f t="array" ref="F137">Logistics_Orders[[#This Row],[Quantity_Ordered]]*_xlfn.XLOOKUP(Logistics_Orders[[#This Row],[Logistics_ID]],Logistics_Catalog[[#All],[Logistics_ID]],Logistics_Catalog[[#All],[Client_Charge]],0,0)</f>
        <v>3600</v>
      </c>
      <c r="G137">
        <f>Logistics_Orders[[#This Row],[Client_Charge]]-Logistics_Orders[[#This Row],[Cost]]</f>
        <v>600</v>
      </c>
      <c r="H137" t="s">
        <v>194</v>
      </c>
    </row>
    <row r="138" spans="1:8" x14ac:dyDescent="0.25">
      <c r="A138">
        <v>28</v>
      </c>
      <c r="B138" t="s">
        <v>195</v>
      </c>
      <c r="C138" cm="1">
        <f t="array" ref="C138">_xlfn.XLOOKUP(Logistics_Orders[[#This Row],[Logistics_ID]],Logistics_Catalog[[#All],[Logistics_ID]],Logistics_Catalog[[#All],[Base_Quantity]],0,0)</f>
        <v>10</v>
      </c>
      <c r="D138" cm="1">
        <f t="array" ref="D138">IF(Logistics_Orders[[#This Row],[Item]]="Chairs &amp; Tables",CEILING(_xlfn.XLOOKUP(Logistics_Orders[[#This Row],[Event_No]],Event_Master[[#All],[Event_No]],Event_Master[[#All],[Guest_Count]],,0)/Logistics_Orders[[#This Row],[Base_Quantity]],1),1)</f>
        <v>1</v>
      </c>
      <c r="E138" cm="1">
        <f t="array" ref="E138">Logistics_Orders[[#This Row],[Quantity_Ordered]]*_xlfn.XLOOKUP(Logistics_Orders[[#This Row],[Logistics_ID]],Logistics_Catalog[[#All],[Logistics_ID]],Logistics_Catalog[[#All],[Cost]],0,0)</f>
        <v>6000</v>
      </c>
      <c r="F138" cm="1">
        <f t="array" ref="F138">Logistics_Orders[[#This Row],[Quantity_Ordered]]*_xlfn.XLOOKUP(Logistics_Orders[[#This Row],[Logistics_ID]],Logistics_Catalog[[#All],[Logistics_ID]],Logistics_Catalog[[#All],[Client_Charge]],0,0)</f>
        <v>7200</v>
      </c>
      <c r="G138">
        <f>Logistics_Orders[[#This Row],[Client_Charge]]-Logistics_Orders[[#This Row],[Cost]]</f>
        <v>1200</v>
      </c>
      <c r="H138" t="s">
        <v>198</v>
      </c>
    </row>
    <row r="139" spans="1:8" x14ac:dyDescent="0.25">
      <c r="A139">
        <v>28</v>
      </c>
      <c r="B139" t="s">
        <v>187</v>
      </c>
      <c r="C139" cm="1">
        <f t="array" ref="C139">_xlfn.XLOOKUP(Logistics_Orders[[#This Row],[Logistics_ID]],Logistics_Catalog[[#All],[Logistics_ID]],Logistics_Catalog[[#All],[Base_Quantity]],0,0)</f>
        <v>1</v>
      </c>
      <c r="D139" cm="1">
        <f t="array" ref="D139">IF(Logistics_Orders[[#This Row],[Item]]="Chairs &amp; Tables",CEILING(_xlfn.XLOOKUP(Logistics_Orders[[#This Row],[Event_No]],Event_Master[[#All],[Event_No]],Event_Master[[#All],[Guest_Count]],,0)/Logistics_Orders[[#This Row],[Base_Quantity]],1),1)</f>
        <v>1</v>
      </c>
      <c r="E139" cm="1">
        <f t="array" ref="E139">Logistics_Orders[[#This Row],[Quantity_Ordered]]*_xlfn.XLOOKUP(Logistics_Orders[[#This Row],[Logistics_ID]],Logistics_Catalog[[#All],[Logistics_ID]],Logistics_Catalog[[#All],[Cost]],0,0)</f>
        <v>8000</v>
      </c>
      <c r="F139" cm="1">
        <f t="array" ref="F139">Logistics_Orders[[#This Row],[Quantity_Ordered]]*_xlfn.XLOOKUP(Logistics_Orders[[#This Row],[Logistics_ID]],Logistics_Catalog[[#All],[Logistics_ID]],Logistics_Catalog[[#All],[Client_Charge]],0,0)</f>
        <v>9500</v>
      </c>
      <c r="G139">
        <f>Logistics_Orders[[#This Row],[Client_Charge]]-Logistics_Orders[[#This Row],[Cost]]</f>
        <v>1500</v>
      </c>
      <c r="H139" t="s">
        <v>190</v>
      </c>
    </row>
    <row r="140" spans="1:8" x14ac:dyDescent="0.25">
      <c r="A140">
        <v>29</v>
      </c>
      <c r="B140" t="s">
        <v>177</v>
      </c>
      <c r="C140" cm="1">
        <f t="array" ref="C140">_xlfn.XLOOKUP(Logistics_Orders[[#This Row],[Logistics_ID]],Logistics_Catalog[[#All],[Logistics_ID]],Logistics_Catalog[[#All],[Base_Quantity]],0,0)</f>
        <v>300</v>
      </c>
      <c r="D140" cm="1">
        <f t="array" ref="D140">IF(Logistics_Orders[[#This Row],[Item]]="Chairs &amp; Tables",CEILING(_xlfn.XLOOKUP(Logistics_Orders[[#This Row],[Event_No]],Event_Master[[#All],[Event_No]],Event_Master[[#All],[Guest_Count]],,0)/Logistics_Orders[[#This Row],[Base_Quantity]],1),1)</f>
        <v>2</v>
      </c>
      <c r="E140" cm="1">
        <f t="array" ref="E140">Logistics_Orders[[#This Row],[Quantity_Ordered]]*_xlfn.XLOOKUP(Logistics_Orders[[#This Row],[Logistics_ID]],Logistics_Catalog[[#All],[Logistics_ID]],Logistics_Catalog[[#All],[Cost]],0,0)</f>
        <v>30000</v>
      </c>
      <c r="F140" cm="1">
        <f t="array" ref="F140">Logistics_Orders[[#This Row],[Quantity_Ordered]]*_xlfn.XLOOKUP(Logistics_Orders[[#This Row],[Logistics_ID]],Logistics_Catalog[[#All],[Logistics_ID]],Logistics_Catalog[[#All],[Client_Charge]],0,0)</f>
        <v>36000</v>
      </c>
      <c r="G140">
        <f>Logistics_Orders[[#This Row],[Client_Charge]]-Logistics_Orders[[#This Row],[Cost]]</f>
        <v>6000</v>
      </c>
      <c r="H140" t="s">
        <v>181</v>
      </c>
    </row>
    <row r="141" spans="1:8" x14ac:dyDescent="0.25">
      <c r="A141">
        <v>29</v>
      </c>
      <c r="B141" t="s">
        <v>182</v>
      </c>
      <c r="C141" cm="1">
        <f t="array" ref="C141">_xlfn.XLOOKUP(Logistics_Orders[[#This Row],[Logistics_ID]],Logistics_Catalog[[#All],[Logistics_ID]],Logistics_Catalog[[#All],[Base_Quantity]],0,0)</f>
        <v>1</v>
      </c>
      <c r="D141" cm="1">
        <f t="array" ref="D141">IF(Logistics_Orders[[#This Row],[Item]]="Chairs &amp; Tables",CEILING(_xlfn.XLOOKUP(Logistics_Orders[[#This Row],[Event_No]],Event_Master[[#All],[Event_No]],Event_Master[[#All],[Guest_Count]],,0)/Logistics_Orders[[#This Row],[Base_Quantity]],1),1)</f>
        <v>1</v>
      </c>
      <c r="E141" cm="1">
        <f t="array" ref="E141">Logistics_Orders[[#This Row],[Quantity_Ordered]]*_xlfn.XLOOKUP(Logistics_Orders[[#This Row],[Logistics_ID]],Logistics_Catalog[[#All],[Logistics_ID]],Logistics_Catalog[[#All],[Cost]],0,0)</f>
        <v>12000</v>
      </c>
      <c r="F141" cm="1">
        <f t="array" ref="F141">Logistics_Orders[[#This Row],[Quantity_Ordered]]*_xlfn.XLOOKUP(Logistics_Orders[[#This Row],[Logistics_ID]],Logistics_Catalog[[#All],[Logistics_ID]],Logistics_Catalog[[#All],[Client_Charge]],0,0)</f>
        <v>14500</v>
      </c>
      <c r="G141">
        <f>Logistics_Orders[[#This Row],[Client_Charge]]-Logistics_Orders[[#This Row],[Cost]]</f>
        <v>2500</v>
      </c>
      <c r="H141" t="s">
        <v>186</v>
      </c>
    </row>
    <row r="142" spans="1:8" x14ac:dyDescent="0.25">
      <c r="A142">
        <v>29</v>
      </c>
      <c r="B142" t="s">
        <v>191</v>
      </c>
      <c r="C142" cm="1">
        <f t="array" ref="C142">_xlfn.XLOOKUP(Logistics_Orders[[#This Row],[Logistics_ID]],Logistics_Catalog[[#All],[Logistics_ID]],Logistics_Catalog[[#All],[Base_Quantity]],0,0)</f>
        <v>5</v>
      </c>
      <c r="D142" cm="1">
        <f t="array" ref="D142">IF(Logistics_Orders[[#This Row],[Item]]="Chairs &amp; Tables",CEILING(_xlfn.XLOOKUP(Logistics_Orders[[#This Row],[Event_No]],Event_Master[[#All],[Event_No]],Event_Master[[#All],[Guest_Count]],,0)/Logistics_Orders[[#This Row],[Base_Quantity]],1),1)</f>
        <v>1</v>
      </c>
      <c r="E142" cm="1">
        <f t="array" ref="E142">Logistics_Orders[[#This Row],[Quantity_Ordered]]*_xlfn.XLOOKUP(Logistics_Orders[[#This Row],[Logistics_ID]],Logistics_Catalog[[#All],[Logistics_ID]],Logistics_Catalog[[#All],[Cost]],0,0)</f>
        <v>3000</v>
      </c>
      <c r="F142" cm="1">
        <f t="array" ref="F142">Logistics_Orders[[#This Row],[Quantity_Ordered]]*_xlfn.XLOOKUP(Logistics_Orders[[#This Row],[Logistics_ID]],Logistics_Catalog[[#All],[Logistics_ID]],Logistics_Catalog[[#All],[Client_Charge]],0,0)</f>
        <v>3600</v>
      </c>
      <c r="G142">
        <f>Logistics_Orders[[#This Row],[Client_Charge]]-Logistics_Orders[[#This Row],[Cost]]</f>
        <v>600</v>
      </c>
      <c r="H142" t="s">
        <v>194</v>
      </c>
    </row>
    <row r="143" spans="1:8" x14ac:dyDescent="0.25">
      <c r="A143">
        <v>29</v>
      </c>
      <c r="B143" t="s">
        <v>187</v>
      </c>
      <c r="C143" cm="1">
        <f t="array" ref="C143">_xlfn.XLOOKUP(Logistics_Orders[[#This Row],[Logistics_ID]],Logistics_Catalog[[#All],[Logistics_ID]],Logistics_Catalog[[#All],[Base_Quantity]],0,0)</f>
        <v>1</v>
      </c>
      <c r="D143" cm="1">
        <f t="array" ref="D143">IF(Logistics_Orders[[#This Row],[Item]]="Chairs &amp; Tables",CEILING(_xlfn.XLOOKUP(Logistics_Orders[[#This Row],[Event_No]],Event_Master[[#All],[Event_No]],Event_Master[[#All],[Guest_Count]],,0)/Logistics_Orders[[#This Row],[Base_Quantity]],1),1)</f>
        <v>1</v>
      </c>
      <c r="E143" cm="1">
        <f t="array" ref="E143">Logistics_Orders[[#This Row],[Quantity_Ordered]]*_xlfn.XLOOKUP(Logistics_Orders[[#This Row],[Logistics_ID]],Logistics_Catalog[[#All],[Logistics_ID]],Logistics_Catalog[[#All],[Cost]],0,0)</f>
        <v>8000</v>
      </c>
      <c r="F143" cm="1">
        <f t="array" ref="F143">Logistics_Orders[[#This Row],[Quantity_Ordered]]*_xlfn.XLOOKUP(Logistics_Orders[[#This Row],[Logistics_ID]],Logistics_Catalog[[#All],[Logistics_ID]],Logistics_Catalog[[#All],[Client_Charge]],0,0)</f>
        <v>9500</v>
      </c>
      <c r="G143">
        <f>Logistics_Orders[[#This Row],[Client_Charge]]-Logistics_Orders[[#This Row],[Cost]]</f>
        <v>1500</v>
      </c>
      <c r="H143" t="s">
        <v>190</v>
      </c>
    </row>
    <row r="144" spans="1:8" x14ac:dyDescent="0.25">
      <c r="A144">
        <v>30</v>
      </c>
      <c r="B144" t="s">
        <v>177</v>
      </c>
      <c r="C144" cm="1">
        <f t="array" ref="C144">_xlfn.XLOOKUP(Logistics_Orders[[#This Row],[Logistics_ID]],Logistics_Catalog[[#All],[Logistics_ID]],Logistics_Catalog[[#All],[Base_Quantity]],0,0)</f>
        <v>300</v>
      </c>
      <c r="D144" cm="1">
        <f t="array" ref="D144">IF(Logistics_Orders[[#This Row],[Item]]="Chairs &amp; Tables",CEILING(_xlfn.XLOOKUP(Logistics_Orders[[#This Row],[Event_No]],Event_Master[[#All],[Event_No]],Event_Master[[#All],[Guest_Count]],,0)/Logistics_Orders[[#This Row],[Base_Quantity]],1),1)</f>
        <v>3</v>
      </c>
      <c r="E144" cm="1">
        <f t="array" ref="E144">Logistics_Orders[[#This Row],[Quantity_Ordered]]*_xlfn.XLOOKUP(Logistics_Orders[[#This Row],[Logistics_ID]],Logistics_Catalog[[#All],[Logistics_ID]],Logistics_Catalog[[#All],[Cost]],0,0)</f>
        <v>45000</v>
      </c>
      <c r="F144" cm="1">
        <f t="array" ref="F144">Logistics_Orders[[#This Row],[Quantity_Ordered]]*_xlfn.XLOOKUP(Logistics_Orders[[#This Row],[Logistics_ID]],Logistics_Catalog[[#All],[Logistics_ID]],Logistics_Catalog[[#All],[Client_Charge]],0,0)</f>
        <v>54000</v>
      </c>
      <c r="G144">
        <f>Logistics_Orders[[#This Row],[Client_Charge]]-Logistics_Orders[[#This Row],[Cost]]</f>
        <v>9000</v>
      </c>
      <c r="H144" t="s">
        <v>181</v>
      </c>
    </row>
    <row r="145" spans="1:8" x14ac:dyDescent="0.25">
      <c r="A145">
        <v>30</v>
      </c>
      <c r="B145" t="s">
        <v>182</v>
      </c>
      <c r="C145" cm="1">
        <f t="array" ref="C145">_xlfn.XLOOKUP(Logistics_Orders[[#This Row],[Logistics_ID]],Logistics_Catalog[[#All],[Logistics_ID]],Logistics_Catalog[[#All],[Base_Quantity]],0,0)</f>
        <v>1</v>
      </c>
      <c r="D145" cm="1">
        <f t="array" ref="D145">IF(Logistics_Orders[[#This Row],[Item]]="Chairs &amp; Tables",CEILING(_xlfn.XLOOKUP(Logistics_Orders[[#This Row],[Event_No]],Event_Master[[#All],[Event_No]],Event_Master[[#All],[Guest_Count]],,0)/Logistics_Orders[[#This Row],[Base_Quantity]],1),1)</f>
        <v>1</v>
      </c>
      <c r="E145" cm="1">
        <f t="array" ref="E145">Logistics_Orders[[#This Row],[Quantity_Ordered]]*_xlfn.XLOOKUP(Logistics_Orders[[#This Row],[Logistics_ID]],Logistics_Catalog[[#All],[Logistics_ID]],Logistics_Catalog[[#All],[Cost]],0,0)</f>
        <v>12000</v>
      </c>
      <c r="F145" cm="1">
        <f t="array" ref="F145">Logistics_Orders[[#This Row],[Quantity_Ordered]]*_xlfn.XLOOKUP(Logistics_Orders[[#This Row],[Logistics_ID]],Logistics_Catalog[[#All],[Logistics_ID]],Logistics_Catalog[[#All],[Client_Charge]],0,0)</f>
        <v>14500</v>
      </c>
      <c r="G145">
        <f>Logistics_Orders[[#This Row],[Client_Charge]]-Logistics_Orders[[#This Row],[Cost]]</f>
        <v>2500</v>
      </c>
      <c r="H145" t="s">
        <v>186</v>
      </c>
    </row>
    <row r="146" spans="1:8" x14ac:dyDescent="0.25">
      <c r="A146">
        <v>30</v>
      </c>
      <c r="B146" t="s">
        <v>191</v>
      </c>
      <c r="C146" cm="1">
        <f t="array" ref="C146">_xlfn.XLOOKUP(Logistics_Orders[[#This Row],[Logistics_ID]],Logistics_Catalog[[#All],[Logistics_ID]],Logistics_Catalog[[#All],[Base_Quantity]],0,0)</f>
        <v>5</v>
      </c>
      <c r="D146" cm="1">
        <f t="array" ref="D146">IF(Logistics_Orders[[#This Row],[Item]]="Chairs &amp; Tables",CEILING(_xlfn.XLOOKUP(Logistics_Orders[[#This Row],[Event_No]],Event_Master[[#All],[Event_No]],Event_Master[[#All],[Guest_Count]],,0)/Logistics_Orders[[#This Row],[Base_Quantity]],1),1)</f>
        <v>1</v>
      </c>
      <c r="E146" cm="1">
        <f t="array" ref="E146">Logistics_Orders[[#This Row],[Quantity_Ordered]]*_xlfn.XLOOKUP(Logistics_Orders[[#This Row],[Logistics_ID]],Logistics_Catalog[[#All],[Logistics_ID]],Logistics_Catalog[[#All],[Cost]],0,0)</f>
        <v>3000</v>
      </c>
      <c r="F146" cm="1">
        <f t="array" ref="F146">Logistics_Orders[[#This Row],[Quantity_Ordered]]*_xlfn.XLOOKUP(Logistics_Orders[[#This Row],[Logistics_ID]],Logistics_Catalog[[#All],[Logistics_ID]],Logistics_Catalog[[#All],[Client_Charge]],0,0)</f>
        <v>3600</v>
      </c>
      <c r="G146">
        <f>Logistics_Orders[[#This Row],[Client_Charge]]-Logistics_Orders[[#This Row],[Cost]]</f>
        <v>600</v>
      </c>
      <c r="H146" t="s">
        <v>194</v>
      </c>
    </row>
    <row r="147" spans="1:8" x14ac:dyDescent="0.25">
      <c r="A147">
        <v>30</v>
      </c>
      <c r="B147" t="s">
        <v>195</v>
      </c>
      <c r="C147" cm="1">
        <f t="array" ref="C147">_xlfn.XLOOKUP(Logistics_Orders[[#This Row],[Logistics_ID]],Logistics_Catalog[[#All],[Logistics_ID]],Logistics_Catalog[[#All],[Base_Quantity]],0,0)</f>
        <v>10</v>
      </c>
      <c r="D147" cm="1">
        <f t="array" ref="D147">IF(Logistics_Orders[[#This Row],[Item]]="Chairs &amp; Tables",CEILING(_xlfn.XLOOKUP(Logistics_Orders[[#This Row],[Event_No]],Event_Master[[#All],[Event_No]],Event_Master[[#All],[Guest_Count]],,0)/Logistics_Orders[[#This Row],[Base_Quantity]],1),1)</f>
        <v>1</v>
      </c>
      <c r="E147" cm="1">
        <f t="array" ref="E147">Logistics_Orders[[#This Row],[Quantity_Ordered]]*_xlfn.XLOOKUP(Logistics_Orders[[#This Row],[Logistics_ID]],Logistics_Catalog[[#All],[Logistics_ID]],Logistics_Catalog[[#All],[Cost]],0,0)</f>
        <v>6000</v>
      </c>
      <c r="F147" cm="1">
        <f t="array" ref="F147">Logistics_Orders[[#This Row],[Quantity_Ordered]]*_xlfn.XLOOKUP(Logistics_Orders[[#This Row],[Logistics_ID]],Logistics_Catalog[[#All],[Logistics_ID]],Logistics_Catalog[[#All],[Client_Charge]],0,0)</f>
        <v>7200</v>
      </c>
      <c r="G147">
        <f>Logistics_Orders[[#This Row],[Client_Charge]]-Logistics_Orders[[#This Row],[Cost]]</f>
        <v>1200</v>
      </c>
      <c r="H147" t="s">
        <v>198</v>
      </c>
    </row>
    <row r="148" spans="1:8" x14ac:dyDescent="0.25">
      <c r="A148">
        <v>30</v>
      </c>
      <c r="B148" t="s">
        <v>187</v>
      </c>
      <c r="C148" cm="1">
        <f t="array" ref="C148">_xlfn.XLOOKUP(Logistics_Orders[[#This Row],[Logistics_ID]],Logistics_Catalog[[#All],[Logistics_ID]],Logistics_Catalog[[#All],[Base_Quantity]],0,0)</f>
        <v>1</v>
      </c>
      <c r="D148" cm="1">
        <f t="array" ref="D148">IF(Logistics_Orders[[#This Row],[Item]]="Chairs &amp; Tables",CEILING(_xlfn.XLOOKUP(Logistics_Orders[[#This Row],[Event_No]],Event_Master[[#All],[Event_No]],Event_Master[[#All],[Guest_Count]],,0)/Logistics_Orders[[#This Row],[Base_Quantity]],1),1)</f>
        <v>1</v>
      </c>
      <c r="E148" cm="1">
        <f t="array" ref="E148">Logistics_Orders[[#This Row],[Quantity_Ordered]]*_xlfn.XLOOKUP(Logistics_Orders[[#This Row],[Logistics_ID]],Logistics_Catalog[[#All],[Logistics_ID]],Logistics_Catalog[[#All],[Cost]],0,0)</f>
        <v>8000</v>
      </c>
      <c r="F148" cm="1">
        <f t="array" ref="F148">Logistics_Orders[[#This Row],[Quantity_Ordered]]*_xlfn.XLOOKUP(Logistics_Orders[[#This Row],[Logistics_ID]],Logistics_Catalog[[#All],[Logistics_ID]],Logistics_Catalog[[#All],[Client_Charge]],0,0)</f>
        <v>9500</v>
      </c>
      <c r="G148">
        <f>Logistics_Orders[[#This Row],[Client_Charge]]-Logistics_Orders[[#This Row],[Cost]]</f>
        <v>1500</v>
      </c>
      <c r="H148" t="s">
        <v>190</v>
      </c>
    </row>
    <row r="149" spans="1:8" x14ac:dyDescent="0.25">
      <c r="A149">
        <v>31</v>
      </c>
      <c r="B149" t="s">
        <v>177</v>
      </c>
      <c r="C149" cm="1">
        <f t="array" ref="C149">_xlfn.XLOOKUP(Logistics_Orders[[#This Row],[Logistics_ID]],Logistics_Catalog[[#All],[Logistics_ID]],Logistics_Catalog[[#All],[Base_Quantity]],0,0)</f>
        <v>300</v>
      </c>
      <c r="D149" cm="1">
        <f t="array" ref="D149">IF(Logistics_Orders[[#This Row],[Item]]="Chairs &amp; Tables",CEILING(_xlfn.XLOOKUP(Logistics_Orders[[#This Row],[Event_No]],Event_Master[[#All],[Event_No]],Event_Master[[#All],[Guest_Count]],,0)/Logistics_Orders[[#This Row],[Base_Quantity]],1),1)</f>
        <v>2</v>
      </c>
      <c r="E149" cm="1">
        <f t="array" ref="E149">Logistics_Orders[[#This Row],[Quantity_Ordered]]*_xlfn.XLOOKUP(Logistics_Orders[[#This Row],[Logistics_ID]],Logistics_Catalog[[#All],[Logistics_ID]],Logistics_Catalog[[#All],[Cost]],0,0)</f>
        <v>30000</v>
      </c>
      <c r="F149" cm="1">
        <f t="array" ref="F149">Logistics_Orders[[#This Row],[Quantity_Ordered]]*_xlfn.XLOOKUP(Logistics_Orders[[#This Row],[Logistics_ID]],Logistics_Catalog[[#All],[Logistics_ID]],Logistics_Catalog[[#All],[Client_Charge]],0,0)</f>
        <v>36000</v>
      </c>
      <c r="G149">
        <f>Logistics_Orders[[#This Row],[Client_Charge]]-Logistics_Orders[[#This Row],[Cost]]</f>
        <v>6000</v>
      </c>
      <c r="H149" t="s">
        <v>181</v>
      </c>
    </row>
    <row r="150" spans="1:8" x14ac:dyDescent="0.25">
      <c r="A150">
        <v>31</v>
      </c>
      <c r="B150" t="s">
        <v>182</v>
      </c>
      <c r="C150" cm="1">
        <f t="array" ref="C150">_xlfn.XLOOKUP(Logistics_Orders[[#This Row],[Logistics_ID]],Logistics_Catalog[[#All],[Logistics_ID]],Logistics_Catalog[[#All],[Base_Quantity]],0,0)</f>
        <v>1</v>
      </c>
      <c r="D150" cm="1">
        <f t="array" ref="D150">IF(Logistics_Orders[[#This Row],[Item]]="Chairs &amp; Tables",CEILING(_xlfn.XLOOKUP(Logistics_Orders[[#This Row],[Event_No]],Event_Master[[#All],[Event_No]],Event_Master[[#All],[Guest_Count]],,0)/Logistics_Orders[[#This Row],[Base_Quantity]],1),1)</f>
        <v>1</v>
      </c>
      <c r="E150" cm="1">
        <f t="array" ref="E150">Logistics_Orders[[#This Row],[Quantity_Ordered]]*_xlfn.XLOOKUP(Logistics_Orders[[#This Row],[Logistics_ID]],Logistics_Catalog[[#All],[Logistics_ID]],Logistics_Catalog[[#All],[Cost]],0,0)</f>
        <v>12000</v>
      </c>
      <c r="F150" cm="1">
        <f t="array" ref="F150">Logistics_Orders[[#This Row],[Quantity_Ordered]]*_xlfn.XLOOKUP(Logistics_Orders[[#This Row],[Logistics_ID]],Logistics_Catalog[[#All],[Logistics_ID]],Logistics_Catalog[[#All],[Client_Charge]],0,0)</f>
        <v>14500</v>
      </c>
      <c r="G150">
        <f>Logistics_Orders[[#This Row],[Client_Charge]]-Logistics_Orders[[#This Row],[Cost]]</f>
        <v>2500</v>
      </c>
      <c r="H150" t="s">
        <v>186</v>
      </c>
    </row>
    <row r="151" spans="1:8" x14ac:dyDescent="0.25">
      <c r="A151">
        <v>31</v>
      </c>
      <c r="B151" t="s">
        <v>191</v>
      </c>
      <c r="C151" cm="1">
        <f t="array" ref="C151">_xlfn.XLOOKUP(Logistics_Orders[[#This Row],[Logistics_ID]],Logistics_Catalog[[#All],[Logistics_ID]],Logistics_Catalog[[#All],[Base_Quantity]],0,0)</f>
        <v>5</v>
      </c>
      <c r="D151" cm="1">
        <f t="array" ref="D151">IF(Logistics_Orders[[#This Row],[Item]]="Chairs &amp; Tables",CEILING(_xlfn.XLOOKUP(Logistics_Orders[[#This Row],[Event_No]],Event_Master[[#All],[Event_No]],Event_Master[[#All],[Guest_Count]],,0)/Logistics_Orders[[#This Row],[Base_Quantity]],1),1)</f>
        <v>1</v>
      </c>
      <c r="E151" cm="1">
        <f t="array" ref="E151">Logistics_Orders[[#This Row],[Quantity_Ordered]]*_xlfn.XLOOKUP(Logistics_Orders[[#This Row],[Logistics_ID]],Logistics_Catalog[[#All],[Logistics_ID]],Logistics_Catalog[[#All],[Cost]],0,0)</f>
        <v>3000</v>
      </c>
      <c r="F151" cm="1">
        <f t="array" ref="F151">Logistics_Orders[[#This Row],[Quantity_Ordered]]*_xlfn.XLOOKUP(Logistics_Orders[[#This Row],[Logistics_ID]],Logistics_Catalog[[#All],[Logistics_ID]],Logistics_Catalog[[#All],[Client_Charge]],0,0)</f>
        <v>3600</v>
      </c>
      <c r="G151">
        <f>Logistics_Orders[[#This Row],[Client_Charge]]-Logistics_Orders[[#This Row],[Cost]]</f>
        <v>600</v>
      </c>
      <c r="H151" t="s">
        <v>194</v>
      </c>
    </row>
    <row r="152" spans="1:8" x14ac:dyDescent="0.25">
      <c r="A152">
        <v>31</v>
      </c>
      <c r="B152" t="s">
        <v>195</v>
      </c>
      <c r="C152" cm="1">
        <f t="array" ref="C152">_xlfn.XLOOKUP(Logistics_Orders[[#This Row],[Logistics_ID]],Logistics_Catalog[[#All],[Logistics_ID]],Logistics_Catalog[[#All],[Base_Quantity]],0,0)</f>
        <v>10</v>
      </c>
      <c r="D152" cm="1">
        <f t="array" ref="D152">IF(Logistics_Orders[[#This Row],[Item]]="Chairs &amp; Tables",CEILING(_xlfn.XLOOKUP(Logistics_Orders[[#This Row],[Event_No]],Event_Master[[#All],[Event_No]],Event_Master[[#All],[Guest_Count]],,0)/Logistics_Orders[[#This Row],[Base_Quantity]],1),1)</f>
        <v>1</v>
      </c>
      <c r="E152" cm="1">
        <f t="array" ref="E152">Logistics_Orders[[#This Row],[Quantity_Ordered]]*_xlfn.XLOOKUP(Logistics_Orders[[#This Row],[Logistics_ID]],Logistics_Catalog[[#All],[Logistics_ID]],Logistics_Catalog[[#All],[Cost]],0,0)</f>
        <v>6000</v>
      </c>
      <c r="F152" cm="1">
        <f t="array" ref="F152">Logistics_Orders[[#This Row],[Quantity_Ordered]]*_xlfn.XLOOKUP(Logistics_Orders[[#This Row],[Logistics_ID]],Logistics_Catalog[[#All],[Logistics_ID]],Logistics_Catalog[[#All],[Client_Charge]],0,0)</f>
        <v>7200</v>
      </c>
      <c r="G152">
        <f>Logistics_Orders[[#This Row],[Client_Charge]]-Logistics_Orders[[#This Row],[Cost]]</f>
        <v>1200</v>
      </c>
      <c r="H152" t="s">
        <v>198</v>
      </c>
    </row>
    <row r="153" spans="1:8" x14ac:dyDescent="0.25">
      <c r="A153">
        <v>31</v>
      </c>
      <c r="B153" t="s">
        <v>187</v>
      </c>
      <c r="C153" cm="1">
        <f t="array" ref="C153">_xlfn.XLOOKUP(Logistics_Orders[[#This Row],[Logistics_ID]],Logistics_Catalog[[#All],[Logistics_ID]],Logistics_Catalog[[#All],[Base_Quantity]],0,0)</f>
        <v>1</v>
      </c>
      <c r="D153" cm="1">
        <f t="array" ref="D153">IF(Logistics_Orders[[#This Row],[Item]]="Chairs &amp; Tables",CEILING(_xlfn.XLOOKUP(Logistics_Orders[[#This Row],[Event_No]],Event_Master[[#All],[Event_No]],Event_Master[[#All],[Guest_Count]],,0)/Logistics_Orders[[#This Row],[Base_Quantity]],1),1)</f>
        <v>1</v>
      </c>
      <c r="E153" cm="1">
        <f t="array" ref="E153">Logistics_Orders[[#This Row],[Quantity_Ordered]]*_xlfn.XLOOKUP(Logistics_Orders[[#This Row],[Logistics_ID]],Logistics_Catalog[[#All],[Logistics_ID]],Logistics_Catalog[[#All],[Cost]],0,0)</f>
        <v>8000</v>
      </c>
      <c r="F153" cm="1">
        <f t="array" ref="F153">Logistics_Orders[[#This Row],[Quantity_Ordered]]*_xlfn.XLOOKUP(Logistics_Orders[[#This Row],[Logistics_ID]],Logistics_Catalog[[#All],[Logistics_ID]],Logistics_Catalog[[#All],[Client_Charge]],0,0)</f>
        <v>9500</v>
      </c>
      <c r="G153">
        <f>Logistics_Orders[[#This Row],[Client_Charge]]-Logistics_Orders[[#This Row],[Cost]]</f>
        <v>1500</v>
      </c>
      <c r="H153" t="s">
        <v>190</v>
      </c>
    </row>
    <row r="154" spans="1:8" x14ac:dyDescent="0.25">
      <c r="A154">
        <v>32</v>
      </c>
      <c r="B154" t="s">
        <v>177</v>
      </c>
      <c r="C154" cm="1">
        <f t="array" ref="C154">_xlfn.XLOOKUP(Logistics_Orders[[#This Row],[Logistics_ID]],Logistics_Catalog[[#All],[Logistics_ID]],Logistics_Catalog[[#All],[Base_Quantity]],0,0)</f>
        <v>300</v>
      </c>
      <c r="D154" cm="1">
        <f t="array" ref="D154">IF(Logistics_Orders[[#This Row],[Item]]="Chairs &amp; Tables",CEILING(_xlfn.XLOOKUP(Logistics_Orders[[#This Row],[Event_No]],Event_Master[[#All],[Event_No]],Event_Master[[#All],[Guest_Count]],,0)/Logistics_Orders[[#This Row],[Base_Quantity]],1),1)</f>
        <v>2</v>
      </c>
      <c r="E154" cm="1">
        <f t="array" ref="E154">Logistics_Orders[[#This Row],[Quantity_Ordered]]*_xlfn.XLOOKUP(Logistics_Orders[[#This Row],[Logistics_ID]],Logistics_Catalog[[#All],[Logistics_ID]],Logistics_Catalog[[#All],[Cost]],0,0)</f>
        <v>30000</v>
      </c>
      <c r="F154" cm="1">
        <f t="array" ref="F154">Logistics_Orders[[#This Row],[Quantity_Ordered]]*_xlfn.XLOOKUP(Logistics_Orders[[#This Row],[Logistics_ID]],Logistics_Catalog[[#All],[Logistics_ID]],Logistics_Catalog[[#All],[Client_Charge]],0,0)</f>
        <v>36000</v>
      </c>
      <c r="G154">
        <f>Logistics_Orders[[#This Row],[Client_Charge]]-Logistics_Orders[[#This Row],[Cost]]</f>
        <v>6000</v>
      </c>
      <c r="H154" t="s">
        <v>181</v>
      </c>
    </row>
    <row r="155" spans="1:8" x14ac:dyDescent="0.25">
      <c r="A155">
        <v>32</v>
      </c>
      <c r="B155" t="s">
        <v>182</v>
      </c>
      <c r="C155" cm="1">
        <f t="array" ref="C155">_xlfn.XLOOKUP(Logistics_Orders[[#This Row],[Logistics_ID]],Logistics_Catalog[[#All],[Logistics_ID]],Logistics_Catalog[[#All],[Base_Quantity]],0,0)</f>
        <v>1</v>
      </c>
      <c r="D155" cm="1">
        <f t="array" ref="D155">IF(Logistics_Orders[[#This Row],[Item]]="Chairs &amp; Tables",CEILING(_xlfn.XLOOKUP(Logistics_Orders[[#This Row],[Event_No]],Event_Master[[#All],[Event_No]],Event_Master[[#All],[Guest_Count]],,0)/Logistics_Orders[[#This Row],[Base_Quantity]],1),1)</f>
        <v>1</v>
      </c>
      <c r="E155" cm="1">
        <f t="array" ref="E155">Logistics_Orders[[#This Row],[Quantity_Ordered]]*_xlfn.XLOOKUP(Logistics_Orders[[#This Row],[Logistics_ID]],Logistics_Catalog[[#All],[Logistics_ID]],Logistics_Catalog[[#All],[Cost]],0,0)</f>
        <v>12000</v>
      </c>
      <c r="F155" cm="1">
        <f t="array" ref="F155">Logistics_Orders[[#This Row],[Quantity_Ordered]]*_xlfn.XLOOKUP(Logistics_Orders[[#This Row],[Logistics_ID]],Logistics_Catalog[[#All],[Logistics_ID]],Logistics_Catalog[[#All],[Client_Charge]],0,0)</f>
        <v>14500</v>
      </c>
      <c r="G155">
        <f>Logistics_Orders[[#This Row],[Client_Charge]]-Logistics_Orders[[#This Row],[Cost]]</f>
        <v>2500</v>
      </c>
      <c r="H155" t="s">
        <v>186</v>
      </c>
    </row>
    <row r="156" spans="1:8" x14ac:dyDescent="0.25">
      <c r="A156">
        <v>32</v>
      </c>
      <c r="B156" t="s">
        <v>191</v>
      </c>
      <c r="C156" cm="1">
        <f t="array" ref="C156">_xlfn.XLOOKUP(Logistics_Orders[[#This Row],[Logistics_ID]],Logistics_Catalog[[#All],[Logistics_ID]],Logistics_Catalog[[#All],[Base_Quantity]],0,0)</f>
        <v>5</v>
      </c>
      <c r="D156" cm="1">
        <f t="array" ref="D156">IF(Logistics_Orders[[#This Row],[Item]]="Chairs &amp; Tables",CEILING(_xlfn.XLOOKUP(Logistics_Orders[[#This Row],[Event_No]],Event_Master[[#All],[Event_No]],Event_Master[[#All],[Guest_Count]],,0)/Logistics_Orders[[#This Row],[Base_Quantity]],1),1)</f>
        <v>1</v>
      </c>
      <c r="E156" cm="1">
        <f t="array" ref="E156">Logistics_Orders[[#This Row],[Quantity_Ordered]]*_xlfn.XLOOKUP(Logistics_Orders[[#This Row],[Logistics_ID]],Logistics_Catalog[[#All],[Logistics_ID]],Logistics_Catalog[[#All],[Cost]],0,0)</f>
        <v>3000</v>
      </c>
      <c r="F156" cm="1">
        <f t="array" ref="F156">Logistics_Orders[[#This Row],[Quantity_Ordered]]*_xlfn.XLOOKUP(Logistics_Orders[[#This Row],[Logistics_ID]],Logistics_Catalog[[#All],[Logistics_ID]],Logistics_Catalog[[#All],[Client_Charge]],0,0)</f>
        <v>3600</v>
      </c>
      <c r="G156">
        <f>Logistics_Orders[[#This Row],[Client_Charge]]-Logistics_Orders[[#This Row],[Cost]]</f>
        <v>600</v>
      </c>
      <c r="H156" t="s">
        <v>194</v>
      </c>
    </row>
    <row r="157" spans="1:8" x14ac:dyDescent="0.25">
      <c r="A157">
        <v>32</v>
      </c>
      <c r="B157" t="s">
        <v>195</v>
      </c>
      <c r="C157" cm="1">
        <f t="array" ref="C157">_xlfn.XLOOKUP(Logistics_Orders[[#This Row],[Logistics_ID]],Logistics_Catalog[[#All],[Logistics_ID]],Logistics_Catalog[[#All],[Base_Quantity]],0,0)</f>
        <v>10</v>
      </c>
      <c r="D157" cm="1">
        <f t="array" ref="D157">IF(Logistics_Orders[[#This Row],[Item]]="Chairs &amp; Tables",CEILING(_xlfn.XLOOKUP(Logistics_Orders[[#This Row],[Event_No]],Event_Master[[#All],[Event_No]],Event_Master[[#All],[Guest_Count]],,0)/Logistics_Orders[[#This Row],[Base_Quantity]],1),1)</f>
        <v>1</v>
      </c>
      <c r="E157" cm="1">
        <f t="array" ref="E157">Logistics_Orders[[#This Row],[Quantity_Ordered]]*_xlfn.XLOOKUP(Logistics_Orders[[#This Row],[Logistics_ID]],Logistics_Catalog[[#All],[Logistics_ID]],Logistics_Catalog[[#All],[Cost]],0,0)</f>
        <v>6000</v>
      </c>
      <c r="F157" cm="1">
        <f t="array" ref="F157">Logistics_Orders[[#This Row],[Quantity_Ordered]]*_xlfn.XLOOKUP(Logistics_Orders[[#This Row],[Logistics_ID]],Logistics_Catalog[[#All],[Logistics_ID]],Logistics_Catalog[[#All],[Client_Charge]],0,0)</f>
        <v>7200</v>
      </c>
      <c r="G157">
        <f>Logistics_Orders[[#This Row],[Client_Charge]]-Logistics_Orders[[#This Row],[Cost]]</f>
        <v>1200</v>
      </c>
      <c r="H157" t="s">
        <v>198</v>
      </c>
    </row>
    <row r="158" spans="1:8" x14ac:dyDescent="0.25">
      <c r="A158">
        <v>32</v>
      </c>
      <c r="B158" t="s">
        <v>187</v>
      </c>
      <c r="C158" cm="1">
        <f t="array" ref="C158">_xlfn.XLOOKUP(Logistics_Orders[[#This Row],[Logistics_ID]],Logistics_Catalog[[#All],[Logistics_ID]],Logistics_Catalog[[#All],[Base_Quantity]],0,0)</f>
        <v>1</v>
      </c>
      <c r="D158" cm="1">
        <f t="array" ref="D158">IF(Logistics_Orders[[#This Row],[Item]]="Chairs &amp; Tables",CEILING(_xlfn.XLOOKUP(Logistics_Orders[[#This Row],[Event_No]],Event_Master[[#All],[Event_No]],Event_Master[[#All],[Guest_Count]],,0)/Logistics_Orders[[#This Row],[Base_Quantity]],1),1)</f>
        <v>1</v>
      </c>
      <c r="E158" cm="1">
        <f t="array" ref="E158">Logistics_Orders[[#This Row],[Quantity_Ordered]]*_xlfn.XLOOKUP(Logistics_Orders[[#This Row],[Logistics_ID]],Logistics_Catalog[[#All],[Logistics_ID]],Logistics_Catalog[[#All],[Cost]],0,0)</f>
        <v>8000</v>
      </c>
      <c r="F158" cm="1">
        <f t="array" ref="F158">Logistics_Orders[[#This Row],[Quantity_Ordered]]*_xlfn.XLOOKUP(Logistics_Orders[[#This Row],[Logistics_ID]],Logistics_Catalog[[#All],[Logistics_ID]],Logistics_Catalog[[#All],[Client_Charge]],0,0)</f>
        <v>9500</v>
      </c>
      <c r="G158">
        <f>Logistics_Orders[[#This Row],[Client_Charge]]-Logistics_Orders[[#This Row],[Cost]]</f>
        <v>1500</v>
      </c>
      <c r="H158" t="s">
        <v>190</v>
      </c>
    </row>
    <row r="159" spans="1:8" x14ac:dyDescent="0.25">
      <c r="A159">
        <v>33</v>
      </c>
      <c r="B159" t="s">
        <v>177</v>
      </c>
      <c r="C159" cm="1">
        <f t="array" ref="C159">_xlfn.XLOOKUP(Logistics_Orders[[#This Row],[Logistics_ID]],Logistics_Catalog[[#All],[Logistics_ID]],Logistics_Catalog[[#All],[Base_Quantity]],0,0)</f>
        <v>300</v>
      </c>
      <c r="D159" cm="1">
        <f t="array" ref="D159">IF(Logistics_Orders[[#This Row],[Item]]="Chairs &amp; Tables",CEILING(_xlfn.XLOOKUP(Logistics_Orders[[#This Row],[Event_No]],Event_Master[[#All],[Event_No]],Event_Master[[#All],[Guest_Count]],,0)/Logistics_Orders[[#This Row],[Base_Quantity]],1),1)</f>
        <v>1</v>
      </c>
      <c r="E159" cm="1">
        <f t="array" ref="E159">Logistics_Orders[[#This Row],[Quantity_Ordered]]*_xlfn.XLOOKUP(Logistics_Orders[[#This Row],[Logistics_ID]],Logistics_Catalog[[#All],[Logistics_ID]],Logistics_Catalog[[#All],[Cost]],0,0)</f>
        <v>15000</v>
      </c>
      <c r="F159" cm="1">
        <f t="array" ref="F159">Logistics_Orders[[#This Row],[Quantity_Ordered]]*_xlfn.XLOOKUP(Logistics_Orders[[#This Row],[Logistics_ID]],Logistics_Catalog[[#All],[Logistics_ID]],Logistics_Catalog[[#All],[Client_Charge]],0,0)</f>
        <v>18000</v>
      </c>
      <c r="G159">
        <f>Logistics_Orders[[#This Row],[Client_Charge]]-Logistics_Orders[[#This Row],[Cost]]</f>
        <v>3000</v>
      </c>
      <c r="H159" t="s">
        <v>181</v>
      </c>
    </row>
    <row r="160" spans="1:8" x14ac:dyDescent="0.25">
      <c r="A160">
        <v>33</v>
      </c>
      <c r="B160" t="s">
        <v>182</v>
      </c>
      <c r="C160" cm="1">
        <f t="array" ref="C160">_xlfn.XLOOKUP(Logistics_Orders[[#This Row],[Logistics_ID]],Logistics_Catalog[[#All],[Logistics_ID]],Logistics_Catalog[[#All],[Base_Quantity]],0,0)</f>
        <v>1</v>
      </c>
      <c r="D160" cm="1">
        <f t="array" ref="D160">IF(Logistics_Orders[[#This Row],[Item]]="Chairs &amp; Tables",CEILING(_xlfn.XLOOKUP(Logistics_Orders[[#This Row],[Event_No]],Event_Master[[#All],[Event_No]],Event_Master[[#All],[Guest_Count]],,0)/Logistics_Orders[[#This Row],[Base_Quantity]],1),1)</f>
        <v>1</v>
      </c>
      <c r="E160" cm="1">
        <f t="array" ref="E160">Logistics_Orders[[#This Row],[Quantity_Ordered]]*_xlfn.XLOOKUP(Logistics_Orders[[#This Row],[Logistics_ID]],Logistics_Catalog[[#All],[Logistics_ID]],Logistics_Catalog[[#All],[Cost]],0,0)</f>
        <v>12000</v>
      </c>
      <c r="F160" cm="1">
        <f t="array" ref="F160">Logistics_Orders[[#This Row],[Quantity_Ordered]]*_xlfn.XLOOKUP(Logistics_Orders[[#This Row],[Logistics_ID]],Logistics_Catalog[[#All],[Logistics_ID]],Logistics_Catalog[[#All],[Client_Charge]],0,0)</f>
        <v>14500</v>
      </c>
      <c r="G160">
        <f>Logistics_Orders[[#This Row],[Client_Charge]]-Logistics_Orders[[#This Row],[Cost]]</f>
        <v>2500</v>
      </c>
      <c r="H160" t="s">
        <v>186</v>
      </c>
    </row>
    <row r="161" spans="1:8" x14ac:dyDescent="0.25">
      <c r="A161">
        <v>33</v>
      </c>
      <c r="B161" t="s">
        <v>191</v>
      </c>
      <c r="C161" cm="1">
        <f t="array" ref="C161">_xlfn.XLOOKUP(Logistics_Orders[[#This Row],[Logistics_ID]],Logistics_Catalog[[#All],[Logistics_ID]],Logistics_Catalog[[#All],[Base_Quantity]],0,0)</f>
        <v>5</v>
      </c>
      <c r="D161" cm="1">
        <f t="array" ref="D161">IF(Logistics_Orders[[#This Row],[Item]]="Chairs &amp; Tables",CEILING(_xlfn.XLOOKUP(Logistics_Orders[[#This Row],[Event_No]],Event_Master[[#All],[Event_No]],Event_Master[[#All],[Guest_Count]],,0)/Logistics_Orders[[#This Row],[Base_Quantity]],1),1)</f>
        <v>1</v>
      </c>
      <c r="E161" cm="1">
        <f t="array" ref="E161">Logistics_Orders[[#This Row],[Quantity_Ordered]]*_xlfn.XLOOKUP(Logistics_Orders[[#This Row],[Logistics_ID]],Logistics_Catalog[[#All],[Logistics_ID]],Logistics_Catalog[[#All],[Cost]],0,0)</f>
        <v>3000</v>
      </c>
      <c r="F161" cm="1">
        <f t="array" ref="F161">Logistics_Orders[[#This Row],[Quantity_Ordered]]*_xlfn.XLOOKUP(Logistics_Orders[[#This Row],[Logistics_ID]],Logistics_Catalog[[#All],[Logistics_ID]],Logistics_Catalog[[#All],[Client_Charge]],0,0)</f>
        <v>3600</v>
      </c>
      <c r="G161">
        <f>Logistics_Orders[[#This Row],[Client_Charge]]-Logistics_Orders[[#This Row],[Cost]]</f>
        <v>600</v>
      </c>
      <c r="H161" t="s">
        <v>194</v>
      </c>
    </row>
    <row r="162" spans="1:8" x14ac:dyDescent="0.25">
      <c r="A162">
        <v>33</v>
      </c>
      <c r="B162" t="s">
        <v>195</v>
      </c>
      <c r="C162" cm="1">
        <f t="array" ref="C162">_xlfn.XLOOKUP(Logistics_Orders[[#This Row],[Logistics_ID]],Logistics_Catalog[[#All],[Logistics_ID]],Logistics_Catalog[[#All],[Base_Quantity]],0,0)</f>
        <v>10</v>
      </c>
      <c r="D162" cm="1">
        <f t="array" ref="D162">IF(Logistics_Orders[[#This Row],[Item]]="Chairs &amp; Tables",CEILING(_xlfn.XLOOKUP(Logistics_Orders[[#This Row],[Event_No]],Event_Master[[#All],[Event_No]],Event_Master[[#All],[Guest_Count]],,0)/Logistics_Orders[[#This Row],[Base_Quantity]],1),1)</f>
        <v>1</v>
      </c>
      <c r="E162" cm="1">
        <f t="array" ref="E162">Logistics_Orders[[#This Row],[Quantity_Ordered]]*_xlfn.XLOOKUP(Logistics_Orders[[#This Row],[Logistics_ID]],Logistics_Catalog[[#All],[Logistics_ID]],Logistics_Catalog[[#All],[Cost]],0,0)</f>
        <v>6000</v>
      </c>
      <c r="F162" cm="1">
        <f t="array" ref="F162">Logistics_Orders[[#This Row],[Quantity_Ordered]]*_xlfn.XLOOKUP(Logistics_Orders[[#This Row],[Logistics_ID]],Logistics_Catalog[[#All],[Logistics_ID]],Logistics_Catalog[[#All],[Client_Charge]],0,0)</f>
        <v>7200</v>
      </c>
      <c r="G162">
        <f>Logistics_Orders[[#This Row],[Client_Charge]]-Logistics_Orders[[#This Row],[Cost]]</f>
        <v>1200</v>
      </c>
      <c r="H162" t="s">
        <v>198</v>
      </c>
    </row>
    <row r="163" spans="1:8" x14ac:dyDescent="0.25">
      <c r="A163">
        <v>33</v>
      </c>
      <c r="B163" t="s">
        <v>187</v>
      </c>
      <c r="C163" cm="1">
        <f t="array" ref="C163">_xlfn.XLOOKUP(Logistics_Orders[[#This Row],[Logistics_ID]],Logistics_Catalog[[#All],[Logistics_ID]],Logistics_Catalog[[#All],[Base_Quantity]],0,0)</f>
        <v>1</v>
      </c>
      <c r="D163" cm="1">
        <f t="array" ref="D163">IF(Logistics_Orders[[#This Row],[Item]]="Chairs &amp; Tables",CEILING(_xlfn.XLOOKUP(Logistics_Orders[[#This Row],[Event_No]],Event_Master[[#All],[Event_No]],Event_Master[[#All],[Guest_Count]],,0)/Logistics_Orders[[#This Row],[Base_Quantity]],1),1)</f>
        <v>1</v>
      </c>
      <c r="E163" cm="1">
        <f t="array" ref="E163">Logistics_Orders[[#This Row],[Quantity_Ordered]]*_xlfn.XLOOKUP(Logistics_Orders[[#This Row],[Logistics_ID]],Logistics_Catalog[[#All],[Logistics_ID]],Logistics_Catalog[[#All],[Cost]],0,0)</f>
        <v>8000</v>
      </c>
      <c r="F163" cm="1">
        <f t="array" ref="F163">Logistics_Orders[[#This Row],[Quantity_Ordered]]*_xlfn.XLOOKUP(Logistics_Orders[[#This Row],[Logistics_ID]],Logistics_Catalog[[#All],[Logistics_ID]],Logistics_Catalog[[#All],[Client_Charge]],0,0)</f>
        <v>9500</v>
      </c>
      <c r="G163">
        <f>Logistics_Orders[[#This Row],[Client_Charge]]-Logistics_Orders[[#This Row],[Cost]]</f>
        <v>1500</v>
      </c>
      <c r="H163" t="s">
        <v>190</v>
      </c>
    </row>
    <row r="164" spans="1:8" x14ac:dyDescent="0.25">
      <c r="A164">
        <v>34</v>
      </c>
      <c r="B164" t="s">
        <v>177</v>
      </c>
      <c r="C164" cm="1">
        <f t="array" ref="C164">_xlfn.XLOOKUP(Logistics_Orders[[#This Row],[Logistics_ID]],Logistics_Catalog[[#All],[Logistics_ID]],Logistics_Catalog[[#All],[Base_Quantity]],0,0)</f>
        <v>300</v>
      </c>
      <c r="D164" cm="1">
        <f t="array" ref="D164">IF(Logistics_Orders[[#This Row],[Item]]="Chairs &amp; Tables",CEILING(_xlfn.XLOOKUP(Logistics_Orders[[#This Row],[Event_No]],Event_Master[[#All],[Event_No]],Event_Master[[#All],[Guest_Count]],,0)/Logistics_Orders[[#This Row],[Base_Quantity]],1),1)</f>
        <v>2</v>
      </c>
      <c r="E164" cm="1">
        <f t="array" ref="E164">Logistics_Orders[[#This Row],[Quantity_Ordered]]*_xlfn.XLOOKUP(Logistics_Orders[[#This Row],[Logistics_ID]],Logistics_Catalog[[#All],[Logistics_ID]],Logistics_Catalog[[#All],[Cost]],0,0)</f>
        <v>30000</v>
      </c>
      <c r="F164" cm="1">
        <f t="array" ref="F164">Logistics_Orders[[#This Row],[Quantity_Ordered]]*_xlfn.XLOOKUP(Logistics_Orders[[#This Row],[Logistics_ID]],Logistics_Catalog[[#All],[Logistics_ID]],Logistics_Catalog[[#All],[Client_Charge]],0,0)</f>
        <v>36000</v>
      </c>
      <c r="G164">
        <f>Logistics_Orders[[#This Row],[Client_Charge]]-Logistics_Orders[[#This Row],[Cost]]</f>
        <v>6000</v>
      </c>
      <c r="H164" t="s">
        <v>181</v>
      </c>
    </row>
    <row r="165" spans="1:8" x14ac:dyDescent="0.25">
      <c r="A165">
        <v>34</v>
      </c>
      <c r="B165" t="s">
        <v>182</v>
      </c>
      <c r="C165" cm="1">
        <f t="array" ref="C165">_xlfn.XLOOKUP(Logistics_Orders[[#This Row],[Logistics_ID]],Logistics_Catalog[[#All],[Logistics_ID]],Logistics_Catalog[[#All],[Base_Quantity]],0,0)</f>
        <v>1</v>
      </c>
      <c r="D165" cm="1">
        <f t="array" ref="D165">IF(Logistics_Orders[[#This Row],[Item]]="Chairs &amp; Tables",CEILING(_xlfn.XLOOKUP(Logistics_Orders[[#This Row],[Event_No]],Event_Master[[#All],[Event_No]],Event_Master[[#All],[Guest_Count]],,0)/Logistics_Orders[[#This Row],[Base_Quantity]],1),1)</f>
        <v>1</v>
      </c>
      <c r="E165" cm="1">
        <f t="array" ref="E165">Logistics_Orders[[#This Row],[Quantity_Ordered]]*_xlfn.XLOOKUP(Logistics_Orders[[#This Row],[Logistics_ID]],Logistics_Catalog[[#All],[Logistics_ID]],Logistics_Catalog[[#All],[Cost]],0,0)</f>
        <v>12000</v>
      </c>
      <c r="F165" cm="1">
        <f t="array" ref="F165">Logistics_Orders[[#This Row],[Quantity_Ordered]]*_xlfn.XLOOKUP(Logistics_Orders[[#This Row],[Logistics_ID]],Logistics_Catalog[[#All],[Logistics_ID]],Logistics_Catalog[[#All],[Client_Charge]],0,0)</f>
        <v>14500</v>
      </c>
      <c r="G165">
        <f>Logistics_Orders[[#This Row],[Client_Charge]]-Logistics_Orders[[#This Row],[Cost]]</f>
        <v>2500</v>
      </c>
      <c r="H165" t="s">
        <v>186</v>
      </c>
    </row>
    <row r="166" spans="1:8" x14ac:dyDescent="0.25">
      <c r="A166">
        <v>34</v>
      </c>
      <c r="B166" t="s">
        <v>191</v>
      </c>
      <c r="C166" cm="1">
        <f t="array" ref="C166">_xlfn.XLOOKUP(Logistics_Orders[[#This Row],[Logistics_ID]],Logistics_Catalog[[#All],[Logistics_ID]],Logistics_Catalog[[#All],[Base_Quantity]],0,0)</f>
        <v>5</v>
      </c>
      <c r="D166" cm="1">
        <f t="array" ref="D166">IF(Logistics_Orders[[#This Row],[Item]]="Chairs &amp; Tables",CEILING(_xlfn.XLOOKUP(Logistics_Orders[[#This Row],[Event_No]],Event_Master[[#All],[Event_No]],Event_Master[[#All],[Guest_Count]],,0)/Logistics_Orders[[#This Row],[Base_Quantity]],1),1)</f>
        <v>1</v>
      </c>
      <c r="E166" cm="1">
        <f t="array" ref="E166">Logistics_Orders[[#This Row],[Quantity_Ordered]]*_xlfn.XLOOKUP(Logistics_Orders[[#This Row],[Logistics_ID]],Logistics_Catalog[[#All],[Logistics_ID]],Logistics_Catalog[[#All],[Cost]],0,0)</f>
        <v>3000</v>
      </c>
      <c r="F166" cm="1">
        <f t="array" ref="F166">Logistics_Orders[[#This Row],[Quantity_Ordered]]*_xlfn.XLOOKUP(Logistics_Orders[[#This Row],[Logistics_ID]],Logistics_Catalog[[#All],[Logistics_ID]],Logistics_Catalog[[#All],[Client_Charge]],0,0)</f>
        <v>3600</v>
      </c>
      <c r="G166">
        <f>Logistics_Orders[[#This Row],[Client_Charge]]-Logistics_Orders[[#This Row],[Cost]]</f>
        <v>600</v>
      </c>
      <c r="H166" t="s">
        <v>194</v>
      </c>
    </row>
    <row r="167" spans="1:8" x14ac:dyDescent="0.25">
      <c r="A167">
        <v>34</v>
      </c>
      <c r="B167" t="s">
        <v>195</v>
      </c>
      <c r="C167" cm="1">
        <f t="array" ref="C167">_xlfn.XLOOKUP(Logistics_Orders[[#This Row],[Logistics_ID]],Logistics_Catalog[[#All],[Logistics_ID]],Logistics_Catalog[[#All],[Base_Quantity]],0,0)</f>
        <v>10</v>
      </c>
      <c r="D167" cm="1">
        <f t="array" ref="D167">IF(Logistics_Orders[[#This Row],[Item]]="Chairs &amp; Tables",CEILING(_xlfn.XLOOKUP(Logistics_Orders[[#This Row],[Event_No]],Event_Master[[#All],[Event_No]],Event_Master[[#All],[Guest_Count]],,0)/Logistics_Orders[[#This Row],[Base_Quantity]],1),1)</f>
        <v>1</v>
      </c>
      <c r="E167" cm="1">
        <f t="array" ref="E167">Logistics_Orders[[#This Row],[Quantity_Ordered]]*_xlfn.XLOOKUP(Logistics_Orders[[#This Row],[Logistics_ID]],Logistics_Catalog[[#All],[Logistics_ID]],Logistics_Catalog[[#All],[Cost]],0,0)</f>
        <v>6000</v>
      </c>
      <c r="F167" cm="1">
        <f t="array" ref="F167">Logistics_Orders[[#This Row],[Quantity_Ordered]]*_xlfn.XLOOKUP(Logistics_Orders[[#This Row],[Logistics_ID]],Logistics_Catalog[[#All],[Logistics_ID]],Logistics_Catalog[[#All],[Client_Charge]],0,0)</f>
        <v>7200</v>
      </c>
      <c r="G167">
        <f>Logistics_Orders[[#This Row],[Client_Charge]]-Logistics_Orders[[#This Row],[Cost]]</f>
        <v>1200</v>
      </c>
      <c r="H167" t="s">
        <v>198</v>
      </c>
    </row>
    <row r="168" spans="1:8" x14ac:dyDescent="0.25">
      <c r="A168">
        <v>34</v>
      </c>
      <c r="B168" t="s">
        <v>187</v>
      </c>
      <c r="C168" cm="1">
        <f t="array" ref="C168">_xlfn.XLOOKUP(Logistics_Orders[[#This Row],[Logistics_ID]],Logistics_Catalog[[#All],[Logistics_ID]],Logistics_Catalog[[#All],[Base_Quantity]],0,0)</f>
        <v>1</v>
      </c>
      <c r="D168" cm="1">
        <f t="array" ref="D168">IF(Logistics_Orders[[#This Row],[Item]]="Chairs &amp; Tables",CEILING(_xlfn.XLOOKUP(Logistics_Orders[[#This Row],[Event_No]],Event_Master[[#All],[Event_No]],Event_Master[[#All],[Guest_Count]],,0)/Logistics_Orders[[#This Row],[Base_Quantity]],1),1)</f>
        <v>1</v>
      </c>
      <c r="E168" cm="1">
        <f t="array" ref="E168">Logistics_Orders[[#This Row],[Quantity_Ordered]]*_xlfn.XLOOKUP(Logistics_Orders[[#This Row],[Logistics_ID]],Logistics_Catalog[[#All],[Logistics_ID]],Logistics_Catalog[[#All],[Cost]],0,0)</f>
        <v>8000</v>
      </c>
      <c r="F168" cm="1">
        <f t="array" ref="F168">Logistics_Orders[[#This Row],[Quantity_Ordered]]*_xlfn.XLOOKUP(Logistics_Orders[[#This Row],[Logistics_ID]],Logistics_Catalog[[#All],[Logistics_ID]],Logistics_Catalog[[#All],[Client_Charge]],0,0)</f>
        <v>9500</v>
      </c>
      <c r="G168">
        <f>Logistics_Orders[[#This Row],[Client_Charge]]-Logistics_Orders[[#This Row],[Cost]]</f>
        <v>1500</v>
      </c>
      <c r="H168" t="s">
        <v>190</v>
      </c>
    </row>
    <row r="169" spans="1:8" x14ac:dyDescent="0.25">
      <c r="A169">
        <v>35</v>
      </c>
      <c r="B169" t="s">
        <v>177</v>
      </c>
      <c r="C169" cm="1">
        <f t="array" ref="C169">_xlfn.XLOOKUP(Logistics_Orders[[#This Row],[Logistics_ID]],Logistics_Catalog[[#All],[Logistics_ID]],Logistics_Catalog[[#All],[Base_Quantity]],0,0)</f>
        <v>300</v>
      </c>
      <c r="D169" cm="1">
        <f t="array" ref="D169">IF(Logistics_Orders[[#This Row],[Item]]="Chairs &amp; Tables",CEILING(_xlfn.XLOOKUP(Logistics_Orders[[#This Row],[Event_No]],Event_Master[[#All],[Event_No]],Event_Master[[#All],[Guest_Count]],,0)/Logistics_Orders[[#This Row],[Base_Quantity]],1),1)</f>
        <v>2</v>
      </c>
      <c r="E169" cm="1">
        <f t="array" ref="E169">Logistics_Orders[[#This Row],[Quantity_Ordered]]*_xlfn.XLOOKUP(Logistics_Orders[[#This Row],[Logistics_ID]],Logistics_Catalog[[#All],[Logistics_ID]],Logistics_Catalog[[#All],[Cost]],0,0)</f>
        <v>30000</v>
      </c>
      <c r="F169" cm="1">
        <f t="array" ref="F169">Logistics_Orders[[#This Row],[Quantity_Ordered]]*_xlfn.XLOOKUP(Logistics_Orders[[#This Row],[Logistics_ID]],Logistics_Catalog[[#All],[Logistics_ID]],Logistics_Catalog[[#All],[Client_Charge]],0,0)</f>
        <v>36000</v>
      </c>
      <c r="G169">
        <f>Logistics_Orders[[#This Row],[Client_Charge]]-Logistics_Orders[[#This Row],[Cost]]</f>
        <v>6000</v>
      </c>
      <c r="H169" t="s">
        <v>181</v>
      </c>
    </row>
    <row r="170" spans="1:8" x14ac:dyDescent="0.25">
      <c r="A170">
        <v>35</v>
      </c>
      <c r="B170" t="s">
        <v>191</v>
      </c>
      <c r="C170" cm="1">
        <f t="array" ref="C170">_xlfn.XLOOKUP(Logistics_Orders[[#This Row],[Logistics_ID]],Logistics_Catalog[[#All],[Logistics_ID]],Logistics_Catalog[[#All],[Base_Quantity]],0,0)</f>
        <v>5</v>
      </c>
      <c r="D170" cm="1">
        <f t="array" ref="D170">IF(Logistics_Orders[[#This Row],[Item]]="Chairs &amp; Tables",CEILING(_xlfn.XLOOKUP(Logistics_Orders[[#This Row],[Event_No]],Event_Master[[#All],[Event_No]],Event_Master[[#All],[Guest_Count]],,0)/Logistics_Orders[[#This Row],[Base_Quantity]],1),1)</f>
        <v>1</v>
      </c>
      <c r="E170" cm="1">
        <f t="array" ref="E170">Logistics_Orders[[#This Row],[Quantity_Ordered]]*_xlfn.XLOOKUP(Logistics_Orders[[#This Row],[Logistics_ID]],Logistics_Catalog[[#All],[Logistics_ID]],Logistics_Catalog[[#All],[Cost]],0,0)</f>
        <v>3000</v>
      </c>
      <c r="F170" cm="1">
        <f t="array" ref="F170">Logistics_Orders[[#This Row],[Quantity_Ordered]]*_xlfn.XLOOKUP(Logistics_Orders[[#This Row],[Logistics_ID]],Logistics_Catalog[[#All],[Logistics_ID]],Logistics_Catalog[[#All],[Client_Charge]],0,0)</f>
        <v>3600</v>
      </c>
      <c r="G170">
        <f>Logistics_Orders[[#This Row],[Client_Charge]]-Logistics_Orders[[#This Row],[Cost]]</f>
        <v>600</v>
      </c>
      <c r="H170" t="s">
        <v>194</v>
      </c>
    </row>
    <row r="171" spans="1:8" x14ac:dyDescent="0.25">
      <c r="A171">
        <v>35</v>
      </c>
      <c r="B171" t="s">
        <v>195</v>
      </c>
      <c r="C171" cm="1">
        <f t="array" ref="C171">_xlfn.XLOOKUP(Logistics_Orders[[#This Row],[Logistics_ID]],Logistics_Catalog[[#All],[Logistics_ID]],Logistics_Catalog[[#All],[Base_Quantity]],0,0)</f>
        <v>10</v>
      </c>
      <c r="D171" cm="1">
        <f t="array" ref="D171">IF(Logistics_Orders[[#This Row],[Item]]="Chairs &amp; Tables",CEILING(_xlfn.XLOOKUP(Logistics_Orders[[#This Row],[Event_No]],Event_Master[[#All],[Event_No]],Event_Master[[#All],[Guest_Count]],,0)/Logistics_Orders[[#This Row],[Base_Quantity]],1),1)</f>
        <v>1</v>
      </c>
      <c r="E171" cm="1">
        <f t="array" ref="E171">Logistics_Orders[[#This Row],[Quantity_Ordered]]*_xlfn.XLOOKUP(Logistics_Orders[[#This Row],[Logistics_ID]],Logistics_Catalog[[#All],[Logistics_ID]],Logistics_Catalog[[#All],[Cost]],0,0)</f>
        <v>6000</v>
      </c>
      <c r="F171" cm="1">
        <f t="array" ref="F171">Logistics_Orders[[#This Row],[Quantity_Ordered]]*_xlfn.XLOOKUP(Logistics_Orders[[#This Row],[Logistics_ID]],Logistics_Catalog[[#All],[Logistics_ID]],Logistics_Catalog[[#All],[Client_Charge]],0,0)</f>
        <v>7200</v>
      </c>
      <c r="G171">
        <f>Logistics_Orders[[#This Row],[Client_Charge]]-Logistics_Orders[[#This Row],[Cost]]</f>
        <v>1200</v>
      </c>
      <c r="H171" t="s">
        <v>198</v>
      </c>
    </row>
    <row r="172" spans="1:8" x14ac:dyDescent="0.25">
      <c r="A172">
        <v>36</v>
      </c>
      <c r="B172" t="s">
        <v>177</v>
      </c>
      <c r="C172" cm="1">
        <f t="array" ref="C172">_xlfn.XLOOKUP(Logistics_Orders[[#This Row],[Logistics_ID]],Logistics_Catalog[[#All],[Logistics_ID]],Logistics_Catalog[[#All],[Base_Quantity]],0,0)</f>
        <v>300</v>
      </c>
      <c r="D172" cm="1">
        <f t="array" ref="D172">IF(Logistics_Orders[[#This Row],[Item]]="Chairs &amp; Tables",CEILING(_xlfn.XLOOKUP(Logistics_Orders[[#This Row],[Event_No]],Event_Master[[#All],[Event_No]],Event_Master[[#All],[Guest_Count]],,0)/Logistics_Orders[[#This Row],[Base_Quantity]],1),1)</f>
        <v>2</v>
      </c>
      <c r="E172" cm="1">
        <f t="array" ref="E172">Logistics_Orders[[#This Row],[Quantity_Ordered]]*_xlfn.XLOOKUP(Logistics_Orders[[#This Row],[Logistics_ID]],Logistics_Catalog[[#All],[Logistics_ID]],Logistics_Catalog[[#All],[Cost]],0,0)</f>
        <v>30000</v>
      </c>
      <c r="F172" cm="1">
        <f t="array" ref="F172">Logistics_Orders[[#This Row],[Quantity_Ordered]]*_xlfn.XLOOKUP(Logistics_Orders[[#This Row],[Logistics_ID]],Logistics_Catalog[[#All],[Logistics_ID]],Logistics_Catalog[[#All],[Client_Charge]],0,0)</f>
        <v>36000</v>
      </c>
      <c r="G172">
        <f>Logistics_Orders[[#This Row],[Client_Charge]]-Logistics_Orders[[#This Row],[Cost]]</f>
        <v>6000</v>
      </c>
      <c r="H172" t="s">
        <v>181</v>
      </c>
    </row>
    <row r="173" spans="1:8" x14ac:dyDescent="0.25">
      <c r="A173">
        <v>36</v>
      </c>
      <c r="B173" t="s">
        <v>182</v>
      </c>
      <c r="C173" cm="1">
        <f t="array" ref="C173">_xlfn.XLOOKUP(Logistics_Orders[[#This Row],[Logistics_ID]],Logistics_Catalog[[#All],[Logistics_ID]],Logistics_Catalog[[#All],[Base_Quantity]],0,0)</f>
        <v>1</v>
      </c>
      <c r="D173" cm="1">
        <f t="array" ref="D173">IF(Logistics_Orders[[#This Row],[Item]]="Chairs &amp; Tables",CEILING(_xlfn.XLOOKUP(Logistics_Orders[[#This Row],[Event_No]],Event_Master[[#All],[Event_No]],Event_Master[[#All],[Guest_Count]],,0)/Logistics_Orders[[#This Row],[Base_Quantity]],1),1)</f>
        <v>1</v>
      </c>
      <c r="E173" cm="1">
        <f t="array" ref="E173">Logistics_Orders[[#This Row],[Quantity_Ordered]]*_xlfn.XLOOKUP(Logistics_Orders[[#This Row],[Logistics_ID]],Logistics_Catalog[[#All],[Logistics_ID]],Logistics_Catalog[[#All],[Cost]],0,0)</f>
        <v>12000</v>
      </c>
      <c r="F173" cm="1">
        <f t="array" ref="F173">Logistics_Orders[[#This Row],[Quantity_Ordered]]*_xlfn.XLOOKUP(Logistics_Orders[[#This Row],[Logistics_ID]],Logistics_Catalog[[#All],[Logistics_ID]],Logistics_Catalog[[#All],[Client_Charge]],0,0)</f>
        <v>14500</v>
      </c>
      <c r="G173">
        <f>Logistics_Orders[[#This Row],[Client_Charge]]-Logistics_Orders[[#This Row],[Cost]]</f>
        <v>2500</v>
      </c>
      <c r="H173" t="s">
        <v>186</v>
      </c>
    </row>
    <row r="174" spans="1:8" x14ac:dyDescent="0.25">
      <c r="A174">
        <v>36</v>
      </c>
      <c r="B174" t="s">
        <v>191</v>
      </c>
      <c r="C174" cm="1">
        <f t="array" ref="C174">_xlfn.XLOOKUP(Logistics_Orders[[#This Row],[Logistics_ID]],Logistics_Catalog[[#All],[Logistics_ID]],Logistics_Catalog[[#All],[Base_Quantity]],0,0)</f>
        <v>5</v>
      </c>
      <c r="D174" cm="1">
        <f t="array" ref="D174">IF(Logistics_Orders[[#This Row],[Item]]="Chairs &amp; Tables",CEILING(_xlfn.XLOOKUP(Logistics_Orders[[#This Row],[Event_No]],Event_Master[[#All],[Event_No]],Event_Master[[#All],[Guest_Count]],,0)/Logistics_Orders[[#This Row],[Base_Quantity]],1),1)</f>
        <v>1</v>
      </c>
      <c r="E174" cm="1">
        <f t="array" ref="E174">Logistics_Orders[[#This Row],[Quantity_Ordered]]*_xlfn.XLOOKUP(Logistics_Orders[[#This Row],[Logistics_ID]],Logistics_Catalog[[#All],[Logistics_ID]],Logistics_Catalog[[#All],[Cost]],0,0)</f>
        <v>3000</v>
      </c>
      <c r="F174" cm="1">
        <f t="array" ref="F174">Logistics_Orders[[#This Row],[Quantity_Ordered]]*_xlfn.XLOOKUP(Logistics_Orders[[#This Row],[Logistics_ID]],Logistics_Catalog[[#All],[Logistics_ID]],Logistics_Catalog[[#All],[Client_Charge]],0,0)</f>
        <v>3600</v>
      </c>
      <c r="G174">
        <f>Logistics_Orders[[#This Row],[Client_Charge]]-Logistics_Orders[[#This Row],[Cost]]</f>
        <v>600</v>
      </c>
      <c r="H174" t="s">
        <v>194</v>
      </c>
    </row>
    <row r="175" spans="1:8" x14ac:dyDescent="0.25">
      <c r="A175">
        <v>36</v>
      </c>
      <c r="B175" t="s">
        <v>195</v>
      </c>
      <c r="C175" cm="1">
        <f t="array" ref="C175">_xlfn.XLOOKUP(Logistics_Orders[[#This Row],[Logistics_ID]],Logistics_Catalog[[#All],[Logistics_ID]],Logistics_Catalog[[#All],[Base_Quantity]],0,0)</f>
        <v>10</v>
      </c>
      <c r="D175" cm="1">
        <f t="array" ref="D175">IF(Logistics_Orders[[#This Row],[Item]]="Chairs &amp; Tables",CEILING(_xlfn.XLOOKUP(Logistics_Orders[[#This Row],[Event_No]],Event_Master[[#All],[Event_No]],Event_Master[[#All],[Guest_Count]],,0)/Logistics_Orders[[#This Row],[Base_Quantity]],1),1)</f>
        <v>1</v>
      </c>
      <c r="E175" cm="1">
        <f t="array" ref="E175">Logistics_Orders[[#This Row],[Quantity_Ordered]]*_xlfn.XLOOKUP(Logistics_Orders[[#This Row],[Logistics_ID]],Logistics_Catalog[[#All],[Logistics_ID]],Logistics_Catalog[[#All],[Cost]],0,0)</f>
        <v>6000</v>
      </c>
      <c r="F175" cm="1">
        <f t="array" ref="F175">Logistics_Orders[[#This Row],[Quantity_Ordered]]*_xlfn.XLOOKUP(Logistics_Orders[[#This Row],[Logistics_ID]],Logistics_Catalog[[#All],[Logistics_ID]],Logistics_Catalog[[#All],[Client_Charge]],0,0)</f>
        <v>7200</v>
      </c>
      <c r="G175">
        <f>Logistics_Orders[[#This Row],[Client_Charge]]-Logistics_Orders[[#This Row],[Cost]]</f>
        <v>1200</v>
      </c>
      <c r="H175" t="s">
        <v>198</v>
      </c>
    </row>
    <row r="176" spans="1:8" x14ac:dyDescent="0.25">
      <c r="A176">
        <v>36</v>
      </c>
      <c r="B176" t="s">
        <v>187</v>
      </c>
      <c r="C176" cm="1">
        <f t="array" ref="C176">_xlfn.XLOOKUP(Logistics_Orders[[#This Row],[Logistics_ID]],Logistics_Catalog[[#All],[Logistics_ID]],Logistics_Catalog[[#All],[Base_Quantity]],0,0)</f>
        <v>1</v>
      </c>
      <c r="D176" cm="1">
        <f t="array" ref="D176">IF(Logistics_Orders[[#This Row],[Item]]="Chairs &amp; Tables",CEILING(_xlfn.XLOOKUP(Logistics_Orders[[#This Row],[Event_No]],Event_Master[[#All],[Event_No]],Event_Master[[#All],[Guest_Count]],,0)/Logistics_Orders[[#This Row],[Base_Quantity]],1),1)</f>
        <v>1</v>
      </c>
      <c r="E176" cm="1">
        <f t="array" ref="E176">Logistics_Orders[[#This Row],[Quantity_Ordered]]*_xlfn.XLOOKUP(Logistics_Orders[[#This Row],[Logistics_ID]],Logistics_Catalog[[#All],[Logistics_ID]],Logistics_Catalog[[#All],[Cost]],0,0)</f>
        <v>8000</v>
      </c>
      <c r="F176" cm="1">
        <f t="array" ref="F176">Logistics_Orders[[#This Row],[Quantity_Ordered]]*_xlfn.XLOOKUP(Logistics_Orders[[#This Row],[Logistics_ID]],Logistics_Catalog[[#All],[Logistics_ID]],Logistics_Catalog[[#All],[Client_Charge]],0,0)</f>
        <v>9500</v>
      </c>
      <c r="G176">
        <f>Logistics_Orders[[#This Row],[Client_Charge]]-Logistics_Orders[[#This Row],[Cost]]</f>
        <v>1500</v>
      </c>
      <c r="H176" t="s">
        <v>190</v>
      </c>
    </row>
    <row r="177" spans="1:8" x14ac:dyDescent="0.25">
      <c r="A177">
        <v>37</v>
      </c>
      <c r="B177" t="s">
        <v>177</v>
      </c>
      <c r="C177" cm="1">
        <f t="array" ref="C177">_xlfn.XLOOKUP(Logistics_Orders[[#This Row],[Logistics_ID]],Logistics_Catalog[[#All],[Logistics_ID]],Logistics_Catalog[[#All],[Base_Quantity]],0,0)</f>
        <v>300</v>
      </c>
      <c r="D177" cm="1">
        <f t="array" ref="D177">IF(Logistics_Orders[[#This Row],[Item]]="Chairs &amp; Tables",CEILING(_xlfn.XLOOKUP(Logistics_Orders[[#This Row],[Event_No]],Event_Master[[#All],[Event_No]],Event_Master[[#All],[Guest_Count]],,0)/Logistics_Orders[[#This Row],[Base_Quantity]],1),1)</f>
        <v>3</v>
      </c>
      <c r="E177" cm="1">
        <f t="array" ref="E177">Logistics_Orders[[#This Row],[Quantity_Ordered]]*_xlfn.XLOOKUP(Logistics_Orders[[#This Row],[Logistics_ID]],Logistics_Catalog[[#All],[Logistics_ID]],Logistics_Catalog[[#All],[Cost]],0,0)</f>
        <v>45000</v>
      </c>
      <c r="F177" cm="1">
        <f t="array" ref="F177">Logistics_Orders[[#This Row],[Quantity_Ordered]]*_xlfn.XLOOKUP(Logistics_Orders[[#This Row],[Logistics_ID]],Logistics_Catalog[[#All],[Logistics_ID]],Logistics_Catalog[[#All],[Client_Charge]],0,0)</f>
        <v>54000</v>
      </c>
      <c r="G177">
        <f>Logistics_Orders[[#This Row],[Client_Charge]]-Logistics_Orders[[#This Row],[Cost]]</f>
        <v>9000</v>
      </c>
      <c r="H177" t="s">
        <v>181</v>
      </c>
    </row>
    <row r="178" spans="1:8" x14ac:dyDescent="0.25">
      <c r="A178">
        <v>37</v>
      </c>
      <c r="B178" t="s">
        <v>182</v>
      </c>
      <c r="C178" cm="1">
        <f t="array" ref="C178">_xlfn.XLOOKUP(Logistics_Orders[[#This Row],[Logistics_ID]],Logistics_Catalog[[#All],[Logistics_ID]],Logistics_Catalog[[#All],[Base_Quantity]],0,0)</f>
        <v>1</v>
      </c>
      <c r="D178" cm="1">
        <f t="array" ref="D178">IF(Logistics_Orders[[#This Row],[Item]]="Chairs &amp; Tables",CEILING(_xlfn.XLOOKUP(Logistics_Orders[[#This Row],[Event_No]],Event_Master[[#All],[Event_No]],Event_Master[[#All],[Guest_Count]],,0)/Logistics_Orders[[#This Row],[Base_Quantity]],1),1)</f>
        <v>1</v>
      </c>
      <c r="E178" cm="1">
        <f t="array" ref="E178">Logistics_Orders[[#This Row],[Quantity_Ordered]]*_xlfn.XLOOKUP(Logistics_Orders[[#This Row],[Logistics_ID]],Logistics_Catalog[[#All],[Logistics_ID]],Logistics_Catalog[[#All],[Cost]],0,0)</f>
        <v>12000</v>
      </c>
      <c r="F178" cm="1">
        <f t="array" ref="F178">Logistics_Orders[[#This Row],[Quantity_Ordered]]*_xlfn.XLOOKUP(Logistics_Orders[[#This Row],[Logistics_ID]],Logistics_Catalog[[#All],[Logistics_ID]],Logistics_Catalog[[#All],[Client_Charge]],0,0)</f>
        <v>14500</v>
      </c>
      <c r="G178">
        <f>Logistics_Orders[[#This Row],[Client_Charge]]-Logistics_Orders[[#This Row],[Cost]]</f>
        <v>2500</v>
      </c>
      <c r="H178" t="s">
        <v>186</v>
      </c>
    </row>
    <row r="179" spans="1:8" x14ac:dyDescent="0.25">
      <c r="A179">
        <v>37</v>
      </c>
      <c r="B179" t="s">
        <v>191</v>
      </c>
      <c r="C179" cm="1">
        <f t="array" ref="C179">_xlfn.XLOOKUP(Logistics_Orders[[#This Row],[Logistics_ID]],Logistics_Catalog[[#All],[Logistics_ID]],Logistics_Catalog[[#All],[Base_Quantity]],0,0)</f>
        <v>5</v>
      </c>
      <c r="D179" cm="1">
        <f t="array" ref="D179">IF(Logistics_Orders[[#This Row],[Item]]="Chairs &amp; Tables",CEILING(_xlfn.XLOOKUP(Logistics_Orders[[#This Row],[Event_No]],Event_Master[[#All],[Event_No]],Event_Master[[#All],[Guest_Count]],,0)/Logistics_Orders[[#This Row],[Base_Quantity]],1),1)</f>
        <v>1</v>
      </c>
      <c r="E179" cm="1">
        <f t="array" ref="E179">Logistics_Orders[[#This Row],[Quantity_Ordered]]*_xlfn.XLOOKUP(Logistics_Orders[[#This Row],[Logistics_ID]],Logistics_Catalog[[#All],[Logistics_ID]],Logistics_Catalog[[#All],[Cost]],0,0)</f>
        <v>3000</v>
      </c>
      <c r="F179" cm="1">
        <f t="array" ref="F179">Logistics_Orders[[#This Row],[Quantity_Ordered]]*_xlfn.XLOOKUP(Logistics_Orders[[#This Row],[Logistics_ID]],Logistics_Catalog[[#All],[Logistics_ID]],Logistics_Catalog[[#All],[Client_Charge]],0,0)</f>
        <v>3600</v>
      </c>
      <c r="G179">
        <f>Logistics_Orders[[#This Row],[Client_Charge]]-Logistics_Orders[[#This Row],[Cost]]</f>
        <v>600</v>
      </c>
      <c r="H179" t="s">
        <v>194</v>
      </c>
    </row>
    <row r="180" spans="1:8" x14ac:dyDescent="0.25">
      <c r="A180">
        <v>37</v>
      </c>
      <c r="B180" t="s">
        <v>195</v>
      </c>
      <c r="C180" cm="1">
        <f t="array" ref="C180">_xlfn.XLOOKUP(Logistics_Orders[[#This Row],[Logistics_ID]],Logistics_Catalog[[#All],[Logistics_ID]],Logistics_Catalog[[#All],[Base_Quantity]],0,0)</f>
        <v>10</v>
      </c>
      <c r="D180" cm="1">
        <f t="array" ref="D180">IF(Logistics_Orders[[#This Row],[Item]]="Chairs &amp; Tables",CEILING(_xlfn.XLOOKUP(Logistics_Orders[[#This Row],[Event_No]],Event_Master[[#All],[Event_No]],Event_Master[[#All],[Guest_Count]],,0)/Logistics_Orders[[#This Row],[Base_Quantity]],1),1)</f>
        <v>1</v>
      </c>
      <c r="E180" cm="1">
        <f t="array" ref="E180">Logistics_Orders[[#This Row],[Quantity_Ordered]]*_xlfn.XLOOKUP(Logistics_Orders[[#This Row],[Logistics_ID]],Logistics_Catalog[[#All],[Logistics_ID]],Logistics_Catalog[[#All],[Cost]],0,0)</f>
        <v>6000</v>
      </c>
      <c r="F180" cm="1">
        <f t="array" ref="F180">Logistics_Orders[[#This Row],[Quantity_Ordered]]*_xlfn.XLOOKUP(Logistics_Orders[[#This Row],[Logistics_ID]],Logistics_Catalog[[#All],[Logistics_ID]],Logistics_Catalog[[#All],[Client_Charge]],0,0)</f>
        <v>7200</v>
      </c>
      <c r="G180">
        <f>Logistics_Orders[[#This Row],[Client_Charge]]-Logistics_Orders[[#This Row],[Cost]]</f>
        <v>1200</v>
      </c>
      <c r="H180" t="s">
        <v>198</v>
      </c>
    </row>
    <row r="181" spans="1:8" x14ac:dyDescent="0.25">
      <c r="A181">
        <v>37</v>
      </c>
      <c r="B181" t="s">
        <v>187</v>
      </c>
      <c r="C181" cm="1">
        <f t="array" ref="C181">_xlfn.XLOOKUP(Logistics_Orders[[#This Row],[Logistics_ID]],Logistics_Catalog[[#All],[Logistics_ID]],Logistics_Catalog[[#All],[Base_Quantity]],0,0)</f>
        <v>1</v>
      </c>
      <c r="D181" cm="1">
        <f t="array" ref="D181">IF(Logistics_Orders[[#This Row],[Item]]="Chairs &amp; Tables",CEILING(_xlfn.XLOOKUP(Logistics_Orders[[#This Row],[Event_No]],Event_Master[[#All],[Event_No]],Event_Master[[#All],[Guest_Count]],,0)/Logistics_Orders[[#This Row],[Base_Quantity]],1),1)</f>
        <v>1</v>
      </c>
      <c r="E181" cm="1">
        <f t="array" ref="E181">Logistics_Orders[[#This Row],[Quantity_Ordered]]*_xlfn.XLOOKUP(Logistics_Orders[[#This Row],[Logistics_ID]],Logistics_Catalog[[#All],[Logistics_ID]],Logistics_Catalog[[#All],[Cost]],0,0)</f>
        <v>8000</v>
      </c>
      <c r="F181" cm="1">
        <f t="array" ref="F181">Logistics_Orders[[#This Row],[Quantity_Ordered]]*_xlfn.XLOOKUP(Logistics_Orders[[#This Row],[Logistics_ID]],Logistics_Catalog[[#All],[Logistics_ID]],Logistics_Catalog[[#All],[Client_Charge]],0,0)</f>
        <v>9500</v>
      </c>
      <c r="G181">
        <f>Logistics_Orders[[#This Row],[Client_Charge]]-Logistics_Orders[[#This Row],[Cost]]</f>
        <v>1500</v>
      </c>
      <c r="H181" t="s">
        <v>190</v>
      </c>
    </row>
    <row r="182" spans="1:8" x14ac:dyDescent="0.25">
      <c r="A182">
        <v>38</v>
      </c>
      <c r="B182" t="s">
        <v>177</v>
      </c>
      <c r="C182" cm="1">
        <f t="array" ref="C182">_xlfn.XLOOKUP(Logistics_Orders[[#This Row],[Logistics_ID]],Logistics_Catalog[[#All],[Logistics_ID]],Logistics_Catalog[[#All],[Base_Quantity]],0,0)</f>
        <v>300</v>
      </c>
      <c r="D182" cm="1">
        <f t="array" ref="D182">IF(Logistics_Orders[[#This Row],[Item]]="Chairs &amp; Tables",CEILING(_xlfn.XLOOKUP(Logistics_Orders[[#This Row],[Event_No]],Event_Master[[#All],[Event_No]],Event_Master[[#All],[Guest_Count]],,0)/Logistics_Orders[[#This Row],[Base_Quantity]],1),1)</f>
        <v>2</v>
      </c>
      <c r="E182" cm="1">
        <f t="array" ref="E182">Logistics_Orders[[#This Row],[Quantity_Ordered]]*_xlfn.XLOOKUP(Logistics_Orders[[#This Row],[Logistics_ID]],Logistics_Catalog[[#All],[Logistics_ID]],Logistics_Catalog[[#All],[Cost]],0,0)</f>
        <v>30000</v>
      </c>
      <c r="F182" cm="1">
        <f t="array" ref="F182">Logistics_Orders[[#This Row],[Quantity_Ordered]]*_xlfn.XLOOKUP(Logistics_Orders[[#This Row],[Logistics_ID]],Logistics_Catalog[[#All],[Logistics_ID]],Logistics_Catalog[[#All],[Client_Charge]],0,0)</f>
        <v>36000</v>
      </c>
      <c r="G182">
        <f>Logistics_Orders[[#This Row],[Client_Charge]]-Logistics_Orders[[#This Row],[Cost]]</f>
        <v>6000</v>
      </c>
      <c r="H182" t="s">
        <v>181</v>
      </c>
    </row>
    <row r="183" spans="1:8" x14ac:dyDescent="0.25">
      <c r="A183">
        <v>38</v>
      </c>
      <c r="B183" t="s">
        <v>182</v>
      </c>
      <c r="C183" cm="1">
        <f t="array" ref="C183">_xlfn.XLOOKUP(Logistics_Orders[[#This Row],[Logistics_ID]],Logistics_Catalog[[#All],[Logistics_ID]],Logistics_Catalog[[#All],[Base_Quantity]],0,0)</f>
        <v>1</v>
      </c>
      <c r="D183" cm="1">
        <f t="array" ref="D183">IF(Logistics_Orders[[#This Row],[Item]]="Chairs &amp; Tables",CEILING(_xlfn.XLOOKUP(Logistics_Orders[[#This Row],[Event_No]],Event_Master[[#All],[Event_No]],Event_Master[[#All],[Guest_Count]],,0)/Logistics_Orders[[#This Row],[Base_Quantity]],1),1)</f>
        <v>1</v>
      </c>
      <c r="E183" cm="1">
        <f t="array" ref="E183">Logistics_Orders[[#This Row],[Quantity_Ordered]]*_xlfn.XLOOKUP(Logistics_Orders[[#This Row],[Logistics_ID]],Logistics_Catalog[[#All],[Logistics_ID]],Logistics_Catalog[[#All],[Cost]],0,0)</f>
        <v>12000</v>
      </c>
      <c r="F183" cm="1">
        <f t="array" ref="F183">Logistics_Orders[[#This Row],[Quantity_Ordered]]*_xlfn.XLOOKUP(Logistics_Orders[[#This Row],[Logistics_ID]],Logistics_Catalog[[#All],[Logistics_ID]],Logistics_Catalog[[#All],[Client_Charge]],0,0)</f>
        <v>14500</v>
      </c>
      <c r="G183">
        <f>Logistics_Orders[[#This Row],[Client_Charge]]-Logistics_Orders[[#This Row],[Cost]]</f>
        <v>2500</v>
      </c>
      <c r="H183" t="s">
        <v>186</v>
      </c>
    </row>
    <row r="184" spans="1:8" x14ac:dyDescent="0.25">
      <c r="A184">
        <v>38</v>
      </c>
      <c r="B184" t="s">
        <v>191</v>
      </c>
      <c r="C184" cm="1">
        <f t="array" ref="C184">_xlfn.XLOOKUP(Logistics_Orders[[#This Row],[Logistics_ID]],Logistics_Catalog[[#All],[Logistics_ID]],Logistics_Catalog[[#All],[Base_Quantity]],0,0)</f>
        <v>5</v>
      </c>
      <c r="D184" cm="1">
        <f t="array" ref="D184">IF(Logistics_Orders[[#This Row],[Item]]="Chairs &amp; Tables",CEILING(_xlfn.XLOOKUP(Logistics_Orders[[#This Row],[Event_No]],Event_Master[[#All],[Event_No]],Event_Master[[#All],[Guest_Count]],,0)/Logistics_Orders[[#This Row],[Base_Quantity]],1),1)</f>
        <v>1</v>
      </c>
      <c r="E184" cm="1">
        <f t="array" ref="E184">Logistics_Orders[[#This Row],[Quantity_Ordered]]*_xlfn.XLOOKUP(Logistics_Orders[[#This Row],[Logistics_ID]],Logistics_Catalog[[#All],[Logistics_ID]],Logistics_Catalog[[#All],[Cost]],0,0)</f>
        <v>3000</v>
      </c>
      <c r="F184" cm="1">
        <f t="array" ref="F184">Logistics_Orders[[#This Row],[Quantity_Ordered]]*_xlfn.XLOOKUP(Logistics_Orders[[#This Row],[Logistics_ID]],Logistics_Catalog[[#All],[Logistics_ID]],Logistics_Catalog[[#All],[Client_Charge]],0,0)</f>
        <v>3600</v>
      </c>
      <c r="G184">
        <f>Logistics_Orders[[#This Row],[Client_Charge]]-Logistics_Orders[[#This Row],[Cost]]</f>
        <v>600</v>
      </c>
      <c r="H184" t="s">
        <v>194</v>
      </c>
    </row>
    <row r="185" spans="1:8" x14ac:dyDescent="0.25">
      <c r="A185">
        <v>38</v>
      </c>
      <c r="B185" t="s">
        <v>195</v>
      </c>
      <c r="C185" cm="1">
        <f t="array" ref="C185">_xlfn.XLOOKUP(Logistics_Orders[[#This Row],[Logistics_ID]],Logistics_Catalog[[#All],[Logistics_ID]],Logistics_Catalog[[#All],[Base_Quantity]],0,0)</f>
        <v>10</v>
      </c>
      <c r="D185" cm="1">
        <f t="array" ref="D185">IF(Logistics_Orders[[#This Row],[Item]]="Chairs &amp; Tables",CEILING(_xlfn.XLOOKUP(Logistics_Orders[[#This Row],[Event_No]],Event_Master[[#All],[Event_No]],Event_Master[[#All],[Guest_Count]],,0)/Logistics_Orders[[#This Row],[Base_Quantity]],1),1)</f>
        <v>1</v>
      </c>
      <c r="E185" cm="1">
        <f t="array" ref="E185">Logistics_Orders[[#This Row],[Quantity_Ordered]]*_xlfn.XLOOKUP(Logistics_Orders[[#This Row],[Logistics_ID]],Logistics_Catalog[[#All],[Logistics_ID]],Logistics_Catalog[[#All],[Cost]],0,0)</f>
        <v>6000</v>
      </c>
      <c r="F185" cm="1">
        <f t="array" ref="F185">Logistics_Orders[[#This Row],[Quantity_Ordered]]*_xlfn.XLOOKUP(Logistics_Orders[[#This Row],[Logistics_ID]],Logistics_Catalog[[#All],[Logistics_ID]],Logistics_Catalog[[#All],[Client_Charge]],0,0)</f>
        <v>7200</v>
      </c>
      <c r="G185">
        <f>Logistics_Orders[[#This Row],[Client_Charge]]-Logistics_Orders[[#This Row],[Cost]]</f>
        <v>1200</v>
      </c>
      <c r="H185" t="s">
        <v>198</v>
      </c>
    </row>
    <row r="186" spans="1:8" x14ac:dyDescent="0.25">
      <c r="A186">
        <v>38</v>
      </c>
      <c r="B186" t="s">
        <v>187</v>
      </c>
      <c r="C186" cm="1">
        <f t="array" ref="C186">_xlfn.XLOOKUP(Logistics_Orders[[#This Row],[Logistics_ID]],Logistics_Catalog[[#All],[Logistics_ID]],Logistics_Catalog[[#All],[Base_Quantity]],0,0)</f>
        <v>1</v>
      </c>
      <c r="D186" cm="1">
        <f t="array" ref="D186">IF(Logistics_Orders[[#This Row],[Item]]="Chairs &amp; Tables",CEILING(_xlfn.XLOOKUP(Logistics_Orders[[#This Row],[Event_No]],Event_Master[[#All],[Event_No]],Event_Master[[#All],[Guest_Count]],,0)/Logistics_Orders[[#This Row],[Base_Quantity]],1),1)</f>
        <v>1</v>
      </c>
      <c r="E186" cm="1">
        <f t="array" ref="E186">Logistics_Orders[[#This Row],[Quantity_Ordered]]*_xlfn.XLOOKUP(Logistics_Orders[[#This Row],[Logistics_ID]],Logistics_Catalog[[#All],[Logistics_ID]],Logistics_Catalog[[#All],[Cost]],0,0)</f>
        <v>8000</v>
      </c>
      <c r="F186" cm="1">
        <f t="array" ref="F186">Logistics_Orders[[#This Row],[Quantity_Ordered]]*_xlfn.XLOOKUP(Logistics_Orders[[#This Row],[Logistics_ID]],Logistics_Catalog[[#All],[Logistics_ID]],Logistics_Catalog[[#All],[Client_Charge]],0,0)</f>
        <v>9500</v>
      </c>
      <c r="G186">
        <f>Logistics_Orders[[#This Row],[Client_Charge]]-Logistics_Orders[[#This Row],[Cost]]</f>
        <v>1500</v>
      </c>
      <c r="H186" t="s">
        <v>190</v>
      </c>
    </row>
    <row r="187" spans="1:8" x14ac:dyDescent="0.25">
      <c r="A187">
        <v>39</v>
      </c>
      <c r="B187" t="s">
        <v>177</v>
      </c>
      <c r="C187" cm="1">
        <f t="array" ref="C187">_xlfn.XLOOKUP(Logistics_Orders[[#This Row],[Logistics_ID]],Logistics_Catalog[[#All],[Logistics_ID]],Logistics_Catalog[[#All],[Base_Quantity]],0,0)</f>
        <v>300</v>
      </c>
      <c r="D187" cm="1">
        <f t="array" ref="D187">IF(Logistics_Orders[[#This Row],[Item]]="Chairs &amp; Tables",CEILING(_xlfn.XLOOKUP(Logistics_Orders[[#This Row],[Event_No]],Event_Master[[#All],[Event_No]],Event_Master[[#All],[Guest_Count]],,0)/Logistics_Orders[[#This Row],[Base_Quantity]],1),1)</f>
        <v>2</v>
      </c>
      <c r="E187" cm="1">
        <f t="array" ref="E187">Logistics_Orders[[#This Row],[Quantity_Ordered]]*_xlfn.XLOOKUP(Logistics_Orders[[#This Row],[Logistics_ID]],Logistics_Catalog[[#All],[Logistics_ID]],Logistics_Catalog[[#All],[Cost]],0,0)</f>
        <v>30000</v>
      </c>
      <c r="F187" cm="1">
        <f t="array" ref="F187">Logistics_Orders[[#This Row],[Quantity_Ordered]]*_xlfn.XLOOKUP(Logistics_Orders[[#This Row],[Logistics_ID]],Logistics_Catalog[[#All],[Logistics_ID]],Logistics_Catalog[[#All],[Client_Charge]],0,0)</f>
        <v>36000</v>
      </c>
      <c r="G187">
        <f>Logistics_Orders[[#This Row],[Client_Charge]]-Logistics_Orders[[#This Row],[Cost]]</f>
        <v>6000</v>
      </c>
      <c r="H187" t="s">
        <v>181</v>
      </c>
    </row>
    <row r="188" spans="1:8" x14ac:dyDescent="0.25">
      <c r="A188">
        <v>39</v>
      </c>
      <c r="B188" t="s">
        <v>182</v>
      </c>
      <c r="C188" cm="1">
        <f t="array" ref="C188">_xlfn.XLOOKUP(Logistics_Orders[[#This Row],[Logistics_ID]],Logistics_Catalog[[#All],[Logistics_ID]],Logistics_Catalog[[#All],[Base_Quantity]],0,0)</f>
        <v>1</v>
      </c>
      <c r="D188" cm="1">
        <f t="array" ref="D188">IF(Logistics_Orders[[#This Row],[Item]]="Chairs &amp; Tables",CEILING(_xlfn.XLOOKUP(Logistics_Orders[[#This Row],[Event_No]],Event_Master[[#All],[Event_No]],Event_Master[[#All],[Guest_Count]],,0)/Logistics_Orders[[#This Row],[Base_Quantity]],1),1)</f>
        <v>1</v>
      </c>
      <c r="E188" cm="1">
        <f t="array" ref="E188">Logistics_Orders[[#This Row],[Quantity_Ordered]]*_xlfn.XLOOKUP(Logistics_Orders[[#This Row],[Logistics_ID]],Logistics_Catalog[[#All],[Logistics_ID]],Logistics_Catalog[[#All],[Cost]],0,0)</f>
        <v>12000</v>
      </c>
      <c r="F188" cm="1">
        <f t="array" ref="F188">Logistics_Orders[[#This Row],[Quantity_Ordered]]*_xlfn.XLOOKUP(Logistics_Orders[[#This Row],[Logistics_ID]],Logistics_Catalog[[#All],[Logistics_ID]],Logistics_Catalog[[#All],[Client_Charge]],0,0)</f>
        <v>14500</v>
      </c>
      <c r="G188">
        <f>Logistics_Orders[[#This Row],[Client_Charge]]-Logistics_Orders[[#This Row],[Cost]]</f>
        <v>2500</v>
      </c>
      <c r="H188" t="s">
        <v>186</v>
      </c>
    </row>
    <row r="189" spans="1:8" x14ac:dyDescent="0.25">
      <c r="A189">
        <v>39</v>
      </c>
      <c r="B189" t="s">
        <v>191</v>
      </c>
      <c r="C189" cm="1">
        <f t="array" ref="C189">_xlfn.XLOOKUP(Logistics_Orders[[#This Row],[Logistics_ID]],Logistics_Catalog[[#All],[Logistics_ID]],Logistics_Catalog[[#All],[Base_Quantity]],0,0)</f>
        <v>5</v>
      </c>
      <c r="D189" cm="1">
        <f t="array" ref="D189">IF(Logistics_Orders[[#This Row],[Item]]="Chairs &amp; Tables",CEILING(_xlfn.XLOOKUP(Logistics_Orders[[#This Row],[Event_No]],Event_Master[[#All],[Event_No]],Event_Master[[#All],[Guest_Count]],,0)/Logistics_Orders[[#This Row],[Base_Quantity]],1),1)</f>
        <v>1</v>
      </c>
      <c r="E189" cm="1">
        <f t="array" ref="E189">Logistics_Orders[[#This Row],[Quantity_Ordered]]*_xlfn.XLOOKUP(Logistics_Orders[[#This Row],[Logistics_ID]],Logistics_Catalog[[#All],[Logistics_ID]],Logistics_Catalog[[#All],[Cost]],0,0)</f>
        <v>3000</v>
      </c>
      <c r="F189" cm="1">
        <f t="array" ref="F189">Logistics_Orders[[#This Row],[Quantity_Ordered]]*_xlfn.XLOOKUP(Logistics_Orders[[#This Row],[Logistics_ID]],Logistics_Catalog[[#All],[Logistics_ID]],Logistics_Catalog[[#All],[Client_Charge]],0,0)</f>
        <v>3600</v>
      </c>
      <c r="G189">
        <f>Logistics_Orders[[#This Row],[Client_Charge]]-Logistics_Orders[[#This Row],[Cost]]</f>
        <v>600</v>
      </c>
      <c r="H189" t="s">
        <v>194</v>
      </c>
    </row>
    <row r="190" spans="1:8" x14ac:dyDescent="0.25">
      <c r="A190">
        <v>39</v>
      </c>
      <c r="B190" t="s">
        <v>195</v>
      </c>
      <c r="C190" cm="1">
        <f t="array" ref="C190">_xlfn.XLOOKUP(Logistics_Orders[[#This Row],[Logistics_ID]],Logistics_Catalog[[#All],[Logistics_ID]],Logistics_Catalog[[#All],[Base_Quantity]],0,0)</f>
        <v>10</v>
      </c>
      <c r="D190" cm="1">
        <f t="array" ref="D190">IF(Logistics_Orders[[#This Row],[Item]]="Chairs &amp; Tables",CEILING(_xlfn.XLOOKUP(Logistics_Orders[[#This Row],[Event_No]],Event_Master[[#All],[Event_No]],Event_Master[[#All],[Guest_Count]],,0)/Logistics_Orders[[#This Row],[Base_Quantity]],1),1)</f>
        <v>1</v>
      </c>
      <c r="E190" cm="1">
        <f t="array" ref="E190">Logistics_Orders[[#This Row],[Quantity_Ordered]]*_xlfn.XLOOKUP(Logistics_Orders[[#This Row],[Logistics_ID]],Logistics_Catalog[[#All],[Logistics_ID]],Logistics_Catalog[[#All],[Cost]],0,0)</f>
        <v>6000</v>
      </c>
      <c r="F190" cm="1">
        <f t="array" ref="F190">Logistics_Orders[[#This Row],[Quantity_Ordered]]*_xlfn.XLOOKUP(Logistics_Orders[[#This Row],[Logistics_ID]],Logistics_Catalog[[#All],[Logistics_ID]],Logistics_Catalog[[#All],[Client_Charge]],0,0)</f>
        <v>7200</v>
      </c>
      <c r="G190">
        <f>Logistics_Orders[[#This Row],[Client_Charge]]-Logistics_Orders[[#This Row],[Cost]]</f>
        <v>1200</v>
      </c>
      <c r="H190" t="s">
        <v>198</v>
      </c>
    </row>
    <row r="191" spans="1:8" x14ac:dyDescent="0.25">
      <c r="A191">
        <v>39</v>
      </c>
      <c r="B191" t="s">
        <v>187</v>
      </c>
      <c r="C191" cm="1">
        <f t="array" ref="C191">_xlfn.XLOOKUP(Logistics_Orders[[#This Row],[Logistics_ID]],Logistics_Catalog[[#All],[Logistics_ID]],Logistics_Catalog[[#All],[Base_Quantity]],0,0)</f>
        <v>1</v>
      </c>
      <c r="D191" cm="1">
        <f t="array" ref="D191">IF(Logistics_Orders[[#This Row],[Item]]="Chairs &amp; Tables",CEILING(_xlfn.XLOOKUP(Logistics_Orders[[#This Row],[Event_No]],Event_Master[[#All],[Event_No]],Event_Master[[#All],[Guest_Count]],,0)/Logistics_Orders[[#This Row],[Base_Quantity]],1),1)</f>
        <v>1</v>
      </c>
      <c r="E191" cm="1">
        <f t="array" ref="E191">Logistics_Orders[[#This Row],[Quantity_Ordered]]*_xlfn.XLOOKUP(Logistics_Orders[[#This Row],[Logistics_ID]],Logistics_Catalog[[#All],[Logistics_ID]],Logistics_Catalog[[#All],[Cost]],0,0)</f>
        <v>8000</v>
      </c>
      <c r="F191" cm="1">
        <f t="array" ref="F191">Logistics_Orders[[#This Row],[Quantity_Ordered]]*_xlfn.XLOOKUP(Logistics_Orders[[#This Row],[Logistics_ID]],Logistics_Catalog[[#All],[Logistics_ID]],Logistics_Catalog[[#All],[Client_Charge]],0,0)</f>
        <v>9500</v>
      </c>
      <c r="G191">
        <f>Logistics_Orders[[#This Row],[Client_Charge]]-Logistics_Orders[[#This Row],[Cost]]</f>
        <v>1500</v>
      </c>
      <c r="H191" t="s">
        <v>190</v>
      </c>
    </row>
    <row r="192" spans="1:8" x14ac:dyDescent="0.25">
      <c r="A192">
        <v>40</v>
      </c>
      <c r="B192" t="s">
        <v>177</v>
      </c>
      <c r="C192" cm="1">
        <f t="array" ref="C192">_xlfn.XLOOKUP(Logistics_Orders[[#This Row],[Logistics_ID]],Logistics_Catalog[[#All],[Logistics_ID]],Logistics_Catalog[[#All],[Base_Quantity]],0,0)</f>
        <v>300</v>
      </c>
      <c r="D192" cm="1">
        <f t="array" ref="D192">IF(Logistics_Orders[[#This Row],[Item]]="Chairs &amp; Tables",CEILING(_xlfn.XLOOKUP(Logistics_Orders[[#This Row],[Event_No]],Event_Master[[#All],[Event_No]],Event_Master[[#All],[Guest_Count]],,0)/Logistics_Orders[[#This Row],[Base_Quantity]],1),1)</f>
        <v>7</v>
      </c>
      <c r="E192" cm="1">
        <f t="array" ref="E192">Logistics_Orders[[#This Row],[Quantity_Ordered]]*_xlfn.XLOOKUP(Logistics_Orders[[#This Row],[Logistics_ID]],Logistics_Catalog[[#All],[Logistics_ID]],Logistics_Catalog[[#All],[Cost]],0,0)</f>
        <v>105000</v>
      </c>
      <c r="F192" cm="1">
        <f t="array" ref="F192">Logistics_Orders[[#This Row],[Quantity_Ordered]]*_xlfn.XLOOKUP(Logistics_Orders[[#This Row],[Logistics_ID]],Logistics_Catalog[[#All],[Logistics_ID]],Logistics_Catalog[[#All],[Client_Charge]],0,0)</f>
        <v>126000</v>
      </c>
      <c r="G192">
        <f>Logistics_Orders[[#This Row],[Client_Charge]]-Logistics_Orders[[#This Row],[Cost]]</f>
        <v>21000</v>
      </c>
      <c r="H192" t="s">
        <v>181</v>
      </c>
    </row>
    <row r="193" spans="1:8" x14ac:dyDescent="0.25">
      <c r="A193">
        <v>40</v>
      </c>
      <c r="B193" t="s">
        <v>182</v>
      </c>
      <c r="C193" cm="1">
        <f t="array" ref="C193">_xlfn.XLOOKUP(Logistics_Orders[[#This Row],[Logistics_ID]],Logistics_Catalog[[#All],[Logistics_ID]],Logistics_Catalog[[#All],[Base_Quantity]],0,0)</f>
        <v>1</v>
      </c>
      <c r="D193" cm="1">
        <f t="array" ref="D193">IF(Logistics_Orders[[#This Row],[Item]]="Chairs &amp; Tables",CEILING(_xlfn.XLOOKUP(Logistics_Orders[[#This Row],[Event_No]],Event_Master[[#All],[Event_No]],Event_Master[[#All],[Guest_Count]],,0)/Logistics_Orders[[#This Row],[Base_Quantity]],1),1)</f>
        <v>1</v>
      </c>
      <c r="E193" cm="1">
        <f t="array" ref="E193">Logistics_Orders[[#This Row],[Quantity_Ordered]]*_xlfn.XLOOKUP(Logistics_Orders[[#This Row],[Logistics_ID]],Logistics_Catalog[[#All],[Logistics_ID]],Logistics_Catalog[[#All],[Cost]],0,0)</f>
        <v>12000</v>
      </c>
      <c r="F193" cm="1">
        <f t="array" ref="F193">Logistics_Orders[[#This Row],[Quantity_Ordered]]*_xlfn.XLOOKUP(Logistics_Orders[[#This Row],[Logistics_ID]],Logistics_Catalog[[#All],[Logistics_ID]],Logistics_Catalog[[#All],[Client_Charge]],0,0)</f>
        <v>14500</v>
      </c>
      <c r="G193">
        <f>Logistics_Orders[[#This Row],[Client_Charge]]-Logistics_Orders[[#This Row],[Cost]]</f>
        <v>2500</v>
      </c>
      <c r="H193" t="s">
        <v>186</v>
      </c>
    </row>
    <row r="194" spans="1:8" x14ac:dyDescent="0.25">
      <c r="A194">
        <v>40</v>
      </c>
      <c r="B194" t="s">
        <v>191</v>
      </c>
      <c r="C194" cm="1">
        <f t="array" ref="C194">_xlfn.XLOOKUP(Logistics_Orders[[#This Row],[Logistics_ID]],Logistics_Catalog[[#All],[Logistics_ID]],Logistics_Catalog[[#All],[Base_Quantity]],0,0)</f>
        <v>5</v>
      </c>
      <c r="D194" cm="1">
        <f t="array" ref="D194">IF(Logistics_Orders[[#This Row],[Item]]="Chairs &amp; Tables",CEILING(_xlfn.XLOOKUP(Logistics_Orders[[#This Row],[Event_No]],Event_Master[[#All],[Event_No]],Event_Master[[#All],[Guest_Count]],,0)/Logistics_Orders[[#This Row],[Base_Quantity]],1),1)</f>
        <v>1</v>
      </c>
      <c r="E194" cm="1">
        <f t="array" ref="E194">Logistics_Orders[[#This Row],[Quantity_Ordered]]*_xlfn.XLOOKUP(Logistics_Orders[[#This Row],[Logistics_ID]],Logistics_Catalog[[#All],[Logistics_ID]],Logistics_Catalog[[#All],[Cost]],0,0)</f>
        <v>3000</v>
      </c>
      <c r="F194" cm="1">
        <f t="array" ref="F194">Logistics_Orders[[#This Row],[Quantity_Ordered]]*_xlfn.XLOOKUP(Logistics_Orders[[#This Row],[Logistics_ID]],Logistics_Catalog[[#All],[Logistics_ID]],Logistics_Catalog[[#All],[Client_Charge]],0,0)</f>
        <v>3600</v>
      </c>
      <c r="G194">
        <f>Logistics_Orders[[#This Row],[Client_Charge]]-Logistics_Orders[[#This Row],[Cost]]</f>
        <v>600</v>
      </c>
      <c r="H194" t="s">
        <v>194</v>
      </c>
    </row>
    <row r="195" spans="1:8" x14ac:dyDescent="0.25">
      <c r="A195">
        <v>40</v>
      </c>
      <c r="B195" t="s">
        <v>195</v>
      </c>
      <c r="C195" cm="1">
        <f t="array" ref="C195">_xlfn.XLOOKUP(Logistics_Orders[[#This Row],[Logistics_ID]],Logistics_Catalog[[#All],[Logistics_ID]],Logistics_Catalog[[#All],[Base_Quantity]],0,0)</f>
        <v>10</v>
      </c>
      <c r="D195" cm="1">
        <f t="array" ref="D195">IF(Logistics_Orders[[#This Row],[Item]]="Chairs &amp; Tables",CEILING(_xlfn.XLOOKUP(Logistics_Orders[[#This Row],[Event_No]],Event_Master[[#All],[Event_No]],Event_Master[[#All],[Guest_Count]],,0)/Logistics_Orders[[#This Row],[Base_Quantity]],1),1)</f>
        <v>1</v>
      </c>
      <c r="E195" cm="1">
        <f t="array" ref="E195">Logistics_Orders[[#This Row],[Quantity_Ordered]]*_xlfn.XLOOKUP(Logistics_Orders[[#This Row],[Logistics_ID]],Logistics_Catalog[[#All],[Logistics_ID]],Logistics_Catalog[[#All],[Cost]],0,0)</f>
        <v>6000</v>
      </c>
      <c r="F195" cm="1">
        <f t="array" ref="F195">Logistics_Orders[[#This Row],[Quantity_Ordered]]*_xlfn.XLOOKUP(Logistics_Orders[[#This Row],[Logistics_ID]],Logistics_Catalog[[#All],[Logistics_ID]],Logistics_Catalog[[#All],[Client_Charge]],0,0)</f>
        <v>7200</v>
      </c>
      <c r="G195">
        <f>Logistics_Orders[[#This Row],[Client_Charge]]-Logistics_Orders[[#This Row],[Cost]]</f>
        <v>1200</v>
      </c>
      <c r="H195" t="s">
        <v>198</v>
      </c>
    </row>
    <row r="196" spans="1:8" x14ac:dyDescent="0.25">
      <c r="A196">
        <v>40</v>
      </c>
      <c r="B196" t="s">
        <v>187</v>
      </c>
      <c r="C196" cm="1">
        <f t="array" ref="C196">_xlfn.XLOOKUP(Logistics_Orders[[#This Row],[Logistics_ID]],Logistics_Catalog[[#All],[Logistics_ID]],Logistics_Catalog[[#All],[Base_Quantity]],0,0)</f>
        <v>1</v>
      </c>
      <c r="D196" cm="1">
        <f t="array" ref="D196">IF(Logistics_Orders[[#This Row],[Item]]="Chairs &amp; Tables",CEILING(_xlfn.XLOOKUP(Logistics_Orders[[#This Row],[Event_No]],Event_Master[[#All],[Event_No]],Event_Master[[#All],[Guest_Count]],,0)/Logistics_Orders[[#This Row],[Base_Quantity]],1),1)</f>
        <v>1</v>
      </c>
      <c r="E196" cm="1">
        <f t="array" ref="E196">Logistics_Orders[[#This Row],[Quantity_Ordered]]*_xlfn.XLOOKUP(Logistics_Orders[[#This Row],[Logistics_ID]],Logistics_Catalog[[#All],[Logistics_ID]],Logistics_Catalog[[#All],[Cost]],0,0)</f>
        <v>8000</v>
      </c>
      <c r="F196" cm="1">
        <f t="array" ref="F196">Logistics_Orders[[#This Row],[Quantity_Ordered]]*_xlfn.XLOOKUP(Logistics_Orders[[#This Row],[Logistics_ID]],Logistics_Catalog[[#All],[Logistics_ID]],Logistics_Catalog[[#All],[Client_Charge]],0,0)</f>
        <v>9500</v>
      </c>
      <c r="G196">
        <f>Logistics_Orders[[#This Row],[Client_Charge]]-Logistics_Orders[[#This Row],[Cost]]</f>
        <v>1500</v>
      </c>
      <c r="H196" t="s">
        <v>190</v>
      </c>
    </row>
    <row r="197" spans="1:8" x14ac:dyDescent="0.25">
      <c r="A197">
        <v>41</v>
      </c>
      <c r="B197" t="s">
        <v>177</v>
      </c>
      <c r="C197" cm="1">
        <f t="array" ref="C197">_xlfn.XLOOKUP(Logistics_Orders[[#This Row],[Logistics_ID]],Logistics_Catalog[[#All],[Logistics_ID]],Logistics_Catalog[[#All],[Base_Quantity]],0,0)</f>
        <v>300</v>
      </c>
      <c r="D197" cm="1">
        <f t="array" ref="D197">IF(Logistics_Orders[[#This Row],[Item]]="Chairs &amp; Tables",CEILING(_xlfn.XLOOKUP(Logistics_Orders[[#This Row],[Event_No]],Event_Master[[#All],[Event_No]],Event_Master[[#All],[Guest_Count]],,0)/Logistics_Orders[[#This Row],[Base_Quantity]],1),1)</f>
        <v>3</v>
      </c>
      <c r="E197" cm="1">
        <f t="array" ref="E197">Logistics_Orders[[#This Row],[Quantity_Ordered]]*_xlfn.XLOOKUP(Logistics_Orders[[#This Row],[Logistics_ID]],Logistics_Catalog[[#All],[Logistics_ID]],Logistics_Catalog[[#All],[Cost]],0,0)</f>
        <v>45000</v>
      </c>
      <c r="F197" cm="1">
        <f t="array" ref="F197">Logistics_Orders[[#This Row],[Quantity_Ordered]]*_xlfn.XLOOKUP(Logistics_Orders[[#This Row],[Logistics_ID]],Logistics_Catalog[[#All],[Logistics_ID]],Logistics_Catalog[[#All],[Client_Charge]],0,0)</f>
        <v>54000</v>
      </c>
      <c r="G197">
        <f>Logistics_Orders[[#This Row],[Client_Charge]]-Logistics_Orders[[#This Row],[Cost]]</f>
        <v>9000</v>
      </c>
      <c r="H197" t="s">
        <v>181</v>
      </c>
    </row>
    <row r="198" spans="1:8" x14ac:dyDescent="0.25">
      <c r="A198">
        <v>41</v>
      </c>
      <c r="B198" t="s">
        <v>182</v>
      </c>
      <c r="C198" cm="1">
        <f t="array" ref="C198">_xlfn.XLOOKUP(Logistics_Orders[[#This Row],[Logistics_ID]],Logistics_Catalog[[#All],[Logistics_ID]],Logistics_Catalog[[#All],[Base_Quantity]],0,0)</f>
        <v>1</v>
      </c>
      <c r="D198" cm="1">
        <f t="array" ref="D198">IF(Logistics_Orders[[#This Row],[Item]]="Chairs &amp; Tables",CEILING(_xlfn.XLOOKUP(Logistics_Orders[[#This Row],[Event_No]],Event_Master[[#All],[Event_No]],Event_Master[[#All],[Guest_Count]],,0)/Logistics_Orders[[#This Row],[Base_Quantity]],1),1)</f>
        <v>1</v>
      </c>
      <c r="E198" cm="1">
        <f t="array" ref="E198">Logistics_Orders[[#This Row],[Quantity_Ordered]]*_xlfn.XLOOKUP(Logistics_Orders[[#This Row],[Logistics_ID]],Logistics_Catalog[[#All],[Logistics_ID]],Logistics_Catalog[[#All],[Cost]],0,0)</f>
        <v>12000</v>
      </c>
      <c r="F198" cm="1">
        <f t="array" ref="F198">Logistics_Orders[[#This Row],[Quantity_Ordered]]*_xlfn.XLOOKUP(Logistics_Orders[[#This Row],[Logistics_ID]],Logistics_Catalog[[#All],[Logistics_ID]],Logistics_Catalog[[#All],[Client_Charge]],0,0)</f>
        <v>14500</v>
      </c>
      <c r="G198">
        <f>Logistics_Orders[[#This Row],[Client_Charge]]-Logistics_Orders[[#This Row],[Cost]]</f>
        <v>2500</v>
      </c>
      <c r="H198" t="s">
        <v>186</v>
      </c>
    </row>
    <row r="199" spans="1:8" x14ac:dyDescent="0.25">
      <c r="A199">
        <v>41</v>
      </c>
      <c r="B199" t="s">
        <v>191</v>
      </c>
      <c r="C199" cm="1">
        <f t="array" ref="C199">_xlfn.XLOOKUP(Logistics_Orders[[#This Row],[Logistics_ID]],Logistics_Catalog[[#All],[Logistics_ID]],Logistics_Catalog[[#All],[Base_Quantity]],0,0)</f>
        <v>5</v>
      </c>
      <c r="D199" cm="1">
        <f t="array" ref="D199">IF(Logistics_Orders[[#This Row],[Item]]="Chairs &amp; Tables",CEILING(_xlfn.XLOOKUP(Logistics_Orders[[#This Row],[Event_No]],Event_Master[[#All],[Event_No]],Event_Master[[#All],[Guest_Count]],,0)/Logistics_Orders[[#This Row],[Base_Quantity]],1),1)</f>
        <v>1</v>
      </c>
      <c r="E199" cm="1">
        <f t="array" ref="E199">Logistics_Orders[[#This Row],[Quantity_Ordered]]*_xlfn.XLOOKUP(Logistics_Orders[[#This Row],[Logistics_ID]],Logistics_Catalog[[#All],[Logistics_ID]],Logistics_Catalog[[#All],[Cost]],0,0)</f>
        <v>3000</v>
      </c>
      <c r="F199" cm="1">
        <f t="array" ref="F199">Logistics_Orders[[#This Row],[Quantity_Ordered]]*_xlfn.XLOOKUP(Logistics_Orders[[#This Row],[Logistics_ID]],Logistics_Catalog[[#All],[Logistics_ID]],Logistics_Catalog[[#All],[Client_Charge]],0,0)</f>
        <v>3600</v>
      </c>
      <c r="G199">
        <f>Logistics_Orders[[#This Row],[Client_Charge]]-Logistics_Orders[[#This Row],[Cost]]</f>
        <v>600</v>
      </c>
      <c r="H199" t="s">
        <v>194</v>
      </c>
    </row>
    <row r="200" spans="1:8" x14ac:dyDescent="0.25">
      <c r="A200">
        <v>41</v>
      </c>
      <c r="B200" t="s">
        <v>195</v>
      </c>
      <c r="C200" cm="1">
        <f t="array" ref="C200">_xlfn.XLOOKUP(Logistics_Orders[[#This Row],[Logistics_ID]],Logistics_Catalog[[#All],[Logistics_ID]],Logistics_Catalog[[#All],[Base_Quantity]],0,0)</f>
        <v>10</v>
      </c>
      <c r="D200" cm="1">
        <f t="array" ref="D200">IF(Logistics_Orders[[#This Row],[Item]]="Chairs &amp; Tables",CEILING(_xlfn.XLOOKUP(Logistics_Orders[[#This Row],[Event_No]],Event_Master[[#All],[Event_No]],Event_Master[[#All],[Guest_Count]],,0)/Logistics_Orders[[#This Row],[Base_Quantity]],1),1)</f>
        <v>1</v>
      </c>
      <c r="E200" cm="1">
        <f t="array" ref="E200">Logistics_Orders[[#This Row],[Quantity_Ordered]]*_xlfn.XLOOKUP(Logistics_Orders[[#This Row],[Logistics_ID]],Logistics_Catalog[[#All],[Logistics_ID]],Logistics_Catalog[[#All],[Cost]],0,0)</f>
        <v>6000</v>
      </c>
      <c r="F200" cm="1">
        <f t="array" ref="F200">Logistics_Orders[[#This Row],[Quantity_Ordered]]*_xlfn.XLOOKUP(Logistics_Orders[[#This Row],[Logistics_ID]],Logistics_Catalog[[#All],[Logistics_ID]],Logistics_Catalog[[#All],[Client_Charge]],0,0)</f>
        <v>7200</v>
      </c>
      <c r="G200">
        <f>Logistics_Orders[[#This Row],[Client_Charge]]-Logistics_Orders[[#This Row],[Cost]]</f>
        <v>1200</v>
      </c>
      <c r="H200" t="s">
        <v>198</v>
      </c>
    </row>
    <row r="201" spans="1:8" x14ac:dyDescent="0.25">
      <c r="A201">
        <v>41</v>
      </c>
      <c r="B201" t="s">
        <v>187</v>
      </c>
      <c r="C201" cm="1">
        <f t="array" ref="C201">_xlfn.XLOOKUP(Logistics_Orders[[#This Row],[Logistics_ID]],Logistics_Catalog[[#All],[Logistics_ID]],Logistics_Catalog[[#All],[Base_Quantity]],0,0)</f>
        <v>1</v>
      </c>
      <c r="D201" cm="1">
        <f t="array" ref="D201">IF(Logistics_Orders[[#This Row],[Item]]="Chairs &amp; Tables",CEILING(_xlfn.XLOOKUP(Logistics_Orders[[#This Row],[Event_No]],Event_Master[[#All],[Event_No]],Event_Master[[#All],[Guest_Count]],,0)/Logistics_Orders[[#This Row],[Base_Quantity]],1),1)</f>
        <v>1</v>
      </c>
      <c r="E201" cm="1">
        <f t="array" ref="E201">Logistics_Orders[[#This Row],[Quantity_Ordered]]*_xlfn.XLOOKUP(Logistics_Orders[[#This Row],[Logistics_ID]],Logistics_Catalog[[#All],[Logistics_ID]],Logistics_Catalog[[#All],[Cost]],0,0)</f>
        <v>8000</v>
      </c>
      <c r="F201" cm="1">
        <f t="array" ref="F201">Logistics_Orders[[#This Row],[Quantity_Ordered]]*_xlfn.XLOOKUP(Logistics_Orders[[#This Row],[Logistics_ID]],Logistics_Catalog[[#All],[Logistics_ID]],Logistics_Catalog[[#All],[Client_Charge]],0,0)</f>
        <v>9500</v>
      </c>
      <c r="G201">
        <f>Logistics_Orders[[#This Row],[Client_Charge]]-Logistics_Orders[[#This Row],[Cost]]</f>
        <v>1500</v>
      </c>
      <c r="H201" t="s">
        <v>190</v>
      </c>
    </row>
    <row r="202" spans="1:8" x14ac:dyDescent="0.25">
      <c r="A202">
        <v>42</v>
      </c>
      <c r="B202" t="s">
        <v>177</v>
      </c>
      <c r="C202" cm="1">
        <f t="array" ref="C202">_xlfn.XLOOKUP(Logistics_Orders[[#This Row],[Logistics_ID]],Logistics_Catalog[[#All],[Logistics_ID]],Logistics_Catalog[[#All],[Base_Quantity]],0,0)</f>
        <v>300</v>
      </c>
      <c r="D202" cm="1">
        <f t="array" ref="D202">IF(Logistics_Orders[[#This Row],[Item]]="Chairs &amp; Tables",CEILING(_xlfn.XLOOKUP(Logistics_Orders[[#This Row],[Event_No]],Event_Master[[#All],[Event_No]],Event_Master[[#All],[Guest_Count]],,0)/Logistics_Orders[[#This Row],[Base_Quantity]],1),1)</f>
        <v>2</v>
      </c>
      <c r="E202" cm="1">
        <f t="array" ref="E202">Logistics_Orders[[#This Row],[Quantity_Ordered]]*_xlfn.XLOOKUP(Logistics_Orders[[#This Row],[Logistics_ID]],Logistics_Catalog[[#All],[Logistics_ID]],Logistics_Catalog[[#All],[Cost]],0,0)</f>
        <v>30000</v>
      </c>
      <c r="F202" cm="1">
        <f t="array" ref="F202">Logistics_Orders[[#This Row],[Quantity_Ordered]]*_xlfn.XLOOKUP(Logistics_Orders[[#This Row],[Logistics_ID]],Logistics_Catalog[[#All],[Logistics_ID]],Logistics_Catalog[[#All],[Client_Charge]],0,0)</f>
        <v>36000</v>
      </c>
      <c r="G202">
        <f>Logistics_Orders[[#This Row],[Client_Charge]]-Logistics_Orders[[#This Row],[Cost]]</f>
        <v>6000</v>
      </c>
      <c r="H202" t="s">
        <v>181</v>
      </c>
    </row>
    <row r="203" spans="1:8" x14ac:dyDescent="0.25">
      <c r="A203">
        <v>42</v>
      </c>
      <c r="B203" t="s">
        <v>182</v>
      </c>
      <c r="C203" cm="1">
        <f t="array" ref="C203">_xlfn.XLOOKUP(Logistics_Orders[[#This Row],[Logistics_ID]],Logistics_Catalog[[#All],[Logistics_ID]],Logistics_Catalog[[#All],[Base_Quantity]],0,0)</f>
        <v>1</v>
      </c>
      <c r="D203" cm="1">
        <f t="array" ref="D203">IF(Logistics_Orders[[#This Row],[Item]]="Chairs &amp; Tables",CEILING(_xlfn.XLOOKUP(Logistics_Orders[[#This Row],[Event_No]],Event_Master[[#All],[Event_No]],Event_Master[[#All],[Guest_Count]],,0)/Logistics_Orders[[#This Row],[Base_Quantity]],1),1)</f>
        <v>1</v>
      </c>
      <c r="E203" cm="1">
        <f t="array" ref="E203">Logistics_Orders[[#This Row],[Quantity_Ordered]]*_xlfn.XLOOKUP(Logistics_Orders[[#This Row],[Logistics_ID]],Logistics_Catalog[[#All],[Logistics_ID]],Logistics_Catalog[[#All],[Cost]],0,0)</f>
        <v>12000</v>
      </c>
      <c r="F203" cm="1">
        <f t="array" ref="F203">Logistics_Orders[[#This Row],[Quantity_Ordered]]*_xlfn.XLOOKUP(Logistics_Orders[[#This Row],[Logistics_ID]],Logistics_Catalog[[#All],[Logistics_ID]],Logistics_Catalog[[#All],[Client_Charge]],0,0)</f>
        <v>14500</v>
      </c>
      <c r="G203">
        <f>Logistics_Orders[[#This Row],[Client_Charge]]-Logistics_Orders[[#This Row],[Cost]]</f>
        <v>2500</v>
      </c>
      <c r="H203" t="s">
        <v>186</v>
      </c>
    </row>
    <row r="204" spans="1:8" x14ac:dyDescent="0.25">
      <c r="A204">
        <v>42</v>
      </c>
      <c r="B204" t="s">
        <v>191</v>
      </c>
      <c r="C204" cm="1">
        <f t="array" ref="C204">_xlfn.XLOOKUP(Logistics_Orders[[#This Row],[Logistics_ID]],Logistics_Catalog[[#All],[Logistics_ID]],Logistics_Catalog[[#All],[Base_Quantity]],0,0)</f>
        <v>5</v>
      </c>
      <c r="D204" cm="1">
        <f t="array" ref="D204">IF(Logistics_Orders[[#This Row],[Item]]="Chairs &amp; Tables",CEILING(_xlfn.XLOOKUP(Logistics_Orders[[#This Row],[Event_No]],Event_Master[[#All],[Event_No]],Event_Master[[#All],[Guest_Count]],,0)/Logistics_Orders[[#This Row],[Base_Quantity]],1),1)</f>
        <v>1</v>
      </c>
      <c r="E204" cm="1">
        <f t="array" ref="E204">Logistics_Orders[[#This Row],[Quantity_Ordered]]*_xlfn.XLOOKUP(Logistics_Orders[[#This Row],[Logistics_ID]],Logistics_Catalog[[#All],[Logistics_ID]],Logistics_Catalog[[#All],[Cost]],0,0)</f>
        <v>3000</v>
      </c>
      <c r="F204" cm="1">
        <f t="array" ref="F204">Logistics_Orders[[#This Row],[Quantity_Ordered]]*_xlfn.XLOOKUP(Logistics_Orders[[#This Row],[Logistics_ID]],Logistics_Catalog[[#All],[Logistics_ID]],Logistics_Catalog[[#All],[Client_Charge]],0,0)</f>
        <v>3600</v>
      </c>
      <c r="G204">
        <f>Logistics_Orders[[#This Row],[Client_Charge]]-Logistics_Orders[[#This Row],[Cost]]</f>
        <v>600</v>
      </c>
      <c r="H204" t="s">
        <v>194</v>
      </c>
    </row>
    <row r="205" spans="1:8" x14ac:dyDescent="0.25">
      <c r="A205">
        <v>42</v>
      </c>
      <c r="B205" t="s">
        <v>195</v>
      </c>
      <c r="C205" cm="1">
        <f t="array" ref="C205">_xlfn.XLOOKUP(Logistics_Orders[[#This Row],[Logistics_ID]],Logistics_Catalog[[#All],[Logistics_ID]],Logistics_Catalog[[#All],[Base_Quantity]],0,0)</f>
        <v>10</v>
      </c>
      <c r="D205" cm="1">
        <f t="array" ref="D205">IF(Logistics_Orders[[#This Row],[Item]]="Chairs &amp; Tables",CEILING(_xlfn.XLOOKUP(Logistics_Orders[[#This Row],[Event_No]],Event_Master[[#All],[Event_No]],Event_Master[[#All],[Guest_Count]],,0)/Logistics_Orders[[#This Row],[Base_Quantity]],1),1)</f>
        <v>1</v>
      </c>
      <c r="E205" cm="1">
        <f t="array" ref="E205">Logistics_Orders[[#This Row],[Quantity_Ordered]]*_xlfn.XLOOKUP(Logistics_Orders[[#This Row],[Logistics_ID]],Logistics_Catalog[[#All],[Logistics_ID]],Logistics_Catalog[[#All],[Cost]],0,0)</f>
        <v>6000</v>
      </c>
      <c r="F205" cm="1">
        <f t="array" ref="F205">Logistics_Orders[[#This Row],[Quantity_Ordered]]*_xlfn.XLOOKUP(Logistics_Orders[[#This Row],[Logistics_ID]],Logistics_Catalog[[#All],[Logistics_ID]],Logistics_Catalog[[#All],[Client_Charge]],0,0)</f>
        <v>7200</v>
      </c>
      <c r="G205">
        <f>Logistics_Orders[[#This Row],[Client_Charge]]-Logistics_Orders[[#This Row],[Cost]]</f>
        <v>1200</v>
      </c>
      <c r="H205" t="s">
        <v>198</v>
      </c>
    </row>
    <row r="206" spans="1:8" x14ac:dyDescent="0.25">
      <c r="A206">
        <v>42</v>
      </c>
      <c r="B206" t="s">
        <v>187</v>
      </c>
      <c r="C206" cm="1">
        <f t="array" ref="C206">_xlfn.XLOOKUP(Logistics_Orders[[#This Row],[Logistics_ID]],Logistics_Catalog[[#All],[Logistics_ID]],Logistics_Catalog[[#All],[Base_Quantity]],0,0)</f>
        <v>1</v>
      </c>
      <c r="D206" cm="1">
        <f t="array" ref="D206">IF(Logistics_Orders[[#This Row],[Item]]="Chairs &amp; Tables",CEILING(_xlfn.XLOOKUP(Logistics_Orders[[#This Row],[Event_No]],Event_Master[[#All],[Event_No]],Event_Master[[#All],[Guest_Count]],,0)/Logistics_Orders[[#This Row],[Base_Quantity]],1),1)</f>
        <v>1</v>
      </c>
      <c r="E206" cm="1">
        <f t="array" ref="E206">Logistics_Orders[[#This Row],[Quantity_Ordered]]*_xlfn.XLOOKUP(Logistics_Orders[[#This Row],[Logistics_ID]],Logistics_Catalog[[#All],[Logistics_ID]],Logistics_Catalog[[#All],[Cost]],0,0)</f>
        <v>8000</v>
      </c>
      <c r="F206" cm="1">
        <f t="array" ref="F206">Logistics_Orders[[#This Row],[Quantity_Ordered]]*_xlfn.XLOOKUP(Logistics_Orders[[#This Row],[Logistics_ID]],Logistics_Catalog[[#All],[Logistics_ID]],Logistics_Catalog[[#All],[Client_Charge]],0,0)</f>
        <v>9500</v>
      </c>
      <c r="G206">
        <f>Logistics_Orders[[#This Row],[Client_Charge]]-Logistics_Orders[[#This Row],[Cost]]</f>
        <v>1500</v>
      </c>
      <c r="H206" t="s">
        <v>190</v>
      </c>
    </row>
    <row r="207" spans="1:8" x14ac:dyDescent="0.25">
      <c r="A207">
        <v>43</v>
      </c>
      <c r="B207" t="s">
        <v>177</v>
      </c>
      <c r="C207" cm="1">
        <f t="array" ref="C207">_xlfn.XLOOKUP(Logistics_Orders[[#This Row],[Logistics_ID]],Logistics_Catalog[[#All],[Logistics_ID]],Logistics_Catalog[[#All],[Base_Quantity]],0,0)</f>
        <v>300</v>
      </c>
      <c r="D207" cm="1">
        <f t="array" ref="D207">IF(Logistics_Orders[[#This Row],[Item]]="Chairs &amp; Tables",CEILING(_xlfn.XLOOKUP(Logistics_Orders[[#This Row],[Event_No]],Event_Master[[#All],[Event_No]],Event_Master[[#All],[Guest_Count]],,0)/Logistics_Orders[[#This Row],[Base_Quantity]],1),1)</f>
        <v>1</v>
      </c>
      <c r="E207" cm="1">
        <f t="array" ref="E207">Logistics_Orders[[#This Row],[Quantity_Ordered]]*_xlfn.XLOOKUP(Logistics_Orders[[#This Row],[Logistics_ID]],Logistics_Catalog[[#All],[Logistics_ID]],Logistics_Catalog[[#All],[Cost]],0,0)</f>
        <v>15000</v>
      </c>
      <c r="F207" cm="1">
        <f t="array" ref="F207">Logistics_Orders[[#This Row],[Quantity_Ordered]]*_xlfn.XLOOKUP(Logistics_Orders[[#This Row],[Logistics_ID]],Logistics_Catalog[[#All],[Logistics_ID]],Logistics_Catalog[[#All],[Client_Charge]],0,0)</f>
        <v>18000</v>
      </c>
      <c r="G207">
        <f>Logistics_Orders[[#This Row],[Client_Charge]]-Logistics_Orders[[#This Row],[Cost]]</f>
        <v>3000</v>
      </c>
      <c r="H207" t="s">
        <v>181</v>
      </c>
    </row>
    <row r="208" spans="1:8" x14ac:dyDescent="0.25">
      <c r="A208">
        <v>43</v>
      </c>
      <c r="B208" t="s">
        <v>182</v>
      </c>
      <c r="C208" cm="1">
        <f t="array" ref="C208">_xlfn.XLOOKUP(Logistics_Orders[[#This Row],[Logistics_ID]],Logistics_Catalog[[#All],[Logistics_ID]],Logistics_Catalog[[#All],[Base_Quantity]],0,0)</f>
        <v>1</v>
      </c>
      <c r="D208" cm="1">
        <f t="array" ref="D208">IF(Logistics_Orders[[#This Row],[Item]]="Chairs &amp; Tables",CEILING(_xlfn.XLOOKUP(Logistics_Orders[[#This Row],[Event_No]],Event_Master[[#All],[Event_No]],Event_Master[[#All],[Guest_Count]],,0)/Logistics_Orders[[#This Row],[Base_Quantity]],1),1)</f>
        <v>1</v>
      </c>
      <c r="E208" cm="1">
        <f t="array" ref="E208">Logistics_Orders[[#This Row],[Quantity_Ordered]]*_xlfn.XLOOKUP(Logistics_Orders[[#This Row],[Logistics_ID]],Logistics_Catalog[[#All],[Logistics_ID]],Logistics_Catalog[[#All],[Cost]],0,0)</f>
        <v>12000</v>
      </c>
      <c r="F208" cm="1">
        <f t="array" ref="F208">Logistics_Orders[[#This Row],[Quantity_Ordered]]*_xlfn.XLOOKUP(Logistics_Orders[[#This Row],[Logistics_ID]],Logistics_Catalog[[#All],[Logistics_ID]],Logistics_Catalog[[#All],[Client_Charge]],0,0)</f>
        <v>14500</v>
      </c>
      <c r="G208">
        <f>Logistics_Orders[[#This Row],[Client_Charge]]-Logistics_Orders[[#This Row],[Cost]]</f>
        <v>2500</v>
      </c>
      <c r="H208" t="s">
        <v>186</v>
      </c>
    </row>
    <row r="209" spans="1:8" x14ac:dyDescent="0.25">
      <c r="A209">
        <v>43</v>
      </c>
      <c r="B209" t="s">
        <v>191</v>
      </c>
      <c r="C209" cm="1">
        <f t="array" ref="C209">_xlfn.XLOOKUP(Logistics_Orders[[#This Row],[Logistics_ID]],Logistics_Catalog[[#All],[Logistics_ID]],Logistics_Catalog[[#All],[Base_Quantity]],0,0)</f>
        <v>5</v>
      </c>
      <c r="D209" cm="1">
        <f t="array" ref="D209">IF(Logistics_Orders[[#This Row],[Item]]="Chairs &amp; Tables",CEILING(_xlfn.XLOOKUP(Logistics_Orders[[#This Row],[Event_No]],Event_Master[[#All],[Event_No]],Event_Master[[#All],[Guest_Count]],,0)/Logistics_Orders[[#This Row],[Base_Quantity]],1),1)</f>
        <v>1</v>
      </c>
      <c r="E209" cm="1">
        <f t="array" ref="E209">Logistics_Orders[[#This Row],[Quantity_Ordered]]*_xlfn.XLOOKUP(Logistics_Orders[[#This Row],[Logistics_ID]],Logistics_Catalog[[#All],[Logistics_ID]],Logistics_Catalog[[#All],[Cost]],0,0)</f>
        <v>3000</v>
      </c>
      <c r="F209" cm="1">
        <f t="array" ref="F209">Logistics_Orders[[#This Row],[Quantity_Ordered]]*_xlfn.XLOOKUP(Logistics_Orders[[#This Row],[Logistics_ID]],Logistics_Catalog[[#All],[Logistics_ID]],Logistics_Catalog[[#All],[Client_Charge]],0,0)</f>
        <v>3600</v>
      </c>
      <c r="G209">
        <f>Logistics_Orders[[#This Row],[Client_Charge]]-Logistics_Orders[[#This Row],[Cost]]</f>
        <v>600</v>
      </c>
      <c r="H209" t="s">
        <v>194</v>
      </c>
    </row>
    <row r="210" spans="1:8" x14ac:dyDescent="0.25">
      <c r="A210">
        <v>43</v>
      </c>
      <c r="B210" t="s">
        <v>195</v>
      </c>
      <c r="C210" cm="1">
        <f t="array" ref="C210">_xlfn.XLOOKUP(Logistics_Orders[[#This Row],[Logistics_ID]],Logistics_Catalog[[#All],[Logistics_ID]],Logistics_Catalog[[#All],[Base_Quantity]],0,0)</f>
        <v>10</v>
      </c>
      <c r="D210" cm="1">
        <f t="array" ref="D210">IF(Logistics_Orders[[#This Row],[Item]]="Chairs &amp; Tables",CEILING(_xlfn.XLOOKUP(Logistics_Orders[[#This Row],[Event_No]],Event_Master[[#All],[Event_No]],Event_Master[[#All],[Guest_Count]],,0)/Logistics_Orders[[#This Row],[Base_Quantity]],1),1)</f>
        <v>1</v>
      </c>
      <c r="E210" cm="1">
        <f t="array" ref="E210">Logistics_Orders[[#This Row],[Quantity_Ordered]]*_xlfn.XLOOKUP(Logistics_Orders[[#This Row],[Logistics_ID]],Logistics_Catalog[[#All],[Logistics_ID]],Logistics_Catalog[[#All],[Cost]],0,0)</f>
        <v>6000</v>
      </c>
      <c r="F210" cm="1">
        <f t="array" ref="F210">Logistics_Orders[[#This Row],[Quantity_Ordered]]*_xlfn.XLOOKUP(Logistics_Orders[[#This Row],[Logistics_ID]],Logistics_Catalog[[#All],[Logistics_ID]],Logistics_Catalog[[#All],[Client_Charge]],0,0)</f>
        <v>7200</v>
      </c>
      <c r="G210">
        <f>Logistics_Orders[[#This Row],[Client_Charge]]-Logistics_Orders[[#This Row],[Cost]]</f>
        <v>1200</v>
      </c>
      <c r="H210" t="s">
        <v>198</v>
      </c>
    </row>
    <row r="211" spans="1:8" x14ac:dyDescent="0.25">
      <c r="A211">
        <v>43</v>
      </c>
      <c r="B211" t="s">
        <v>187</v>
      </c>
      <c r="C211" cm="1">
        <f t="array" ref="C211">_xlfn.XLOOKUP(Logistics_Orders[[#This Row],[Logistics_ID]],Logistics_Catalog[[#All],[Logistics_ID]],Logistics_Catalog[[#All],[Base_Quantity]],0,0)</f>
        <v>1</v>
      </c>
      <c r="D211" cm="1">
        <f t="array" ref="D211">IF(Logistics_Orders[[#This Row],[Item]]="Chairs &amp; Tables",CEILING(_xlfn.XLOOKUP(Logistics_Orders[[#This Row],[Event_No]],Event_Master[[#All],[Event_No]],Event_Master[[#All],[Guest_Count]],,0)/Logistics_Orders[[#This Row],[Base_Quantity]],1),1)</f>
        <v>1</v>
      </c>
      <c r="E211" cm="1">
        <f t="array" ref="E211">Logistics_Orders[[#This Row],[Quantity_Ordered]]*_xlfn.XLOOKUP(Logistics_Orders[[#This Row],[Logistics_ID]],Logistics_Catalog[[#All],[Logistics_ID]],Logistics_Catalog[[#All],[Cost]],0,0)</f>
        <v>8000</v>
      </c>
      <c r="F211" cm="1">
        <f t="array" ref="F211">Logistics_Orders[[#This Row],[Quantity_Ordered]]*_xlfn.XLOOKUP(Logistics_Orders[[#This Row],[Logistics_ID]],Logistics_Catalog[[#All],[Logistics_ID]],Logistics_Catalog[[#All],[Client_Charge]],0,0)</f>
        <v>9500</v>
      </c>
      <c r="G211">
        <f>Logistics_Orders[[#This Row],[Client_Charge]]-Logistics_Orders[[#This Row],[Cost]]</f>
        <v>1500</v>
      </c>
      <c r="H211" t="s">
        <v>190</v>
      </c>
    </row>
    <row r="212" spans="1:8" x14ac:dyDescent="0.25">
      <c r="A212">
        <v>44</v>
      </c>
      <c r="B212" t="s">
        <v>177</v>
      </c>
      <c r="C212" cm="1">
        <f t="array" ref="C212">_xlfn.XLOOKUP(Logistics_Orders[[#This Row],[Logistics_ID]],Logistics_Catalog[[#All],[Logistics_ID]],Logistics_Catalog[[#All],[Base_Quantity]],0,0)</f>
        <v>300</v>
      </c>
      <c r="D212" cm="1">
        <f t="array" ref="D212">IF(Logistics_Orders[[#This Row],[Item]]="Chairs &amp; Tables",CEILING(_xlfn.XLOOKUP(Logistics_Orders[[#This Row],[Event_No]],Event_Master[[#All],[Event_No]],Event_Master[[#All],[Guest_Count]],,0)/Logistics_Orders[[#This Row],[Base_Quantity]],1),1)</f>
        <v>1</v>
      </c>
      <c r="E212" cm="1">
        <f t="array" ref="E212">Logistics_Orders[[#This Row],[Quantity_Ordered]]*_xlfn.XLOOKUP(Logistics_Orders[[#This Row],[Logistics_ID]],Logistics_Catalog[[#All],[Logistics_ID]],Logistics_Catalog[[#All],[Cost]],0,0)</f>
        <v>15000</v>
      </c>
      <c r="F212" cm="1">
        <f t="array" ref="F212">Logistics_Orders[[#This Row],[Quantity_Ordered]]*_xlfn.XLOOKUP(Logistics_Orders[[#This Row],[Logistics_ID]],Logistics_Catalog[[#All],[Logistics_ID]],Logistics_Catalog[[#All],[Client_Charge]],0,0)</f>
        <v>18000</v>
      </c>
      <c r="G212">
        <f>Logistics_Orders[[#This Row],[Client_Charge]]-Logistics_Orders[[#This Row],[Cost]]</f>
        <v>3000</v>
      </c>
      <c r="H212" t="s">
        <v>181</v>
      </c>
    </row>
    <row r="213" spans="1:8" x14ac:dyDescent="0.25">
      <c r="A213">
        <v>44</v>
      </c>
      <c r="B213" t="s">
        <v>182</v>
      </c>
      <c r="C213" cm="1">
        <f t="array" ref="C213">_xlfn.XLOOKUP(Logistics_Orders[[#This Row],[Logistics_ID]],Logistics_Catalog[[#All],[Logistics_ID]],Logistics_Catalog[[#All],[Base_Quantity]],0,0)</f>
        <v>1</v>
      </c>
      <c r="D213" cm="1">
        <f t="array" ref="D213">IF(Logistics_Orders[[#This Row],[Item]]="Chairs &amp; Tables",CEILING(_xlfn.XLOOKUP(Logistics_Orders[[#This Row],[Event_No]],Event_Master[[#All],[Event_No]],Event_Master[[#All],[Guest_Count]],,0)/Logistics_Orders[[#This Row],[Base_Quantity]],1),1)</f>
        <v>1</v>
      </c>
      <c r="E213" cm="1">
        <f t="array" ref="E213">Logistics_Orders[[#This Row],[Quantity_Ordered]]*_xlfn.XLOOKUP(Logistics_Orders[[#This Row],[Logistics_ID]],Logistics_Catalog[[#All],[Logistics_ID]],Logistics_Catalog[[#All],[Cost]],0,0)</f>
        <v>12000</v>
      </c>
      <c r="F213" cm="1">
        <f t="array" ref="F213">Logistics_Orders[[#This Row],[Quantity_Ordered]]*_xlfn.XLOOKUP(Logistics_Orders[[#This Row],[Logistics_ID]],Logistics_Catalog[[#All],[Logistics_ID]],Logistics_Catalog[[#All],[Client_Charge]],0,0)</f>
        <v>14500</v>
      </c>
      <c r="G213">
        <f>Logistics_Orders[[#This Row],[Client_Charge]]-Logistics_Orders[[#This Row],[Cost]]</f>
        <v>2500</v>
      </c>
      <c r="H213" t="s">
        <v>186</v>
      </c>
    </row>
    <row r="214" spans="1:8" x14ac:dyDescent="0.25">
      <c r="A214">
        <v>44</v>
      </c>
      <c r="B214" t="s">
        <v>191</v>
      </c>
      <c r="C214" cm="1">
        <f t="array" ref="C214">_xlfn.XLOOKUP(Logistics_Orders[[#This Row],[Logistics_ID]],Logistics_Catalog[[#All],[Logistics_ID]],Logistics_Catalog[[#All],[Base_Quantity]],0,0)</f>
        <v>5</v>
      </c>
      <c r="D214" cm="1">
        <f t="array" ref="D214">IF(Logistics_Orders[[#This Row],[Item]]="Chairs &amp; Tables",CEILING(_xlfn.XLOOKUP(Logistics_Orders[[#This Row],[Event_No]],Event_Master[[#All],[Event_No]],Event_Master[[#All],[Guest_Count]],,0)/Logistics_Orders[[#This Row],[Base_Quantity]],1),1)</f>
        <v>1</v>
      </c>
      <c r="E214" cm="1">
        <f t="array" ref="E214">Logistics_Orders[[#This Row],[Quantity_Ordered]]*_xlfn.XLOOKUP(Logistics_Orders[[#This Row],[Logistics_ID]],Logistics_Catalog[[#All],[Logistics_ID]],Logistics_Catalog[[#All],[Cost]],0,0)</f>
        <v>3000</v>
      </c>
      <c r="F214" cm="1">
        <f t="array" ref="F214">Logistics_Orders[[#This Row],[Quantity_Ordered]]*_xlfn.XLOOKUP(Logistics_Orders[[#This Row],[Logistics_ID]],Logistics_Catalog[[#All],[Logistics_ID]],Logistics_Catalog[[#All],[Client_Charge]],0,0)</f>
        <v>3600</v>
      </c>
      <c r="G214">
        <f>Logistics_Orders[[#This Row],[Client_Charge]]-Logistics_Orders[[#This Row],[Cost]]</f>
        <v>600</v>
      </c>
      <c r="H214" t="s">
        <v>194</v>
      </c>
    </row>
    <row r="215" spans="1:8" x14ac:dyDescent="0.25">
      <c r="A215">
        <v>44</v>
      </c>
      <c r="B215" t="s">
        <v>195</v>
      </c>
      <c r="C215" cm="1">
        <f t="array" ref="C215">_xlfn.XLOOKUP(Logistics_Orders[[#This Row],[Logistics_ID]],Logistics_Catalog[[#All],[Logistics_ID]],Logistics_Catalog[[#All],[Base_Quantity]],0,0)</f>
        <v>10</v>
      </c>
      <c r="D215" cm="1">
        <f t="array" ref="D215">IF(Logistics_Orders[[#This Row],[Item]]="Chairs &amp; Tables",CEILING(_xlfn.XLOOKUP(Logistics_Orders[[#This Row],[Event_No]],Event_Master[[#All],[Event_No]],Event_Master[[#All],[Guest_Count]],,0)/Logistics_Orders[[#This Row],[Base_Quantity]],1),1)</f>
        <v>1</v>
      </c>
      <c r="E215" cm="1">
        <f t="array" ref="E215">Logistics_Orders[[#This Row],[Quantity_Ordered]]*_xlfn.XLOOKUP(Logistics_Orders[[#This Row],[Logistics_ID]],Logistics_Catalog[[#All],[Logistics_ID]],Logistics_Catalog[[#All],[Cost]],0,0)</f>
        <v>6000</v>
      </c>
      <c r="F215" cm="1">
        <f t="array" ref="F215">Logistics_Orders[[#This Row],[Quantity_Ordered]]*_xlfn.XLOOKUP(Logistics_Orders[[#This Row],[Logistics_ID]],Logistics_Catalog[[#All],[Logistics_ID]],Logistics_Catalog[[#All],[Client_Charge]],0,0)</f>
        <v>7200</v>
      </c>
      <c r="G215">
        <f>Logistics_Orders[[#This Row],[Client_Charge]]-Logistics_Orders[[#This Row],[Cost]]</f>
        <v>1200</v>
      </c>
      <c r="H215" t="s">
        <v>198</v>
      </c>
    </row>
    <row r="216" spans="1:8" x14ac:dyDescent="0.25">
      <c r="A216">
        <v>44</v>
      </c>
      <c r="B216" t="s">
        <v>187</v>
      </c>
      <c r="C216" cm="1">
        <f t="array" ref="C216">_xlfn.XLOOKUP(Logistics_Orders[[#This Row],[Logistics_ID]],Logistics_Catalog[[#All],[Logistics_ID]],Logistics_Catalog[[#All],[Base_Quantity]],0,0)</f>
        <v>1</v>
      </c>
      <c r="D216" cm="1">
        <f t="array" ref="D216">IF(Logistics_Orders[[#This Row],[Item]]="Chairs &amp; Tables",CEILING(_xlfn.XLOOKUP(Logistics_Orders[[#This Row],[Event_No]],Event_Master[[#All],[Event_No]],Event_Master[[#All],[Guest_Count]],,0)/Logistics_Orders[[#This Row],[Base_Quantity]],1),1)</f>
        <v>1</v>
      </c>
      <c r="E216" cm="1">
        <f t="array" ref="E216">Logistics_Orders[[#This Row],[Quantity_Ordered]]*_xlfn.XLOOKUP(Logistics_Orders[[#This Row],[Logistics_ID]],Logistics_Catalog[[#All],[Logistics_ID]],Logistics_Catalog[[#All],[Cost]],0,0)</f>
        <v>8000</v>
      </c>
      <c r="F216" cm="1">
        <f t="array" ref="F216">Logistics_Orders[[#This Row],[Quantity_Ordered]]*_xlfn.XLOOKUP(Logistics_Orders[[#This Row],[Logistics_ID]],Logistics_Catalog[[#All],[Logistics_ID]],Logistics_Catalog[[#All],[Client_Charge]],0,0)</f>
        <v>9500</v>
      </c>
      <c r="G216">
        <f>Logistics_Orders[[#This Row],[Client_Charge]]-Logistics_Orders[[#This Row],[Cost]]</f>
        <v>1500</v>
      </c>
      <c r="H216" t="s">
        <v>190</v>
      </c>
    </row>
    <row r="217" spans="1:8" x14ac:dyDescent="0.25">
      <c r="A217">
        <v>45</v>
      </c>
      <c r="B217" t="s">
        <v>177</v>
      </c>
      <c r="C217" cm="1">
        <f t="array" ref="C217">_xlfn.XLOOKUP(Logistics_Orders[[#This Row],[Logistics_ID]],Logistics_Catalog[[#All],[Logistics_ID]],Logistics_Catalog[[#All],[Base_Quantity]],0,0)</f>
        <v>300</v>
      </c>
      <c r="D217" cm="1">
        <f t="array" ref="D217">IF(Logistics_Orders[[#This Row],[Item]]="Chairs &amp; Tables",CEILING(_xlfn.XLOOKUP(Logistics_Orders[[#This Row],[Event_No]],Event_Master[[#All],[Event_No]],Event_Master[[#All],[Guest_Count]],,0)/Logistics_Orders[[#This Row],[Base_Quantity]],1),1)</f>
        <v>1</v>
      </c>
      <c r="E217" cm="1">
        <f t="array" ref="E217">Logistics_Orders[[#This Row],[Quantity_Ordered]]*_xlfn.XLOOKUP(Logistics_Orders[[#This Row],[Logistics_ID]],Logistics_Catalog[[#All],[Logistics_ID]],Logistics_Catalog[[#All],[Cost]],0,0)</f>
        <v>15000</v>
      </c>
      <c r="F217" cm="1">
        <f t="array" ref="F217">Logistics_Orders[[#This Row],[Quantity_Ordered]]*_xlfn.XLOOKUP(Logistics_Orders[[#This Row],[Logistics_ID]],Logistics_Catalog[[#All],[Logistics_ID]],Logistics_Catalog[[#All],[Client_Charge]],0,0)</f>
        <v>18000</v>
      </c>
      <c r="G217">
        <f>Logistics_Orders[[#This Row],[Client_Charge]]-Logistics_Orders[[#This Row],[Cost]]</f>
        <v>3000</v>
      </c>
      <c r="H217" t="s">
        <v>181</v>
      </c>
    </row>
    <row r="218" spans="1:8" x14ac:dyDescent="0.25">
      <c r="A218">
        <v>45</v>
      </c>
      <c r="B218" t="s">
        <v>191</v>
      </c>
      <c r="C218" cm="1">
        <f t="array" ref="C218">_xlfn.XLOOKUP(Logistics_Orders[[#This Row],[Logistics_ID]],Logistics_Catalog[[#All],[Logistics_ID]],Logistics_Catalog[[#All],[Base_Quantity]],0,0)</f>
        <v>5</v>
      </c>
      <c r="D218" cm="1">
        <f t="array" ref="D218">IF(Logistics_Orders[[#This Row],[Item]]="Chairs &amp; Tables",CEILING(_xlfn.XLOOKUP(Logistics_Orders[[#This Row],[Event_No]],Event_Master[[#All],[Event_No]],Event_Master[[#All],[Guest_Count]],,0)/Logistics_Orders[[#This Row],[Base_Quantity]],1),1)</f>
        <v>1</v>
      </c>
      <c r="E218" cm="1">
        <f t="array" ref="E218">Logistics_Orders[[#This Row],[Quantity_Ordered]]*_xlfn.XLOOKUP(Logistics_Orders[[#This Row],[Logistics_ID]],Logistics_Catalog[[#All],[Logistics_ID]],Logistics_Catalog[[#All],[Cost]],0,0)</f>
        <v>3000</v>
      </c>
      <c r="F218" cm="1">
        <f t="array" ref="F218">Logistics_Orders[[#This Row],[Quantity_Ordered]]*_xlfn.XLOOKUP(Logistics_Orders[[#This Row],[Logistics_ID]],Logistics_Catalog[[#All],[Logistics_ID]],Logistics_Catalog[[#All],[Client_Charge]],0,0)</f>
        <v>3600</v>
      </c>
      <c r="G218">
        <f>Logistics_Orders[[#This Row],[Client_Charge]]-Logistics_Orders[[#This Row],[Cost]]</f>
        <v>600</v>
      </c>
      <c r="H218" t="s">
        <v>194</v>
      </c>
    </row>
    <row r="219" spans="1:8" x14ac:dyDescent="0.25">
      <c r="A219">
        <v>45</v>
      </c>
      <c r="B219" t="s">
        <v>195</v>
      </c>
      <c r="C219" cm="1">
        <f t="array" ref="C219">_xlfn.XLOOKUP(Logistics_Orders[[#This Row],[Logistics_ID]],Logistics_Catalog[[#All],[Logistics_ID]],Logistics_Catalog[[#All],[Base_Quantity]],0,0)</f>
        <v>10</v>
      </c>
      <c r="D219" cm="1">
        <f t="array" ref="D219">IF(Logistics_Orders[[#This Row],[Item]]="Chairs &amp; Tables",CEILING(_xlfn.XLOOKUP(Logistics_Orders[[#This Row],[Event_No]],Event_Master[[#All],[Event_No]],Event_Master[[#All],[Guest_Count]],,0)/Logistics_Orders[[#This Row],[Base_Quantity]],1),1)</f>
        <v>1</v>
      </c>
      <c r="E219" cm="1">
        <f t="array" ref="E219">Logistics_Orders[[#This Row],[Quantity_Ordered]]*_xlfn.XLOOKUP(Logistics_Orders[[#This Row],[Logistics_ID]],Logistics_Catalog[[#All],[Logistics_ID]],Logistics_Catalog[[#All],[Cost]],0,0)</f>
        <v>6000</v>
      </c>
      <c r="F219" cm="1">
        <f t="array" ref="F219">Logistics_Orders[[#This Row],[Quantity_Ordered]]*_xlfn.XLOOKUP(Logistics_Orders[[#This Row],[Logistics_ID]],Logistics_Catalog[[#All],[Logistics_ID]],Logistics_Catalog[[#All],[Client_Charge]],0,0)</f>
        <v>7200</v>
      </c>
      <c r="G219">
        <f>Logistics_Orders[[#This Row],[Client_Charge]]-Logistics_Orders[[#This Row],[Cost]]</f>
        <v>1200</v>
      </c>
      <c r="H219" t="s">
        <v>198</v>
      </c>
    </row>
    <row r="220" spans="1:8" x14ac:dyDescent="0.25">
      <c r="A220">
        <v>45</v>
      </c>
      <c r="B220" t="s">
        <v>187</v>
      </c>
      <c r="C220" cm="1">
        <f t="array" ref="C220">_xlfn.XLOOKUP(Logistics_Orders[[#This Row],[Logistics_ID]],Logistics_Catalog[[#All],[Logistics_ID]],Logistics_Catalog[[#All],[Base_Quantity]],0,0)</f>
        <v>1</v>
      </c>
      <c r="D220" cm="1">
        <f t="array" ref="D220">IF(Logistics_Orders[[#This Row],[Item]]="Chairs &amp; Tables",CEILING(_xlfn.XLOOKUP(Logistics_Orders[[#This Row],[Event_No]],Event_Master[[#All],[Event_No]],Event_Master[[#All],[Guest_Count]],,0)/Logistics_Orders[[#This Row],[Base_Quantity]],1),1)</f>
        <v>1</v>
      </c>
      <c r="E220" cm="1">
        <f t="array" ref="E220">Logistics_Orders[[#This Row],[Quantity_Ordered]]*_xlfn.XLOOKUP(Logistics_Orders[[#This Row],[Logistics_ID]],Logistics_Catalog[[#All],[Logistics_ID]],Logistics_Catalog[[#All],[Cost]],0,0)</f>
        <v>8000</v>
      </c>
      <c r="F220" cm="1">
        <f t="array" ref="F220">Logistics_Orders[[#This Row],[Quantity_Ordered]]*_xlfn.XLOOKUP(Logistics_Orders[[#This Row],[Logistics_ID]],Logistics_Catalog[[#All],[Logistics_ID]],Logistics_Catalog[[#All],[Client_Charge]],0,0)</f>
        <v>9500</v>
      </c>
      <c r="G220">
        <f>Logistics_Orders[[#This Row],[Client_Charge]]-Logistics_Orders[[#This Row],[Cost]]</f>
        <v>1500</v>
      </c>
      <c r="H220" t="s">
        <v>190</v>
      </c>
    </row>
    <row r="221" spans="1:8" x14ac:dyDescent="0.25">
      <c r="A221">
        <v>46</v>
      </c>
      <c r="B221" t="s">
        <v>177</v>
      </c>
      <c r="C221" cm="1">
        <f t="array" ref="C221">_xlfn.XLOOKUP(Logistics_Orders[[#This Row],[Logistics_ID]],Logistics_Catalog[[#All],[Logistics_ID]],Logistics_Catalog[[#All],[Base_Quantity]],0,0)</f>
        <v>300</v>
      </c>
      <c r="D221" cm="1">
        <f t="array" ref="D221">IF(Logistics_Orders[[#This Row],[Item]]="Chairs &amp; Tables",CEILING(_xlfn.XLOOKUP(Logistics_Orders[[#This Row],[Event_No]],Event_Master[[#All],[Event_No]],Event_Master[[#All],[Guest_Count]],,0)/Logistics_Orders[[#This Row],[Base_Quantity]],1),1)</f>
        <v>4</v>
      </c>
      <c r="E221" cm="1">
        <f t="array" ref="E221">Logistics_Orders[[#This Row],[Quantity_Ordered]]*_xlfn.XLOOKUP(Logistics_Orders[[#This Row],[Logistics_ID]],Logistics_Catalog[[#All],[Logistics_ID]],Logistics_Catalog[[#All],[Cost]],0,0)</f>
        <v>60000</v>
      </c>
      <c r="F221" cm="1">
        <f t="array" ref="F221">Logistics_Orders[[#This Row],[Quantity_Ordered]]*_xlfn.XLOOKUP(Logistics_Orders[[#This Row],[Logistics_ID]],Logistics_Catalog[[#All],[Logistics_ID]],Logistics_Catalog[[#All],[Client_Charge]],0,0)</f>
        <v>72000</v>
      </c>
      <c r="G221">
        <f>Logistics_Orders[[#This Row],[Client_Charge]]-Logistics_Orders[[#This Row],[Cost]]</f>
        <v>12000</v>
      </c>
      <c r="H221" t="s">
        <v>181</v>
      </c>
    </row>
    <row r="222" spans="1:8" x14ac:dyDescent="0.25">
      <c r="A222">
        <v>46</v>
      </c>
      <c r="B222" t="s">
        <v>182</v>
      </c>
      <c r="C222" cm="1">
        <f t="array" ref="C222">_xlfn.XLOOKUP(Logistics_Orders[[#This Row],[Logistics_ID]],Logistics_Catalog[[#All],[Logistics_ID]],Logistics_Catalog[[#All],[Base_Quantity]],0,0)</f>
        <v>1</v>
      </c>
      <c r="D222" cm="1">
        <f t="array" ref="D222">IF(Logistics_Orders[[#This Row],[Item]]="Chairs &amp; Tables",CEILING(_xlfn.XLOOKUP(Logistics_Orders[[#This Row],[Event_No]],Event_Master[[#All],[Event_No]],Event_Master[[#All],[Guest_Count]],,0)/Logistics_Orders[[#This Row],[Base_Quantity]],1),1)</f>
        <v>1</v>
      </c>
      <c r="E222" cm="1">
        <f t="array" ref="E222">Logistics_Orders[[#This Row],[Quantity_Ordered]]*_xlfn.XLOOKUP(Logistics_Orders[[#This Row],[Logistics_ID]],Logistics_Catalog[[#All],[Logistics_ID]],Logistics_Catalog[[#All],[Cost]],0,0)</f>
        <v>12000</v>
      </c>
      <c r="F222" cm="1">
        <f t="array" ref="F222">Logistics_Orders[[#This Row],[Quantity_Ordered]]*_xlfn.XLOOKUP(Logistics_Orders[[#This Row],[Logistics_ID]],Logistics_Catalog[[#All],[Logistics_ID]],Logistics_Catalog[[#All],[Client_Charge]],0,0)</f>
        <v>14500</v>
      </c>
      <c r="G222">
        <f>Logistics_Orders[[#This Row],[Client_Charge]]-Logistics_Orders[[#This Row],[Cost]]</f>
        <v>2500</v>
      </c>
      <c r="H222" t="s">
        <v>186</v>
      </c>
    </row>
    <row r="223" spans="1:8" x14ac:dyDescent="0.25">
      <c r="A223">
        <v>46</v>
      </c>
      <c r="B223" t="s">
        <v>191</v>
      </c>
      <c r="C223" cm="1">
        <f t="array" ref="C223">_xlfn.XLOOKUP(Logistics_Orders[[#This Row],[Logistics_ID]],Logistics_Catalog[[#All],[Logistics_ID]],Logistics_Catalog[[#All],[Base_Quantity]],0,0)</f>
        <v>5</v>
      </c>
      <c r="D223" cm="1">
        <f t="array" ref="D223">IF(Logistics_Orders[[#This Row],[Item]]="Chairs &amp; Tables",CEILING(_xlfn.XLOOKUP(Logistics_Orders[[#This Row],[Event_No]],Event_Master[[#All],[Event_No]],Event_Master[[#All],[Guest_Count]],,0)/Logistics_Orders[[#This Row],[Base_Quantity]],1),1)</f>
        <v>1</v>
      </c>
      <c r="E223" cm="1">
        <f t="array" ref="E223">Logistics_Orders[[#This Row],[Quantity_Ordered]]*_xlfn.XLOOKUP(Logistics_Orders[[#This Row],[Logistics_ID]],Logistics_Catalog[[#All],[Logistics_ID]],Logistics_Catalog[[#All],[Cost]],0,0)</f>
        <v>3000</v>
      </c>
      <c r="F223" cm="1">
        <f t="array" ref="F223">Logistics_Orders[[#This Row],[Quantity_Ordered]]*_xlfn.XLOOKUP(Logistics_Orders[[#This Row],[Logistics_ID]],Logistics_Catalog[[#All],[Logistics_ID]],Logistics_Catalog[[#All],[Client_Charge]],0,0)</f>
        <v>3600</v>
      </c>
      <c r="G223">
        <f>Logistics_Orders[[#This Row],[Client_Charge]]-Logistics_Orders[[#This Row],[Cost]]</f>
        <v>600</v>
      </c>
      <c r="H223" t="s">
        <v>194</v>
      </c>
    </row>
    <row r="224" spans="1:8" x14ac:dyDescent="0.25">
      <c r="A224">
        <v>46</v>
      </c>
      <c r="B224" t="s">
        <v>195</v>
      </c>
      <c r="C224" cm="1">
        <f t="array" ref="C224">_xlfn.XLOOKUP(Logistics_Orders[[#This Row],[Logistics_ID]],Logistics_Catalog[[#All],[Logistics_ID]],Logistics_Catalog[[#All],[Base_Quantity]],0,0)</f>
        <v>10</v>
      </c>
      <c r="D224" cm="1">
        <f t="array" ref="D224">IF(Logistics_Orders[[#This Row],[Item]]="Chairs &amp; Tables",CEILING(_xlfn.XLOOKUP(Logistics_Orders[[#This Row],[Event_No]],Event_Master[[#All],[Event_No]],Event_Master[[#All],[Guest_Count]],,0)/Logistics_Orders[[#This Row],[Base_Quantity]],1),1)</f>
        <v>1</v>
      </c>
      <c r="E224" cm="1">
        <f t="array" ref="E224">Logistics_Orders[[#This Row],[Quantity_Ordered]]*_xlfn.XLOOKUP(Logistics_Orders[[#This Row],[Logistics_ID]],Logistics_Catalog[[#All],[Logistics_ID]],Logistics_Catalog[[#All],[Cost]],0,0)</f>
        <v>6000</v>
      </c>
      <c r="F224" cm="1">
        <f t="array" ref="F224">Logistics_Orders[[#This Row],[Quantity_Ordered]]*_xlfn.XLOOKUP(Logistics_Orders[[#This Row],[Logistics_ID]],Logistics_Catalog[[#All],[Logistics_ID]],Logistics_Catalog[[#All],[Client_Charge]],0,0)</f>
        <v>7200</v>
      </c>
      <c r="G224">
        <f>Logistics_Orders[[#This Row],[Client_Charge]]-Logistics_Orders[[#This Row],[Cost]]</f>
        <v>1200</v>
      </c>
      <c r="H224" t="s">
        <v>198</v>
      </c>
    </row>
    <row r="225" spans="1:8" x14ac:dyDescent="0.25">
      <c r="A225">
        <v>46</v>
      </c>
      <c r="B225" t="s">
        <v>187</v>
      </c>
      <c r="C225" cm="1">
        <f t="array" ref="C225">_xlfn.XLOOKUP(Logistics_Orders[[#This Row],[Logistics_ID]],Logistics_Catalog[[#All],[Logistics_ID]],Logistics_Catalog[[#All],[Base_Quantity]],0,0)</f>
        <v>1</v>
      </c>
      <c r="D225" cm="1">
        <f t="array" ref="D225">IF(Logistics_Orders[[#This Row],[Item]]="Chairs &amp; Tables",CEILING(_xlfn.XLOOKUP(Logistics_Orders[[#This Row],[Event_No]],Event_Master[[#All],[Event_No]],Event_Master[[#All],[Guest_Count]],,0)/Logistics_Orders[[#This Row],[Base_Quantity]],1),1)</f>
        <v>1</v>
      </c>
      <c r="E225" cm="1">
        <f t="array" ref="E225">Logistics_Orders[[#This Row],[Quantity_Ordered]]*_xlfn.XLOOKUP(Logistics_Orders[[#This Row],[Logistics_ID]],Logistics_Catalog[[#All],[Logistics_ID]],Logistics_Catalog[[#All],[Cost]],0,0)</f>
        <v>8000</v>
      </c>
      <c r="F225" cm="1">
        <f t="array" ref="F225">Logistics_Orders[[#This Row],[Quantity_Ordered]]*_xlfn.XLOOKUP(Logistics_Orders[[#This Row],[Logistics_ID]],Logistics_Catalog[[#All],[Logistics_ID]],Logistics_Catalog[[#All],[Client_Charge]],0,0)</f>
        <v>9500</v>
      </c>
      <c r="G225">
        <f>Logistics_Orders[[#This Row],[Client_Charge]]-Logistics_Orders[[#This Row],[Cost]]</f>
        <v>1500</v>
      </c>
      <c r="H225" t="s">
        <v>190</v>
      </c>
    </row>
    <row r="226" spans="1:8" x14ac:dyDescent="0.25">
      <c r="A226">
        <v>47</v>
      </c>
      <c r="B226" t="s">
        <v>177</v>
      </c>
      <c r="C226" cm="1">
        <f t="array" ref="C226">_xlfn.XLOOKUP(Logistics_Orders[[#This Row],[Logistics_ID]],Logistics_Catalog[[#All],[Logistics_ID]],Logistics_Catalog[[#All],[Base_Quantity]],0,0)</f>
        <v>300</v>
      </c>
      <c r="D226" cm="1">
        <f t="array" ref="D226">IF(Logistics_Orders[[#This Row],[Item]]="Chairs &amp; Tables",CEILING(_xlfn.XLOOKUP(Logistics_Orders[[#This Row],[Event_No]],Event_Master[[#All],[Event_No]],Event_Master[[#All],[Guest_Count]],,0)/Logistics_Orders[[#This Row],[Base_Quantity]],1),1)</f>
        <v>1</v>
      </c>
      <c r="E226" cm="1">
        <f t="array" ref="E226">Logistics_Orders[[#This Row],[Quantity_Ordered]]*_xlfn.XLOOKUP(Logistics_Orders[[#This Row],[Logistics_ID]],Logistics_Catalog[[#All],[Logistics_ID]],Logistics_Catalog[[#All],[Cost]],0,0)</f>
        <v>15000</v>
      </c>
      <c r="F226" cm="1">
        <f t="array" ref="F226">Logistics_Orders[[#This Row],[Quantity_Ordered]]*_xlfn.XLOOKUP(Logistics_Orders[[#This Row],[Logistics_ID]],Logistics_Catalog[[#All],[Logistics_ID]],Logistics_Catalog[[#All],[Client_Charge]],0,0)</f>
        <v>18000</v>
      </c>
      <c r="G226">
        <f>Logistics_Orders[[#This Row],[Client_Charge]]-Logistics_Orders[[#This Row],[Cost]]</f>
        <v>3000</v>
      </c>
      <c r="H226" t="s">
        <v>181</v>
      </c>
    </row>
    <row r="227" spans="1:8" x14ac:dyDescent="0.25">
      <c r="A227">
        <v>47</v>
      </c>
      <c r="B227" t="s">
        <v>182</v>
      </c>
      <c r="C227" cm="1">
        <f t="array" ref="C227">_xlfn.XLOOKUP(Logistics_Orders[[#This Row],[Logistics_ID]],Logistics_Catalog[[#All],[Logistics_ID]],Logistics_Catalog[[#All],[Base_Quantity]],0,0)</f>
        <v>1</v>
      </c>
      <c r="D227" cm="1">
        <f t="array" ref="D227">IF(Logistics_Orders[[#This Row],[Item]]="Chairs &amp; Tables",CEILING(_xlfn.XLOOKUP(Logistics_Orders[[#This Row],[Event_No]],Event_Master[[#All],[Event_No]],Event_Master[[#All],[Guest_Count]],,0)/Logistics_Orders[[#This Row],[Base_Quantity]],1),1)</f>
        <v>1</v>
      </c>
      <c r="E227" cm="1">
        <f t="array" ref="E227">Logistics_Orders[[#This Row],[Quantity_Ordered]]*_xlfn.XLOOKUP(Logistics_Orders[[#This Row],[Logistics_ID]],Logistics_Catalog[[#All],[Logistics_ID]],Logistics_Catalog[[#All],[Cost]],0,0)</f>
        <v>12000</v>
      </c>
      <c r="F227" cm="1">
        <f t="array" ref="F227">Logistics_Orders[[#This Row],[Quantity_Ordered]]*_xlfn.XLOOKUP(Logistics_Orders[[#This Row],[Logistics_ID]],Logistics_Catalog[[#All],[Logistics_ID]],Logistics_Catalog[[#All],[Client_Charge]],0,0)</f>
        <v>14500</v>
      </c>
      <c r="G227">
        <f>Logistics_Orders[[#This Row],[Client_Charge]]-Logistics_Orders[[#This Row],[Cost]]</f>
        <v>2500</v>
      </c>
      <c r="H227" t="s">
        <v>186</v>
      </c>
    </row>
    <row r="228" spans="1:8" x14ac:dyDescent="0.25">
      <c r="A228">
        <v>47</v>
      </c>
      <c r="B228" t="s">
        <v>191</v>
      </c>
      <c r="C228" cm="1">
        <f t="array" ref="C228">_xlfn.XLOOKUP(Logistics_Orders[[#This Row],[Logistics_ID]],Logistics_Catalog[[#All],[Logistics_ID]],Logistics_Catalog[[#All],[Base_Quantity]],0,0)</f>
        <v>5</v>
      </c>
      <c r="D228" cm="1">
        <f t="array" ref="D228">IF(Logistics_Orders[[#This Row],[Item]]="Chairs &amp; Tables",CEILING(_xlfn.XLOOKUP(Logistics_Orders[[#This Row],[Event_No]],Event_Master[[#All],[Event_No]],Event_Master[[#All],[Guest_Count]],,0)/Logistics_Orders[[#This Row],[Base_Quantity]],1),1)</f>
        <v>1</v>
      </c>
      <c r="E228" cm="1">
        <f t="array" ref="E228">Logistics_Orders[[#This Row],[Quantity_Ordered]]*_xlfn.XLOOKUP(Logistics_Orders[[#This Row],[Logistics_ID]],Logistics_Catalog[[#All],[Logistics_ID]],Logistics_Catalog[[#All],[Cost]],0,0)</f>
        <v>3000</v>
      </c>
      <c r="F228" cm="1">
        <f t="array" ref="F228">Logistics_Orders[[#This Row],[Quantity_Ordered]]*_xlfn.XLOOKUP(Logistics_Orders[[#This Row],[Logistics_ID]],Logistics_Catalog[[#All],[Logistics_ID]],Logistics_Catalog[[#All],[Client_Charge]],0,0)</f>
        <v>3600</v>
      </c>
      <c r="G228">
        <f>Logistics_Orders[[#This Row],[Client_Charge]]-Logistics_Orders[[#This Row],[Cost]]</f>
        <v>600</v>
      </c>
      <c r="H228" t="s">
        <v>194</v>
      </c>
    </row>
    <row r="229" spans="1:8" x14ac:dyDescent="0.25">
      <c r="A229">
        <v>47</v>
      </c>
      <c r="B229" t="s">
        <v>195</v>
      </c>
      <c r="C229" cm="1">
        <f t="array" ref="C229">_xlfn.XLOOKUP(Logistics_Orders[[#This Row],[Logistics_ID]],Logistics_Catalog[[#All],[Logistics_ID]],Logistics_Catalog[[#All],[Base_Quantity]],0,0)</f>
        <v>10</v>
      </c>
      <c r="D229" cm="1">
        <f t="array" ref="D229">IF(Logistics_Orders[[#This Row],[Item]]="Chairs &amp; Tables",CEILING(_xlfn.XLOOKUP(Logistics_Orders[[#This Row],[Event_No]],Event_Master[[#All],[Event_No]],Event_Master[[#All],[Guest_Count]],,0)/Logistics_Orders[[#This Row],[Base_Quantity]],1),1)</f>
        <v>1</v>
      </c>
      <c r="E229" cm="1">
        <f t="array" ref="E229">Logistics_Orders[[#This Row],[Quantity_Ordered]]*_xlfn.XLOOKUP(Logistics_Orders[[#This Row],[Logistics_ID]],Logistics_Catalog[[#All],[Logistics_ID]],Logistics_Catalog[[#All],[Cost]],0,0)</f>
        <v>6000</v>
      </c>
      <c r="F229" cm="1">
        <f t="array" ref="F229">Logistics_Orders[[#This Row],[Quantity_Ordered]]*_xlfn.XLOOKUP(Logistics_Orders[[#This Row],[Logistics_ID]],Logistics_Catalog[[#All],[Logistics_ID]],Logistics_Catalog[[#All],[Client_Charge]],0,0)</f>
        <v>7200</v>
      </c>
      <c r="G229">
        <f>Logistics_Orders[[#This Row],[Client_Charge]]-Logistics_Orders[[#This Row],[Cost]]</f>
        <v>1200</v>
      </c>
      <c r="H229" t="s">
        <v>198</v>
      </c>
    </row>
    <row r="230" spans="1:8" x14ac:dyDescent="0.25">
      <c r="A230">
        <v>47</v>
      </c>
      <c r="B230" t="s">
        <v>187</v>
      </c>
      <c r="C230" cm="1">
        <f t="array" ref="C230">_xlfn.XLOOKUP(Logistics_Orders[[#This Row],[Logistics_ID]],Logistics_Catalog[[#All],[Logistics_ID]],Logistics_Catalog[[#All],[Base_Quantity]],0,0)</f>
        <v>1</v>
      </c>
      <c r="D230" cm="1">
        <f t="array" ref="D230">IF(Logistics_Orders[[#This Row],[Item]]="Chairs &amp; Tables",CEILING(_xlfn.XLOOKUP(Logistics_Orders[[#This Row],[Event_No]],Event_Master[[#All],[Event_No]],Event_Master[[#All],[Guest_Count]],,0)/Logistics_Orders[[#This Row],[Base_Quantity]],1),1)</f>
        <v>1</v>
      </c>
      <c r="E230" cm="1">
        <f t="array" ref="E230">Logistics_Orders[[#This Row],[Quantity_Ordered]]*_xlfn.XLOOKUP(Logistics_Orders[[#This Row],[Logistics_ID]],Logistics_Catalog[[#All],[Logistics_ID]],Logistics_Catalog[[#All],[Cost]],0,0)</f>
        <v>8000</v>
      </c>
      <c r="F230" cm="1">
        <f t="array" ref="F230">Logistics_Orders[[#This Row],[Quantity_Ordered]]*_xlfn.XLOOKUP(Logistics_Orders[[#This Row],[Logistics_ID]],Logistics_Catalog[[#All],[Logistics_ID]],Logistics_Catalog[[#All],[Client_Charge]],0,0)</f>
        <v>9500</v>
      </c>
      <c r="G230">
        <f>Logistics_Orders[[#This Row],[Client_Charge]]-Logistics_Orders[[#This Row],[Cost]]</f>
        <v>1500</v>
      </c>
      <c r="H230" t="s">
        <v>190</v>
      </c>
    </row>
    <row r="231" spans="1:8" x14ac:dyDescent="0.25">
      <c r="A231">
        <v>48</v>
      </c>
      <c r="B231" t="s">
        <v>177</v>
      </c>
      <c r="C231" cm="1">
        <f t="array" ref="C231">_xlfn.XLOOKUP(Logistics_Orders[[#This Row],[Logistics_ID]],Logistics_Catalog[[#All],[Logistics_ID]],Logistics_Catalog[[#All],[Base_Quantity]],0,0)</f>
        <v>300</v>
      </c>
      <c r="D231" cm="1">
        <f t="array" ref="D231">IF(Logistics_Orders[[#This Row],[Item]]="Chairs &amp; Tables",CEILING(_xlfn.XLOOKUP(Logistics_Orders[[#This Row],[Event_No]],Event_Master[[#All],[Event_No]],Event_Master[[#All],[Guest_Count]],,0)/Logistics_Orders[[#This Row],[Base_Quantity]],1),1)</f>
        <v>1</v>
      </c>
      <c r="E231" cm="1">
        <f t="array" ref="E231">Logistics_Orders[[#This Row],[Quantity_Ordered]]*_xlfn.XLOOKUP(Logistics_Orders[[#This Row],[Logistics_ID]],Logistics_Catalog[[#All],[Logistics_ID]],Logistics_Catalog[[#All],[Cost]],0,0)</f>
        <v>15000</v>
      </c>
      <c r="F231" cm="1">
        <f t="array" ref="F231">Logistics_Orders[[#This Row],[Quantity_Ordered]]*_xlfn.XLOOKUP(Logistics_Orders[[#This Row],[Logistics_ID]],Logistics_Catalog[[#All],[Logistics_ID]],Logistics_Catalog[[#All],[Client_Charge]],0,0)</f>
        <v>18000</v>
      </c>
      <c r="G231">
        <f>Logistics_Orders[[#This Row],[Client_Charge]]-Logistics_Orders[[#This Row],[Cost]]</f>
        <v>3000</v>
      </c>
      <c r="H231" t="s">
        <v>181</v>
      </c>
    </row>
    <row r="232" spans="1:8" x14ac:dyDescent="0.25">
      <c r="A232">
        <v>48</v>
      </c>
      <c r="B232" t="s">
        <v>182</v>
      </c>
      <c r="C232" cm="1">
        <f t="array" ref="C232">_xlfn.XLOOKUP(Logistics_Orders[[#This Row],[Logistics_ID]],Logistics_Catalog[[#All],[Logistics_ID]],Logistics_Catalog[[#All],[Base_Quantity]],0,0)</f>
        <v>1</v>
      </c>
      <c r="D232" cm="1">
        <f t="array" ref="D232">IF(Logistics_Orders[[#This Row],[Item]]="Chairs &amp; Tables",CEILING(_xlfn.XLOOKUP(Logistics_Orders[[#This Row],[Event_No]],Event_Master[[#All],[Event_No]],Event_Master[[#All],[Guest_Count]],,0)/Logistics_Orders[[#This Row],[Base_Quantity]],1),1)</f>
        <v>1</v>
      </c>
      <c r="E232" cm="1">
        <f t="array" ref="E232">Logistics_Orders[[#This Row],[Quantity_Ordered]]*_xlfn.XLOOKUP(Logistics_Orders[[#This Row],[Logistics_ID]],Logistics_Catalog[[#All],[Logistics_ID]],Logistics_Catalog[[#All],[Cost]],0,0)</f>
        <v>12000</v>
      </c>
      <c r="F232" cm="1">
        <f t="array" ref="F232">Logistics_Orders[[#This Row],[Quantity_Ordered]]*_xlfn.XLOOKUP(Logistics_Orders[[#This Row],[Logistics_ID]],Logistics_Catalog[[#All],[Logistics_ID]],Logistics_Catalog[[#All],[Client_Charge]],0,0)</f>
        <v>14500</v>
      </c>
      <c r="G232">
        <f>Logistics_Orders[[#This Row],[Client_Charge]]-Logistics_Orders[[#This Row],[Cost]]</f>
        <v>2500</v>
      </c>
      <c r="H232" t="s">
        <v>186</v>
      </c>
    </row>
    <row r="233" spans="1:8" x14ac:dyDescent="0.25">
      <c r="A233">
        <v>48</v>
      </c>
      <c r="B233" t="s">
        <v>191</v>
      </c>
      <c r="C233" cm="1">
        <f t="array" ref="C233">_xlfn.XLOOKUP(Logistics_Orders[[#This Row],[Logistics_ID]],Logistics_Catalog[[#All],[Logistics_ID]],Logistics_Catalog[[#All],[Base_Quantity]],0,0)</f>
        <v>5</v>
      </c>
      <c r="D233" cm="1">
        <f t="array" ref="D233">IF(Logistics_Orders[[#This Row],[Item]]="Chairs &amp; Tables",CEILING(_xlfn.XLOOKUP(Logistics_Orders[[#This Row],[Event_No]],Event_Master[[#All],[Event_No]],Event_Master[[#All],[Guest_Count]],,0)/Logistics_Orders[[#This Row],[Base_Quantity]],1),1)</f>
        <v>1</v>
      </c>
      <c r="E233" cm="1">
        <f t="array" ref="E233">Logistics_Orders[[#This Row],[Quantity_Ordered]]*_xlfn.XLOOKUP(Logistics_Orders[[#This Row],[Logistics_ID]],Logistics_Catalog[[#All],[Logistics_ID]],Logistics_Catalog[[#All],[Cost]],0,0)</f>
        <v>3000</v>
      </c>
      <c r="F233" cm="1">
        <f t="array" ref="F233">Logistics_Orders[[#This Row],[Quantity_Ordered]]*_xlfn.XLOOKUP(Logistics_Orders[[#This Row],[Logistics_ID]],Logistics_Catalog[[#All],[Logistics_ID]],Logistics_Catalog[[#All],[Client_Charge]],0,0)</f>
        <v>3600</v>
      </c>
      <c r="G233">
        <f>Logistics_Orders[[#This Row],[Client_Charge]]-Logistics_Orders[[#This Row],[Cost]]</f>
        <v>600</v>
      </c>
      <c r="H233" t="s">
        <v>194</v>
      </c>
    </row>
    <row r="234" spans="1:8" x14ac:dyDescent="0.25">
      <c r="A234">
        <v>48</v>
      </c>
      <c r="B234" t="s">
        <v>195</v>
      </c>
      <c r="C234" cm="1">
        <f t="array" ref="C234">_xlfn.XLOOKUP(Logistics_Orders[[#This Row],[Logistics_ID]],Logistics_Catalog[[#All],[Logistics_ID]],Logistics_Catalog[[#All],[Base_Quantity]],0,0)</f>
        <v>10</v>
      </c>
      <c r="D234" cm="1">
        <f t="array" ref="D234">IF(Logistics_Orders[[#This Row],[Item]]="Chairs &amp; Tables",CEILING(_xlfn.XLOOKUP(Logistics_Orders[[#This Row],[Event_No]],Event_Master[[#All],[Event_No]],Event_Master[[#All],[Guest_Count]],,0)/Logistics_Orders[[#This Row],[Base_Quantity]],1),1)</f>
        <v>1</v>
      </c>
      <c r="E234" cm="1">
        <f t="array" ref="E234">Logistics_Orders[[#This Row],[Quantity_Ordered]]*_xlfn.XLOOKUP(Logistics_Orders[[#This Row],[Logistics_ID]],Logistics_Catalog[[#All],[Logistics_ID]],Logistics_Catalog[[#All],[Cost]],0,0)</f>
        <v>6000</v>
      </c>
      <c r="F234" cm="1">
        <f t="array" ref="F234">Logistics_Orders[[#This Row],[Quantity_Ordered]]*_xlfn.XLOOKUP(Logistics_Orders[[#This Row],[Logistics_ID]],Logistics_Catalog[[#All],[Logistics_ID]],Logistics_Catalog[[#All],[Client_Charge]],0,0)</f>
        <v>7200</v>
      </c>
      <c r="G234">
        <f>Logistics_Orders[[#This Row],[Client_Charge]]-Logistics_Orders[[#This Row],[Cost]]</f>
        <v>1200</v>
      </c>
      <c r="H234" t="s">
        <v>198</v>
      </c>
    </row>
    <row r="235" spans="1:8" x14ac:dyDescent="0.25">
      <c r="A235">
        <v>48</v>
      </c>
      <c r="B235" t="s">
        <v>187</v>
      </c>
      <c r="C235" cm="1">
        <f t="array" ref="C235">_xlfn.XLOOKUP(Logistics_Orders[[#This Row],[Logistics_ID]],Logistics_Catalog[[#All],[Logistics_ID]],Logistics_Catalog[[#All],[Base_Quantity]],0,0)</f>
        <v>1</v>
      </c>
      <c r="D235" cm="1">
        <f t="array" ref="D235">IF(Logistics_Orders[[#This Row],[Item]]="Chairs &amp; Tables",CEILING(_xlfn.XLOOKUP(Logistics_Orders[[#This Row],[Event_No]],Event_Master[[#All],[Event_No]],Event_Master[[#All],[Guest_Count]],,0)/Logistics_Orders[[#This Row],[Base_Quantity]],1),1)</f>
        <v>1</v>
      </c>
      <c r="E235" cm="1">
        <f t="array" ref="E235">Logistics_Orders[[#This Row],[Quantity_Ordered]]*_xlfn.XLOOKUP(Logistics_Orders[[#This Row],[Logistics_ID]],Logistics_Catalog[[#All],[Logistics_ID]],Logistics_Catalog[[#All],[Cost]],0,0)</f>
        <v>8000</v>
      </c>
      <c r="F235" cm="1">
        <f t="array" ref="F235">Logistics_Orders[[#This Row],[Quantity_Ordered]]*_xlfn.XLOOKUP(Logistics_Orders[[#This Row],[Logistics_ID]],Logistics_Catalog[[#All],[Logistics_ID]],Logistics_Catalog[[#All],[Client_Charge]],0,0)</f>
        <v>9500</v>
      </c>
      <c r="G235">
        <f>Logistics_Orders[[#This Row],[Client_Charge]]-Logistics_Orders[[#This Row],[Cost]]</f>
        <v>1500</v>
      </c>
      <c r="H235" t="s">
        <v>190</v>
      </c>
    </row>
    <row r="236" spans="1:8" x14ac:dyDescent="0.25">
      <c r="A236">
        <v>49</v>
      </c>
      <c r="B236" t="s">
        <v>177</v>
      </c>
      <c r="C236" cm="1">
        <f t="array" ref="C236">_xlfn.XLOOKUP(Logistics_Orders[[#This Row],[Logistics_ID]],Logistics_Catalog[[#All],[Logistics_ID]],Logistics_Catalog[[#All],[Base_Quantity]],0,0)</f>
        <v>300</v>
      </c>
      <c r="D236" cm="1">
        <f t="array" ref="D236">IF(Logistics_Orders[[#This Row],[Item]]="Chairs &amp; Tables",CEILING(_xlfn.XLOOKUP(Logistics_Orders[[#This Row],[Event_No]],Event_Master[[#All],[Event_No]],Event_Master[[#All],[Guest_Count]],,0)/Logistics_Orders[[#This Row],[Base_Quantity]],1),1)</f>
        <v>4</v>
      </c>
      <c r="E236" cm="1">
        <f t="array" ref="E236">Logistics_Orders[[#This Row],[Quantity_Ordered]]*_xlfn.XLOOKUP(Logistics_Orders[[#This Row],[Logistics_ID]],Logistics_Catalog[[#All],[Logistics_ID]],Logistics_Catalog[[#All],[Cost]],0,0)</f>
        <v>60000</v>
      </c>
      <c r="F236" cm="1">
        <f t="array" ref="F236">Logistics_Orders[[#This Row],[Quantity_Ordered]]*_xlfn.XLOOKUP(Logistics_Orders[[#This Row],[Logistics_ID]],Logistics_Catalog[[#All],[Logistics_ID]],Logistics_Catalog[[#All],[Client_Charge]],0,0)</f>
        <v>72000</v>
      </c>
      <c r="G236">
        <f>Logistics_Orders[[#This Row],[Client_Charge]]-Logistics_Orders[[#This Row],[Cost]]</f>
        <v>12000</v>
      </c>
      <c r="H236" t="s">
        <v>181</v>
      </c>
    </row>
    <row r="237" spans="1:8" x14ac:dyDescent="0.25">
      <c r="A237">
        <v>49</v>
      </c>
      <c r="B237" t="s">
        <v>182</v>
      </c>
      <c r="C237" cm="1">
        <f t="array" ref="C237">_xlfn.XLOOKUP(Logistics_Orders[[#This Row],[Logistics_ID]],Logistics_Catalog[[#All],[Logistics_ID]],Logistics_Catalog[[#All],[Base_Quantity]],0,0)</f>
        <v>1</v>
      </c>
      <c r="D237" cm="1">
        <f t="array" ref="D237">IF(Logistics_Orders[[#This Row],[Item]]="Chairs &amp; Tables",CEILING(_xlfn.XLOOKUP(Logistics_Orders[[#This Row],[Event_No]],Event_Master[[#All],[Event_No]],Event_Master[[#All],[Guest_Count]],,0)/Logistics_Orders[[#This Row],[Base_Quantity]],1),1)</f>
        <v>1</v>
      </c>
      <c r="E237" cm="1">
        <f t="array" ref="E237">Logistics_Orders[[#This Row],[Quantity_Ordered]]*_xlfn.XLOOKUP(Logistics_Orders[[#This Row],[Logistics_ID]],Logistics_Catalog[[#All],[Logistics_ID]],Logistics_Catalog[[#All],[Cost]],0,0)</f>
        <v>12000</v>
      </c>
      <c r="F237" cm="1">
        <f t="array" ref="F237">Logistics_Orders[[#This Row],[Quantity_Ordered]]*_xlfn.XLOOKUP(Logistics_Orders[[#This Row],[Logistics_ID]],Logistics_Catalog[[#All],[Logistics_ID]],Logistics_Catalog[[#All],[Client_Charge]],0,0)</f>
        <v>14500</v>
      </c>
      <c r="G237">
        <f>Logistics_Orders[[#This Row],[Client_Charge]]-Logistics_Orders[[#This Row],[Cost]]</f>
        <v>2500</v>
      </c>
      <c r="H237" t="s">
        <v>186</v>
      </c>
    </row>
    <row r="238" spans="1:8" x14ac:dyDescent="0.25">
      <c r="A238">
        <v>49</v>
      </c>
      <c r="B238" t="s">
        <v>191</v>
      </c>
      <c r="C238" cm="1">
        <f t="array" ref="C238">_xlfn.XLOOKUP(Logistics_Orders[[#This Row],[Logistics_ID]],Logistics_Catalog[[#All],[Logistics_ID]],Logistics_Catalog[[#All],[Base_Quantity]],0,0)</f>
        <v>5</v>
      </c>
      <c r="D238" cm="1">
        <f t="array" ref="D238">IF(Logistics_Orders[[#This Row],[Item]]="Chairs &amp; Tables",CEILING(_xlfn.XLOOKUP(Logistics_Orders[[#This Row],[Event_No]],Event_Master[[#All],[Event_No]],Event_Master[[#All],[Guest_Count]],,0)/Logistics_Orders[[#This Row],[Base_Quantity]],1),1)</f>
        <v>1</v>
      </c>
      <c r="E238" cm="1">
        <f t="array" ref="E238">Logistics_Orders[[#This Row],[Quantity_Ordered]]*_xlfn.XLOOKUP(Logistics_Orders[[#This Row],[Logistics_ID]],Logistics_Catalog[[#All],[Logistics_ID]],Logistics_Catalog[[#All],[Cost]],0,0)</f>
        <v>3000</v>
      </c>
      <c r="F238" cm="1">
        <f t="array" ref="F238">Logistics_Orders[[#This Row],[Quantity_Ordered]]*_xlfn.XLOOKUP(Logistics_Orders[[#This Row],[Logistics_ID]],Logistics_Catalog[[#All],[Logistics_ID]],Logistics_Catalog[[#All],[Client_Charge]],0,0)</f>
        <v>3600</v>
      </c>
      <c r="G238">
        <f>Logistics_Orders[[#This Row],[Client_Charge]]-Logistics_Orders[[#This Row],[Cost]]</f>
        <v>600</v>
      </c>
      <c r="H238" t="s">
        <v>194</v>
      </c>
    </row>
    <row r="239" spans="1:8" x14ac:dyDescent="0.25">
      <c r="A239">
        <v>49</v>
      </c>
      <c r="B239" t="s">
        <v>195</v>
      </c>
      <c r="C239" cm="1">
        <f t="array" ref="C239">_xlfn.XLOOKUP(Logistics_Orders[[#This Row],[Logistics_ID]],Logistics_Catalog[[#All],[Logistics_ID]],Logistics_Catalog[[#All],[Base_Quantity]],0,0)</f>
        <v>10</v>
      </c>
      <c r="D239" cm="1">
        <f t="array" ref="D239">IF(Logistics_Orders[[#This Row],[Item]]="Chairs &amp; Tables",CEILING(_xlfn.XLOOKUP(Logistics_Orders[[#This Row],[Event_No]],Event_Master[[#All],[Event_No]],Event_Master[[#All],[Guest_Count]],,0)/Logistics_Orders[[#This Row],[Base_Quantity]],1),1)</f>
        <v>1</v>
      </c>
      <c r="E239" cm="1">
        <f t="array" ref="E239">Logistics_Orders[[#This Row],[Quantity_Ordered]]*_xlfn.XLOOKUP(Logistics_Orders[[#This Row],[Logistics_ID]],Logistics_Catalog[[#All],[Logistics_ID]],Logistics_Catalog[[#All],[Cost]],0,0)</f>
        <v>6000</v>
      </c>
      <c r="F239" cm="1">
        <f t="array" ref="F239">Logistics_Orders[[#This Row],[Quantity_Ordered]]*_xlfn.XLOOKUP(Logistics_Orders[[#This Row],[Logistics_ID]],Logistics_Catalog[[#All],[Logistics_ID]],Logistics_Catalog[[#All],[Client_Charge]],0,0)</f>
        <v>7200</v>
      </c>
      <c r="G239">
        <f>Logistics_Orders[[#This Row],[Client_Charge]]-Logistics_Orders[[#This Row],[Cost]]</f>
        <v>1200</v>
      </c>
      <c r="H239" t="s">
        <v>198</v>
      </c>
    </row>
    <row r="240" spans="1:8" x14ac:dyDescent="0.25">
      <c r="A240">
        <v>49</v>
      </c>
      <c r="B240" t="s">
        <v>187</v>
      </c>
      <c r="C240" cm="1">
        <f t="array" ref="C240">_xlfn.XLOOKUP(Logistics_Orders[[#This Row],[Logistics_ID]],Logistics_Catalog[[#All],[Logistics_ID]],Logistics_Catalog[[#All],[Base_Quantity]],0,0)</f>
        <v>1</v>
      </c>
      <c r="D240" cm="1">
        <f t="array" ref="D240">IF(Logistics_Orders[[#This Row],[Item]]="Chairs &amp; Tables",CEILING(_xlfn.XLOOKUP(Logistics_Orders[[#This Row],[Event_No]],Event_Master[[#All],[Event_No]],Event_Master[[#All],[Guest_Count]],,0)/Logistics_Orders[[#This Row],[Base_Quantity]],1),1)</f>
        <v>1</v>
      </c>
      <c r="E240" cm="1">
        <f t="array" ref="E240">Logistics_Orders[[#This Row],[Quantity_Ordered]]*_xlfn.XLOOKUP(Logistics_Orders[[#This Row],[Logistics_ID]],Logistics_Catalog[[#All],[Logistics_ID]],Logistics_Catalog[[#All],[Cost]],0,0)</f>
        <v>8000</v>
      </c>
      <c r="F240" cm="1">
        <f t="array" ref="F240">Logistics_Orders[[#This Row],[Quantity_Ordered]]*_xlfn.XLOOKUP(Logistics_Orders[[#This Row],[Logistics_ID]],Logistics_Catalog[[#All],[Logistics_ID]],Logistics_Catalog[[#All],[Client_Charge]],0,0)</f>
        <v>9500</v>
      </c>
      <c r="G240">
        <f>Logistics_Orders[[#This Row],[Client_Charge]]-Logistics_Orders[[#This Row],[Cost]]</f>
        <v>1500</v>
      </c>
      <c r="H240" t="s">
        <v>190</v>
      </c>
    </row>
    <row r="241" spans="1:8" x14ac:dyDescent="0.25">
      <c r="A241">
        <v>50</v>
      </c>
      <c r="B241" t="s">
        <v>177</v>
      </c>
      <c r="C241" cm="1">
        <f t="array" ref="C241">_xlfn.XLOOKUP(Logistics_Orders[[#This Row],[Logistics_ID]],Logistics_Catalog[[#All],[Logistics_ID]],Logistics_Catalog[[#All],[Base_Quantity]],0,0)</f>
        <v>300</v>
      </c>
      <c r="D241" cm="1">
        <f t="array" ref="D241">IF(Logistics_Orders[[#This Row],[Item]]="Chairs &amp; Tables",CEILING(_xlfn.XLOOKUP(Logistics_Orders[[#This Row],[Event_No]],Event_Master[[#All],[Event_No]],Event_Master[[#All],[Guest_Count]],,0)/Logistics_Orders[[#This Row],[Base_Quantity]],1),1)</f>
        <v>2</v>
      </c>
      <c r="E241" cm="1">
        <f t="array" ref="E241">Logistics_Orders[[#This Row],[Quantity_Ordered]]*_xlfn.XLOOKUP(Logistics_Orders[[#This Row],[Logistics_ID]],Logistics_Catalog[[#All],[Logistics_ID]],Logistics_Catalog[[#All],[Cost]],0,0)</f>
        <v>30000</v>
      </c>
      <c r="F241" cm="1">
        <f t="array" ref="F241">Logistics_Orders[[#This Row],[Quantity_Ordered]]*_xlfn.XLOOKUP(Logistics_Orders[[#This Row],[Logistics_ID]],Logistics_Catalog[[#All],[Logistics_ID]],Logistics_Catalog[[#All],[Client_Charge]],0,0)</f>
        <v>36000</v>
      </c>
      <c r="G241">
        <f>Logistics_Orders[[#This Row],[Client_Charge]]-Logistics_Orders[[#This Row],[Cost]]</f>
        <v>6000</v>
      </c>
      <c r="H241" t="s">
        <v>181</v>
      </c>
    </row>
    <row r="242" spans="1:8" x14ac:dyDescent="0.25">
      <c r="A242">
        <v>50</v>
      </c>
      <c r="B242" t="s">
        <v>182</v>
      </c>
      <c r="C242" cm="1">
        <f t="array" ref="C242">_xlfn.XLOOKUP(Logistics_Orders[[#This Row],[Logistics_ID]],Logistics_Catalog[[#All],[Logistics_ID]],Logistics_Catalog[[#All],[Base_Quantity]],0,0)</f>
        <v>1</v>
      </c>
      <c r="D242" cm="1">
        <f t="array" ref="D242">IF(Logistics_Orders[[#This Row],[Item]]="Chairs &amp; Tables",CEILING(_xlfn.XLOOKUP(Logistics_Orders[[#This Row],[Event_No]],Event_Master[[#All],[Event_No]],Event_Master[[#All],[Guest_Count]],,0)/Logistics_Orders[[#This Row],[Base_Quantity]],1),1)</f>
        <v>1</v>
      </c>
      <c r="E242" cm="1">
        <f t="array" ref="E242">Logistics_Orders[[#This Row],[Quantity_Ordered]]*_xlfn.XLOOKUP(Logistics_Orders[[#This Row],[Logistics_ID]],Logistics_Catalog[[#All],[Logistics_ID]],Logistics_Catalog[[#All],[Cost]],0,0)</f>
        <v>12000</v>
      </c>
      <c r="F242" cm="1">
        <f t="array" ref="F242">Logistics_Orders[[#This Row],[Quantity_Ordered]]*_xlfn.XLOOKUP(Logistics_Orders[[#This Row],[Logistics_ID]],Logistics_Catalog[[#All],[Logistics_ID]],Logistics_Catalog[[#All],[Client_Charge]],0,0)</f>
        <v>14500</v>
      </c>
      <c r="G242">
        <f>Logistics_Orders[[#This Row],[Client_Charge]]-Logistics_Orders[[#This Row],[Cost]]</f>
        <v>2500</v>
      </c>
      <c r="H242" t="s">
        <v>186</v>
      </c>
    </row>
    <row r="243" spans="1:8" x14ac:dyDescent="0.25">
      <c r="A243">
        <v>50</v>
      </c>
      <c r="B243" t="s">
        <v>191</v>
      </c>
      <c r="C243" cm="1">
        <f t="array" ref="C243">_xlfn.XLOOKUP(Logistics_Orders[[#This Row],[Logistics_ID]],Logistics_Catalog[[#All],[Logistics_ID]],Logistics_Catalog[[#All],[Base_Quantity]],0,0)</f>
        <v>5</v>
      </c>
      <c r="D243" cm="1">
        <f t="array" ref="D243">IF(Logistics_Orders[[#This Row],[Item]]="Chairs &amp; Tables",CEILING(_xlfn.XLOOKUP(Logistics_Orders[[#This Row],[Event_No]],Event_Master[[#All],[Event_No]],Event_Master[[#All],[Guest_Count]],,0)/Logistics_Orders[[#This Row],[Base_Quantity]],1),1)</f>
        <v>1</v>
      </c>
      <c r="E243" cm="1">
        <f t="array" ref="E243">Logistics_Orders[[#This Row],[Quantity_Ordered]]*_xlfn.XLOOKUP(Logistics_Orders[[#This Row],[Logistics_ID]],Logistics_Catalog[[#All],[Logistics_ID]],Logistics_Catalog[[#All],[Cost]],0,0)</f>
        <v>3000</v>
      </c>
      <c r="F243" cm="1">
        <f t="array" ref="F243">Logistics_Orders[[#This Row],[Quantity_Ordered]]*_xlfn.XLOOKUP(Logistics_Orders[[#This Row],[Logistics_ID]],Logistics_Catalog[[#All],[Logistics_ID]],Logistics_Catalog[[#All],[Client_Charge]],0,0)</f>
        <v>3600</v>
      </c>
      <c r="G243">
        <f>Logistics_Orders[[#This Row],[Client_Charge]]-Logistics_Orders[[#This Row],[Cost]]</f>
        <v>600</v>
      </c>
      <c r="H243" t="s">
        <v>194</v>
      </c>
    </row>
    <row r="244" spans="1:8" x14ac:dyDescent="0.25">
      <c r="A244">
        <v>50</v>
      </c>
      <c r="B244" t="s">
        <v>195</v>
      </c>
      <c r="C244" cm="1">
        <f t="array" ref="C244">_xlfn.XLOOKUP(Logistics_Orders[[#This Row],[Logistics_ID]],Logistics_Catalog[[#All],[Logistics_ID]],Logistics_Catalog[[#All],[Base_Quantity]],0,0)</f>
        <v>10</v>
      </c>
      <c r="D244" cm="1">
        <f t="array" ref="D244">IF(Logistics_Orders[[#This Row],[Item]]="Chairs &amp; Tables",CEILING(_xlfn.XLOOKUP(Logistics_Orders[[#This Row],[Event_No]],Event_Master[[#All],[Event_No]],Event_Master[[#All],[Guest_Count]],,0)/Logistics_Orders[[#This Row],[Base_Quantity]],1),1)</f>
        <v>1</v>
      </c>
      <c r="E244" cm="1">
        <f t="array" ref="E244">Logistics_Orders[[#This Row],[Quantity_Ordered]]*_xlfn.XLOOKUP(Logistics_Orders[[#This Row],[Logistics_ID]],Logistics_Catalog[[#All],[Logistics_ID]],Logistics_Catalog[[#All],[Cost]],0,0)</f>
        <v>6000</v>
      </c>
      <c r="F244" cm="1">
        <f t="array" ref="F244">Logistics_Orders[[#This Row],[Quantity_Ordered]]*_xlfn.XLOOKUP(Logistics_Orders[[#This Row],[Logistics_ID]],Logistics_Catalog[[#All],[Logistics_ID]],Logistics_Catalog[[#All],[Client_Charge]],0,0)</f>
        <v>7200</v>
      </c>
      <c r="G244">
        <f>Logistics_Orders[[#This Row],[Client_Charge]]-Logistics_Orders[[#This Row],[Cost]]</f>
        <v>1200</v>
      </c>
      <c r="H244" t="s">
        <v>198</v>
      </c>
    </row>
    <row r="245" spans="1:8" x14ac:dyDescent="0.25">
      <c r="A245">
        <v>50</v>
      </c>
      <c r="B245" t="s">
        <v>187</v>
      </c>
      <c r="C245" cm="1">
        <f t="array" ref="C245">_xlfn.XLOOKUP(Logistics_Orders[[#This Row],[Logistics_ID]],Logistics_Catalog[[#All],[Logistics_ID]],Logistics_Catalog[[#All],[Base_Quantity]],0,0)</f>
        <v>1</v>
      </c>
      <c r="D245" cm="1">
        <f t="array" ref="D245">IF(Logistics_Orders[[#This Row],[Item]]="Chairs &amp; Tables",CEILING(_xlfn.XLOOKUP(Logistics_Orders[[#This Row],[Event_No]],Event_Master[[#All],[Event_No]],Event_Master[[#All],[Guest_Count]],,0)/Logistics_Orders[[#This Row],[Base_Quantity]],1),1)</f>
        <v>1</v>
      </c>
      <c r="E245" cm="1">
        <f t="array" ref="E245">Logistics_Orders[[#This Row],[Quantity_Ordered]]*_xlfn.XLOOKUP(Logistics_Orders[[#This Row],[Logistics_ID]],Logistics_Catalog[[#All],[Logistics_ID]],Logistics_Catalog[[#All],[Cost]],0,0)</f>
        <v>8000</v>
      </c>
      <c r="F245" cm="1">
        <f t="array" ref="F245">Logistics_Orders[[#This Row],[Quantity_Ordered]]*_xlfn.XLOOKUP(Logistics_Orders[[#This Row],[Logistics_ID]],Logistics_Catalog[[#All],[Logistics_ID]],Logistics_Catalog[[#All],[Client_Charge]],0,0)</f>
        <v>9500</v>
      </c>
      <c r="G245">
        <f>Logistics_Orders[[#This Row],[Client_Charge]]-Logistics_Orders[[#This Row],[Cost]]</f>
        <v>1500</v>
      </c>
      <c r="H245" t="s">
        <v>190</v>
      </c>
    </row>
    <row r="246" spans="1:8" x14ac:dyDescent="0.25">
      <c r="A246">
        <v>51</v>
      </c>
      <c r="B246" t="s">
        <v>177</v>
      </c>
      <c r="C246" cm="1">
        <f t="array" ref="C246">_xlfn.XLOOKUP(Logistics_Orders[[#This Row],[Logistics_ID]],Logistics_Catalog[[#All],[Logistics_ID]],Logistics_Catalog[[#All],[Base_Quantity]],0,0)</f>
        <v>300</v>
      </c>
      <c r="D246" cm="1">
        <f t="array" ref="D246">IF(Logistics_Orders[[#This Row],[Item]]="Chairs &amp; Tables",CEILING(_xlfn.XLOOKUP(Logistics_Orders[[#This Row],[Event_No]],Event_Master[[#All],[Event_No]],Event_Master[[#All],[Guest_Count]],,0)/Logistics_Orders[[#This Row],[Base_Quantity]],1),1)</f>
        <v>1</v>
      </c>
      <c r="E246" cm="1">
        <f t="array" ref="E246">Logistics_Orders[[#This Row],[Quantity_Ordered]]*_xlfn.XLOOKUP(Logistics_Orders[[#This Row],[Logistics_ID]],Logistics_Catalog[[#All],[Logistics_ID]],Logistics_Catalog[[#All],[Cost]],0,0)</f>
        <v>15000</v>
      </c>
      <c r="F246" cm="1">
        <f t="array" ref="F246">Logistics_Orders[[#This Row],[Quantity_Ordered]]*_xlfn.XLOOKUP(Logistics_Orders[[#This Row],[Logistics_ID]],Logistics_Catalog[[#All],[Logistics_ID]],Logistics_Catalog[[#All],[Client_Charge]],0,0)</f>
        <v>18000</v>
      </c>
      <c r="G246">
        <f>Logistics_Orders[[#This Row],[Client_Charge]]-Logistics_Orders[[#This Row],[Cost]]</f>
        <v>3000</v>
      </c>
      <c r="H246" t="s">
        <v>181</v>
      </c>
    </row>
    <row r="247" spans="1:8" x14ac:dyDescent="0.25">
      <c r="A247">
        <v>51</v>
      </c>
      <c r="B247" t="s">
        <v>182</v>
      </c>
      <c r="C247" cm="1">
        <f t="array" ref="C247">_xlfn.XLOOKUP(Logistics_Orders[[#This Row],[Logistics_ID]],Logistics_Catalog[[#All],[Logistics_ID]],Logistics_Catalog[[#All],[Base_Quantity]],0,0)</f>
        <v>1</v>
      </c>
      <c r="D247" cm="1">
        <f t="array" ref="D247">IF(Logistics_Orders[[#This Row],[Item]]="Chairs &amp; Tables",CEILING(_xlfn.XLOOKUP(Logistics_Orders[[#This Row],[Event_No]],Event_Master[[#All],[Event_No]],Event_Master[[#All],[Guest_Count]],,0)/Logistics_Orders[[#This Row],[Base_Quantity]],1),1)</f>
        <v>1</v>
      </c>
      <c r="E247" cm="1">
        <f t="array" ref="E247">Logistics_Orders[[#This Row],[Quantity_Ordered]]*_xlfn.XLOOKUP(Logistics_Orders[[#This Row],[Logistics_ID]],Logistics_Catalog[[#All],[Logistics_ID]],Logistics_Catalog[[#All],[Cost]],0,0)</f>
        <v>12000</v>
      </c>
      <c r="F247" cm="1">
        <f t="array" ref="F247">Logistics_Orders[[#This Row],[Quantity_Ordered]]*_xlfn.XLOOKUP(Logistics_Orders[[#This Row],[Logistics_ID]],Logistics_Catalog[[#All],[Logistics_ID]],Logistics_Catalog[[#All],[Client_Charge]],0,0)</f>
        <v>14500</v>
      </c>
      <c r="G247">
        <f>Logistics_Orders[[#This Row],[Client_Charge]]-Logistics_Orders[[#This Row],[Cost]]</f>
        <v>2500</v>
      </c>
      <c r="H247" t="s">
        <v>186</v>
      </c>
    </row>
    <row r="248" spans="1:8" x14ac:dyDescent="0.25">
      <c r="A248">
        <v>51</v>
      </c>
      <c r="B248" t="s">
        <v>191</v>
      </c>
      <c r="C248" cm="1">
        <f t="array" ref="C248">_xlfn.XLOOKUP(Logistics_Orders[[#This Row],[Logistics_ID]],Logistics_Catalog[[#All],[Logistics_ID]],Logistics_Catalog[[#All],[Base_Quantity]],0,0)</f>
        <v>5</v>
      </c>
      <c r="D248" cm="1">
        <f t="array" ref="D248">IF(Logistics_Orders[[#This Row],[Item]]="Chairs &amp; Tables",CEILING(_xlfn.XLOOKUP(Logistics_Orders[[#This Row],[Event_No]],Event_Master[[#All],[Event_No]],Event_Master[[#All],[Guest_Count]],,0)/Logistics_Orders[[#This Row],[Base_Quantity]],1),1)</f>
        <v>1</v>
      </c>
      <c r="E248" cm="1">
        <f t="array" ref="E248">Logistics_Orders[[#This Row],[Quantity_Ordered]]*_xlfn.XLOOKUP(Logistics_Orders[[#This Row],[Logistics_ID]],Logistics_Catalog[[#All],[Logistics_ID]],Logistics_Catalog[[#All],[Cost]],0,0)</f>
        <v>3000</v>
      </c>
      <c r="F248" cm="1">
        <f t="array" ref="F248">Logistics_Orders[[#This Row],[Quantity_Ordered]]*_xlfn.XLOOKUP(Logistics_Orders[[#This Row],[Logistics_ID]],Logistics_Catalog[[#All],[Logistics_ID]],Logistics_Catalog[[#All],[Client_Charge]],0,0)</f>
        <v>3600</v>
      </c>
      <c r="G248">
        <f>Logistics_Orders[[#This Row],[Client_Charge]]-Logistics_Orders[[#This Row],[Cost]]</f>
        <v>600</v>
      </c>
      <c r="H248" t="s">
        <v>194</v>
      </c>
    </row>
    <row r="249" spans="1:8" x14ac:dyDescent="0.25">
      <c r="A249">
        <v>51</v>
      </c>
      <c r="B249" t="s">
        <v>195</v>
      </c>
      <c r="C249" cm="1">
        <f t="array" ref="C249">_xlfn.XLOOKUP(Logistics_Orders[[#This Row],[Logistics_ID]],Logistics_Catalog[[#All],[Logistics_ID]],Logistics_Catalog[[#All],[Base_Quantity]],0,0)</f>
        <v>10</v>
      </c>
      <c r="D249" cm="1">
        <f t="array" ref="D249">IF(Logistics_Orders[[#This Row],[Item]]="Chairs &amp; Tables",CEILING(_xlfn.XLOOKUP(Logistics_Orders[[#This Row],[Event_No]],Event_Master[[#All],[Event_No]],Event_Master[[#All],[Guest_Count]],,0)/Logistics_Orders[[#This Row],[Base_Quantity]],1),1)</f>
        <v>1</v>
      </c>
      <c r="E249" cm="1">
        <f t="array" ref="E249">Logistics_Orders[[#This Row],[Quantity_Ordered]]*_xlfn.XLOOKUP(Logistics_Orders[[#This Row],[Logistics_ID]],Logistics_Catalog[[#All],[Logistics_ID]],Logistics_Catalog[[#All],[Cost]],0,0)</f>
        <v>6000</v>
      </c>
      <c r="F249" cm="1">
        <f t="array" ref="F249">Logistics_Orders[[#This Row],[Quantity_Ordered]]*_xlfn.XLOOKUP(Logistics_Orders[[#This Row],[Logistics_ID]],Logistics_Catalog[[#All],[Logistics_ID]],Logistics_Catalog[[#All],[Client_Charge]],0,0)</f>
        <v>7200</v>
      </c>
      <c r="G249">
        <f>Logistics_Orders[[#This Row],[Client_Charge]]-Logistics_Orders[[#This Row],[Cost]]</f>
        <v>1200</v>
      </c>
      <c r="H249" t="s">
        <v>198</v>
      </c>
    </row>
    <row r="250" spans="1:8" x14ac:dyDescent="0.25">
      <c r="A250">
        <v>51</v>
      </c>
      <c r="B250" t="s">
        <v>187</v>
      </c>
      <c r="C250" cm="1">
        <f t="array" ref="C250">_xlfn.XLOOKUP(Logistics_Orders[[#This Row],[Logistics_ID]],Logistics_Catalog[[#All],[Logistics_ID]],Logistics_Catalog[[#All],[Base_Quantity]],0,0)</f>
        <v>1</v>
      </c>
      <c r="D250" cm="1">
        <f t="array" ref="D250">IF(Logistics_Orders[[#This Row],[Item]]="Chairs &amp; Tables",CEILING(_xlfn.XLOOKUP(Logistics_Orders[[#This Row],[Event_No]],Event_Master[[#All],[Event_No]],Event_Master[[#All],[Guest_Count]],,0)/Logistics_Orders[[#This Row],[Base_Quantity]],1),1)</f>
        <v>1</v>
      </c>
      <c r="E250" cm="1">
        <f t="array" ref="E250">Logistics_Orders[[#This Row],[Quantity_Ordered]]*_xlfn.XLOOKUP(Logistics_Orders[[#This Row],[Logistics_ID]],Logistics_Catalog[[#All],[Logistics_ID]],Logistics_Catalog[[#All],[Cost]],0,0)</f>
        <v>8000</v>
      </c>
      <c r="F250" cm="1">
        <f t="array" ref="F250">Logistics_Orders[[#This Row],[Quantity_Ordered]]*_xlfn.XLOOKUP(Logistics_Orders[[#This Row],[Logistics_ID]],Logistics_Catalog[[#All],[Logistics_ID]],Logistics_Catalog[[#All],[Client_Charge]],0,0)</f>
        <v>9500</v>
      </c>
      <c r="G250">
        <f>Logistics_Orders[[#This Row],[Client_Charge]]-Logistics_Orders[[#This Row],[Cost]]</f>
        <v>1500</v>
      </c>
      <c r="H250" t="s">
        <v>190</v>
      </c>
    </row>
    <row r="251" spans="1:8" x14ac:dyDescent="0.25">
      <c r="A251">
        <v>52</v>
      </c>
      <c r="B251" t="s">
        <v>177</v>
      </c>
      <c r="C251" cm="1">
        <f t="array" ref="C251">_xlfn.XLOOKUP(Logistics_Orders[[#This Row],[Logistics_ID]],Logistics_Catalog[[#All],[Logistics_ID]],Logistics_Catalog[[#All],[Base_Quantity]],0,0)</f>
        <v>300</v>
      </c>
      <c r="D251" cm="1">
        <f t="array" ref="D251">IF(Logistics_Orders[[#This Row],[Item]]="Chairs &amp; Tables",CEILING(_xlfn.XLOOKUP(Logistics_Orders[[#This Row],[Event_No]],Event_Master[[#All],[Event_No]],Event_Master[[#All],[Guest_Count]],,0)/Logistics_Orders[[#This Row],[Base_Quantity]],1),1)</f>
        <v>2</v>
      </c>
      <c r="E251" cm="1">
        <f t="array" ref="E251">Logistics_Orders[[#This Row],[Quantity_Ordered]]*_xlfn.XLOOKUP(Logistics_Orders[[#This Row],[Logistics_ID]],Logistics_Catalog[[#All],[Logistics_ID]],Logistics_Catalog[[#All],[Cost]],0,0)</f>
        <v>30000</v>
      </c>
      <c r="F251" cm="1">
        <f t="array" ref="F251">Logistics_Orders[[#This Row],[Quantity_Ordered]]*_xlfn.XLOOKUP(Logistics_Orders[[#This Row],[Logistics_ID]],Logistics_Catalog[[#All],[Logistics_ID]],Logistics_Catalog[[#All],[Client_Charge]],0,0)</f>
        <v>36000</v>
      </c>
      <c r="G251">
        <f>Logistics_Orders[[#This Row],[Client_Charge]]-Logistics_Orders[[#This Row],[Cost]]</f>
        <v>6000</v>
      </c>
      <c r="H251" t="s">
        <v>181</v>
      </c>
    </row>
    <row r="252" spans="1:8" x14ac:dyDescent="0.25">
      <c r="A252">
        <v>52</v>
      </c>
      <c r="B252" t="s">
        <v>182</v>
      </c>
      <c r="C252" cm="1">
        <f t="array" ref="C252">_xlfn.XLOOKUP(Logistics_Orders[[#This Row],[Logistics_ID]],Logistics_Catalog[[#All],[Logistics_ID]],Logistics_Catalog[[#All],[Base_Quantity]],0,0)</f>
        <v>1</v>
      </c>
      <c r="D252" cm="1">
        <f t="array" ref="D252">IF(Logistics_Orders[[#This Row],[Item]]="Chairs &amp; Tables",CEILING(_xlfn.XLOOKUP(Logistics_Orders[[#This Row],[Event_No]],Event_Master[[#All],[Event_No]],Event_Master[[#All],[Guest_Count]],,0)/Logistics_Orders[[#This Row],[Base_Quantity]],1),1)</f>
        <v>1</v>
      </c>
      <c r="E252" cm="1">
        <f t="array" ref="E252">Logistics_Orders[[#This Row],[Quantity_Ordered]]*_xlfn.XLOOKUP(Logistics_Orders[[#This Row],[Logistics_ID]],Logistics_Catalog[[#All],[Logistics_ID]],Logistics_Catalog[[#All],[Cost]],0,0)</f>
        <v>12000</v>
      </c>
      <c r="F252" cm="1">
        <f t="array" ref="F252">Logistics_Orders[[#This Row],[Quantity_Ordered]]*_xlfn.XLOOKUP(Logistics_Orders[[#This Row],[Logistics_ID]],Logistics_Catalog[[#All],[Logistics_ID]],Logistics_Catalog[[#All],[Client_Charge]],0,0)</f>
        <v>14500</v>
      </c>
      <c r="G252">
        <f>Logistics_Orders[[#This Row],[Client_Charge]]-Logistics_Orders[[#This Row],[Cost]]</f>
        <v>2500</v>
      </c>
      <c r="H252" t="s">
        <v>186</v>
      </c>
    </row>
    <row r="253" spans="1:8" x14ac:dyDescent="0.25">
      <c r="A253">
        <v>52</v>
      </c>
      <c r="B253" t="s">
        <v>191</v>
      </c>
      <c r="C253" cm="1">
        <f t="array" ref="C253">_xlfn.XLOOKUP(Logistics_Orders[[#This Row],[Logistics_ID]],Logistics_Catalog[[#All],[Logistics_ID]],Logistics_Catalog[[#All],[Base_Quantity]],0,0)</f>
        <v>5</v>
      </c>
      <c r="D253" cm="1">
        <f t="array" ref="D253">IF(Logistics_Orders[[#This Row],[Item]]="Chairs &amp; Tables",CEILING(_xlfn.XLOOKUP(Logistics_Orders[[#This Row],[Event_No]],Event_Master[[#All],[Event_No]],Event_Master[[#All],[Guest_Count]],,0)/Logistics_Orders[[#This Row],[Base_Quantity]],1),1)</f>
        <v>1</v>
      </c>
      <c r="E253" cm="1">
        <f t="array" ref="E253">Logistics_Orders[[#This Row],[Quantity_Ordered]]*_xlfn.XLOOKUP(Logistics_Orders[[#This Row],[Logistics_ID]],Logistics_Catalog[[#All],[Logistics_ID]],Logistics_Catalog[[#All],[Cost]],0,0)</f>
        <v>3000</v>
      </c>
      <c r="F253" cm="1">
        <f t="array" ref="F253">Logistics_Orders[[#This Row],[Quantity_Ordered]]*_xlfn.XLOOKUP(Logistics_Orders[[#This Row],[Logistics_ID]],Logistics_Catalog[[#All],[Logistics_ID]],Logistics_Catalog[[#All],[Client_Charge]],0,0)</f>
        <v>3600</v>
      </c>
      <c r="G253">
        <f>Logistics_Orders[[#This Row],[Client_Charge]]-Logistics_Orders[[#This Row],[Cost]]</f>
        <v>600</v>
      </c>
      <c r="H253" t="s">
        <v>194</v>
      </c>
    </row>
    <row r="254" spans="1:8" x14ac:dyDescent="0.25">
      <c r="A254">
        <v>52</v>
      </c>
      <c r="B254" t="s">
        <v>195</v>
      </c>
      <c r="C254" cm="1">
        <f t="array" ref="C254">_xlfn.XLOOKUP(Logistics_Orders[[#This Row],[Logistics_ID]],Logistics_Catalog[[#All],[Logistics_ID]],Logistics_Catalog[[#All],[Base_Quantity]],0,0)</f>
        <v>10</v>
      </c>
      <c r="D254" cm="1">
        <f t="array" ref="D254">IF(Logistics_Orders[[#This Row],[Item]]="Chairs &amp; Tables",CEILING(_xlfn.XLOOKUP(Logistics_Orders[[#This Row],[Event_No]],Event_Master[[#All],[Event_No]],Event_Master[[#All],[Guest_Count]],,0)/Logistics_Orders[[#This Row],[Base_Quantity]],1),1)</f>
        <v>1</v>
      </c>
      <c r="E254" cm="1">
        <f t="array" ref="E254">Logistics_Orders[[#This Row],[Quantity_Ordered]]*_xlfn.XLOOKUP(Logistics_Orders[[#This Row],[Logistics_ID]],Logistics_Catalog[[#All],[Logistics_ID]],Logistics_Catalog[[#All],[Cost]],0,0)</f>
        <v>6000</v>
      </c>
      <c r="F254" cm="1">
        <f t="array" ref="F254">Logistics_Orders[[#This Row],[Quantity_Ordered]]*_xlfn.XLOOKUP(Logistics_Orders[[#This Row],[Logistics_ID]],Logistics_Catalog[[#All],[Logistics_ID]],Logistics_Catalog[[#All],[Client_Charge]],0,0)</f>
        <v>7200</v>
      </c>
      <c r="G254">
        <f>Logistics_Orders[[#This Row],[Client_Charge]]-Logistics_Orders[[#This Row],[Cost]]</f>
        <v>1200</v>
      </c>
      <c r="H254" t="s">
        <v>198</v>
      </c>
    </row>
    <row r="255" spans="1:8" x14ac:dyDescent="0.25">
      <c r="A255">
        <v>52</v>
      </c>
      <c r="B255" t="s">
        <v>187</v>
      </c>
      <c r="C255" cm="1">
        <f t="array" ref="C255">_xlfn.XLOOKUP(Logistics_Orders[[#This Row],[Logistics_ID]],Logistics_Catalog[[#All],[Logistics_ID]],Logistics_Catalog[[#All],[Base_Quantity]],0,0)</f>
        <v>1</v>
      </c>
      <c r="D255" cm="1">
        <f t="array" ref="D255">IF(Logistics_Orders[[#This Row],[Item]]="Chairs &amp; Tables",CEILING(_xlfn.XLOOKUP(Logistics_Orders[[#This Row],[Event_No]],Event_Master[[#All],[Event_No]],Event_Master[[#All],[Guest_Count]],,0)/Logistics_Orders[[#This Row],[Base_Quantity]],1),1)</f>
        <v>1</v>
      </c>
      <c r="E255" cm="1">
        <f t="array" ref="E255">Logistics_Orders[[#This Row],[Quantity_Ordered]]*_xlfn.XLOOKUP(Logistics_Orders[[#This Row],[Logistics_ID]],Logistics_Catalog[[#All],[Logistics_ID]],Logistics_Catalog[[#All],[Cost]],0,0)</f>
        <v>8000</v>
      </c>
      <c r="F255" cm="1">
        <f t="array" ref="F255">Logistics_Orders[[#This Row],[Quantity_Ordered]]*_xlfn.XLOOKUP(Logistics_Orders[[#This Row],[Logistics_ID]],Logistics_Catalog[[#All],[Logistics_ID]],Logistics_Catalog[[#All],[Client_Charge]],0,0)</f>
        <v>9500</v>
      </c>
      <c r="G255">
        <f>Logistics_Orders[[#This Row],[Client_Charge]]-Logistics_Orders[[#This Row],[Cost]]</f>
        <v>1500</v>
      </c>
      <c r="H255" t="s">
        <v>190</v>
      </c>
    </row>
    <row r="256" spans="1:8" x14ac:dyDescent="0.25">
      <c r="A256">
        <v>53</v>
      </c>
      <c r="B256" t="s">
        <v>177</v>
      </c>
      <c r="C256" cm="1">
        <f t="array" ref="C256">_xlfn.XLOOKUP(Logistics_Orders[[#This Row],[Logistics_ID]],Logistics_Catalog[[#All],[Logistics_ID]],Logistics_Catalog[[#All],[Base_Quantity]],0,0)</f>
        <v>300</v>
      </c>
      <c r="D256" cm="1">
        <f t="array" ref="D256">IF(Logistics_Orders[[#This Row],[Item]]="Chairs &amp; Tables",CEILING(_xlfn.XLOOKUP(Logistics_Orders[[#This Row],[Event_No]],Event_Master[[#All],[Event_No]],Event_Master[[#All],[Guest_Count]],,0)/Logistics_Orders[[#This Row],[Base_Quantity]],1),1)</f>
        <v>1</v>
      </c>
      <c r="E256" cm="1">
        <f t="array" ref="E256">Logistics_Orders[[#This Row],[Quantity_Ordered]]*_xlfn.XLOOKUP(Logistics_Orders[[#This Row],[Logistics_ID]],Logistics_Catalog[[#All],[Logistics_ID]],Logistics_Catalog[[#All],[Cost]],0,0)</f>
        <v>15000</v>
      </c>
      <c r="F256" cm="1">
        <f t="array" ref="F256">Logistics_Orders[[#This Row],[Quantity_Ordered]]*_xlfn.XLOOKUP(Logistics_Orders[[#This Row],[Logistics_ID]],Logistics_Catalog[[#All],[Logistics_ID]],Logistics_Catalog[[#All],[Client_Charge]],0,0)</f>
        <v>18000</v>
      </c>
      <c r="G256">
        <f>Logistics_Orders[[#This Row],[Client_Charge]]-Logistics_Orders[[#This Row],[Cost]]</f>
        <v>3000</v>
      </c>
      <c r="H256" t="s">
        <v>181</v>
      </c>
    </row>
    <row r="257" spans="1:8" x14ac:dyDescent="0.25">
      <c r="A257">
        <v>53</v>
      </c>
      <c r="B257" t="s">
        <v>182</v>
      </c>
      <c r="C257" cm="1">
        <f t="array" ref="C257">_xlfn.XLOOKUP(Logistics_Orders[[#This Row],[Logistics_ID]],Logistics_Catalog[[#All],[Logistics_ID]],Logistics_Catalog[[#All],[Base_Quantity]],0,0)</f>
        <v>1</v>
      </c>
      <c r="D257" cm="1">
        <f t="array" ref="D257">IF(Logistics_Orders[[#This Row],[Item]]="Chairs &amp; Tables",CEILING(_xlfn.XLOOKUP(Logistics_Orders[[#This Row],[Event_No]],Event_Master[[#All],[Event_No]],Event_Master[[#All],[Guest_Count]],,0)/Logistics_Orders[[#This Row],[Base_Quantity]],1),1)</f>
        <v>1</v>
      </c>
      <c r="E257" cm="1">
        <f t="array" ref="E257">Logistics_Orders[[#This Row],[Quantity_Ordered]]*_xlfn.XLOOKUP(Logistics_Orders[[#This Row],[Logistics_ID]],Logistics_Catalog[[#All],[Logistics_ID]],Logistics_Catalog[[#All],[Cost]],0,0)</f>
        <v>12000</v>
      </c>
      <c r="F257" cm="1">
        <f t="array" ref="F257">Logistics_Orders[[#This Row],[Quantity_Ordered]]*_xlfn.XLOOKUP(Logistics_Orders[[#This Row],[Logistics_ID]],Logistics_Catalog[[#All],[Logistics_ID]],Logistics_Catalog[[#All],[Client_Charge]],0,0)</f>
        <v>14500</v>
      </c>
      <c r="G257">
        <f>Logistics_Orders[[#This Row],[Client_Charge]]-Logistics_Orders[[#This Row],[Cost]]</f>
        <v>2500</v>
      </c>
      <c r="H257" t="s">
        <v>186</v>
      </c>
    </row>
    <row r="258" spans="1:8" x14ac:dyDescent="0.25">
      <c r="A258">
        <v>53</v>
      </c>
      <c r="B258" t="s">
        <v>191</v>
      </c>
      <c r="C258" cm="1">
        <f t="array" ref="C258">_xlfn.XLOOKUP(Logistics_Orders[[#This Row],[Logistics_ID]],Logistics_Catalog[[#All],[Logistics_ID]],Logistics_Catalog[[#All],[Base_Quantity]],0,0)</f>
        <v>5</v>
      </c>
      <c r="D258" cm="1">
        <f t="array" ref="D258">IF(Logistics_Orders[[#This Row],[Item]]="Chairs &amp; Tables",CEILING(_xlfn.XLOOKUP(Logistics_Orders[[#This Row],[Event_No]],Event_Master[[#All],[Event_No]],Event_Master[[#All],[Guest_Count]],,0)/Logistics_Orders[[#This Row],[Base_Quantity]],1),1)</f>
        <v>1</v>
      </c>
      <c r="E258" cm="1">
        <f t="array" ref="E258">Logistics_Orders[[#This Row],[Quantity_Ordered]]*_xlfn.XLOOKUP(Logistics_Orders[[#This Row],[Logistics_ID]],Logistics_Catalog[[#All],[Logistics_ID]],Logistics_Catalog[[#All],[Cost]],0,0)</f>
        <v>3000</v>
      </c>
      <c r="F258" cm="1">
        <f t="array" ref="F258">Logistics_Orders[[#This Row],[Quantity_Ordered]]*_xlfn.XLOOKUP(Logistics_Orders[[#This Row],[Logistics_ID]],Logistics_Catalog[[#All],[Logistics_ID]],Logistics_Catalog[[#All],[Client_Charge]],0,0)</f>
        <v>3600</v>
      </c>
      <c r="G258">
        <f>Logistics_Orders[[#This Row],[Client_Charge]]-Logistics_Orders[[#This Row],[Cost]]</f>
        <v>600</v>
      </c>
      <c r="H258" t="s">
        <v>194</v>
      </c>
    </row>
    <row r="259" spans="1:8" x14ac:dyDescent="0.25">
      <c r="A259">
        <v>53</v>
      </c>
      <c r="B259" t="s">
        <v>195</v>
      </c>
      <c r="C259" cm="1">
        <f t="array" ref="C259">_xlfn.XLOOKUP(Logistics_Orders[[#This Row],[Logistics_ID]],Logistics_Catalog[[#All],[Logistics_ID]],Logistics_Catalog[[#All],[Base_Quantity]],0,0)</f>
        <v>10</v>
      </c>
      <c r="D259" cm="1">
        <f t="array" ref="D259">IF(Logistics_Orders[[#This Row],[Item]]="Chairs &amp; Tables",CEILING(_xlfn.XLOOKUP(Logistics_Orders[[#This Row],[Event_No]],Event_Master[[#All],[Event_No]],Event_Master[[#All],[Guest_Count]],,0)/Logistics_Orders[[#This Row],[Base_Quantity]],1),1)</f>
        <v>1</v>
      </c>
      <c r="E259" cm="1">
        <f t="array" ref="E259">Logistics_Orders[[#This Row],[Quantity_Ordered]]*_xlfn.XLOOKUP(Logistics_Orders[[#This Row],[Logistics_ID]],Logistics_Catalog[[#All],[Logistics_ID]],Logistics_Catalog[[#All],[Cost]],0,0)</f>
        <v>6000</v>
      </c>
      <c r="F259" cm="1">
        <f t="array" ref="F259">Logistics_Orders[[#This Row],[Quantity_Ordered]]*_xlfn.XLOOKUP(Logistics_Orders[[#This Row],[Logistics_ID]],Logistics_Catalog[[#All],[Logistics_ID]],Logistics_Catalog[[#All],[Client_Charge]],0,0)</f>
        <v>7200</v>
      </c>
      <c r="G259">
        <f>Logistics_Orders[[#This Row],[Client_Charge]]-Logistics_Orders[[#This Row],[Cost]]</f>
        <v>1200</v>
      </c>
      <c r="H259" t="s">
        <v>198</v>
      </c>
    </row>
    <row r="260" spans="1:8" x14ac:dyDescent="0.25">
      <c r="A260">
        <v>53</v>
      </c>
      <c r="B260" t="s">
        <v>187</v>
      </c>
      <c r="C260" cm="1">
        <f t="array" ref="C260">_xlfn.XLOOKUP(Logistics_Orders[[#This Row],[Logistics_ID]],Logistics_Catalog[[#All],[Logistics_ID]],Logistics_Catalog[[#All],[Base_Quantity]],0,0)</f>
        <v>1</v>
      </c>
      <c r="D260" cm="1">
        <f t="array" ref="D260">IF(Logistics_Orders[[#This Row],[Item]]="Chairs &amp; Tables",CEILING(_xlfn.XLOOKUP(Logistics_Orders[[#This Row],[Event_No]],Event_Master[[#All],[Event_No]],Event_Master[[#All],[Guest_Count]],,0)/Logistics_Orders[[#This Row],[Base_Quantity]],1),1)</f>
        <v>1</v>
      </c>
      <c r="E260" cm="1">
        <f t="array" ref="E260">Logistics_Orders[[#This Row],[Quantity_Ordered]]*_xlfn.XLOOKUP(Logistics_Orders[[#This Row],[Logistics_ID]],Logistics_Catalog[[#All],[Logistics_ID]],Logistics_Catalog[[#All],[Cost]],0,0)</f>
        <v>8000</v>
      </c>
      <c r="F260" cm="1">
        <f t="array" ref="F260">Logistics_Orders[[#This Row],[Quantity_Ordered]]*_xlfn.XLOOKUP(Logistics_Orders[[#This Row],[Logistics_ID]],Logistics_Catalog[[#All],[Logistics_ID]],Logistics_Catalog[[#All],[Client_Charge]],0,0)</f>
        <v>9500</v>
      </c>
      <c r="G260">
        <f>Logistics_Orders[[#This Row],[Client_Charge]]-Logistics_Orders[[#This Row],[Cost]]</f>
        <v>1500</v>
      </c>
      <c r="H260" t="s">
        <v>190</v>
      </c>
    </row>
    <row r="261" spans="1:8" x14ac:dyDescent="0.25">
      <c r="A261">
        <v>54</v>
      </c>
      <c r="B261" t="s">
        <v>177</v>
      </c>
      <c r="C261" cm="1">
        <f t="array" ref="C261">_xlfn.XLOOKUP(Logistics_Orders[[#This Row],[Logistics_ID]],Logistics_Catalog[[#All],[Logistics_ID]],Logistics_Catalog[[#All],[Base_Quantity]],0,0)</f>
        <v>300</v>
      </c>
      <c r="D261" cm="1">
        <f t="array" ref="D261">IF(Logistics_Orders[[#This Row],[Item]]="Chairs &amp; Tables",CEILING(_xlfn.XLOOKUP(Logistics_Orders[[#This Row],[Event_No]],Event_Master[[#All],[Event_No]],Event_Master[[#All],[Guest_Count]],,0)/Logistics_Orders[[#This Row],[Base_Quantity]],1),1)</f>
        <v>1</v>
      </c>
      <c r="E261" cm="1">
        <f t="array" ref="E261">Logistics_Orders[[#This Row],[Quantity_Ordered]]*_xlfn.XLOOKUP(Logistics_Orders[[#This Row],[Logistics_ID]],Logistics_Catalog[[#All],[Logistics_ID]],Logistics_Catalog[[#All],[Cost]],0,0)</f>
        <v>15000</v>
      </c>
      <c r="F261" cm="1">
        <f t="array" ref="F261">Logistics_Orders[[#This Row],[Quantity_Ordered]]*_xlfn.XLOOKUP(Logistics_Orders[[#This Row],[Logistics_ID]],Logistics_Catalog[[#All],[Logistics_ID]],Logistics_Catalog[[#All],[Client_Charge]],0,0)</f>
        <v>18000</v>
      </c>
      <c r="G261">
        <f>Logistics_Orders[[#This Row],[Client_Charge]]-Logistics_Orders[[#This Row],[Cost]]</f>
        <v>3000</v>
      </c>
      <c r="H261" t="s">
        <v>181</v>
      </c>
    </row>
    <row r="262" spans="1:8" x14ac:dyDescent="0.25">
      <c r="A262">
        <v>54</v>
      </c>
      <c r="B262" t="s">
        <v>182</v>
      </c>
      <c r="C262" cm="1">
        <f t="array" ref="C262">_xlfn.XLOOKUP(Logistics_Orders[[#This Row],[Logistics_ID]],Logistics_Catalog[[#All],[Logistics_ID]],Logistics_Catalog[[#All],[Base_Quantity]],0,0)</f>
        <v>1</v>
      </c>
      <c r="D262" cm="1">
        <f t="array" ref="D262">IF(Logistics_Orders[[#This Row],[Item]]="Chairs &amp; Tables",CEILING(_xlfn.XLOOKUP(Logistics_Orders[[#This Row],[Event_No]],Event_Master[[#All],[Event_No]],Event_Master[[#All],[Guest_Count]],,0)/Logistics_Orders[[#This Row],[Base_Quantity]],1),1)</f>
        <v>1</v>
      </c>
      <c r="E262" cm="1">
        <f t="array" ref="E262">Logistics_Orders[[#This Row],[Quantity_Ordered]]*_xlfn.XLOOKUP(Logistics_Orders[[#This Row],[Logistics_ID]],Logistics_Catalog[[#All],[Logistics_ID]],Logistics_Catalog[[#All],[Cost]],0,0)</f>
        <v>12000</v>
      </c>
      <c r="F262" cm="1">
        <f t="array" ref="F262">Logistics_Orders[[#This Row],[Quantity_Ordered]]*_xlfn.XLOOKUP(Logistics_Orders[[#This Row],[Logistics_ID]],Logistics_Catalog[[#All],[Logistics_ID]],Logistics_Catalog[[#All],[Client_Charge]],0,0)</f>
        <v>14500</v>
      </c>
      <c r="G262">
        <f>Logistics_Orders[[#This Row],[Client_Charge]]-Logistics_Orders[[#This Row],[Cost]]</f>
        <v>2500</v>
      </c>
      <c r="H262" t="s">
        <v>186</v>
      </c>
    </row>
    <row r="263" spans="1:8" x14ac:dyDescent="0.25">
      <c r="A263">
        <v>54</v>
      </c>
      <c r="B263" t="s">
        <v>191</v>
      </c>
      <c r="C263" cm="1">
        <f t="array" ref="C263">_xlfn.XLOOKUP(Logistics_Orders[[#This Row],[Logistics_ID]],Logistics_Catalog[[#All],[Logistics_ID]],Logistics_Catalog[[#All],[Base_Quantity]],0,0)</f>
        <v>5</v>
      </c>
      <c r="D263" cm="1">
        <f t="array" ref="D263">IF(Logistics_Orders[[#This Row],[Item]]="Chairs &amp; Tables",CEILING(_xlfn.XLOOKUP(Logistics_Orders[[#This Row],[Event_No]],Event_Master[[#All],[Event_No]],Event_Master[[#All],[Guest_Count]],,0)/Logistics_Orders[[#This Row],[Base_Quantity]],1),1)</f>
        <v>1</v>
      </c>
      <c r="E263" cm="1">
        <f t="array" ref="E263">Logistics_Orders[[#This Row],[Quantity_Ordered]]*_xlfn.XLOOKUP(Logistics_Orders[[#This Row],[Logistics_ID]],Logistics_Catalog[[#All],[Logistics_ID]],Logistics_Catalog[[#All],[Cost]],0,0)</f>
        <v>3000</v>
      </c>
      <c r="F263" cm="1">
        <f t="array" ref="F263">Logistics_Orders[[#This Row],[Quantity_Ordered]]*_xlfn.XLOOKUP(Logistics_Orders[[#This Row],[Logistics_ID]],Logistics_Catalog[[#All],[Logistics_ID]],Logistics_Catalog[[#All],[Client_Charge]],0,0)</f>
        <v>3600</v>
      </c>
      <c r="G263">
        <f>Logistics_Orders[[#This Row],[Client_Charge]]-Logistics_Orders[[#This Row],[Cost]]</f>
        <v>600</v>
      </c>
      <c r="H263" t="s">
        <v>194</v>
      </c>
    </row>
    <row r="264" spans="1:8" x14ac:dyDescent="0.25">
      <c r="A264">
        <v>54</v>
      </c>
      <c r="B264" t="s">
        <v>195</v>
      </c>
      <c r="C264" cm="1">
        <f t="array" ref="C264">_xlfn.XLOOKUP(Logistics_Orders[[#This Row],[Logistics_ID]],Logistics_Catalog[[#All],[Logistics_ID]],Logistics_Catalog[[#All],[Base_Quantity]],0,0)</f>
        <v>10</v>
      </c>
      <c r="D264" cm="1">
        <f t="array" ref="D264">IF(Logistics_Orders[[#This Row],[Item]]="Chairs &amp; Tables",CEILING(_xlfn.XLOOKUP(Logistics_Orders[[#This Row],[Event_No]],Event_Master[[#All],[Event_No]],Event_Master[[#All],[Guest_Count]],,0)/Logistics_Orders[[#This Row],[Base_Quantity]],1),1)</f>
        <v>1</v>
      </c>
      <c r="E264" cm="1">
        <f t="array" ref="E264">Logistics_Orders[[#This Row],[Quantity_Ordered]]*_xlfn.XLOOKUP(Logistics_Orders[[#This Row],[Logistics_ID]],Logistics_Catalog[[#All],[Logistics_ID]],Logistics_Catalog[[#All],[Cost]],0,0)</f>
        <v>6000</v>
      </c>
      <c r="F264" cm="1">
        <f t="array" ref="F264">Logistics_Orders[[#This Row],[Quantity_Ordered]]*_xlfn.XLOOKUP(Logistics_Orders[[#This Row],[Logistics_ID]],Logistics_Catalog[[#All],[Logistics_ID]],Logistics_Catalog[[#All],[Client_Charge]],0,0)</f>
        <v>7200</v>
      </c>
      <c r="G264">
        <f>Logistics_Orders[[#This Row],[Client_Charge]]-Logistics_Orders[[#This Row],[Cost]]</f>
        <v>1200</v>
      </c>
      <c r="H264" t="s">
        <v>198</v>
      </c>
    </row>
    <row r="265" spans="1:8" x14ac:dyDescent="0.25">
      <c r="A265">
        <v>54</v>
      </c>
      <c r="B265" t="s">
        <v>187</v>
      </c>
      <c r="C265" cm="1">
        <f t="array" ref="C265">_xlfn.XLOOKUP(Logistics_Orders[[#This Row],[Logistics_ID]],Logistics_Catalog[[#All],[Logistics_ID]],Logistics_Catalog[[#All],[Base_Quantity]],0,0)</f>
        <v>1</v>
      </c>
      <c r="D265" cm="1">
        <f t="array" ref="D265">IF(Logistics_Orders[[#This Row],[Item]]="Chairs &amp; Tables",CEILING(_xlfn.XLOOKUP(Logistics_Orders[[#This Row],[Event_No]],Event_Master[[#All],[Event_No]],Event_Master[[#All],[Guest_Count]],,0)/Logistics_Orders[[#This Row],[Base_Quantity]],1),1)</f>
        <v>1</v>
      </c>
      <c r="E265" cm="1">
        <f t="array" ref="E265">Logistics_Orders[[#This Row],[Quantity_Ordered]]*_xlfn.XLOOKUP(Logistics_Orders[[#This Row],[Logistics_ID]],Logistics_Catalog[[#All],[Logistics_ID]],Logistics_Catalog[[#All],[Cost]],0,0)</f>
        <v>8000</v>
      </c>
      <c r="F265" cm="1">
        <f t="array" ref="F265">Logistics_Orders[[#This Row],[Quantity_Ordered]]*_xlfn.XLOOKUP(Logistics_Orders[[#This Row],[Logistics_ID]],Logistics_Catalog[[#All],[Logistics_ID]],Logistics_Catalog[[#All],[Client_Charge]],0,0)</f>
        <v>9500</v>
      </c>
      <c r="G265">
        <f>Logistics_Orders[[#This Row],[Client_Charge]]-Logistics_Orders[[#This Row],[Cost]]</f>
        <v>1500</v>
      </c>
      <c r="H265" t="s">
        <v>190</v>
      </c>
    </row>
    <row r="266" spans="1:8" x14ac:dyDescent="0.25">
      <c r="A266">
        <v>55</v>
      </c>
      <c r="B266" t="s">
        <v>177</v>
      </c>
      <c r="C266" cm="1">
        <f t="array" ref="C266">_xlfn.XLOOKUP(Logistics_Orders[[#This Row],[Logistics_ID]],Logistics_Catalog[[#All],[Logistics_ID]],Logistics_Catalog[[#All],[Base_Quantity]],0,0)</f>
        <v>300</v>
      </c>
      <c r="D266" cm="1">
        <f t="array" ref="D266">IF(Logistics_Orders[[#This Row],[Item]]="Chairs &amp; Tables",CEILING(_xlfn.XLOOKUP(Logistics_Orders[[#This Row],[Event_No]],Event_Master[[#All],[Event_No]],Event_Master[[#All],[Guest_Count]],,0)/Logistics_Orders[[#This Row],[Base_Quantity]],1),1)</f>
        <v>1</v>
      </c>
      <c r="E266" cm="1">
        <f t="array" ref="E266">Logistics_Orders[[#This Row],[Quantity_Ordered]]*_xlfn.XLOOKUP(Logistics_Orders[[#This Row],[Logistics_ID]],Logistics_Catalog[[#All],[Logistics_ID]],Logistics_Catalog[[#All],[Cost]],0,0)</f>
        <v>15000</v>
      </c>
      <c r="F266" cm="1">
        <f t="array" ref="F266">Logistics_Orders[[#This Row],[Quantity_Ordered]]*_xlfn.XLOOKUP(Logistics_Orders[[#This Row],[Logistics_ID]],Logistics_Catalog[[#All],[Logistics_ID]],Logistics_Catalog[[#All],[Client_Charge]],0,0)</f>
        <v>18000</v>
      </c>
      <c r="G266">
        <f>Logistics_Orders[[#This Row],[Client_Charge]]-Logistics_Orders[[#This Row],[Cost]]</f>
        <v>3000</v>
      </c>
      <c r="H266" t="s">
        <v>181</v>
      </c>
    </row>
    <row r="267" spans="1:8" x14ac:dyDescent="0.25">
      <c r="A267">
        <v>55</v>
      </c>
      <c r="B267" t="s">
        <v>182</v>
      </c>
      <c r="C267" cm="1">
        <f t="array" ref="C267">_xlfn.XLOOKUP(Logistics_Orders[[#This Row],[Logistics_ID]],Logistics_Catalog[[#All],[Logistics_ID]],Logistics_Catalog[[#All],[Base_Quantity]],0,0)</f>
        <v>1</v>
      </c>
      <c r="D267" cm="1">
        <f t="array" ref="D267">IF(Logistics_Orders[[#This Row],[Item]]="Chairs &amp; Tables",CEILING(_xlfn.XLOOKUP(Logistics_Orders[[#This Row],[Event_No]],Event_Master[[#All],[Event_No]],Event_Master[[#All],[Guest_Count]],,0)/Logistics_Orders[[#This Row],[Base_Quantity]],1),1)</f>
        <v>1</v>
      </c>
      <c r="E267" cm="1">
        <f t="array" ref="E267">Logistics_Orders[[#This Row],[Quantity_Ordered]]*_xlfn.XLOOKUP(Logistics_Orders[[#This Row],[Logistics_ID]],Logistics_Catalog[[#All],[Logistics_ID]],Logistics_Catalog[[#All],[Cost]],0,0)</f>
        <v>12000</v>
      </c>
      <c r="F267" cm="1">
        <f t="array" ref="F267">Logistics_Orders[[#This Row],[Quantity_Ordered]]*_xlfn.XLOOKUP(Logistics_Orders[[#This Row],[Logistics_ID]],Logistics_Catalog[[#All],[Logistics_ID]],Logistics_Catalog[[#All],[Client_Charge]],0,0)</f>
        <v>14500</v>
      </c>
      <c r="G267">
        <f>Logistics_Orders[[#This Row],[Client_Charge]]-Logistics_Orders[[#This Row],[Cost]]</f>
        <v>2500</v>
      </c>
      <c r="H267" t="s">
        <v>186</v>
      </c>
    </row>
    <row r="268" spans="1:8" x14ac:dyDescent="0.25">
      <c r="A268">
        <v>55</v>
      </c>
      <c r="B268" t="s">
        <v>191</v>
      </c>
      <c r="C268" cm="1">
        <f t="array" ref="C268">_xlfn.XLOOKUP(Logistics_Orders[[#This Row],[Logistics_ID]],Logistics_Catalog[[#All],[Logistics_ID]],Logistics_Catalog[[#All],[Base_Quantity]],0,0)</f>
        <v>5</v>
      </c>
      <c r="D268" cm="1">
        <f t="array" ref="D268">IF(Logistics_Orders[[#This Row],[Item]]="Chairs &amp; Tables",CEILING(_xlfn.XLOOKUP(Logistics_Orders[[#This Row],[Event_No]],Event_Master[[#All],[Event_No]],Event_Master[[#All],[Guest_Count]],,0)/Logistics_Orders[[#This Row],[Base_Quantity]],1),1)</f>
        <v>1</v>
      </c>
      <c r="E268" cm="1">
        <f t="array" ref="E268">Logistics_Orders[[#This Row],[Quantity_Ordered]]*_xlfn.XLOOKUP(Logistics_Orders[[#This Row],[Logistics_ID]],Logistics_Catalog[[#All],[Logistics_ID]],Logistics_Catalog[[#All],[Cost]],0,0)</f>
        <v>3000</v>
      </c>
      <c r="F268" cm="1">
        <f t="array" ref="F268">Logistics_Orders[[#This Row],[Quantity_Ordered]]*_xlfn.XLOOKUP(Logistics_Orders[[#This Row],[Logistics_ID]],Logistics_Catalog[[#All],[Logistics_ID]],Logistics_Catalog[[#All],[Client_Charge]],0,0)</f>
        <v>3600</v>
      </c>
      <c r="G268">
        <f>Logistics_Orders[[#This Row],[Client_Charge]]-Logistics_Orders[[#This Row],[Cost]]</f>
        <v>600</v>
      </c>
      <c r="H268" t="s">
        <v>194</v>
      </c>
    </row>
    <row r="269" spans="1:8" x14ac:dyDescent="0.25">
      <c r="A269">
        <v>55</v>
      </c>
      <c r="B269" t="s">
        <v>195</v>
      </c>
      <c r="C269" cm="1">
        <f t="array" ref="C269">_xlfn.XLOOKUP(Logistics_Orders[[#This Row],[Logistics_ID]],Logistics_Catalog[[#All],[Logistics_ID]],Logistics_Catalog[[#All],[Base_Quantity]],0,0)</f>
        <v>10</v>
      </c>
      <c r="D269" cm="1">
        <f t="array" ref="D269">IF(Logistics_Orders[[#This Row],[Item]]="Chairs &amp; Tables",CEILING(_xlfn.XLOOKUP(Logistics_Orders[[#This Row],[Event_No]],Event_Master[[#All],[Event_No]],Event_Master[[#All],[Guest_Count]],,0)/Logistics_Orders[[#This Row],[Base_Quantity]],1),1)</f>
        <v>1</v>
      </c>
      <c r="E269" cm="1">
        <f t="array" ref="E269">Logistics_Orders[[#This Row],[Quantity_Ordered]]*_xlfn.XLOOKUP(Logistics_Orders[[#This Row],[Logistics_ID]],Logistics_Catalog[[#All],[Logistics_ID]],Logistics_Catalog[[#All],[Cost]],0,0)</f>
        <v>6000</v>
      </c>
      <c r="F269" cm="1">
        <f t="array" ref="F269">Logistics_Orders[[#This Row],[Quantity_Ordered]]*_xlfn.XLOOKUP(Logistics_Orders[[#This Row],[Logistics_ID]],Logistics_Catalog[[#All],[Logistics_ID]],Logistics_Catalog[[#All],[Client_Charge]],0,0)</f>
        <v>7200</v>
      </c>
      <c r="G269">
        <f>Logistics_Orders[[#This Row],[Client_Charge]]-Logistics_Orders[[#This Row],[Cost]]</f>
        <v>1200</v>
      </c>
      <c r="H269" t="s">
        <v>198</v>
      </c>
    </row>
    <row r="270" spans="1:8" x14ac:dyDescent="0.25">
      <c r="A270">
        <v>55</v>
      </c>
      <c r="B270" t="s">
        <v>187</v>
      </c>
      <c r="C270" cm="1">
        <f t="array" ref="C270">_xlfn.XLOOKUP(Logistics_Orders[[#This Row],[Logistics_ID]],Logistics_Catalog[[#All],[Logistics_ID]],Logistics_Catalog[[#All],[Base_Quantity]],0,0)</f>
        <v>1</v>
      </c>
      <c r="D270" cm="1">
        <f t="array" ref="D270">IF(Logistics_Orders[[#This Row],[Item]]="Chairs &amp; Tables",CEILING(_xlfn.XLOOKUP(Logistics_Orders[[#This Row],[Event_No]],Event_Master[[#All],[Event_No]],Event_Master[[#All],[Guest_Count]],,0)/Logistics_Orders[[#This Row],[Base_Quantity]],1),1)</f>
        <v>1</v>
      </c>
      <c r="E270" cm="1">
        <f t="array" ref="E270">Logistics_Orders[[#This Row],[Quantity_Ordered]]*_xlfn.XLOOKUP(Logistics_Orders[[#This Row],[Logistics_ID]],Logistics_Catalog[[#All],[Logistics_ID]],Logistics_Catalog[[#All],[Cost]],0,0)</f>
        <v>8000</v>
      </c>
      <c r="F270" cm="1">
        <f t="array" ref="F270">Logistics_Orders[[#This Row],[Quantity_Ordered]]*_xlfn.XLOOKUP(Logistics_Orders[[#This Row],[Logistics_ID]],Logistics_Catalog[[#All],[Logistics_ID]],Logistics_Catalog[[#All],[Client_Charge]],0,0)</f>
        <v>9500</v>
      </c>
      <c r="G270">
        <f>Logistics_Orders[[#This Row],[Client_Charge]]-Logistics_Orders[[#This Row],[Cost]]</f>
        <v>1500</v>
      </c>
      <c r="H270" t="s">
        <v>190</v>
      </c>
    </row>
    <row r="271" spans="1:8" x14ac:dyDescent="0.25">
      <c r="A271">
        <v>56</v>
      </c>
      <c r="B271" t="s">
        <v>177</v>
      </c>
      <c r="C271" cm="1">
        <f t="array" ref="C271">_xlfn.XLOOKUP(Logistics_Orders[[#This Row],[Logistics_ID]],Logistics_Catalog[[#All],[Logistics_ID]],Logistics_Catalog[[#All],[Base_Quantity]],0,0)</f>
        <v>300</v>
      </c>
      <c r="D271" cm="1">
        <f t="array" ref="D271">IF(Logistics_Orders[[#This Row],[Item]]="Chairs &amp; Tables",CEILING(_xlfn.XLOOKUP(Logistics_Orders[[#This Row],[Event_No]],Event_Master[[#All],[Event_No]],Event_Master[[#All],[Guest_Count]],,0)/Logistics_Orders[[#This Row],[Base_Quantity]],1),1)</f>
        <v>1</v>
      </c>
      <c r="E271" cm="1">
        <f t="array" ref="E271">Logistics_Orders[[#This Row],[Quantity_Ordered]]*_xlfn.XLOOKUP(Logistics_Orders[[#This Row],[Logistics_ID]],Logistics_Catalog[[#All],[Logistics_ID]],Logistics_Catalog[[#All],[Cost]],0,0)</f>
        <v>15000</v>
      </c>
      <c r="F271" cm="1">
        <f t="array" ref="F271">Logistics_Orders[[#This Row],[Quantity_Ordered]]*_xlfn.XLOOKUP(Logistics_Orders[[#This Row],[Logistics_ID]],Logistics_Catalog[[#All],[Logistics_ID]],Logistics_Catalog[[#All],[Client_Charge]],0,0)</f>
        <v>18000</v>
      </c>
      <c r="G271">
        <f>Logistics_Orders[[#This Row],[Client_Charge]]-Logistics_Orders[[#This Row],[Cost]]</f>
        <v>3000</v>
      </c>
      <c r="H271" t="s">
        <v>181</v>
      </c>
    </row>
    <row r="272" spans="1:8" x14ac:dyDescent="0.25">
      <c r="A272">
        <v>56</v>
      </c>
      <c r="B272" t="s">
        <v>182</v>
      </c>
      <c r="C272" cm="1">
        <f t="array" ref="C272">_xlfn.XLOOKUP(Logistics_Orders[[#This Row],[Logistics_ID]],Logistics_Catalog[[#All],[Logistics_ID]],Logistics_Catalog[[#All],[Base_Quantity]],0,0)</f>
        <v>1</v>
      </c>
      <c r="D272" cm="1">
        <f t="array" ref="D272">IF(Logistics_Orders[[#This Row],[Item]]="Chairs &amp; Tables",CEILING(_xlfn.XLOOKUP(Logistics_Orders[[#This Row],[Event_No]],Event_Master[[#All],[Event_No]],Event_Master[[#All],[Guest_Count]],,0)/Logistics_Orders[[#This Row],[Base_Quantity]],1),1)</f>
        <v>1</v>
      </c>
      <c r="E272" cm="1">
        <f t="array" ref="E272">Logistics_Orders[[#This Row],[Quantity_Ordered]]*_xlfn.XLOOKUP(Logistics_Orders[[#This Row],[Logistics_ID]],Logistics_Catalog[[#All],[Logistics_ID]],Logistics_Catalog[[#All],[Cost]],0,0)</f>
        <v>12000</v>
      </c>
      <c r="F272" cm="1">
        <f t="array" ref="F272">Logistics_Orders[[#This Row],[Quantity_Ordered]]*_xlfn.XLOOKUP(Logistics_Orders[[#This Row],[Logistics_ID]],Logistics_Catalog[[#All],[Logistics_ID]],Logistics_Catalog[[#All],[Client_Charge]],0,0)</f>
        <v>14500</v>
      </c>
      <c r="G272">
        <f>Logistics_Orders[[#This Row],[Client_Charge]]-Logistics_Orders[[#This Row],[Cost]]</f>
        <v>2500</v>
      </c>
      <c r="H272" t="s">
        <v>186</v>
      </c>
    </row>
    <row r="273" spans="1:8" x14ac:dyDescent="0.25">
      <c r="A273">
        <v>56</v>
      </c>
      <c r="B273" t="s">
        <v>191</v>
      </c>
      <c r="C273" cm="1">
        <f t="array" ref="C273">_xlfn.XLOOKUP(Logistics_Orders[[#This Row],[Logistics_ID]],Logistics_Catalog[[#All],[Logistics_ID]],Logistics_Catalog[[#All],[Base_Quantity]],0,0)</f>
        <v>5</v>
      </c>
      <c r="D273" cm="1">
        <f t="array" ref="D273">IF(Logistics_Orders[[#This Row],[Item]]="Chairs &amp; Tables",CEILING(_xlfn.XLOOKUP(Logistics_Orders[[#This Row],[Event_No]],Event_Master[[#All],[Event_No]],Event_Master[[#All],[Guest_Count]],,0)/Logistics_Orders[[#This Row],[Base_Quantity]],1),1)</f>
        <v>1</v>
      </c>
      <c r="E273" cm="1">
        <f t="array" ref="E273">Logistics_Orders[[#This Row],[Quantity_Ordered]]*_xlfn.XLOOKUP(Logistics_Orders[[#This Row],[Logistics_ID]],Logistics_Catalog[[#All],[Logistics_ID]],Logistics_Catalog[[#All],[Cost]],0,0)</f>
        <v>3000</v>
      </c>
      <c r="F273" cm="1">
        <f t="array" ref="F273">Logistics_Orders[[#This Row],[Quantity_Ordered]]*_xlfn.XLOOKUP(Logistics_Orders[[#This Row],[Logistics_ID]],Logistics_Catalog[[#All],[Logistics_ID]],Logistics_Catalog[[#All],[Client_Charge]],0,0)</f>
        <v>3600</v>
      </c>
      <c r="G273">
        <f>Logistics_Orders[[#This Row],[Client_Charge]]-Logistics_Orders[[#This Row],[Cost]]</f>
        <v>600</v>
      </c>
      <c r="H273" t="s">
        <v>194</v>
      </c>
    </row>
    <row r="274" spans="1:8" x14ac:dyDescent="0.25">
      <c r="A274">
        <v>56</v>
      </c>
      <c r="B274" t="s">
        <v>195</v>
      </c>
      <c r="C274" cm="1">
        <f t="array" ref="C274">_xlfn.XLOOKUP(Logistics_Orders[[#This Row],[Logistics_ID]],Logistics_Catalog[[#All],[Logistics_ID]],Logistics_Catalog[[#All],[Base_Quantity]],0,0)</f>
        <v>10</v>
      </c>
      <c r="D274" cm="1">
        <f t="array" ref="D274">IF(Logistics_Orders[[#This Row],[Item]]="Chairs &amp; Tables",CEILING(_xlfn.XLOOKUP(Logistics_Orders[[#This Row],[Event_No]],Event_Master[[#All],[Event_No]],Event_Master[[#All],[Guest_Count]],,0)/Logistics_Orders[[#This Row],[Base_Quantity]],1),1)</f>
        <v>1</v>
      </c>
      <c r="E274" cm="1">
        <f t="array" ref="E274">Logistics_Orders[[#This Row],[Quantity_Ordered]]*_xlfn.XLOOKUP(Logistics_Orders[[#This Row],[Logistics_ID]],Logistics_Catalog[[#All],[Logistics_ID]],Logistics_Catalog[[#All],[Cost]],0,0)</f>
        <v>6000</v>
      </c>
      <c r="F274" cm="1">
        <f t="array" ref="F274">Logistics_Orders[[#This Row],[Quantity_Ordered]]*_xlfn.XLOOKUP(Logistics_Orders[[#This Row],[Logistics_ID]],Logistics_Catalog[[#All],[Logistics_ID]],Logistics_Catalog[[#All],[Client_Charge]],0,0)</f>
        <v>7200</v>
      </c>
      <c r="G274">
        <f>Logistics_Orders[[#This Row],[Client_Charge]]-Logistics_Orders[[#This Row],[Cost]]</f>
        <v>1200</v>
      </c>
      <c r="H274" t="s">
        <v>198</v>
      </c>
    </row>
    <row r="275" spans="1:8" x14ac:dyDescent="0.25">
      <c r="A275">
        <v>56</v>
      </c>
      <c r="B275" t="s">
        <v>187</v>
      </c>
      <c r="C275" cm="1">
        <f t="array" ref="C275">_xlfn.XLOOKUP(Logistics_Orders[[#This Row],[Logistics_ID]],Logistics_Catalog[[#All],[Logistics_ID]],Logistics_Catalog[[#All],[Base_Quantity]],0,0)</f>
        <v>1</v>
      </c>
      <c r="D275" cm="1">
        <f t="array" ref="D275">IF(Logistics_Orders[[#This Row],[Item]]="Chairs &amp; Tables",CEILING(_xlfn.XLOOKUP(Logistics_Orders[[#This Row],[Event_No]],Event_Master[[#All],[Event_No]],Event_Master[[#All],[Guest_Count]],,0)/Logistics_Orders[[#This Row],[Base_Quantity]],1),1)</f>
        <v>1</v>
      </c>
      <c r="E275" cm="1">
        <f t="array" ref="E275">Logistics_Orders[[#This Row],[Quantity_Ordered]]*_xlfn.XLOOKUP(Logistics_Orders[[#This Row],[Logistics_ID]],Logistics_Catalog[[#All],[Logistics_ID]],Logistics_Catalog[[#All],[Cost]],0,0)</f>
        <v>8000</v>
      </c>
      <c r="F275" cm="1">
        <f t="array" ref="F275">Logistics_Orders[[#This Row],[Quantity_Ordered]]*_xlfn.XLOOKUP(Logistics_Orders[[#This Row],[Logistics_ID]],Logistics_Catalog[[#All],[Logistics_ID]],Logistics_Catalog[[#All],[Client_Charge]],0,0)</f>
        <v>9500</v>
      </c>
      <c r="G275">
        <f>Logistics_Orders[[#This Row],[Client_Charge]]-Logistics_Orders[[#This Row],[Cost]]</f>
        <v>1500</v>
      </c>
      <c r="H275" t="s">
        <v>190</v>
      </c>
    </row>
    <row r="276" spans="1:8" x14ac:dyDescent="0.25">
      <c r="A276">
        <v>57</v>
      </c>
      <c r="B276" t="s">
        <v>177</v>
      </c>
      <c r="C276" cm="1">
        <f t="array" ref="C276">_xlfn.XLOOKUP(Logistics_Orders[[#This Row],[Logistics_ID]],Logistics_Catalog[[#All],[Logistics_ID]],Logistics_Catalog[[#All],[Base_Quantity]],0,0)</f>
        <v>300</v>
      </c>
      <c r="D276" cm="1">
        <f t="array" ref="D276">IF(Logistics_Orders[[#This Row],[Item]]="Chairs &amp; Tables",CEILING(_xlfn.XLOOKUP(Logistics_Orders[[#This Row],[Event_No]],Event_Master[[#All],[Event_No]],Event_Master[[#All],[Guest_Count]],,0)/Logistics_Orders[[#This Row],[Base_Quantity]],1),1)</f>
        <v>1</v>
      </c>
      <c r="E276" cm="1">
        <f t="array" ref="E276">Logistics_Orders[[#This Row],[Quantity_Ordered]]*_xlfn.XLOOKUP(Logistics_Orders[[#This Row],[Logistics_ID]],Logistics_Catalog[[#All],[Logistics_ID]],Logistics_Catalog[[#All],[Cost]],0,0)</f>
        <v>15000</v>
      </c>
      <c r="F276" cm="1">
        <f t="array" ref="F276">Logistics_Orders[[#This Row],[Quantity_Ordered]]*_xlfn.XLOOKUP(Logistics_Orders[[#This Row],[Logistics_ID]],Logistics_Catalog[[#All],[Logistics_ID]],Logistics_Catalog[[#All],[Client_Charge]],0,0)</f>
        <v>18000</v>
      </c>
      <c r="G276">
        <f>Logistics_Orders[[#This Row],[Client_Charge]]-Logistics_Orders[[#This Row],[Cost]]</f>
        <v>3000</v>
      </c>
      <c r="H276" t="s">
        <v>181</v>
      </c>
    </row>
    <row r="277" spans="1:8" x14ac:dyDescent="0.25">
      <c r="A277">
        <v>57</v>
      </c>
      <c r="B277" t="s">
        <v>182</v>
      </c>
      <c r="C277" cm="1">
        <f t="array" ref="C277">_xlfn.XLOOKUP(Logistics_Orders[[#This Row],[Logistics_ID]],Logistics_Catalog[[#All],[Logistics_ID]],Logistics_Catalog[[#All],[Base_Quantity]],0,0)</f>
        <v>1</v>
      </c>
      <c r="D277" cm="1">
        <f t="array" ref="D277">IF(Logistics_Orders[[#This Row],[Item]]="Chairs &amp; Tables",CEILING(_xlfn.XLOOKUP(Logistics_Orders[[#This Row],[Event_No]],Event_Master[[#All],[Event_No]],Event_Master[[#All],[Guest_Count]],,0)/Logistics_Orders[[#This Row],[Base_Quantity]],1),1)</f>
        <v>1</v>
      </c>
      <c r="E277" cm="1">
        <f t="array" ref="E277">Logistics_Orders[[#This Row],[Quantity_Ordered]]*_xlfn.XLOOKUP(Logistics_Orders[[#This Row],[Logistics_ID]],Logistics_Catalog[[#All],[Logistics_ID]],Logistics_Catalog[[#All],[Cost]],0,0)</f>
        <v>12000</v>
      </c>
      <c r="F277" cm="1">
        <f t="array" ref="F277">Logistics_Orders[[#This Row],[Quantity_Ordered]]*_xlfn.XLOOKUP(Logistics_Orders[[#This Row],[Logistics_ID]],Logistics_Catalog[[#All],[Logistics_ID]],Logistics_Catalog[[#All],[Client_Charge]],0,0)</f>
        <v>14500</v>
      </c>
      <c r="G277">
        <f>Logistics_Orders[[#This Row],[Client_Charge]]-Logistics_Orders[[#This Row],[Cost]]</f>
        <v>2500</v>
      </c>
      <c r="H277" t="s">
        <v>186</v>
      </c>
    </row>
    <row r="278" spans="1:8" x14ac:dyDescent="0.25">
      <c r="A278">
        <v>57</v>
      </c>
      <c r="B278" t="s">
        <v>191</v>
      </c>
      <c r="C278" cm="1">
        <f t="array" ref="C278">_xlfn.XLOOKUP(Logistics_Orders[[#This Row],[Logistics_ID]],Logistics_Catalog[[#All],[Logistics_ID]],Logistics_Catalog[[#All],[Base_Quantity]],0,0)</f>
        <v>5</v>
      </c>
      <c r="D278" cm="1">
        <f t="array" ref="D278">IF(Logistics_Orders[[#This Row],[Item]]="Chairs &amp; Tables",CEILING(_xlfn.XLOOKUP(Logistics_Orders[[#This Row],[Event_No]],Event_Master[[#All],[Event_No]],Event_Master[[#All],[Guest_Count]],,0)/Logistics_Orders[[#This Row],[Base_Quantity]],1),1)</f>
        <v>1</v>
      </c>
      <c r="E278" cm="1">
        <f t="array" ref="E278">Logistics_Orders[[#This Row],[Quantity_Ordered]]*_xlfn.XLOOKUP(Logistics_Orders[[#This Row],[Logistics_ID]],Logistics_Catalog[[#All],[Logistics_ID]],Logistics_Catalog[[#All],[Cost]],0,0)</f>
        <v>3000</v>
      </c>
      <c r="F278" cm="1">
        <f t="array" ref="F278">Logistics_Orders[[#This Row],[Quantity_Ordered]]*_xlfn.XLOOKUP(Logistics_Orders[[#This Row],[Logistics_ID]],Logistics_Catalog[[#All],[Logistics_ID]],Logistics_Catalog[[#All],[Client_Charge]],0,0)</f>
        <v>3600</v>
      </c>
      <c r="G278">
        <f>Logistics_Orders[[#This Row],[Client_Charge]]-Logistics_Orders[[#This Row],[Cost]]</f>
        <v>600</v>
      </c>
      <c r="H278" t="s">
        <v>194</v>
      </c>
    </row>
    <row r="279" spans="1:8" x14ac:dyDescent="0.25">
      <c r="A279">
        <v>57</v>
      </c>
      <c r="B279" t="s">
        <v>195</v>
      </c>
      <c r="C279" cm="1">
        <f t="array" ref="C279">_xlfn.XLOOKUP(Logistics_Orders[[#This Row],[Logistics_ID]],Logistics_Catalog[[#All],[Logistics_ID]],Logistics_Catalog[[#All],[Base_Quantity]],0,0)</f>
        <v>10</v>
      </c>
      <c r="D279" cm="1">
        <f t="array" ref="D279">IF(Logistics_Orders[[#This Row],[Item]]="Chairs &amp; Tables",CEILING(_xlfn.XLOOKUP(Logistics_Orders[[#This Row],[Event_No]],Event_Master[[#All],[Event_No]],Event_Master[[#All],[Guest_Count]],,0)/Logistics_Orders[[#This Row],[Base_Quantity]],1),1)</f>
        <v>1</v>
      </c>
      <c r="E279" cm="1">
        <f t="array" ref="E279">Logistics_Orders[[#This Row],[Quantity_Ordered]]*_xlfn.XLOOKUP(Logistics_Orders[[#This Row],[Logistics_ID]],Logistics_Catalog[[#All],[Logistics_ID]],Logistics_Catalog[[#All],[Cost]],0,0)</f>
        <v>6000</v>
      </c>
      <c r="F279" cm="1">
        <f t="array" ref="F279">Logistics_Orders[[#This Row],[Quantity_Ordered]]*_xlfn.XLOOKUP(Logistics_Orders[[#This Row],[Logistics_ID]],Logistics_Catalog[[#All],[Logistics_ID]],Logistics_Catalog[[#All],[Client_Charge]],0,0)</f>
        <v>7200</v>
      </c>
      <c r="G279">
        <f>Logistics_Orders[[#This Row],[Client_Charge]]-Logistics_Orders[[#This Row],[Cost]]</f>
        <v>1200</v>
      </c>
      <c r="H279" t="s">
        <v>198</v>
      </c>
    </row>
    <row r="280" spans="1:8" x14ac:dyDescent="0.25">
      <c r="A280">
        <v>57</v>
      </c>
      <c r="B280" t="s">
        <v>187</v>
      </c>
      <c r="C280" cm="1">
        <f t="array" ref="C280">_xlfn.XLOOKUP(Logistics_Orders[[#This Row],[Logistics_ID]],Logistics_Catalog[[#All],[Logistics_ID]],Logistics_Catalog[[#All],[Base_Quantity]],0,0)</f>
        <v>1</v>
      </c>
      <c r="D280" cm="1">
        <f t="array" ref="D280">IF(Logistics_Orders[[#This Row],[Item]]="Chairs &amp; Tables",CEILING(_xlfn.XLOOKUP(Logistics_Orders[[#This Row],[Event_No]],Event_Master[[#All],[Event_No]],Event_Master[[#All],[Guest_Count]],,0)/Logistics_Orders[[#This Row],[Base_Quantity]],1),1)</f>
        <v>1</v>
      </c>
      <c r="E280" cm="1">
        <f t="array" ref="E280">Logistics_Orders[[#This Row],[Quantity_Ordered]]*_xlfn.XLOOKUP(Logistics_Orders[[#This Row],[Logistics_ID]],Logistics_Catalog[[#All],[Logistics_ID]],Logistics_Catalog[[#All],[Cost]],0,0)</f>
        <v>8000</v>
      </c>
      <c r="F280" cm="1">
        <f t="array" ref="F280">Logistics_Orders[[#This Row],[Quantity_Ordered]]*_xlfn.XLOOKUP(Logistics_Orders[[#This Row],[Logistics_ID]],Logistics_Catalog[[#All],[Logistics_ID]],Logistics_Catalog[[#All],[Client_Charge]],0,0)</f>
        <v>9500</v>
      </c>
      <c r="G280">
        <f>Logistics_Orders[[#This Row],[Client_Charge]]-Logistics_Orders[[#This Row],[Cost]]</f>
        <v>1500</v>
      </c>
      <c r="H280" t="s">
        <v>190</v>
      </c>
    </row>
    <row r="281" spans="1:8" x14ac:dyDescent="0.25">
      <c r="A281">
        <v>58</v>
      </c>
      <c r="B281" t="s">
        <v>177</v>
      </c>
      <c r="C281" cm="1">
        <f t="array" ref="C281">_xlfn.XLOOKUP(Logistics_Orders[[#This Row],[Logistics_ID]],Logistics_Catalog[[#All],[Logistics_ID]],Logistics_Catalog[[#All],[Base_Quantity]],0,0)</f>
        <v>300</v>
      </c>
      <c r="D281" cm="1">
        <f t="array" ref="D281">IF(Logistics_Orders[[#This Row],[Item]]="Chairs &amp; Tables",CEILING(_xlfn.XLOOKUP(Logistics_Orders[[#This Row],[Event_No]],Event_Master[[#All],[Event_No]],Event_Master[[#All],[Guest_Count]],,0)/Logistics_Orders[[#This Row],[Base_Quantity]],1),1)</f>
        <v>1</v>
      </c>
      <c r="E281" cm="1">
        <f t="array" ref="E281">Logistics_Orders[[#This Row],[Quantity_Ordered]]*_xlfn.XLOOKUP(Logistics_Orders[[#This Row],[Logistics_ID]],Logistics_Catalog[[#All],[Logistics_ID]],Logistics_Catalog[[#All],[Cost]],0,0)</f>
        <v>15000</v>
      </c>
      <c r="F281" cm="1">
        <f t="array" ref="F281">Logistics_Orders[[#This Row],[Quantity_Ordered]]*_xlfn.XLOOKUP(Logistics_Orders[[#This Row],[Logistics_ID]],Logistics_Catalog[[#All],[Logistics_ID]],Logistics_Catalog[[#All],[Client_Charge]],0,0)</f>
        <v>18000</v>
      </c>
      <c r="G281">
        <f>Logistics_Orders[[#This Row],[Client_Charge]]-Logistics_Orders[[#This Row],[Cost]]</f>
        <v>3000</v>
      </c>
      <c r="H281" t="s">
        <v>181</v>
      </c>
    </row>
    <row r="282" spans="1:8" x14ac:dyDescent="0.25">
      <c r="A282">
        <v>58</v>
      </c>
      <c r="B282" t="s">
        <v>191</v>
      </c>
      <c r="C282" cm="1">
        <f t="array" ref="C282">_xlfn.XLOOKUP(Logistics_Orders[[#This Row],[Logistics_ID]],Logistics_Catalog[[#All],[Logistics_ID]],Logistics_Catalog[[#All],[Base_Quantity]],0,0)</f>
        <v>5</v>
      </c>
      <c r="D282" cm="1">
        <f t="array" ref="D282">IF(Logistics_Orders[[#This Row],[Item]]="Chairs &amp; Tables",CEILING(_xlfn.XLOOKUP(Logistics_Orders[[#This Row],[Event_No]],Event_Master[[#All],[Event_No]],Event_Master[[#All],[Guest_Count]],,0)/Logistics_Orders[[#This Row],[Base_Quantity]],1),1)</f>
        <v>1</v>
      </c>
      <c r="E282" cm="1">
        <f t="array" ref="E282">Logistics_Orders[[#This Row],[Quantity_Ordered]]*_xlfn.XLOOKUP(Logistics_Orders[[#This Row],[Logistics_ID]],Logistics_Catalog[[#All],[Logistics_ID]],Logistics_Catalog[[#All],[Cost]],0,0)</f>
        <v>3000</v>
      </c>
      <c r="F282" cm="1">
        <f t="array" ref="F282">Logistics_Orders[[#This Row],[Quantity_Ordered]]*_xlfn.XLOOKUP(Logistics_Orders[[#This Row],[Logistics_ID]],Logistics_Catalog[[#All],[Logistics_ID]],Logistics_Catalog[[#All],[Client_Charge]],0,0)</f>
        <v>3600</v>
      </c>
      <c r="G282">
        <f>Logistics_Orders[[#This Row],[Client_Charge]]-Logistics_Orders[[#This Row],[Cost]]</f>
        <v>600</v>
      </c>
      <c r="H282" t="s">
        <v>194</v>
      </c>
    </row>
    <row r="283" spans="1:8" x14ac:dyDescent="0.25">
      <c r="A283">
        <v>58</v>
      </c>
      <c r="B283" t="s">
        <v>195</v>
      </c>
      <c r="C283" cm="1">
        <f t="array" ref="C283">_xlfn.XLOOKUP(Logistics_Orders[[#This Row],[Logistics_ID]],Logistics_Catalog[[#All],[Logistics_ID]],Logistics_Catalog[[#All],[Base_Quantity]],0,0)</f>
        <v>10</v>
      </c>
      <c r="D283" cm="1">
        <f t="array" ref="D283">IF(Logistics_Orders[[#This Row],[Item]]="Chairs &amp; Tables",CEILING(_xlfn.XLOOKUP(Logistics_Orders[[#This Row],[Event_No]],Event_Master[[#All],[Event_No]],Event_Master[[#All],[Guest_Count]],,0)/Logistics_Orders[[#This Row],[Base_Quantity]],1),1)</f>
        <v>1</v>
      </c>
      <c r="E283" cm="1">
        <f t="array" ref="E283">Logistics_Orders[[#This Row],[Quantity_Ordered]]*_xlfn.XLOOKUP(Logistics_Orders[[#This Row],[Logistics_ID]],Logistics_Catalog[[#All],[Logistics_ID]],Logistics_Catalog[[#All],[Cost]],0,0)</f>
        <v>6000</v>
      </c>
      <c r="F283" cm="1">
        <f t="array" ref="F283">Logistics_Orders[[#This Row],[Quantity_Ordered]]*_xlfn.XLOOKUP(Logistics_Orders[[#This Row],[Logistics_ID]],Logistics_Catalog[[#All],[Logistics_ID]],Logistics_Catalog[[#All],[Client_Charge]],0,0)</f>
        <v>7200</v>
      </c>
      <c r="G283">
        <f>Logistics_Orders[[#This Row],[Client_Charge]]-Logistics_Orders[[#This Row],[Cost]]</f>
        <v>1200</v>
      </c>
      <c r="H283" t="s">
        <v>198</v>
      </c>
    </row>
    <row r="284" spans="1:8" x14ac:dyDescent="0.25">
      <c r="A284">
        <v>58</v>
      </c>
      <c r="B284" t="s">
        <v>187</v>
      </c>
      <c r="C284" cm="1">
        <f t="array" ref="C284">_xlfn.XLOOKUP(Logistics_Orders[[#This Row],[Logistics_ID]],Logistics_Catalog[[#All],[Logistics_ID]],Logistics_Catalog[[#All],[Base_Quantity]],0,0)</f>
        <v>1</v>
      </c>
      <c r="D284" cm="1">
        <f t="array" ref="D284">IF(Logistics_Orders[[#This Row],[Item]]="Chairs &amp; Tables",CEILING(_xlfn.XLOOKUP(Logistics_Orders[[#This Row],[Event_No]],Event_Master[[#All],[Event_No]],Event_Master[[#All],[Guest_Count]],,0)/Logistics_Orders[[#This Row],[Base_Quantity]],1),1)</f>
        <v>1</v>
      </c>
      <c r="E284" cm="1">
        <f t="array" ref="E284">Logistics_Orders[[#This Row],[Quantity_Ordered]]*_xlfn.XLOOKUP(Logistics_Orders[[#This Row],[Logistics_ID]],Logistics_Catalog[[#All],[Logistics_ID]],Logistics_Catalog[[#All],[Cost]],0,0)</f>
        <v>8000</v>
      </c>
      <c r="F284" cm="1">
        <f t="array" ref="F284">Logistics_Orders[[#This Row],[Quantity_Ordered]]*_xlfn.XLOOKUP(Logistics_Orders[[#This Row],[Logistics_ID]],Logistics_Catalog[[#All],[Logistics_ID]],Logistics_Catalog[[#All],[Client_Charge]],0,0)</f>
        <v>9500</v>
      </c>
      <c r="G284">
        <f>Logistics_Orders[[#This Row],[Client_Charge]]-Logistics_Orders[[#This Row],[Cost]]</f>
        <v>1500</v>
      </c>
      <c r="H284" t="s">
        <v>190</v>
      </c>
    </row>
    <row r="285" spans="1:8" x14ac:dyDescent="0.25">
      <c r="A285">
        <v>59</v>
      </c>
      <c r="B285" t="s">
        <v>177</v>
      </c>
      <c r="C285" cm="1">
        <f t="array" ref="C285">_xlfn.XLOOKUP(Logistics_Orders[[#This Row],[Logistics_ID]],Logistics_Catalog[[#All],[Logistics_ID]],Logistics_Catalog[[#All],[Base_Quantity]],0,0)</f>
        <v>300</v>
      </c>
      <c r="D285" cm="1">
        <f t="array" ref="D285">IF(Logistics_Orders[[#This Row],[Item]]="Chairs &amp; Tables",CEILING(_xlfn.XLOOKUP(Logistics_Orders[[#This Row],[Event_No]],Event_Master[[#All],[Event_No]],Event_Master[[#All],[Guest_Count]],,0)/Logistics_Orders[[#This Row],[Base_Quantity]],1),1)</f>
        <v>1</v>
      </c>
      <c r="E285" cm="1">
        <f t="array" ref="E285">Logistics_Orders[[#This Row],[Quantity_Ordered]]*_xlfn.XLOOKUP(Logistics_Orders[[#This Row],[Logistics_ID]],Logistics_Catalog[[#All],[Logistics_ID]],Logistics_Catalog[[#All],[Cost]],0,0)</f>
        <v>15000</v>
      </c>
      <c r="F285" cm="1">
        <f t="array" ref="F285">Logistics_Orders[[#This Row],[Quantity_Ordered]]*_xlfn.XLOOKUP(Logistics_Orders[[#This Row],[Logistics_ID]],Logistics_Catalog[[#All],[Logistics_ID]],Logistics_Catalog[[#All],[Client_Charge]],0,0)</f>
        <v>18000</v>
      </c>
      <c r="G285">
        <f>Logistics_Orders[[#This Row],[Client_Charge]]-Logistics_Orders[[#This Row],[Cost]]</f>
        <v>3000</v>
      </c>
      <c r="H285" t="s">
        <v>181</v>
      </c>
    </row>
    <row r="286" spans="1:8" x14ac:dyDescent="0.25">
      <c r="A286">
        <v>59</v>
      </c>
      <c r="B286" t="s">
        <v>182</v>
      </c>
      <c r="C286" cm="1">
        <f t="array" ref="C286">_xlfn.XLOOKUP(Logistics_Orders[[#This Row],[Logistics_ID]],Logistics_Catalog[[#All],[Logistics_ID]],Logistics_Catalog[[#All],[Base_Quantity]],0,0)</f>
        <v>1</v>
      </c>
      <c r="D286" cm="1">
        <f t="array" ref="D286">IF(Logistics_Orders[[#This Row],[Item]]="Chairs &amp; Tables",CEILING(_xlfn.XLOOKUP(Logistics_Orders[[#This Row],[Event_No]],Event_Master[[#All],[Event_No]],Event_Master[[#All],[Guest_Count]],,0)/Logistics_Orders[[#This Row],[Base_Quantity]],1),1)</f>
        <v>1</v>
      </c>
      <c r="E286" cm="1">
        <f t="array" ref="E286">Logistics_Orders[[#This Row],[Quantity_Ordered]]*_xlfn.XLOOKUP(Logistics_Orders[[#This Row],[Logistics_ID]],Logistics_Catalog[[#All],[Logistics_ID]],Logistics_Catalog[[#All],[Cost]],0,0)</f>
        <v>12000</v>
      </c>
      <c r="F286" cm="1">
        <f t="array" ref="F286">Logistics_Orders[[#This Row],[Quantity_Ordered]]*_xlfn.XLOOKUP(Logistics_Orders[[#This Row],[Logistics_ID]],Logistics_Catalog[[#All],[Logistics_ID]],Logistics_Catalog[[#All],[Client_Charge]],0,0)</f>
        <v>14500</v>
      </c>
      <c r="G286">
        <f>Logistics_Orders[[#This Row],[Client_Charge]]-Logistics_Orders[[#This Row],[Cost]]</f>
        <v>2500</v>
      </c>
      <c r="H286" t="s">
        <v>186</v>
      </c>
    </row>
    <row r="287" spans="1:8" x14ac:dyDescent="0.25">
      <c r="A287">
        <v>59</v>
      </c>
      <c r="B287" t="s">
        <v>191</v>
      </c>
      <c r="C287" cm="1">
        <f t="array" ref="C287">_xlfn.XLOOKUP(Logistics_Orders[[#This Row],[Logistics_ID]],Logistics_Catalog[[#All],[Logistics_ID]],Logistics_Catalog[[#All],[Base_Quantity]],0,0)</f>
        <v>5</v>
      </c>
      <c r="D287" cm="1">
        <f t="array" ref="D287">IF(Logistics_Orders[[#This Row],[Item]]="Chairs &amp; Tables",CEILING(_xlfn.XLOOKUP(Logistics_Orders[[#This Row],[Event_No]],Event_Master[[#All],[Event_No]],Event_Master[[#All],[Guest_Count]],,0)/Logistics_Orders[[#This Row],[Base_Quantity]],1),1)</f>
        <v>1</v>
      </c>
      <c r="E287" cm="1">
        <f t="array" ref="E287">Logistics_Orders[[#This Row],[Quantity_Ordered]]*_xlfn.XLOOKUP(Logistics_Orders[[#This Row],[Logistics_ID]],Logistics_Catalog[[#All],[Logistics_ID]],Logistics_Catalog[[#All],[Cost]],0,0)</f>
        <v>3000</v>
      </c>
      <c r="F287" cm="1">
        <f t="array" ref="F287">Logistics_Orders[[#This Row],[Quantity_Ordered]]*_xlfn.XLOOKUP(Logistics_Orders[[#This Row],[Logistics_ID]],Logistics_Catalog[[#All],[Logistics_ID]],Logistics_Catalog[[#All],[Client_Charge]],0,0)</f>
        <v>3600</v>
      </c>
      <c r="G287">
        <f>Logistics_Orders[[#This Row],[Client_Charge]]-Logistics_Orders[[#This Row],[Cost]]</f>
        <v>600</v>
      </c>
      <c r="H287" t="s">
        <v>194</v>
      </c>
    </row>
    <row r="288" spans="1:8" x14ac:dyDescent="0.25">
      <c r="A288">
        <v>59</v>
      </c>
      <c r="B288" t="s">
        <v>195</v>
      </c>
      <c r="C288" cm="1">
        <f t="array" ref="C288">_xlfn.XLOOKUP(Logistics_Orders[[#This Row],[Logistics_ID]],Logistics_Catalog[[#All],[Logistics_ID]],Logistics_Catalog[[#All],[Base_Quantity]],0,0)</f>
        <v>10</v>
      </c>
      <c r="D288" cm="1">
        <f t="array" ref="D288">IF(Logistics_Orders[[#This Row],[Item]]="Chairs &amp; Tables",CEILING(_xlfn.XLOOKUP(Logistics_Orders[[#This Row],[Event_No]],Event_Master[[#All],[Event_No]],Event_Master[[#All],[Guest_Count]],,0)/Logistics_Orders[[#This Row],[Base_Quantity]],1),1)</f>
        <v>1</v>
      </c>
      <c r="E288" cm="1">
        <f t="array" ref="E288">Logistics_Orders[[#This Row],[Quantity_Ordered]]*_xlfn.XLOOKUP(Logistics_Orders[[#This Row],[Logistics_ID]],Logistics_Catalog[[#All],[Logistics_ID]],Logistics_Catalog[[#All],[Cost]],0,0)</f>
        <v>6000</v>
      </c>
      <c r="F288" cm="1">
        <f t="array" ref="F288">Logistics_Orders[[#This Row],[Quantity_Ordered]]*_xlfn.XLOOKUP(Logistics_Orders[[#This Row],[Logistics_ID]],Logistics_Catalog[[#All],[Logistics_ID]],Logistics_Catalog[[#All],[Client_Charge]],0,0)</f>
        <v>7200</v>
      </c>
      <c r="G288">
        <f>Logistics_Orders[[#This Row],[Client_Charge]]-Logistics_Orders[[#This Row],[Cost]]</f>
        <v>1200</v>
      </c>
      <c r="H288" t="s">
        <v>198</v>
      </c>
    </row>
    <row r="289" spans="1:8" x14ac:dyDescent="0.25">
      <c r="A289">
        <v>59</v>
      </c>
      <c r="B289" t="s">
        <v>187</v>
      </c>
      <c r="C289" cm="1">
        <f t="array" ref="C289">_xlfn.XLOOKUP(Logistics_Orders[[#This Row],[Logistics_ID]],Logistics_Catalog[[#All],[Logistics_ID]],Logistics_Catalog[[#All],[Base_Quantity]],0,0)</f>
        <v>1</v>
      </c>
      <c r="D289" cm="1">
        <f t="array" ref="D289">IF(Logistics_Orders[[#This Row],[Item]]="Chairs &amp; Tables",CEILING(_xlfn.XLOOKUP(Logistics_Orders[[#This Row],[Event_No]],Event_Master[[#All],[Event_No]],Event_Master[[#All],[Guest_Count]],,0)/Logistics_Orders[[#This Row],[Base_Quantity]],1),1)</f>
        <v>1</v>
      </c>
      <c r="E289" cm="1">
        <f t="array" ref="E289">Logistics_Orders[[#This Row],[Quantity_Ordered]]*_xlfn.XLOOKUP(Logistics_Orders[[#This Row],[Logistics_ID]],Logistics_Catalog[[#All],[Logistics_ID]],Logistics_Catalog[[#All],[Cost]],0,0)</f>
        <v>8000</v>
      </c>
      <c r="F289" cm="1">
        <f t="array" ref="F289">Logistics_Orders[[#This Row],[Quantity_Ordered]]*_xlfn.XLOOKUP(Logistics_Orders[[#This Row],[Logistics_ID]],Logistics_Catalog[[#All],[Logistics_ID]],Logistics_Catalog[[#All],[Client_Charge]],0,0)</f>
        <v>9500</v>
      </c>
      <c r="G289">
        <f>Logistics_Orders[[#This Row],[Client_Charge]]-Logistics_Orders[[#This Row],[Cost]]</f>
        <v>1500</v>
      </c>
      <c r="H289" t="s">
        <v>190</v>
      </c>
    </row>
    <row r="290" spans="1:8" x14ac:dyDescent="0.25">
      <c r="A290">
        <v>60</v>
      </c>
      <c r="B290" t="s">
        <v>177</v>
      </c>
      <c r="C290" cm="1">
        <f t="array" ref="C290">_xlfn.XLOOKUP(Logistics_Orders[[#This Row],[Logistics_ID]],Logistics_Catalog[[#All],[Logistics_ID]],Logistics_Catalog[[#All],[Base_Quantity]],0,0)</f>
        <v>300</v>
      </c>
      <c r="D290" cm="1">
        <f t="array" ref="D290">IF(Logistics_Orders[[#This Row],[Item]]="Chairs &amp; Tables",CEILING(_xlfn.XLOOKUP(Logistics_Orders[[#This Row],[Event_No]],Event_Master[[#All],[Event_No]],Event_Master[[#All],[Guest_Count]],,0)/Logistics_Orders[[#This Row],[Base_Quantity]],1),1)</f>
        <v>1</v>
      </c>
      <c r="E290" cm="1">
        <f t="array" ref="E290">Logistics_Orders[[#This Row],[Quantity_Ordered]]*_xlfn.XLOOKUP(Logistics_Orders[[#This Row],[Logistics_ID]],Logistics_Catalog[[#All],[Logistics_ID]],Logistics_Catalog[[#All],[Cost]],0,0)</f>
        <v>15000</v>
      </c>
      <c r="F290" cm="1">
        <f t="array" ref="F290">Logistics_Orders[[#This Row],[Quantity_Ordered]]*_xlfn.XLOOKUP(Logistics_Orders[[#This Row],[Logistics_ID]],Logistics_Catalog[[#All],[Logistics_ID]],Logistics_Catalog[[#All],[Client_Charge]],0,0)</f>
        <v>18000</v>
      </c>
      <c r="G290">
        <f>Logistics_Orders[[#This Row],[Client_Charge]]-Logistics_Orders[[#This Row],[Cost]]</f>
        <v>3000</v>
      </c>
      <c r="H290" t="s">
        <v>181</v>
      </c>
    </row>
    <row r="291" spans="1:8" x14ac:dyDescent="0.25">
      <c r="A291">
        <v>60</v>
      </c>
      <c r="B291" t="s">
        <v>182</v>
      </c>
      <c r="C291" cm="1">
        <f t="array" ref="C291">_xlfn.XLOOKUP(Logistics_Orders[[#This Row],[Logistics_ID]],Logistics_Catalog[[#All],[Logistics_ID]],Logistics_Catalog[[#All],[Base_Quantity]],0,0)</f>
        <v>1</v>
      </c>
      <c r="D291" cm="1">
        <f t="array" ref="D291">IF(Logistics_Orders[[#This Row],[Item]]="Chairs &amp; Tables",CEILING(_xlfn.XLOOKUP(Logistics_Orders[[#This Row],[Event_No]],Event_Master[[#All],[Event_No]],Event_Master[[#All],[Guest_Count]],,0)/Logistics_Orders[[#This Row],[Base_Quantity]],1),1)</f>
        <v>1</v>
      </c>
      <c r="E291" cm="1">
        <f t="array" ref="E291">Logistics_Orders[[#This Row],[Quantity_Ordered]]*_xlfn.XLOOKUP(Logistics_Orders[[#This Row],[Logistics_ID]],Logistics_Catalog[[#All],[Logistics_ID]],Logistics_Catalog[[#All],[Cost]],0,0)</f>
        <v>12000</v>
      </c>
      <c r="F291" cm="1">
        <f t="array" ref="F291">Logistics_Orders[[#This Row],[Quantity_Ordered]]*_xlfn.XLOOKUP(Logistics_Orders[[#This Row],[Logistics_ID]],Logistics_Catalog[[#All],[Logistics_ID]],Logistics_Catalog[[#All],[Client_Charge]],0,0)</f>
        <v>14500</v>
      </c>
      <c r="G291">
        <f>Logistics_Orders[[#This Row],[Client_Charge]]-Logistics_Orders[[#This Row],[Cost]]</f>
        <v>2500</v>
      </c>
      <c r="H291" t="s">
        <v>186</v>
      </c>
    </row>
    <row r="292" spans="1:8" x14ac:dyDescent="0.25">
      <c r="A292">
        <v>60</v>
      </c>
      <c r="B292" t="s">
        <v>191</v>
      </c>
      <c r="C292" cm="1">
        <f t="array" ref="C292">_xlfn.XLOOKUP(Logistics_Orders[[#This Row],[Logistics_ID]],Logistics_Catalog[[#All],[Logistics_ID]],Logistics_Catalog[[#All],[Base_Quantity]],0,0)</f>
        <v>5</v>
      </c>
      <c r="D292" cm="1">
        <f t="array" ref="D292">IF(Logistics_Orders[[#This Row],[Item]]="Chairs &amp; Tables",CEILING(_xlfn.XLOOKUP(Logistics_Orders[[#This Row],[Event_No]],Event_Master[[#All],[Event_No]],Event_Master[[#All],[Guest_Count]],,0)/Logistics_Orders[[#This Row],[Base_Quantity]],1),1)</f>
        <v>1</v>
      </c>
      <c r="E292" cm="1">
        <f t="array" ref="E292">Logistics_Orders[[#This Row],[Quantity_Ordered]]*_xlfn.XLOOKUP(Logistics_Orders[[#This Row],[Logistics_ID]],Logistics_Catalog[[#All],[Logistics_ID]],Logistics_Catalog[[#All],[Cost]],0,0)</f>
        <v>3000</v>
      </c>
      <c r="F292" cm="1">
        <f t="array" ref="F292">Logistics_Orders[[#This Row],[Quantity_Ordered]]*_xlfn.XLOOKUP(Logistics_Orders[[#This Row],[Logistics_ID]],Logistics_Catalog[[#All],[Logistics_ID]],Logistics_Catalog[[#All],[Client_Charge]],0,0)</f>
        <v>3600</v>
      </c>
      <c r="G292">
        <f>Logistics_Orders[[#This Row],[Client_Charge]]-Logistics_Orders[[#This Row],[Cost]]</f>
        <v>600</v>
      </c>
      <c r="H292" t="s">
        <v>194</v>
      </c>
    </row>
    <row r="293" spans="1:8" x14ac:dyDescent="0.25">
      <c r="A293">
        <v>60</v>
      </c>
      <c r="B293" t="s">
        <v>195</v>
      </c>
      <c r="C293" cm="1">
        <f t="array" ref="C293">_xlfn.XLOOKUP(Logistics_Orders[[#This Row],[Logistics_ID]],Logistics_Catalog[[#All],[Logistics_ID]],Logistics_Catalog[[#All],[Base_Quantity]],0,0)</f>
        <v>10</v>
      </c>
      <c r="D293" cm="1">
        <f t="array" ref="D293">IF(Logistics_Orders[[#This Row],[Item]]="Chairs &amp; Tables",CEILING(_xlfn.XLOOKUP(Logistics_Orders[[#This Row],[Event_No]],Event_Master[[#All],[Event_No]],Event_Master[[#All],[Guest_Count]],,0)/Logistics_Orders[[#This Row],[Base_Quantity]],1),1)</f>
        <v>1</v>
      </c>
      <c r="E293" cm="1">
        <f t="array" ref="E293">Logistics_Orders[[#This Row],[Quantity_Ordered]]*_xlfn.XLOOKUP(Logistics_Orders[[#This Row],[Logistics_ID]],Logistics_Catalog[[#All],[Logistics_ID]],Logistics_Catalog[[#All],[Cost]],0,0)</f>
        <v>6000</v>
      </c>
      <c r="F293" cm="1">
        <f t="array" ref="F293">Logistics_Orders[[#This Row],[Quantity_Ordered]]*_xlfn.XLOOKUP(Logistics_Orders[[#This Row],[Logistics_ID]],Logistics_Catalog[[#All],[Logistics_ID]],Logistics_Catalog[[#All],[Client_Charge]],0,0)</f>
        <v>7200</v>
      </c>
      <c r="G293">
        <f>Logistics_Orders[[#This Row],[Client_Charge]]-Logistics_Orders[[#This Row],[Cost]]</f>
        <v>1200</v>
      </c>
      <c r="H293" t="s">
        <v>198</v>
      </c>
    </row>
    <row r="294" spans="1:8" x14ac:dyDescent="0.25">
      <c r="A294">
        <v>60</v>
      </c>
      <c r="B294" t="s">
        <v>187</v>
      </c>
      <c r="C294" cm="1">
        <f t="array" ref="C294">_xlfn.XLOOKUP(Logistics_Orders[[#This Row],[Logistics_ID]],Logistics_Catalog[[#All],[Logistics_ID]],Logistics_Catalog[[#All],[Base_Quantity]],0,0)</f>
        <v>1</v>
      </c>
      <c r="D294" cm="1">
        <f t="array" ref="D294">IF(Logistics_Orders[[#This Row],[Item]]="Chairs &amp; Tables",CEILING(_xlfn.XLOOKUP(Logistics_Orders[[#This Row],[Event_No]],Event_Master[[#All],[Event_No]],Event_Master[[#All],[Guest_Count]],,0)/Logistics_Orders[[#This Row],[Base_Quantity]],1),1)</f>
        <v>1</v>
      </c>
      <c r="E294" cm="1">
        <f t="array" ref="E294">Logistics_Orders[[#This Row],[Quantity_Ordered]]*_xlfn.XLOOKUP(Logistics_Orders[[#This Row],[Logistics_ID]],Logistics_Catalog[[#All],[Logistics_ID]],Logistics_Catalog[[#All],[Cost]],0,0)</f>
        <v>8000</v>
      </c>
      <c r="F294" cm="1">
        <f t="array" ref="F294">Logistics_Orders[[#This Row],[Quantity_Ordered]]*_xlfn.XLOOKUP(Logistics_Orders[[#This Row],[Logistics_ID]],Logistics_Catalog[[#All],[Logistics_ID]],Logistics_Catalog[[#All],[Client_Charge]],0,0)</f>
        <v>9500</v>
      </c>
      <c r="G294">
        <f>Logistics_Orders[[#This Row],[Client_Charge]]-Logistics_Orders[[#This Row],[Cost]]</f>
        <v>1500</v>
      </c>
      <c r="H294" t="s">
        <v>190</v>
      </c>
    </row>
    <row r="295" spans="1:8" x14ac:dyDescent="0.25">
      <c r="A295">
        <v>61</v>
      </c>
      <c r="B295" t="s">
        <v>177</v>
      </c>
      <c r="C295" cm="1">
        <f t="array" ref="C295">_xlfn.XLOOKUP(Logistics_Orders[[#This Row],[Logistics_ID]],Logistics_Catalog[[#All],[Logistics_ID]],Logistics_Catalog[[#All],[Base_Quantity]],0,0)</f>
        <v>300</v>
      </c>
      <c r="D295" cm="1">
        <f t="array" ref="D295">IF(Logistics_Orders[[#This Row],[Item]]="Chairs &amp; Tables",CEILING(_xlfn.XLOOKUP(Logistics_Orders[[#This Row],[Event_No]],Event_Master[[#All],[Event_No]],Event_Master[[#All],[Guest_Count]],,0)/Logistics_Orders[[#This Row],[Base_Quantity]],1),1)</f>
        <v>3</v>
      </c>
      <c r="E295" cm="1">
        <f t="array" ref="E295">Logistics_Orders[[#This Row],[Quantity_Ordered]]*_xlfn.XLOOKUP(Logistics_Orders[[#This Row],[Logistics_ID]],Logistics_Catalog[[#All],[Logistics_ID]],Logistics_Catalog[[#All],[Cost]],0,0)</f>
        <v>45000</v>
      </c>
      <c r="F295" cm="1">
        <f t="array" ref="F295">Logistics_Orders[[#This Row],[Quantity_Ordered]]*_xlfn.XLOOKUP(Logistics_Orders[[#This Row],[Logistics_ID]],Logistics_Catalog[[#All],[Logistics_ID]],Logistics_Catalog[[#All],[Client_Charge]],0,0)</f>
        <v>54000</v>
      </c>
      <c r="G295">
        <f>Logistics_Orders[[#This Row],[Client_Charge]]-Logistics_Orders[[#This Row],[Cost]]</f>
        <v>9000</v>
      </c>
      <c r="H295" t="s">
        <v>181</v>
      </c>
    </row>
    <row r="296" spans="1:8" x14ac:dyDescent="0.25">
      <c r="A296">
        <v>61</v>
      </c>
      <c r="B296" t="s">
        <v>182</v>
      </c>
      <c r="C296" cm="1">
        <f t="array" ref="C296">_xlfn.XLOOKUP(Logistics_Orders[[#This Row],[Logistics_ID]],Logistics_Catalog[[#All],[Logistics_ID]],Logistics_Catalog[[#All],[Base_Quantity]],0,0)</f>
        <v>1</v>
      </c>
      <c r="D296" cm="1">
        <f t="array" ref="D296">IF(Logistics_Orders[[#This Row],[Item]]="Chairs &amp; Tables",CEILING(_xlfn.XLOOKUP(Logistics_Orders[[#This Row],[Event_No]],Event_Master[[#All],[Event_No]],Event_Master[[#All],[Guest_Count]],,0)/Logistics_Orders[[#This Row],[Base_Quantity]],1),1)</f>
        <v>1</v>
      </c>
      <c r="E296" cm="1">
        <f t="array" ref="E296">Logistics_Orders[[#This Row],[Quantity_Ordered]]*_xlfn.XLOOKUP(Logistics_Orders[[#This Row],[Logistics_ID]],Logistics_Catalog[[#All],[Logistics_ID]],Logistics_Catalog[[#All],[Cost]],0,0)</f>
        <v>12000</v>
      </c>
      <c r="F296" cm="1">
        <f t="array" ref="F296">Logistics_Orders[[#This Row],[Quantity_Ordered]]*_xlfn.XLOOKUP(Logistics_Orders[[#This Row],[Logistics_ID]],Logistics_Catalog[[#All],[Logistics_ID]],Logistics_Catalog[[#All],[Client_Charge]],0,0)</f>
        <v>14500</v>
      </c>
      <c r="G296">
        <f>Logistics_Orders[[#This Row],[Client_Charge]]-Logistics_Orders[[#This Row],[Cost]]</f>
        <v>2500</v>
      </c>
      <c r="H296" t="s">
        <v>186</v>
      </c>
    </row>
    <row r="297" spans="1:8" x14ac:dyDescent="0.25">
      <c r="A297">
        <v>61</v>
      </c>
      <c r="B297" t="s">
        <v>191</v>
      </c>
      <c r="C297" cm="1">
        <f t="array" ref="C297">_xlfn.XLOOKUP(Logistics_Orders[[#This Row],[Logistics_ID]],Logistics_Catalog[[#All],[Logistics_ID]],Logistics_Catalog[[#All],[Base_Quantity]],0,0)</f>
        <v>5</v>
      </c>
      <c r="D297" cm="1">
        <f t="array" ref="D297">IF(Logistics_Orders[[#This Row],[Item]]="Chairs &amp; Tables",CEILING(_xlfn.XLOOKUP(Logistics_Orders[[#This Row],[Event_No]],Event_Master[[#All],[Event_No]],Event_Master[[#All],[Guest_Count]],,0)/Logistics_Orders[[#This Row],[Base_Quantity]],1),1)</f>
        <v>1</v>
      </c>
      <c r="E297" cm="1">
        <f t="array" ref="E297">Logistics_Orders[[#This Row],[Quantity_Ordered]]*_xlfn.XLOOKUP(Logistics_Orders[[#This Row],[Logistics_ID]],Logistics_Catalog[[#All],[Logistics_ID]],Logistics_Catalog[[#All],[Cost]],0,0)</f>
        <v>3000</v>
      </c>
      <c r="F297" cm="1">
        <f t="array" ref="F297">Logistics_Orders[[#This Row],[Quantity_Ordered]]*_xlfn.XLOOKUP(Logistics_Orders[[#This Row],[Logistics_ID]],Logistics_Catalog[[#All],[Logistics_ID]],Logistics_Catalog[[#All],[Client_Charge]],0,0)</f>
        <v>3600</v>
      </c>
      <c r="G297">
        <f>Logistics_Orders[[#This Row],[Client_Charge]]-Logistics_Orders[[#This Row],[Cost]]</f>
        <v>600</v>
      </c>
      <c r="H297" t="s">
        <v>194</v>
      </c>
    </row>
    <row r="298" spans="1:8" x14ac:dyDescent="0.25">
      <c r="A298">
        <v>61</v>
      </c>
      <c r="B298" t="s">
        <v>195</v>
      </c>
      <c r="C298" cm="1">
        <f t="array" ref="C298">_xlfn.XLOOKUP(Logistics_Orders[[#This Row],[Logistics_ID]],Logistics_Catalog[[#All],[Logistics_ID]],Logistics_Catalog[[#All],[Base_Quantity]],0,0)</f>
        <v>10</v>
      </c>
      <c r="D298" cm="1">
        <f t="array" ref="D298">IF(Logistics_Orders[[#This Row],[Item]]="Chairs &amp; Tables",CEILING(_xlfn.XLOOKUP(Logistics_Orders[[#This Row],[Event_No]],Event_Master[[#All],[Event_No]],Event_Master[[#All],[Guest_Count]],,0)/Logistics_Orders[[#This Row],[Base_Quantity]],1),1)</f>
        <v>1</v>
      </c>
      <c r="E298" cm="1">
        <f t="array" ref="E298">Logistics_Orders[[#This Row],[Quantity_Ordered]]*_xlfn.XLOOKUP(Logistics_Orders[[#This Row],[Logistics_ID]],Logistics_Catalog[[#All],[Logistics_ID]],Logistics_Catalog[[#All],[Cost]],0,0)</f>
        <v>6000</v>
      </c>
      <c r="F298" cm="1">
        <f t="array" ref="F298">Logistics_Orders[[#This Row],[Quantity_Ordered]]*_xlfn.XLOOKUP(Logistics_Orders[[#This Row],[Logistics_ID]],Logistics_Catalog[[#All],[Logistics_ID]],Logistics_Catalog[[#All],[Client_Charge]],0,0)</f>
        <v>7200</v>
      </c>
      <c r="G298">
        <f>Logistics_Orders[[#This Row],[Client_Charge]]-Logistics_Orders[[#This Row],[Cost]]</f>
        <v>1200</v>
      </c>
      <c r="H298" t="s">
        <v>198</v>
      </c>
    </row>
    <row r="299" spans="1:8" x14ac:dyDescent="0.25">
      <c r="A299">
        <v>61</v>
      </c>
      <c r="B299" t="s">
        <v>187</v>
      </c>
      <c r="C299" cm="1">
        <f t="array" ref="C299">_xlfn.XLOOKUP(Logistics_Orders[[#This Row],[Logistics_ID]],Logistics_Catalog[[#All],[Logistics_ID]],Logistics_Catalog[[#All],[Base_Quantity]],0,0)</f>
        <v>1</v>
      </c>
      <c r="D299" cm="1">
        <f t="array" ref="D299">IF(Logistics_Orders[[#This Row],[Item]]="Chairs &amp; Tables",CEILING(_xlfn.XLOOKUP(Logistics_Orders[[#This Row],[Event_No]],Event_Master[[#All],[Event_No]],Event_Master[[#All],[Guest_Count]],,0)/Logistics_Orders[[#This Row],[Base_Quantity]],1),1)</f>
        <v>1</v>
      </c>
      <c r="E299" cm="1">
        <f t="array" ref="E299">Logistics_Orders[[#This Row],[Quantity_Ordered]]*_xlfn.XLOOKUP(Logistics_Orders[[#This Row],[Logistics_ID]],Logistics_Catalog[[#All],[Logistics_ID]],Logistics_Catalog[[#All],[Cost]],0,0)</f>
        <v>8000</v>
      </c>
      <c r="F299" cm="1">
        <f t="array" ref="F299">Logistics_Orders[[#This Row],[Quantity_Ordered]]*_xlfn.XLOOKUP(Logistics_Orders[[#This Row],[Logistics_ID]],Logistics_Catalog[[#All],[Logistics_ID]],Logistics_Catalog[[#All],[Client_Charge]],0,0)</f>
        <v>9500</v>
      </c>
      <c r="G299">
        <f>Logistics_Orders[[#This Row],[Client_Charge]]-Logistics_Orders[[#This Row],[Cost]]</f>
        <v>1500</v>
      </c>
      <c r="H299" t="s">
        <v>190</v>
      </c>
    </row>
    <row r="300" spans="1:8" x14ac:dyDescent="0.25">
      <c r="A300">
        <v>62</v>
      </c>
      <c r="B300" t="s">
        <v>177</v>
      </c>
      <c r="C300" cm="1">
        <f t="array" ref="C300">_xlfn.XLOOKUP(Logistics_Orders[[#This Row],[Logistics_ID]],Logistics_Catalog[[#All],[Logistics_ID]],Logistics_Catalog[[#All],[Base_Quantity]],0,0)</f>
        <v>300</v>
      </c>
      <c r="D300" cm="1">
        <f t="array" ref="D300">IF(Logistics_Orders[[#This Row],[Item]]="Chairs &amp; Tables",CEILING(_xlfn.XLOOKUP(Logistics_Orders[[#This Row],[Event_No]],Event_Master[[#All],[Event_No]],Event_Master[[#All],[Guest_Count]],,0)/Logistics_Orders[[#This Row],[Base_Quantity]],1),1)</f>
        <v>2</v>
      </c>
      <c r="E300" cm="1">
        <f t="array" ref="E300">Logistics_Orders[[#This Row],[Quantity_Ordered]]*_xlfn.XLOOKUP(Logistics_Orders[[#This Row],[Logistics_ID]],Logistics_Catalog[[#All],[Logistics_ID]],Logistics_Catalog[[#All],[Cost]],0,0)</f>
        <v>30000</v>
      </c>
      <c r="F300" cm="1">
        <f t="array" ref="F300">Logistics_Orders[[#This Row],[Quantity_Ordered]]*_xlfn.XLOOKUP(Logistics_Orders[[#This Row],[Logistics_ID]],Logistics_Catalog[[#All],[Logistics_ID]],Logistics_Catalog[[#All],[Client_Charge]],0,0)</f>
        <v>36000</v>
      </c>
      <c r="G300">
        <f>Logistics_Orders[[#This Row],[Client_Charge]]-Logistics_Orders[[#This Row],[Cost]]</f>
        <v>6000</v>
      </c>
      <c r="H300" t="s">
        <v>181</v>
      </c>
    </row>
    <row r="301" spans="1:8" x14ac:dyDescent="0.25">
      <c r="A301">
        <v>62</v>
      </c>
      <c r="B301" t="s">
        <v>182</v>
      </c>
      <c r="C301" cm="1">
        <f t="array" ref="C301">_xlfn.XLOOKUP(Logistics_Orders[[#This Row],[Logistics_ID]],Logistics_Catalog[[#All],[Logistics_ID]],Logistics_Catalog[[#All],[Base_Quantity]],0,0)</f>
        <v>1</v>
      </c>
      <c r="D301" cm="1">
        <f t="array" ref="D301">IF(Logistics_Orders[[#This Row],[Item]]="Chairs &amp; Tables",CEILING(_xlfn.XLOOKUP(Logistics_Orders[[#This Row],[Event_No]],Event_Master[[#All],[Event_No]],Event_Master[[#All],[Guest_Count]],,0)/Logistics_Orders[[#This Row],[Base_Quantity]],1),1)</f>
        <v>1</v>
      </c>
      <c r="E301" cm="1">
        <f t="array" ref="E301">Logistics_Orders[[#This Row],[Quantity_Ordered]]*_xlfn.XLOOKUP(Logistics_Orders[[#This Row],[Logistics_ID]],Logistics_Catalog[[#All],[Logistics_ID]],Logistics_Catalog[[#All],[Cost]],0,0)</f>
        <v>12000</v>
      </c>
      <c r="F301" cm="1">
        <f t="array" ref="F301">Logistics_Orders[[#This Row],[Quantity_Ordered]]*_xlfn.XLOOKUP(Logistics_Orders[[#This Row],[Logistics_ID]],Logistics_Catalog[[#All],[Logistics_ID]],Logistics_Catalog[[#All],[Client_Charge]],0,0)</f>
        <v>14500</v>
      </c>
      <c r="G301">
        <f>Logistics_Orders[[#This Row],[Client_Charge]]-Logistics_Orders[[#This Row],[Cost]]</f>
        <v>2500</v>
      </c>
      <c r="H301" t="s">
        <v>186</v>
      </c>
    </row>
    <row r="302" spans="1:8" x14ac:dyDescent="0.25">
      <c r="A302">
        <v>62</v>
      </c>
      <c r="B302" t="s">
        <v>191</v>
      </c>
      <c r="C302" cm="1">
        <f t="array" ref="C302">_xlfn.XLOOKUP(Logistics_Orders[[#This Row],[Logistics_ID]],Logistics_Catalog[[#All],[Logistics_ID]],Logistics_Catalog[[#All],[Base_Quantity]],0,0)</f>
        <v>5</v>
      </c>
      <c r="D302" cm="1">
        <f t="array" ref="D302">IF(Logistics_Orders[[#This Row],[Item]]="Chairs &amp; Tables",CEILING(_xlfn.XLOOKUP(Logistics_Orders[[#This Row],[Event_No]],Event_Master[[#All],[Event_No]],Event_Master[[#All],[Guest_Count]],,0)/Logistics_Orders[[#This Row],[Base_Quantity]],1),1)</f>
        <v>1</v>
      </c>
      <c r="E302" cm="1">
        <f t="array" ref="E302">Logistics_Orders[[#This Row],[Quantity_Ordered]]*_xlfn.XLOOKUP(Logistics_Orders[[#This Row],[Logistics_ID]],Logistics_Catalog[[#All],[Logistics_ID]],Logistics_Catalog[[#All],[Cost]],0,0)</f>
        <v>3000</v>
      </c>
      <c r="F302" cm="1">
        <f t="array" ref="F302">Logistics_Orders[[#This Row],[Quantity_Ordered]]*_xlfn.XLOOKUP(Logistics_Orders[[#This Row],[Logistics_ID]],Logistics_Catalog[[#All],[Logistics_ID]],Logistics_Catalog[[#All],[Client_Charge]],0,0)</f>
        <v>3600</v>
      </c>
      <c r="G302">
        <f>Logistics_Orders[[#This Row],[Client_Charge]]-Logistics_Orders[[#This Row],[Cost]]</f>
        <v>600</v>
      </c>
      <c r="H302" t="s">
        <v>194</v>
      </c>
    </row>
    <row r="303" spans="1:8" x14ac:dyDescent="0.25">
      <c r="A303">
        <v>62</v>
      </c>
      <c r="B303" t="s">
        <v>195</v>
      </c>
      <c r="C303" cm="1">
        <f t="array" ref="C303">_xlfn.XLOOKUP(Logistics_Orders[[#This Row],[Logistics_ID]],Logistics_Catalog[[#All],[Logistics_ID]],Logistics_Catalog[[#All],[Base_Quantity]],0,0)</f>
        <v>10</v>
      </c>
      <c r="D303" cm="1">
        <f t="array" ref="D303">IF(Logistics_Orders[[#This Row],[Item]]="Chairs &amp; Tables",CEILING(_xlfn.XLOOKUP(Logistics_Orders[[#This Row],[Event_No]],Event_Master[[#All],[Event_No]],Event_Master[[#All],[Guest_Count]],,0)/Logistics_Orders[[#This Row],[Base_Quantity]],1),1)</f>
        <v>1</v>
      </c>
      <c r="E303" cm="1">
        <f t="array" ref="E303">Logistics_Orders[[#This Row],[Quantity_Ordered]]*_xlfn.XLOOKUP(Logistics_Orders[[#This Row],[Logistics_ID]],Logistics_Catalog[[#All],[Logistics_ID]],Logistics_Catalog[[#All],[Cost]],0,0)</f>
        <v>6000</v>
      </c>
      <c r="F303" cm="1">
        <f t="array" ref="F303">Logistics_Orders[[#This Row],[Quantity_Ordered]]*_xlfn.XLOOKUP(Logistics_Orders[[#This Row],[Logistics_ID]],Logistics_Catalog[[#All],[Logistics_ID]],Logistics_Catalog[[#All],[Client_Charge]],0,0)</f>
        <v>7200</v>
      </c>
      <c r="G303">
        <f>Logistics_Orders[[#This Row],[Client_Charge]]-Logistics_Orders[[#This Row],[Cost]]</f>
        <v>1200</v>
      </c>
      <c r="H303" t="s">
        <v>198</v>
      </c>
    </row>
    <row r="304" spans="1:8" x14ac:dyDescent="0.25">
      <c r="A304">
        <v>62</v>
      </c>
      <c r="B304" t="s">
        <v>187</v>
      </c>
      <c r="C304" cm="1">
        <f t="array" ref="C304">_xlfn.XLOOKUP(Logistics_Orders[[#This Row],[Logistics_ID]],Logistics_Catalog[[#All],[Logistics_ID]],Logistics_Catalog[[#All],[Base_Quantity]],0,0)</f>
        <v>1</v>
      </c>
      <c r="D304" cm="1">
        <f t="array" ref="D304">IF(Logistics_Orders[[#This Row],[Item]]="Chairs &amp; Tables",CEILING(_xlfn.XLOOKUP(Logistics_Orders[[#This Row],[Event_No]],Event_Master[[#All],[Event_No]],Event_Master[[#All],[Guest_Count]],,0)/Logistics_Orders[[#This Row],[Base_Quantity]],1),1)</f>
        <v>1</v>
      </c>
      <c r="E304" cm="1">
        <f t="array" ref="E304">Logistics_Orders[[#This Row],[Quantity_Ordered]]*_xlfn.XLOOKUP(Logistics_Orders[[#This Row],[Logistics_ID]],Logistics_Catalog[[#All],[Logistics_ID]],Logistics_Catalog[[#All],[Cost]],0,0)</f>
        <v>8000</v>
      </c>
      <c r="F304" cm="1">
        <f t="array" ref="F304">Logistics_Orders[[#This Row],[Quantity_Ordered]]*_xlfn.XLOOKUP(Logistics_Orders[[#This Row],[Logistics_ID]],Logistics_Catalog[[#All],[Logistics_ID]],Logistics_Catalog[[#All],[Client_Charge]],0,0)</f>
        <v>9500</v>
      </c>
      <c r="G304">
        <f>Logistics_Orders[[#This Row],[Client_Charge]]-Logistics_Orders[[#This Row],[Cost]]</f>
        <v>1500</v>
      </c>
      <c r="H304" t="s">
        <v>190</v>
      </c>
    </row>
    <row r="305" spans="1:8" x14ac:dyDescent="0.25">
      <c r="A305">
        <v>63</v>
      </c>
      <c r="B305" t="s">
        <v>177</v>
      </c>
      <c r="C305" cm="1">
        <f t="array" ref="C305">_xlfn.XLOOKUP(Logistics_Orders[[#This Row],[Logistics_ID]],Logistics_Catalog[[#All],[Logistics_ID]],Logistics_Catalog[[#All],[Base_Quantity]],0,0)</f>
        <v>300</v>
      </c>
      <c r="D305" cm="1">
        <f t="array" ref="D305">IF(Logistics_Orders[[#This Row],[Item]]="Chairs &amp; Tables",CEILING(_xlfn.XLOOKUP(Logistics_Orders[[#This Row],[Event_No]],Event_Master[[#All],[Event_No]],Event_Master[[#All],[Guest_Count]],,0)/Logistics_Orders[[#This Row],[Base_Quantity]],1),1)</f>
        <v>2</v>
      </c>
      <c r="E305" cm="1">
        <f t="array" ref="E305">Logistics_Orders[[#This Row],[Quantity_Ordered]]*_xlfn.XLOOKUP(Logistics_Orders[[#This Row],[Logistics_ID]],Logistics_Catalog[[#All],[Logistics_ID]],Logistics_Catalog[[#All],[Cost]],0,0)</f>
        <v>30000</v>
      </c>
      <c r="F305" cm="1">
        <f t="array" ref="F305">Logistics_Orders[[#This Row],[Quantity_Ordered]]*_xlfn.XLOOKUP(Logistics_Orders[[#This Row],[Logistics_ID]],Logistics_Catalog[[#All],[Logistics_ID]],Logistics_Catalog[[#All],[Client_Charge]],0,0)</f>
        <v>36000</v>
      </c>
      <c r="G305">
        <f>Logistics_Orders[[#This Row],[Client_Charge]]-Logistics_Orders[[#This Row],[Cost]]</f>
        <v>6000</v>
      </c>
      <c r="H305" t="s">
        <v>181</v>
      </c>
    </row>
    <row r="306" spans="1:8" x14ac:dyDescent="0.25">
      <c r="A306">
        <v>63</v>
      </c>
      <c r="B306" t="s">
        <v>182</v>
      </c>
      <c r="C306" cm="1">
        <f t="array" ref="C306">_xlfn.XLOOKUP(Logistics_Orders[[#This Row],[Logistics_ID]],Logistics_Catalog[[#All],[Logistics_ID]],Logistics_Catalog[[#All],[Base_Quantity]],0,0)</f>
        <v>1</v>
      </c>
      <c r="D306" cm="1">
        <f t="array" ref="D306">IF(Logistics_Orders[[#This Row],[Item]]="Chairs &amp; Tables",CEILING(_xlfn.XLOOKUP(Logistics_Orders[[#This Row],[Event_No]],Event_Master[[#All],[Event_No]],Event_Master[[#All],[Guest_Count]],,0)/Logistics_Orders[[#This Row],[Base_Quantity]],1),1)</f>
        <v>1</v>
      </c>
      <c r="E306" cm="1">
        <f t="array" ref="E306">Logistics_Orders[[#This Row],[Quantity_Ordered]]*_xlfn.XLOOKUP(Logistics_Orders[[#This Row],[Logistics_ID]],Logistics_Catalog[[#All],[Logistics_ID]],Logistics_Catalog[[#All],[Cost]],0,0)</f>
        <v>12000</v>
      </c>
      <c r="F306" cm="1">
        <f t="array" ref="F306">Logistics_Orders[[#This Row],[Quantity_Ordered]]*_xlfn.XLOOKUP(Logistics_Orders[[#This Row],[Logistics_ID]],Logistics_Catalog[[#All],[Logistics_ID]],Logistics_Catalog[[#All],[Client_Charge]],0,0)</f>
        <v>14500</v>
      </c>
      <c r="G306">
        <f>Logistics_Orders[[#This Row],[Client_Charge]]-Logistics_Orders[[#This Row],[Cost]]</f>
        <v>2500</v>
      </c>
      <c r="H306" t="s">
        <v>186</v>
      </c>
    </row>
    <row r="307" spans="1:8" x14ac:dyDescent="0.25">
      <c r="A307">
        <v>63</v>
      </c>
      <c r="B307" t="s">
        <v>191</v>
      </c>
      <c r="C307" cm="1">
        <f t="array" ref="C307">_xlfn.XLOOKUP(Logistics_Orders[[#This Row],[Logistics_ID]],Logistics_Catalog[[#All],[Logistics_ID]],Logistics_Catalog[[#All],[Base_Quantity]],0,0)</f>
        <v>5</v>
      </c>
      <c r="D307" cm="1">
        <f t="array" ref="D307">IF(Logistics_Orders[[#This Row],[Item]]="Chairs &amp; Tables",CEILING(_xlfn.XLOOKUP(Logistics_Orders[[#This Row],[Event_No]],Event_Master[[#All],[Event_No]],Event_Master[[#All],[Guest_Count]],,0)/Logistics_Orders[[#This Row],[Base_Quantity]],1),1)</f>
        <v>1</v>
      </c>
      <c r="E307" cm="1">
        <f t="array" ref="E307">Logistics_Orders[[#This Row],[Quantity_Ordered]]*_xlfn.XLOOKUP(Logistics_Orders[[#This Row],[Logistics_ID]],Logistics_Catalog[[#All],[Logistics_ID]],Logistics_Catalog[[#All],[Cost]],0,0)</f>
        <v>3000</v>
      </c>
      <c r="F307" cm="1">
        <f t="array" ref="F307">Logistics_Orders[[#This Row],[Quantity_Ordered]]*_xlfn.XLOOKUP(Logistics_Orders[[#This Row],[Logistics_ID]],Logistics_Catalog[[#All],[Logistics_ID]],Logistics_Catalog[[#All],[Client_Charge]],0,0)</f>
        <v>3600</v>
      </c>
      <c r="G307">
        <f>Logistics_Orders[[#This Row],[Client_Charge]]-Logistics_Orders[[#This Row],[Cost]]</f>
        <v>600</v>
      </c>
      <c r="H307" t="s">
        <v>194</v>
      </c>
    </row>
    <row r="308" spans="1:8" x14ac:dyDescent="0.25">
      <c r="A308">
        <v>63</v>
      </c>
      <c r="B308" t="s">
        <v>195</v>
      </c>
      <c r="C308" cm="1">
        <f t="array" ref="C308">_xlfn.XLOOKUP(Logistics_Orders[[#This Row],[Logistics_ID]],Logistics_Catalog[[#All],[Logistics_ID]],Logistics_Catalog[[#All],[Base_Quantity]],0,0)</f>
        <v>10</v>
      </c>
      <c r="D308" cm="1">
        <f t="array" ref="D308">IF(Logistics_Orders[[#This Row],[Item]]="Chairs &amp; Tables",CEILING(_xlfn.XLOOKUP(Logistics_Orders[[#This Row],[Event_No]],Event_Master[[#All],[Event_No]],Event_Master[[#All],[Guest_Count]],,0)/Logistics_Orders[[#This Row],[Base_Quantity]],1),1)</f>
        <v>1</v>
      </c>
      <c r="E308" cm="1">
        <f t="array" ref="E308">Logistics_Orders[[#This Row],[Quantity_Ordered]]*_xlfn.XLOOKUP(Logistics_Orders[[#This Row],[Logistics_ID]],Logistics_Catalog[[#All],[Logistics_ID]],Logistics_Catalog[[#All],[Cost]],0,0)</f>
        <v>6000</v>
      </c>
      <c r="F308" cm="1">
        <f t="array" ref="F308">Logistics_Orders[[#This Row],[Quantity_Ordered]]*_xlfn.XLOOKUP(Logistics_Orders[[#This Row],[Logistics_ID]],Logistics_Catalog[[#All],[Logistics_ID]],Logistics_Catalog[[#All],[Client_Charge]],0,0)</f>
        <v>7200</v>
      </c>
      <c r="G308">
        <f>Logistics_Orders[[#This Row],[Client_Charge]]-Logistics_Orders[[#This Row],[Cost]]</f>
        <v>1200</v>
      </c>
      <c r="H308" t="s">
        <v>198</v>
      </c>
    </row>
    <row r="309" spans="1:8" x14ac:dyDescent="0.25">
      <c r="A309">
        <v>63</v>
      </c>
      <c r="B309" t="s">
        <v>187</v>
      </c>
      <c r="C309" cm="1">
        <f t="array" ref="C309">_xlfn.XLOOKUP(Logistics_Orders[[#This Row],[Logistics_ID]],Logistics_Catalog[[#All],[Logistics_ID]],Logistics_Catalog[[#All],[Base_Quantity]],0,0)</f>
        <v>1</v>
      </c>
      <c r="D309" cm="1">
        <f t="array" ref="D309">IF(Logistics_Orders[[#This Row],[Item]]="Chairs &amp; Tables",CEILING(_xlfn.XLOOKUP(Logistics_Orders[[#This Row],[Event_No]],Event_Master[[#All],[Event_No]],Event_Master[[#All],[Guest_Count]],,0)/Logistics_Orders[[#This Row],[Base_Quantity]],1),1)</f>
        <v>1</v>
      </c>
      <c r="E309" cm="1">
        <f t="array" ref="E309">Logistics_Orders[[#This Row],[Quantity_Ordered]]*_xlfn.XLOOKUP(Logistics_Orders[[#This Row],[Logistics_ID]],Logistics_Catalog[[#All],[Logistics_ID]],Logistics_Catalog[[#All],[Cost]],0,0)</f>
        <v>8000</v>
      </c>
      <c r="F309" cm="1">
        <f t="array" ref="F309">Logistics_Orders[[#This Row],[Quantity_Ordered]]*_xlfn.XLOOKUP(Logistics_Orders[[#This Row],[Logistics_ID]],Logistics_Catalog[[#All],[Logistics_ID]],Logistics_Catalog[[#All],[Client_Charge]],0,0)</f>
        <v>9500</v>
      </c>
      <c r="G309">
        <f>Logistics_Orders[[#This Row],[Client_Charge]]-Logistics_Orders[[#This Row],[Cost]]</f>
        <v>1500</v>
      </c>
      <c r="H309" t="s">
        <v>190</v>
      </c>
    </row>
    <row r="310" spans="1:8" x14ac:dyDescent="0.25">
      <c r="A310">
        <v>64</v>
      </c>
      <c r="B310" t="s">
        <v>177</v>
      </c>
      <c r="C310" cm="1">
        <f t="array" ref="C310">_xlfn.XLOOKUP(Logistics_Orders[[#This Row],[Logistics_ID]],Logistics_Catalog[[#All],[Logistics_ID]],Logistics_Catalog[[#All],[Base_Quantity]],0,0)</f>
        <v>300</v>
      </c>
      <c r="D310" cm="1">
        <f t="array" ref="D310">IF(Logistics_Orders[[#This Row],[Item]]="Chairs &amp; Tables",CEILING(_xlfn.XLOOKUP(Logistics_Orders[[#This Row],[Event_No]],Event_Master[[#All],[Event_No]],Event_Master[[#All],[Guest_Count]],,0)/Logistics_Orders[[#This Row],[Base_Quantity]],1),1)</f>
        <v>2</v>
      </c>
      <c r="E310" cm="1">
        <f t="array" ref="E310">Logistics_Orders[[#This Row],[Quantity_Ordered]]*_xlfn.XLOOKUP(Logistics_Orders[[#This Row],[Logistics_ID]],Logistics_Catalog[[#All],[Logistics_ID]],Logistics_Catalog[[#All],[Cost]],0,0)</f>
        <v>30000</v>
      </c>
      <c r="F310" cm="1">
        <f t="array" ref="F310">Logistics_Orders[[#This Row],[Quantity_Ordered]]*_xlfn.XLOOKUP(Logistics_Orders[[#This Row],[Logistics_ID]],Logistics_Catalog[[#All],[Logistics_ID]],Logistics_Catalog[[#All],[Client_Charge]],0,0)</f>
        <v>36000</v>
      </c>
      <c r="G310">
        <f>Logistics_Orders[[#This Row],[Client_Charge]]-Logistics_Orders[[#This Row],[Cost]]</f>
        <v>6000</v>
      </c>
      <c r="H310" t="s">
        <v>181</v>
      </c>
    </row>
    <row r="311" spans="1:8" x14ac:dyDescent="0.25">
      <c r="A311">
        <v>64</v>
      </c>
      <c r="B311" t="s">
        <v>182</v>
      </c>
      <c r="C311" cm="1">
        <f t="array" ref="C311">_xlfn.XLOOKUP(Logistics_Orders[[#This Row],[Logistics_ID]],Logistics_Catalog[[#All],[Logistics_ID]],Logistics_Catalog[[#All],[Base_Quantity]],0,0)</f>
        <v>1</v>
      </c>
      <c r="D311" cm="1">
        <f t="array" ref="D311">IF(Logistics_Orders[[#This Row],[Item]]="Chairs &amp; Tables",CEILING(_xlfn.XLOOKUP(Logistics_Orders[[#This Row],[Event_No]],Event_Master[[#All],[Event_No]],Event_Master[[#All],[Guest_Count]],,0)/Logistics_Orders[[#This Row],[Base_Quantity]],1),1)</f>
        <v>1</v>
      </c>
      <c r="E311" cm="1">
        <f t="array" ref="E311">Logistics_Orders[[#This Row],[Quantity_Ordered]]*_xlfn.XLOOKUP(Logistics_Orders[[#This Row],[Logistics_ID]],Logistics_Catalog[[#All],[Logistics_ID]],Logistics_Catalog[[#All],[Cost]],0,0)</f>
        <v>12000</v>
      </c>
      <c r="F311" cm="1">
        <f t="array" ref="F311">Logistics_Orders[[#This Row],[Quantity_Ordered]]*_xlfn.XLOOKUP(Logistics_Orders[[#This Row],[Logistics_ID]],Logistics_Catalog[[#All],[Logistics_ID]],Logistics_Catalog[[#All],[Client_Charge]],0,0)</f>
        <v>14500</v>
      </c>
      <c r="G311">
        <f>Logistics_Orders[[#This Row],[Client_Charge]]-Logistics_Orders[[#This Row],[Cost]]</f>
        <v>2500</v>
      </c>
      <c r="H311" t="s">
        <v>186</v>
      </c>
    </row>
    <row r="312" spans="1:8" x14ac:dyDescent="0.25">
      <c r="A312">
        <v>64</v>
      </c>
      <c r="B312" t="s">
        <v>191</v>
      </c>
      <c r="C312" cm="1">
        <f t="array" ref="C312">_xlfn.XLOOKUP(Logistics_Orders[[#This Row],[Logistics_ID]],Logistics_Catalog[[#All],[Logistics_ID]],Logistics_Catalog[[#All],[Base_Quantity]],0,0)</f>
        <v>5</v>
      </c>
      <c r="D312" cm="1">
        <f t="array" ref="D312">IF(Logistics_Orders[[#This Row],[Item]]="Chairs &amp; Tables",CEILING(_xlfn.XLOOKUP(Logistics_Orders[[#This Row],[Event_No]],Event_Master[[#All],[Event_No]],Event_Master[[#All],[Guest_Count]],,0)/Logistics_Orders[[#This Row],[Base_Quantity]],1),1)</f>
        <v>1</v>
      </c>
      <c r="E312" cm="1">
        <f t="array" ref="E312">Logistics_Orders[[#This Row],[Quantity_Ordered]]*_xlfn.XLOOKUP(Logistics_Orders[[#This Row],[Logistics_ID]],Logistics_Catalog[[#All],[Logistics_ID]],Logistics_Catalog[[#All],[Cost]],0,0)</f>
        <v>3000</v>
      </c>
      <c r="F312" cm="1">
        <f t="array" ref="F312">Logistics_Orders[[#This Row],[Quantity_Ordered]]*_xlfn.XLOOKUP(Logistics_Orders[[#This Row],[Logistics_ID]],Logistics_Catalog[[#All],[Logistics_ID]],Logistics_Catalog[[#All],[Client_Charge]],0,0)</f>
        <v>3600</v>
      </c>
      <c r="G312">
        <f>Logistics_Orders[[#This Row],[Client_Charge]]-Logistics_Orders[[#This Row],[Cost]]</f>
        <v>600</v>
      </c>
      <c r="H312" t="s">
        <v>194</v>
      </c>
    </row>
    <row r="313" spans="1:8" x14ac:dyDescent="0.25">
      <c r="A313">
        <v>64</v>
      </c>
      <c r="B313" t="s">
        <v>195</v>
      </c>
      <c r="C313" cm="1">
        <f t="array" ref="C313">_xlfn.XLOOKUP(Logistics_Orders[[#This Row],[Logistics_ID]],Logistics_Catalog[[#All],[Logistics_ID]],Logistics_Catalog[[#All],[Base_Quantity]],0,0)</f>
        <v>10</v>
      </c>
      <c r="D313" cm="1">
        <f t="array" ref="D313">IF(Logistics_Orders[[#This Row],[Item]]="Chairs &amp; Tables",CEILING(_xlfn.XLOOKUP(Logistics_Orders[[#This Row],[Event_No]],Event_Master[[#All],[Event_No]],Event_Master[[#All],[Guest_Count]],,0)/Logistics_Orders[[#This Row],[Base_Quantity]],1),1)</f>
        <v>1</v>
      </c>
      <c r="E313" cm="1">
        <f t="array" ref="E313">Logistics_Orders[[#This Row],[Quantity_Ordered]]*_xlfn.XLOOKUP(Logistics_Orders[[#This Row],[Logistics_ID]],Logistics_Catalog[[#All],[Logistics_ID]],Logistics_Catalog[[#All],[Cost]],0,0)</f>
        <v>6000</v>
      </c>
      <c r="F313" cm="1">
        <f t="array" ref="F313">Logistics_Orders[[#This Row],[Quantity_Ordered]]*_xlfn.XLOOKUP(Logistics_Orders[[#This Row],[Logistics_ID]],Logistics_Catalog[[#All],[Logistics_ID]],Logistics_Catalog[[#All],[Client_Charge]],0,0)</f>
        <v>7200</v>
      </c>
      <c r="G313">
        <f>Logistics_Orders[[#This Row],[Client_Charge]]-Logistics_Orders[[#This Row],[Cost]]</f>
        <v>1200</v>
      </c>
      <c r="H313" t="s">
        <v>198</v>
      </c>
    </row>
    <row r="314" spans="1:8" x14ac:dyDescent="0.25">
      <c r="A314">
        <v>64</v>
      </c>
      <c r="B314" t="s">
        <v>187</v>
      </c>
      <c r="C314" cm="1">
        <f t="array" ref="C314">_xlfn.XLOOKUP(Logistics_Orders[[#This Row],[Logistics_ID]],Logistics_Catalog[[#All],[Logistics_ID]],Logistics_Catalog[[#All],[Base_Quantity]],0,0)</f>
        <v>1</v>
      </c>
      <c r="D314" cm="1">
        <f t="array" ref="D314">IF(Logistics_Orders[[#This Row],[Item]]="Chairs &amp; Tables",CEILING(_xlfn.XLOOKUP(Logistics_Orders[[#This Row],[Event_No]],Event_Master[[#All],[Event_No]],Event_Master[[#All],[Guest_Count]],,0)/Logistics_Orders[[#This Row],[Base_Quantity]],1),1)</f>
        <v>1</v>
      </c>
      <c r="E314" cm="1">
        <f t="array" ref="E314">Logistics_Orders[[#This Row],[Quantity_Ordered]]*_xlfn.XLOOKUP(Logistics_Orders[[#This Row],[Logistics_ID]],Logistics_Catalog[[#All],[Logistics_ID]],Logistics_Catalog[[#All],[Cost]],0,0)</f>
        <v>8000</v>
      </c>
      <c r="F314" cm="1">
        <f t="array" ref="F314">Logistics_Orders[[#This Row],[Quantity_Ordered]]*_xlfn.XLOOKUP(Logistics_Orders[[#This Row],[Logistics_ID]],Logistics_Catalog[[#All],[Logistics_ID]],Logistics_Catalog[[#All],[Client_Charge]],0,0)</f>
        <v>9500</v>
      </c>
      <c r="G314">
        <f>Logistics_Orders[[#This Row],[Client_Charge]]-Logistics_Orders[[#This Row],[Cost]]</f>
        <v>1500</v>
      </c>
      <c r="H314" t="s">
        <v>190</v>
      </c>
    </row>
    <row r="315" spans="1:8" x14ac:dyDescent="0.25">
      <c r="A315">
        <v>65</v>
      </c>
      <c r="B315" t="s">
        <v>177</v>
      </c>
      <c r="C315" cm="1">
        <f t="array" ref="C315">_xlfn.XLOOKUP(Logistics_Orders[[#This Row],[Logistics_ID]],Logistics_Catalog[[#All],[Logistics_ID]],Logistics_Catalog[[#All],[Base_Quantity]],0,0)</f>
        <v>300</v>
      </c>
      <c r="D315" cm="1">
        <f t="array" ref="D315">IF(Logistics_Orders[[#This Row],[Item]]="Chairs &amp; Tables",CEILING(_xlfn.XLOOKUP(Logistics_Orders[[#This Row],[Event_No]],Event_Master[[#All],[Event_No]],Event_Master[[#All],[Guest_Count]],,0)/Logistics_Orders[[#This Row],[Base_Quantity]],1),1)</f>
        <v>2</v>
      </c>
      <c r="E315" cm="1">
        <f t="array" ref="E315">Logistics_Orders[[#This Row],[Quantity_Ordered]]*_xlfn.XLOOKUP(Logistics_Orders[[#This Row],[Logistics_ID]],Logistics_Catalog[[#All],[Logistics_ID]],Logistics_Catalog[[#All],[Cost]],0,0)</f>
        <v>30000</v>
      </c>
      <c r="F315" cm="1">
        <f t="array" ref="F315">Logistics_Orders[[#This Row],[Quantity_Ordered]]*_xlfn.XLOOKUP(Logistics_Orders[[#This Row],[Logistics_ID]],Logistics_Catalog[[#All],[Logistics_ID]],Logistics_Catalog[[#All],[Client_Charge]],0,0)</f>
        <v>36000</v>
      </c>
      <c r="G315">
        <f>Logistics_Orders[[#This Row],[Client_Charge]]-Logistics_Orders[[#This Row],[Cost]]</f>
        <v>6000</v>
      </c>
      <c r="H315" t="s">
        <v>181</v>
      </c>
    </row>
    <row r="316" spans="1:8" x14ac:dyDescent="0.25">
      <c r="A316">
        <v>65</v>
      </c>
      <c r="B316" t="s">
        <v>182</v>
      </c>
      <c r="C316" cm="1">
        <f t="array" ref="C316">_xlfn.XLOOKUP(Logistics_Orders[[#This Row],[Logistics_ID]],Logistics_Catalog[[#All],[Logistics_ID]],Logistics_Catalog[[#All],[Base_Quantity]],0,0)</f>
        <v>1</v>
      </c>
      <c r="D316" cm="1">
        <f t="array" ref="D316">IF(Logistics_Orders[[#This Row],[Item]]="Chairs &amp; Tables",CEILING(_xlfn.XLOOKUP(Logistics_Orders[[#This Row],[Event_No]],Event_Master[[#All],[Event_No]],Event_Master[[#All],[Guest_Count]],,0)/Logistics_Orders[[#This Row],[Base_Quantity]],1),1)</f>
        <v>1</v>
      </c>
      <c r="E316" cm="1">
        <f t="array" ref="E316">Logistics_Orders[[#This Row],[Quantity_Ordered]]*_xlfn.XLOOKUP(Logistics_Orders[[#This Row],[Logistics_ID]],Logistics_Catalog[[#All],[Logistics_ID]],Logistics_Catalog[[#All],[Cost]],0,0)</f>
        <v>12000</v>
      </c>
      <c r="F316" cm="1">
        <f t="array" ref="F316">Logistics_Orders[[#This Row],[Quantity_Ordered]]*_xlfn.XLOOKUP(Logistics_Orders[[#This Row],[Logistics_ID]],Logistics_Catalog[[#All],[Logistics_ID]],Logistics_Catalog[[#All],[Client_Charge]],0,0)</f>
        <v>14500</v>
      </c>
      <c r="G316">
        <f>Logistics_Orders[[#This Row],[Client_Charge]]-Logistics_Orders[[#This Row],[Cost]]</f>
        <v>2500</v>
      </c>
      <c r="H316" t="s">
        <v>186</v>
      </c>
    </row>
    <row r="317" spans="1:8" x14ac:dyDescent="0.25">
      <c r="A317">
        <v>65</v>
      </c>
      <c r="B317" t="s">
        <v>191</v>
      </c>
      <c r="C317" cm="1">
        <f t="array" ref="C317">_xlfn.XLOOKUP(Logistics_Orders[[#This Row],[Logistics_ID]],Logistics_Catalog[[#All],[Logistics_ID]],Logistics_Catalog[[#All],[Base_Quantity]],0,0)</f>
        <v>5</v>
      </c>
      <c r="D317" cm="1">
        <f t="array" ref="D317">IF(Logistics_Orders[[#This Row],[Item]]="Chairs &amp; Tables",CEILING(_xlfn.XLOOKUP(Logistics_Orders[[#This Row],[Event_No]],Event_Master[[#All],[Event_No]],Event_Master[[#All],[Guest_Count]],,0)/Logistics_Orders[[#This Row],[Base_Quantity]],1),1)</f>
        <v>1</v>
      </c>
      <c r="E317" cm="1">
        <f t="array" ref="E317">Logistics_Orders[[#This Row],[Quantity_Ordered]]*_xlfn.XLOOKUP(Logistics_Orders[[#This Row],[Logistics_ID]],Logistics_Catalog[[#All],[Logistics_ID]],Logistics_Catalog[[#All],[Cost]],0,0)</f>
        <v>3000</v>
      </c>
      <c r="F317" cm="1">
        <f t="array" ref="F317">Logistics_Orders[[#This Row],[Quantity_Ordered]]*_xlfn.XLOOKUP(Logistics_Orders[[#This Row],[Logistics_ID]],Logistics_Catalog[[#All],[Logistics_ID]],Logistics_Catalog[[#All],[Client_Charge]],0,0)</f>
        <v>3600</v>
      </c>
      <c r="G317">
        <f>Logistics_Orders[[#This Row],[Client_Charge]]-Logistics_Orders[[#This Row],[Cost]]</f>
        <v>600</v>
      </c>
      <c r="H317" t="s">
        <v>194</v>
      </c>
    </row>
    <row r="318" spans="1:8" x14ac:dyDescent="0.25">
      <c r="A318">
        <v>65</v>
      </c>
      <c r="B318" t="s">
        <v>195</v>
      </c>
      <c r="C318" cm="1">
        <f t="array" ref="C318">_xlfn.XLOOKUP(Logistics_Orders[[#This Row],[Logistics_ID]],Logistics_Catalog[[#All],[Logistics_ID]],Logistics_Catalog[[#All],[Base_Quantity]],0,0)</f>
        <v>10</v>
      </c>
      <c r="D318" cm="1">
        <f t="array" ref="D318">IF(Logistics_Orders[[#This Row],[Item]]="Chairs &amp; Tables",CEILING(_xlfn.XLOOKUP(Logistics_Orders[[#This Row],[Event_No]],Event_Master[[#All],[Event_No]],Event_Master[[#All],[Guest_Count]],,0)/Logistics_Orders[[#This Row],[Base_Quantity]],1),1)</f>
        <v>1</v>
      </c>
      <c r="E318" cm="1">
        <f t="array" ref="E318">Logistics_Orders[[#This Row],[Quantity_Ordered]]*_xlfn.XLOOKUP(Logistics_Orders[[#This Row],[Logistics_ID]],Logistics_Catalog[[#All],[Logistics_ID]],Logistics_Catalog[[#All],[Cost]],0,0)</f>
        <v>6000</v>
      </c>
      <c r="F318" cm="1">
        <f t="array" ref="F318">Logistics_Orders[[#This Row],[Quantity_Ordered]]*_xlfn.XLOOKUP(Logistics_Orders[[#This Row],[Logistics_ID]],Logistics_Catalog[[#All],[Logistics_ID]],Logistics_Catalog[[#All],[Client_Charge]],0,0)</f>
        <v>7200</v>
      </c>
      <c r="G318">
        <f>Logistics_Orders[[#This Row],[Client_Charge]]-Logistics_Orders[[#This Row],[Cost]]</f>
        <v>1200</v>
      </c>
      <c r="H318" t="s">
        <v>198</v>
      </c>
    </row>
    <row r="319" spans="1:8" x14ac:dyDescent="0.25">
      <c r="A319">
        <v>65</v>
      </c>
      <c r="B319" t="s">
        <v>187</v>
      </c>
      <c r="C319" cm="1">
        <f t="array" ref="C319">_xlfn.XLOOKUP(Logistics_Orders[[#This Row],[Logistics_ID]],Logistics_Catalog[[#All],[Logistics_ID]],Logistics_Catalog[[#All],[Base_Quantity]],0,0)</f>
        <v>1</v>
      </c>
      <c r="D319" cm="1">
        <f t="array" ref="D319">IF(Logistics_Orders[[#This Row],[Item]]="Chairs &amp; Tables",CEILING(_xlfn.XLOOKUP(Logistics_Orders[[#This Row],[Event_No]],Event_Master[[#All],[Event_No]],Event_Master[[#All],[Guest_Count]],,0)/Logistics_Orders[[#This Row],[Base_Quantity]],1),1)</f>
        <v>1</v>
      </c>
      <c r="E319" cm="1">
        <f t="array" ref="E319">Logistics_Orders[[#This Row],[Quantity_Ordered]]*_xlfn.XLOOKUP(Logistics_Orders[[#This Row],[Logistics_ID]],Logistics_Catalog[[#All],[Logistics_ID]],Logistics_Catalog[[#All],[Cost]],0,0)</f>
        <v>8000</v>
      </c>
      <c r="F319" cm="1">
        <f t="array" ref="F319">Logistics_Orders[[#This Row],[Quantity_Ordered]]*_xlfn.XLOOKUP(Logistics_Orders[[#This Row],[Logistics_ID]],Logistics_Catalog[[#All],[Logistics_ID]],Logistics_Catalog[[#All],[Client_Charge]],0,0)</f>
        <v>9500</v>
      </c>
      <c r="G319">
        <f>Logistics_Orders[[#This Row],[Client_Charge]]-Logistics_Orders[[#This Row],[Cost]]</f>
        <v>1500</v>
      </c>
      <c r="H319" t="s">
        <v>190</v>
      </c>
    </row>
    <row r="320" spans="1:8" x14ac:dyDescent="0.25">
      <c r="A320">
        <v>66</v>
      </c>
      <c r="B320" t="s">
        <v>177</v>
      </c>
      <c r="C320" cm="1">
        <f t="array" ref="C320">_xlfn.XLOOKUP(Logistics_Orders[[#This Row],[Logistics_ID]],Logistics_Catalog[[#All],[Logistics_ID]],Logistics_Catalog[[#All],[Base_Quantity]],0,0)</f>
        <v>300</v>
      </c>
      <c r="D320" cm="1">
        <f t="array" ref="D320">IF(Logistics_Orders[[#This Row],[Item]]="Chairs &amp; Tables",CEILING(_xlfn.XLOOKUP(Logistics_Orders[[#This Row],[Event_No]],Event_Master[[#All],[Event_No]],Event_Master[[#All],[Guest_Count]],,0)/Logistics_Orders[[#This Row],[Base_Quantity]],1),1)</f>
        <v>3</v>
      </c>
      <c r="E320" cm="1">
        <f t="array" ref="E320">Logistics_Orders[[#This Row],[Quantity_Ordered]]*_xlfn.XLOOKUP(Logistics_Orders[[#This Row],[Logistics_ID]],Logistics_Catalog[[#All],[Logistics_ID]],Logistics_Catalog[[#All],[Cost]],0,0)</f>
        <v>45000</v>
      </c>
      <c r="F320" cm="1">
        <f t="array" ref="F320">Logistics_Orders[[#This Row],[Quantity_Ordered]]*_xlfn.XLOOKUP(Logistics_Orders[[#This Row],[Logistics_ID]],Logistics_Catalog[[#All],[Logistics_ID]],Logistics_Catalog[[#All],[Client_Charge]],0,0)</f>
        <v>54000</v>
      </c>
      <c r="G320">
        <f>Logistics_Orders[[#This Row],[Client_Charge]]-Logistics_Orders[[#This Row],[Cost]]</f>
        <v>9000</v>
      </c>
      <c r="H320" t="s">
        <v>181</v>
      </c>
    </row>
    <row r="321" spans="1:8" x14ac:dyDescent="0.25">
      <c r="A321">
        <v>66</v>
      </c>
      <c r="B321" t="s">
        <v>182</v>
      </c>
      <c r="C321" cm="1">
        <f t="array" ref="C321">_xlfn.XLOOKUP(Logistics_Orders[[#This Row],[Logistics_ID]],Logistics_Catalog[[#All],[Logistics_ID]],Logistics_Catalog[[#All],[Base_Quantity]],0,0)</f>
        <v>1</v>
      </c>
      <c r="D321" cm="1">
        <f t="array" ref="D321">IF(Logistics_Orders[[#This Row],[Item]]="Chairs &amp; Tables",CEILING(_xlfn.XLOOKUP(Logistics_Orders[[#This Row],[Event_No]],Event_Master[[#All],[Event_No]],Event_Master[[#All],[Guest_Count]],,0)/Logistics_Orders[[#This Row],[Base_Quantity]],1),1)</f>
        <v>1</v>
      </c>
      <c r="E321" cm="1">
        <f t="array" ref="E321">Logistics_Orders[[#This Row],[Quantity_Ordered]]*_xlfn.XLOOKUP(Logistics_Orders[[#This Row],[Logistics_ID]],Logistics_Catalog[[#All],[Logistics_ID]],Logistics_Catalog[[#All],[Cost]],0,0)</f>
        <v>12000</v>
      </c>
      <c r="F321" cm="1">
        <f t="array" ref="F321">Logistics_Orders[[#This Row],[Quantity_Ordered]]*_xlfn.XLOOKUP(Logistics_Orders[[#This Row],[Logistics_ID]],Logistics_Catalog[[#All],[Logistics_ID]],Logistics_Catalog[[#All],[Client_Charge]],0,0)</f>
        <v>14500</v>
      </c>
      <c r="G321">
        <f>Logistics_Orders[[#This Row],[Client_Charge]]-Logistics_Orders[[#This Row],[Cost]]</f>
        <v>2500</v>
      </c>
      <c r="H321" t="s">
        <v>186</v>
      </c>
    </row>
    <row r="322" spans="1:8" x14ac:dyDescent="0.25">
      <c r="A322">
        <v>66</v>
      </c>
      <c r="B322" t="s">
        <v>191</v>
      </c>
      <c r="C322" cm="1">
        <f t="array" ref="C322">_xlfn.XLOOKUP(Logistics_Orders[[#This Row],[Logistics_ID]],Logistics_Catalog[[#All],[Logistics_ID]],Logistics_Catalog[[#All],[Base_Quantity]],0,0)</f>
        <v>5</v>
      </c>
      <c r="D322" cm="1">
        <f t="array" ref="D322">IF(Logistics_Orders[[#This Row],[Item]]="Chairs &amp; Tables",CEILING(_xlfn.XLOOKUP(Logistics_Orders[[#This Row],[Event_No]],Event_Master[[#All],[Event_No]],Event_Master[[#All],[Guest_Count]],,0)/Logistics_Orders[[#This Row],[Base_Quantity]],1),1)</f>
        <v>1</v>
      </c>
      <c r="E322" cm="1">
        <f t="array" ref="E322">Logistics_Orders[[#This Row],[Quantity_Ordered]]*_xlfn.XLOOKUP(Logistics_Orders[[#This Row],[Logistics_ID]],Logistics_Catalog[[#All],[Logistics_ID]],Logistics_Catalog[[#All],[Cost]],0,0)</f>
        <v>3000</v>
      </c>
      <c r="F322" cm="1">
        <f t="array" ref="F322">Logistics_Orders[[#This Row],[Quantity_Ordered]]*_xlfn.XLOOKUP(Logistics_Orders[[#This Row],[Logistics_ID]],Logistics_Catalog[[#All],[Logistics_ID]],Logistics_Catalog[[#All],[Client_Charge]],0,0)</f>
        <v>3600</v>
      </c>
      <c r="G322">
        <f>Logistics_Orders[[#This Row],[Client_Charge]]-Logistics_Orders[[#This Row],[Cost]]</f>
        <v>600</v>
      </c>
      <c r="H322" t="s">
        <v>194</v>
      </c>
    </row>
    <row r="323" spans="1:8" x14ac:dyDescent="0.25">
      <c r="A323">
        <v>66</v>
      </c>
      <c r="B323" t="s">
        <v>195</v>
      </c>
      <c r="C323" cm="1">
        <f t="array" ref="C323">_xlfn.XLOOKUP(Logistics_Orders[[#This Row],[Logistics_ID]],Logistics_Catalog[[#All],[Logistics_ID]],Logistics_Catalog[[#All],[Base_Quantity]],0,0)</f>
        <v>10</v>
      </c>
      <c r="D323" cm="1">
        <f t="array" ref="D323">IF(Logistics_Orders[[#This Row],[Item]]="Chairs &amp; Tables",CEILING(_xlfn.XLOOKUP(Logistics_Orders[[#This Row],[Event_No]],Event_Master[[#All],[Event_No]],Event_Master[[#All],[Guest_Count]],,0)/Logistics_Orders[[#This Row],[Base_Quantity]],1),1)</f>
        <v>1</v>
      </c>
      <c r="E323" cm="1">
        <f t="array" ref="E323">Logistics_Orders[[#This Row],[Quantity_Ordered]]*_xlfn.XLOOKUP(Logistics_Orders[[#This Row],[Logistics_ID]],Logistics_Catalog[[#All],[Logistics_ID]],Logistics_Catalog[[#All],[Cost]],0,0)</f>
        <v>6000</v>
      </c>
      <c r="F323" cm="1">
        <f t="array" ref="F323">Logistics_Orders[[#This Row],[Quantity_Ordered]]*_xlfn.XLOOKUP(Logistics_Orders[[#This Row],[Logistics_ID]],Logistics_Catalog[[#All],[Logistics_ID]],Logistics_Catalog[[#All],[Client_Charge]],0,0)</f>
        <v>7200</v>
      </c>
      <c r="G323">
        <f>Logistics_Orders[[#This Row],[Client_Charge]]-Logistics_Orders[[#This Row],[Cost]]</f>
        <v>1200</v>
      </c>
      <c r="H323" t="s">
        <v>198</v>
      </c>
    </row>
    <row r="324" spans="1:8" x14ac:dyDescent="0.25">
      <c r="A324">
        <v>66</v>
      </c>
      <c r="B324" t="s">
        <v>187</v>
      </c>
      <c r="C324" cm="1">
        <f t="array" ref="C324">_xlfn.XLOOKUP(Logistics_Orders[[#This Row],[Logistics_ID]],Logistics_Catalog[[#All],[Logistics_ID]],Logistics_Catalog[[#All],[Base_Quantity]],0,0)</f>
        <v>1</v>
      </c>
      <c r="D324" cm="1">
        <f t="array" ref="D324">IF(Logistics_Orders[[#This Row],[Item]]="Chairs &amp; Tables",CEILING(_xlfn.XLOOKUP(Logistics_Orders[[#This Row],[Event_No]],Event_Master[[#All],[Event_No]],Event_Master[[#All],[Guest_Count]],,0)/Logistics_Orders[[#This Row],[Base_Quantity]],1),1)</f>
        <v>1</v>
      </c>
      <c r="E324" cm="1">
        <f t="array" ref="E324">Logistics_Orders[[#This Row],[Quantity_Ordered]]*_xlfn.XLOOKUP(Logistics_Orders[[#This Row],[Logistics_ID]],Logistics_Catalog[[#All],[Logistics_ID]],Logistics_Catalog[[#All],[Cost]],0,0)</f>
        <v>8000</v>
      </c>
      <c r="F324" cm="1">
        <f t="array" ref="F324">Logistics_Orders[[#This Row],[Quantity_Ordered]]*_xlfn.XLOOKUP(Logistics_Orders[[#This Row],[Logistics_ID]],Logistics_Catalog[[#All],[Logistics_ID]],Logistics_Catalog[[#All],[Client_Charge]],0,0)</f>
        <v>9500</v>
      </c>
      <c r="G324">
        <f>Logistics_Orders[[#This Row],[Client_Charge]]-Logistics_Orders[[#This Row],[Cost]]</f>
        <v>1500</v>
      </c>
      <c r="H324" t="s">
        <v>190</v>
      </c>
    </row>
    <row r="325" spans="1:8" x14ac:dyDescent="0.25">
      <c r="A325">
        <v>67</v>
      </c>
      <c r="B325" t="s">
        <v>177</v>
      </c>
      <c r="C325" cm="1">
        <f t="array" ref="C325">_xlfn.XLOOKUP(Logistics_Orders[[#This Row],[Logistics_ID]],Logistics_Catalog[[#All],[Logistics_ID]],Logistics_Catalog[[#All],[Base_Quantity]],0,0)</f>
        <v>300</v>
      </c>
      <c r="D325" cm="1">
        <f t="array" ref="D325">IF(Logistics_Orders[[#This Row],[Item]]="Chairs &amp; Tables",CEILING(_xlfn.XLOOKUP(Logistics_Orders[[#This Row],[Event_No]],Event_Master[[#All],[Event_No]],Event_Master[[#All],[Guest_Count]],,0)/Logistics_Orders[[#This Row],[Base_Quantity]],1),1)</f>
        <v>3</v>
      </c>
      <c r="E325" cm="1">
        <f t="array" ref="E325">Logistics_Orders[[#This Row],[Quantity_Ordered]]*_xlfn.XLOOKUP(Logistics_Orders[[#This Row],[Logistics_ID]],Logistics_Catalog[[#All],[Logistics_ID]],Logistics_Catalog[[#All],[Cost]],0,0)</f>
        <v>45000</v>
      </c>
      <c r="F325" cm="1">
        <f t="array" ref="F325">Logistics_Orders[[#This Row],[Quantity_Ordered]]*_xlfn.XLOOKUP(Logistics_Orders[[#This Row],[Logistics_ID]],Logistics_Catalog[[#All],[Logistics_ID]],Logistics_Catalog[[#All],[Client_Charge]],0,0)</f>
        <v>54000</v>
      </c>
      <c r="G325">
        <f>Logistics_Orders[[#This Row],[Client_Charge]]-Logistics_Orders[[#This Row],[Cost]]</f>
        <v>9000</v>
      </c>
      <c r="H325" t="s">
        <v>181</v>
      </c>
    </row>
    <row r="326" spans="1:8" x14ac:dyDescent="0.25">
      <c r="A326">
        <v>67</v>
      </c>
      <c r="B326" t="s">
        <v>182</v>
      </c>
      <c r="C326" cm="1">
        <f t="array" ref="C326">_xlfn.XLOOKUP(Logistics_Orders[[#This Row],[Logistics_ID]],Logistics_Catalog[[#All],[Logistics_ID]],Logistics_Catalog[[#All],[Base_Quantity]],0,0)</f>
        <v>1</v>
      </c>
      <c r="D326" cm="1">
        <f t="array" ref="D326">IF(Logistics_Orders[[#This Row],[Item]]="Chairs &amp; Tables",CEILING(_xlfn.XLOOKUP(Logistics_Orders[[#This Row],[Event_No]],Event_Master[[#All],[Event_No]],Event_Master[[#All],[Guest_Count]],,0)/Logistics_Orders[[#This Row],[Base_Quantity]],1),1)</f>
        <v>1</v>
      </c>
      <c r="E326" cm="1">
        <f t="array" ref="E326">Logistics_Orders[[#This Row],[Quantity_Ordered]]*_xlfn.XLOOKUP(Logistics_Orders[[#This Row],[Logistics_ID]],Logistics_Catalog[[#All],[Logistics_ID]],Logistics_Catalog[[#All],[Cost]],0,0)</f>
        <v>12000</v>
      </c>
      <c r="F326" cm="1">
        <f t="array" ref="F326">Logistics_Orders[[#This Row],[Quantity_Ordered]]*_xlfn.XLOOKUP(Logistics_Orders[[#This Row],[Logistics_ID]],Logistics_Catalog[[#All],[Logistics_ID]],Logistics_Catalog[[#All],[Client_Charge]],0,0)</f>
        <v>14500</v>
      </c>
      <c r="G326">
        <f>Logistics_Orders[[#This Row],[Client_Charge]]-Logistics_Orders[[#This Row],[Cost]]</f>
        <v>2500</v>
      </c>
      <c r="H326" t="s">
        <v>186</v>
      </c>
    </row>
    <row r="327" spans="1:8" x14ac:dyDescent="0.25">
      <c r="A327">
        <v>67</v>
      </c>
      <c r="B327" t="s">
        <v>191</v>
      </c>
      <c r="C327" cm="1">
        <f t="array" ref="C327">_xlfn.XLOOKUP(Logistics_Orders[[#This Row],[Logistics_ID]],Logistics_Catalog[[#All],[Logistics_ID]],Logistics_Catalog[[#All],[Base_Quantity]],0,0)</f>
        <v>5</v>
      </c>
      <c r="D327" cm="1">
        <f t="array" ref="D327">IF(Logistics_Orders[[#This Row],[Item]]="Chairs &amp; Tables",CEILING(_xlfn.XLOOKUP(Logistics_Orders[[#This Row],[Event_No]],Event_Master[[#All],[Event_No]],Event_Master[[#All],[Guest_Count]],,0)/Logistics_Orders[[#This Row],[Base_Quantity]],1),1)</f>
        <v>1</v>
      </c>
      <c r="E327" cm="1">
        <f t="array" ref="E327">Logistics_Orders[[#This Row],[Quantity_Ordered]]*_xlfn.XLOOKUP(Logistics_Orders[[#This Row],[Logistics_ID]],Logistics_Catalog[[#All],[Logistics_ID]],Logistics_Catalog[[#All],[Cost]],0,0)</f>
        <v>3000</v>
      </c>
      <c r="F327" cm="1">
        <f t="array" ref="F327">Logistics_Orders[[#This Row],[Quantity_Ordered]]*_xlfn.XLOOKUP(Logistics_Orders[[#This Row],[Logistics_ID]],Logistics_Catalog[[#All],[Logistics_ID]],Logistics_Catalog[[#All],[Client_Charge]],0,0)</f>
        <v>3600</v>
      </c>
      <c r="G327">
        <f>Logistics_Orders[[#This Row],[Client_Charge]]-Logistics_Orders[[#This Row],[Cost]]</f>
        <v>600</v>
      </c>
      <c r="H327" t="s">
        <v>194</v>
      </c>
    </row>
    <row r="328" spans="1:8" x14ac:dyDescent="0.25">
      <c r="A328">
        <v>67</v>
      </c>
      <c r="B328" t="s">
        <v>195</v>
      </c>
      <c r="C328" cm="1">
        <f t="array" ref="C328">_xlfn.XLOOKUP(Logistics_Orders[[#This Row],[Logistics_ID]],Logistics_Catalog[[#All],[Logistics_ID]],Logistics_Catalog[[#All],[Base_Quantity]],0,0)</f>
        <v>10</v>
      </c>
      <c r="D328" cm="1">
        <f t="array" ref="D328">IF(Logistics_Orders[[#This Row],[Item]]="Chairs &amp; Tables",CEILING(_xlfn.XLOOKUP(Logistics_Orders[[#This Row],[Event_No]],Event_Master[[#All],[Event_No]],Event_Master[[#All],[Guest_Count]],,0)/Logistics_Orders[[#This Row],[Base_Quantity]],1),1)</f>
        <v>1</v>
      </c>
      <c r="E328" cm="1">
        <f t="array" ref="E328">Logistics_Orders[[#This Row],[Quantity_Ordered]]*_xlfn.XLOOKUP(Logistics_Orders[[#This Row],[Logistics_ID]],Logistics_Catalog[[#All],[Logistics_ID]],Logistics_Catalog[[#All],[Cost]],0,0)</f>
        <v>6000</v>
      </c>
      <c r="F328" cm="1">
        <f t="array" ref="F328">Logistics_Orders[[#This Row],[Quantity_Ordered]]*_xlfn.XLOOKUP(Logistics_Orders[[#This Row],[Logistics_ID]],Logistics_Catalog[[#All],[Logistics_ID]],Logistics_Catalog[[#All],[Client_Charge]],0,0)</f>
        <v>7200</v>
      </c>
      <c r="G328">
        <f>Logistics_Orders[[#This Row],[Client_Charge]]-Logistics_Orders[[#This Row],[Cost]]</f>
        <v>1200</v>
      </c>
      <c r="H328" t="s">
        <v>198</v>
      </c>
    </row>
    <row r="329" spans="1:8" x14ac:dyDescent="0.25">
      <c r="A329">
        <v>67</v>
      </c>
      <c r="B329" t="s">
        <v>187</v>
      </c>
      <c r="C329" cm="1">
        <f t="array" ref="C329">_xlfn.XLOOKUP(Logistics_Orders[[#This Row],[Logistics_ID]],Logistics_Catalog[[#All],[Logistics_ID]],Logistics_Catalog[[#All],[Base_Quantity]],0,0)</f>
        <v>1</v>
      </c>
      <c r="D329" cm="1">
        <f t="array" ref="D329">IF(Logistics_Orders[[#This Row],[Item]]="Chairs &amp; Tables",CEILING(_xlfn.XLOOKUP(Logistics_Orders[[#This Row],[Event_No]],Event_Master[[#All],[Event_No]],Event_Master[[#All],[Guest_Count]],,0)/Logistics_Orders[[#This Row],[Base_Quantity]],1),1)</f>
        <v>1</v>
      </c>
      <c r="E329" cm="1">
        <f t="array" ref="E329">Logistics_Orders[[#This Row],[Quantity_Ordered]]*_xlfn.XLOOKUP(Logistics_Orders[[#This Row],[Logistics_ID]],Logistics_Catalog[[#All],[Logistics_ID]],Logistics_Catalog[[#All],[Cost]],0,0)</f>
        <v>8000</v>
      </c>
      <c r="F329" cm="1">
        <f t="array" ref="F329">Logistics_Orders[[#This Row],[Quantity_Ordered]]*_xlfn.XLOOKUP(Logistics_Orders[[#This Row],[Logistics_ID]],Logistics_Catalog[[#All],[Logistics_ID]],Logistics_Catalog[[#All],[Client_Charge]],0,0)</f>
        <v>9500</v>
      </c>
      <c r="G329">
        <f>Logistics_Orders[[#This Row],[Client_Charge]]-Logistics_Orders[[#This Row],[Cost]]</f>
        <v>1500</v>
      </c>
      <c r="H329" t="s">
        <v>190</v>
      </c>
    </row>
    <row r="330" spans="1:8" x14ac:dyDescent="0.25">
      <c r="A330">
        <v>68</v>
      </c>
      <c r="B330" t="s">
        <v>177</v>
      </c>
      <c r="C330" cm="1">
        <f t="array" ref="C330">_xlfn.XLOOKUP(Logistics_Orders[[#This Row],[Logistics_ID]],Logistics_Catalog[[#All],[Logistics_ID]],Logistics_Catalog[[#All],[Base_Quantity]],0,0)</f>
        <v>300</v>
      </c>
      <c r="D330" cm="1">
        <f t="array" ref="D330">IF(Logistics_Orders[[#This Row],[Item]]="Chairs &amp; Tables",CEILING(_xlfn.XLOOKUP(Logistics_Orders[[#This Row],[Event_No]],Event_Master[[#All],[Event_No]],Event_Master[[#All],[Guest_Count]],,0)/Logistics_Orders[[#This Row],[Base_Quantity]],1),1)</f>
        <v>3</v>
      </c>
      <c r="E330" cm="1">
        <f t="array" ref="E330">Logistics_Orders[[#This Row],[Quantity_Ordered]]*_xlfn.XLOOKUP(Logistics_Orders[[#This Row],[Logistics_ID]],Logistics_Catalog[[#All],[Logistics_ID]],Logistics_Catalog[[#All],[Cost]],0,0)</f>
        <v>45000</v>
      </c>
      <c r="F330" cm="1">
        <f t="array" ref="F330">Logistics_Orders[[#This Row],[Quantity_Ordered]]*_xlfn.XLOOKUP(Logistics_Orders[[#This Row],[Logistics_ID]],Logistics_Catalog[[#All],[Logistics_ID]],Logistics_Catalog[[#All],[Client_Charge]],0,0)</f>
        <v>54000</v>
      </c>
      <c r="G330">
        <f>Logistics_Orders[[#This Row],[Client_Charge]]-Logistics_Orders[[#This Row],[Cost]]</f>
        <v>9000</v>
      </c>
      <c r="H330" t="s">
        <v>181</v>
      </c>
    </row>
    <row r="331" spans="1:8" x14ac:dyDescent="0.25">
      <c r="A331">
        <v>68</v>
      </c>
      <c r="B331" t="s">
        <v>182</v>
      </c>
      <c r="C331" cm="1">
        <f t="array" ref="C331">_xlfn.XLOOKUP(Logistics_Orders[[#This Row],[Logistics_ID]],Logistics_Catalog[[#All],[Logistics_ID]],Logistics_Catalog[[#All],[Base_Quantity]],0,0)</f>
        <v>1</v>
      </c>
      <c r="D331" cm="1">
        <f t="array" ref="D331">IF(Logistics_Orders[[#This Row],[Item]]="Chairs &amp; Tables",CEILING(_xlfn.XLOOKUP(Logistics_Orders[[#This Row],[Event_No]],Event_Master[[#All],[Event_No]],Event_Master[[#All],[Guest_Count]],,0)/Logistics_Orders[[#This Row],[Base_Quantity]],1),1)</f>
        <v>1</v>
      </c>
      <c r="E331" cm="1">
        <f t="array" ref="E331">Logistics_Orders[[#This Row],[Quantity_Ordered]]*_xlfn.XLOOKUP(Logistics_Orders[[#This Row],[Logistics_ID]],Logistics_Catalog[[#All],[Logistics_ID]],Logistics_Catalog[[#All],[Cost]],0,0)</f>
        <v>12000</v>
      </c>
      <c r="F331" cm="1">
        <f t="array" ref="F331">Logistics_Orders[[#This Row],[Quantity_Ordered]]*_xlfn.XLOOKUP(Logistics_Orders[[#This Row],[Logistics_ID]],Logistics_Catalog[[#All],[Logistics_ID]],Logistics_Catalog[[#All],[Client_Charge]],0,0)</f>
        <v>14500</v>
      </c>
      <c r="G331">
        <f>Logistics_Orders[[#This Row],[Client_Charge]]-Logistics_Orders[[#This Row],[Cost]]</f>
        <v>2500</v>
      </c>
      <c r="H331" t="s">
        <v>186</v>
      </c>
    </row>
    <row r="332" spans="1:8" x14ac:dyDescent="0.25">
      <c r="A332">
        <v>68</v>
      </c>
      <c r="B332" t="s">
        <v>191</v>
      </c>
      <c r="C332" cm="1">
        <f t="array" ref="C332">_xlfn.XLOOKUP(Logistics_Orders[[#This Row],[Logistics_ID]],Logistics_Catalog[[#All],[Logistics_ID]],Logistics_Catalog[[#All],[Base_Quantity]],0,0)</f>
        <v>5</v>
      </c>
      <c r="D332" cm="1">
        <f t="array" ref="D332">IF(Logistics_Orders[[#This Row],[Item]]="Chairs &amp; Tables",CEILING(_xlfn.XLOOKUP(Logistics_Orders[[#This Row],[Event_No]],Event_Master[[#All],[Event_No]],Event_Master[[#All],[Guest_Count]],,0)/Logistics_Orders[[#This Row],[Base_Quantity]],1),1)</f>
        <v>1</v>
      </c>
      <c r="E332" cm="1">
        <f t="array" ref="E332">Logistics_Orders[[#This Row],[Quantity_Ordered]]*_xlfn.XLOOKUP(Logistics_Orders[[#This Row],[Logistics_ID]],Logistics_Catalog[[#All],[Logistics_ID]],Logistics_Catalog[[#All],[Cost]],0,0)</f>
        <v>3000</v>
      </c>
      <c r="F332" cm="1">
        <f t="array" ref="F332">Logistics_Orders[[#This Row],[Quantity_Ordered]]*_xlfn.XLOOKUP(Logistics_Orders[[#This Row],[Logistics_ID]],Logistics_Catalog[[#All],[Logistics_ID]],Logistics_Catalog[[#All],[Client_Charge]],0,0)</f>
        <v>3600</v>
      </c>
      <c r="G332">
        <f>Logistics_Orders[[#This Row],[Client_Charge]]-Logistics_Orders[[#This Row],[Cost]]</f>
        <v>600</v>
      </c>
      <c r="H332" t="s">
        <v>194</v>
      </c>
    </row>
    <row r="333" spans="1:8" x14ac:dyDescent="0.25">
      <c r="A333">
        <v>68</v>
      </c>
      <c r="B333" t="s">
        <v>195</v>
      </c>
      <c r="C333" cm="1">
        <f t="array" ref="C333">_xlfn.XLOOKUP(Logistics_Orders[[#This Row],[Logistics_ID]],Logistics_Catalog[[#All],[Logistics_ID]],Logistics_Catalog[[#All],[Base_Quantity]],0,0)</f>
        <v>10</v>
      </c>
      <c r="D333" cm="1">
        <f t="array" ref="D333">IF(Logistics_Orders[[#This Row],[Item]]="Chairs &amp; Tables",CEILING(_xlfn.XLOOKUP(Logistics_Orders[[#This Row],[Event_No]],Event_Master[[#All],[Event_No]],Event_Master[[#All],[Guest_Count]],,0)/Logistics_Orders[[#This Row],[Base_Quantity]],1),1)</f>
        <v>1</v>
      </c>
      <c r="E333" cm="1">
        <f t="array" ref="E333">Logistics_Orders[[#This Row],[Quantity_Ordered]]*_xlfn.XLOOKUP(Logistics_Orders[[#This Row],[Logistics_ID]],Logistics_Catalog[[#All],[Logistics_ID]],Logistics_Catalog[[#All],[Cost]],0,0)</f>
        <v>6000</v>
      </c>
      <c r="F333" cm="1">
        <f t="array" ref="F333">Logistics_Orders[[#This Row],[Quantity_Ordered]]*_xlfn.XLOOKUP(Logistics_Orders[[#This Row],[Logistics_ID]],Logistics_Catalog[[#All],[Logistics_ID]],Logistics_Catalog[[#All],[Client_Charge]],0,0)</f>
        <v>7200</v>
      </c>
      <c r="G333">
        <f>Logistics_Orders[[#This Row],[Client_Charge]]-Logistics_Orders[[#This Row],[Cost]]</f>
        <v>1200</v>
      </c>
      <c r="H333" t="s">
        <v>198</v>
      </c>
    </row>
    <row r="334" spans="1:8" x14ac:dyDescent="0.25">
      <c r="A334">
        <v>68</v>
      </c>
      <c r="B334" t="s">
        <v>187</v>
      </c>
      <c r="C334" cm="1">
        <f t="array" ref="C334">_xlfn.XLOOKUP(Logistics_Orders[[#This Row],[Logistics_ID]],Logistics_Catalog[[#All],[Logistics_ID]],Logistics_Catalog[[#All],[Base_Quantity]],0,0)</f>
        <v>1</v>
      </c>
      <c r="D334" cm="1">
        <f t="array" ref="D334">IF(Logistics_Orders[[#This Row],[Item]]="Chairs &amp; Tables",CEILING(_xlfn.XLOOKUP(Logistics_Orders[[#This Row],[Event_No]],Event_Master[[#All],[Event_No]],Event_Master[[#All],[Guest_Count]],,0)/Logistics_Orders[[#This Row],[Base_Quantity]],1),1)</f>
        <v>1</v>
      </c>
      <c r="E334" cm="1">
        <f t="array" ref="E334">Logistics_Orders[[#This Row],[Quantity_Ordered]]*_xlfn.XLOOKUP(Logistics_Orders[[#This Row],[Logistics_ID]],Logistics_Catalog[[#All],[Logistics_ID]],Logistics_Catalog[[#All],[Cost]],0,0)</f>
        <v>8000</v>
      </c>
      <c r="F334" cm="1">
        <f t="array" ref="F334">Logistics_Orders[[#This Row],[Quantity_Ordered]]*_xlfn.XLOOKUP(Logistics_Orders[[#This Row],[Logistics_ID]],Logistics_Catalog[[#All],[Logistics_ID]],Logistics_Catalog[[#All],[Client_Charge]],0,0)</f>
        <v>9500</v>
      </c>
      <c r="G334">
        <f>Logistics_Orders[[#This Row],[Client_Charge]]-Logistics_Orders[[#This Row],[Cost]]</f>
        <v>1500</v>
      </c>
      <c r="H334" t="s">
        <v>190</v>
      </c>
    </row>
    <row r="335" spans="1:8" x14ac:dyDescent="0.25">
      <c r="A335">
        <v>69</v>
      </c>
      <c r="B335" t="s">
        <v>177</v>
      </c>
      <c r="C335" cm="1">
        <f t="array" ref="C335">_xlfn.XLOOKUP(Logistics_Orders[[#This Row],[Logistics_ID]],Logistics_Catalog[[#All],[Logistics_ID]],Logistics_Catalog[[#All],[Base_Quantity]],0,0)</f>
        <v>300</v>
      </c>
      <c r="D335" cm="1">
        <f t="array" ref="D335">IF(Logistics_Orders[[#This Row],[Item]]="Chairs &amp; Tables",CEILING(_xlfn.XLOOKUP(Logistics_Orders[[#This Row],[Event_No]],Event_Master[[#All],[Event_No]],Event_Master[[#All],[Guest_Count]],,0)/Logistics_Orders[[#This Row],[Base_Quantity]],1),1)</f>
        <v>2</v>
      </c>
      <c r="E335" cm="1">
        <f t="array" ref="E335">Logistics_Orders[[#This Row],[Quantity_Ordered]]*_xlfn.XLOOKUP(Logistics_Orders[[#This Row],[Logistics_ID]],Logistics_Catalog[[#All],[Logistics_ID]],Logistics_Catalog[[#All],[Cost]],0,0)</f>
        <v>30000</v>
      </c>
      <c r="F335" cm="1">
        <f t="array" ref="F335">Logistics_Orders[[#This Row],[Quantity_Ordered]]*_xlfn.XLOOKUP(Logistics_Orders[[#This Row],[Logistics_ID]],Logistics_Catalog[[#All],[Logistics_ID]],Logistics_Catalog[[#All],[Client_Charge]],0,0)</f>
        <v>36000</v>
      </c>
      <c r="G335">
        <f>Logistics_Orders[[#This Row],[Client_Charge]]-Logistics_Orders[[#This Row],[Cost]]</f>
        <v>6000</v>
      </c>
      <c r="H335" t="s">
        <v>181</v>
      </c>
    </row>
    <row r="336" spans="1:8" x14ac:dyDescent="0.25">
      <c r="A336">
        <v>69</v>
      </c>
      <c r="B336" t="s">
        <v>182</v>
      </c>
      <c r="C336" cm="1">
        <f t="array" ref="C336">_xlfn.XLOOKUP(Logistics_Orders[[#This Row],[Logistics_ID]],Logistics_Catalog[[#All],[Logistics_ID]],Logistics_Catalog[[#All],[Base_Quantity]],0,0)</f>
        <v>1</v>
      </c>
      <c r="D336" cm="1">
        <f t="array" ref="D336">IF(Logistics_Orders[[#This Row],[Item]]="Chairs &amp; Tables",CEILING(_xlfn.XLOOKUP(Logistics_Orders[[#This Row],[Event_No]],Event_Master[[#All],[Event_No]],Event_Master[[#All],[Guest_Count]],,0)/Logistics_Orders[[#This Row],[Base_Quantity]],1),1)</f>
        <v>1</v>
      </c>
      <c r="E336" cm="1">
        <f t="array" ref="E336">Logistics_Orders[[#This Row],[Quantity_Ordered]]*_xlfn.XLOOKUP(Logistics_Orders[[#This Row],[Logistics_ID]],Logistics_Catalog[[#All],[Logistics_ID]],Logistics_Catalog[[#All],[Cost]],0,0)</f>
        <v>12000</v>
      </c>
      <c r="F336" cm="1">
        <f t="array" ref="F336">Logistics_Orders[[#This Row],[Quantity_Ordered]]*_xlfn.XLOOKUP(Logistics_Orders[[#This Row],[Logistics_ID]],Logistics_Catalog[[#All],[Logistics_ID]],Logistics_Catalog[[#All],[Client_Charge]],0,0)</f>
        <v>14500</v>
      </c>
      <c r="G336">
        <f>Logistics_Orders[[#This Row],[Client_Charge]]-Logistics_Orders[[#This Row],[Cost]]</f>
        <v>2500</v>
      </c>
      <c r="H336" t="s">
        <v>186</v>
      </c>
    </row>
    <row r="337" spans="1:8" x14ac:dyDescent="0.25">
      <c r="A337">
        <v>69</v>
      </c>
      <c r="B337" t="s">
        <v>191</v>
      </c>
      <c r="C337" cm="1">
        <f t="array" ref="C337">_xlfn.XLOOKUP(Logistics_Orders[[#This Row],[Logistics_ID]],Logistics_Catalog[[#All],[Logistics_ID]],Logistics_Catalog[[#All],[Base_Quantity]],0,0)</f>
        <v>5</v>
      </c>
      <c r="D337" cm="1">
        <f t="array" ref="D337">IF(Logistics_Orders[[#This Row],[Item]]="Chairs &amp; Tables",CEILING(_xlfn.XLOOKUP(Logistics_Orders[[#This Row],[Event_No]],Event_Master[[#All],[Event_No]],Event_Master[[#All],[Guest_Count]],,0)/Logistics_Orders[[#This Row],[Base_Quantity]],1),1)</f>
        <v>1</v>
      </c>
      <c r="E337" cm="1">
        <f t="array" ref="E337">Logistics_Orders[[#This Row],[Quantity_Ordered]]*_xlfn.XLOOKUP(Logistics_Orders[[#This Row],[Logistics_ID]],Logistics_Catalog[[#All],[Logistics_ID]],Logistics_Catalog[[#All],[Cost]],0,0)</f>
        <v>3000</v>
      </c>
      <c r="F337" cm="1">
        <f t="array" ref="F337">Logistics_Orders[[#This Row],[Quantity_Ordered]]*_xlfn.XLOOKUP(Logistics_Orders[[#This Row],[Logistics_ID]],Logistics_Catalog[[#All],[Logistics_ID]],Logistics_Catalog[[#All],[Client_Charge]],0,0)</f>
        <v>3600</v>
      </c>
      <c r="G337">
        <f>Logistics_Orders[[#This Row],[Client_Charge]]-Logistics_Orders[[#This Row],[Cost]]</f>
        <v>600</v>
      </c>
      <c r="H337" t="s">
        <v>194</v>
      </c>
    </row>
    <row r="338" spans="1:8" x14ac:dyDescent="0.25">
      <c r="A338">
        <v>69</v>
      </c>
      <c r="B338" t="s">
        <v>195</v>
      </c>
      <c r="C338" cm="1">
        <f t="array" ref="C338">_xlfn.XLOOKUP(Logistics_Orders[[#This Row],[Logistics_ID]],Logistics_Catalog[[#All],[Logistics_ID]],Logistics_Catalog[[#All],[Base_Quantity]],0,0)</f>
        <v>10</v>
      </c>
      <c r="D338" cm="1">
        <f t="array" ref="D338">IF(Logistics_Orders[[#This Row],[Item]]="Chairs &amp; Tables",CEILING(_xlfn.XLOOKUP(Logistics_Orders[[#This Row],[Event_No]],Event_Master[[#All],[Event_No]],Event_Master[[#All],[Guest_Count]],,0)/Logistics_Orders[[#This Row],[Base_Quantity]],1),1)</f>
        <v>1</v>
      </c>
      <c r="E338" cm="1">
        <f t="array" ref="E338">Logistics_Orders[[#This Row],[Quantity_Ordered]]*_xlfn.XLOOKUP(Logistics_Orders[[#This Row],[Logistics_ID]],Logistics_Catalog[[#All],[Logistics_ID]],Logistics_Catalog[[#All],[Cost]],0,0)</f>
        <v>6000</v>
      </c>
      <c r="F338" cm="1">
        <f t="array" ref="F338">Logistics_Orders[[#This Row],[Quantity_Ordered]]*_xlfn.XLOOKUP(Logistics_Orders[[#This Row],[Logistics_ID]],Logistics_Catalog[[#All],[Logistics_ID]],Logistics_Catalog[[#All],[Client_Charge]],0,0)</f>
        <v>7200</v>
      </c>
      <c r="G338">
        <f>Logistics_Orders[[#This Row],[Client_Charge]]-Logistics_Orders[[#This Row],[Cost]]</f>
        <v>1200</v>
      </c>
      <c r="H338" t="s">
        <v>198</v>
      </c>
    </row>
    <row r="339" spans="1:8" x14ac:dyDescent="0.25">
      <c r="A339">
        <v>69</v>
      </c>
      <c r="B339" t="s">
        <v>187</v>
      </c>
      <c r="C339" cm="1">
        <f t="array" ref="C339">_xlfn.XLOOKUP(Logistics_Orders[[#This Row],[Logistics_ID]],Logistics_Catalog[[#All],[Logistics_ID]],Logistics_Catalog[[#All],[Base_Quantity]],0,0)</f>
        <v>1</v>
      </c>
      <c r="D339" cm="1">
        <f t="array" ref="D339">IF(Logistics_Orders[[#This Row],[Item]]="Chairs &amp; Tables",CEILING(_xlfn.XLOOKUP(Logistics_Orders[[#This Row],[Event_No]],Event_Master[[#All],[Event_No]],Event_Master[[#All],[Guest_Count]],,0)/Logistics_Orders[[#This Row],[Base_Quantity]],1),1)</f>
        <v>1</v>
      </c>
      <c r="E339" cm="1">
        <f t="array" ref="E339">Logistics_Orders[[#This Row],[Quantity_Ordered]]*_xlfn.XLOOKUP(Logistics_Orders[[#This Row],[Logistics_ID]],Logistics_Catalog[[#All],[Logistics_ID]],Logistics_Catalog[[#All],[Cost]],0,0)</f>
        <v>8000</v>
      </c>
      <c r="F339" cm="1">
        <f t="array" ref="F339">Logistics_Orders[[#This Row],[Quantity_Ordered]]*_xlfn.XLOOKUP(Logistics_Orders[[#This Row],[Logistics_ID]],Logistics_Catalog[[#All],[Logistics_ID]],Logistics_Catalog[[#All],[Client_Charge]],0,0)</f>
        <v>9500</v>
      </c>
      <c r="G339">
        <f>Logistics_Orders[[#This Row],[Client_Charge]]-Logistics_Orders[[#This Row],[Cost]]</f>
        <v>1500</v>
      </c>
      <c r="H339" t="s">
        <v>190</v>
      </c>
    </row>
    <row r="340" spans="1:8" x14ac:dyDescent="0.25">
      <c r="A340">
        <v>70</v>
      </c>
      <c r="B340" t="s">
        <v>177</v>
      </c>
      <c r="C340" cm="1">
        <f t="array" ref="C340">_xlfn.XLOOKUP(Logistics_Orders[[#This Row],[Logistics_ID]],Logistics_Catalog[[#All],[Logistics_ID]],Logistics_Catalog[[#All],[Base_Quantity]],0,0)</f>
        <v>300</v>
      </c>
      <c r="D340" cm="1">
        <f t="array" ref="D340">IF(Logistics_Orders[[#This Row],[Item]]="Chairs &amp; Tables",CEILING(_xlfn.XLOOKUP(Logistics_Orders[[#This Row],[Event_No]],Event_Master[[#All],[Event_No]],Event_Master[[#All],[Guest_Count]],,0)/Logistics_Orders[[#This Row],[Base_Quantity]],1),1)</f>
        <v>1</v>
      </c>
      <c r="E340" cm="1">
        <f t="array" ref="E340">Logistics_Orders[[#This Row],[Quantity_Ordered]]*_xlfn.XLOOKUP(Logistics_Orders[[#This Row],[Logistics_ID]],Logistics_Catalog[[#All],[Logistics_ID]],Logistics_Catalog[[#All],[Cost]],0,0)</f>
        <v>15000</v>
      </c>
      <c r="F340" cm="1">
        <f t="array" ref="F340">Logistics_Orders[[#This Row],[Quantity_Ordered]]*_xlfn.XLOOKUP(Logistics_Orders[[#This Row],[Logistics_ID]],Logistics_Catalog[[#All],[Logistics_ID]],Logistics_Catalog[[#All],[Client_Charge]],0,0)</f>
        <v>18000</v>
      </c>
      <c r="G340">
        <f>Logistics_Orders[[#This Row],[Client_Charge]]-Logistics_Orders[[#This Row],[Cost]]</f>
        <v>3000</v>
      </c>
      <c r="H340" t="s">
        <v>181</v>
      </c>
    </row>
    <row r="341" spans="1:8" x14ac:dyDescent="0.25">
      <c r="A341">
        <v>70</v>
      </c>
      <c r="B341" t="s">
        <v>182</v>
      </c>
      <c r="C341" cm="1">
        <f t="array" ref="C341">_xlfn.XLOOKUP(Logistics_Orders[[#This Row],[Logistics_ID]],Logistics_Catalog[[#All],[Logistics_ID]],Logistics_Catalog[[#All],[Base_Quantity]],0,0)</f>
        <v>1</v>
      </c>
      <c r="D341" cm="1">
        <f t="array" ref="D341">IF(Logistics_Orders[[#This Row],[Item]]="Chairs &amp; Tables",CEILING(_xlfn.XLOOKUP(Logistics_Orders[[#This Row],[Event_No]],Event_Master[[#All],[Event_No]],Event_Master[[#All],[Guest_Count]],,0)/Logistics_Orders[[#This Row],[Base_Quantity]],1),1)</f>
        <v>1</v>
      </c>
      <c r="E341" cm="1">
        <f t="array" ref="E341">Logistics_Orders[[#This Row],[Quantity_Ordered]]*_xlfn.XLOOKUP(Logistics_Orders[[#This Row],[Logistics_ID]],Logistics_Catalog[[#All],[Logistics_ID]],Logistics_Catalog[[#All],[Cost]],0,0)</f>
        <v>12000</v>
      </c>
      <c r="F341" cm="1">
        <f t="array" ref="F341">Logistics_Orders[[#This Row],[Quantity_Ordered]]*_xlfn.XLOOKUP(Logistics_Orders[[#This Row],[Logistics_ID]],Logistics_Catalog[[#All],[Logistics_ID]],Logistics_Catalog[[#All],[Client_Charge]],0,0)</f>
        <v>14500</v>
      </c>
      <c r="G341">
        <f>Logistics_Orders[[#This Row],[Client_Charge]]-Logistics_Orders[[#This Row],[Cost]]</f>
        <v>2500</v>
      </c>
      <c r="H341" t="s">
        <v>186</v>
      </c>
    </row>
    <row r="342" spans="1:8" x14ac:dyDescent="0.25">
      <c r="A342">
        <v>70</v>
      </c>
      <c r="B342" t="s">
        <v>191</v>
      </c>
      <c r="C342" cm="1">
        <f t="array" ref="C342">_xlfn.XLOOKUP(Logistics_Orders[[#This Row],[Logistics_ID]],Logistics_Catalog[[#All],[Logistics_ID]],Logistics_Catalog[[#All],[Base_Quantity]],0,0)</f>
        <v>5</v>
      </c>
      <c r="D342" cm="1">
        <f t="array" ref="D342">IF(Logistics_Orders[[#This Row],[Item]]="Chairs &amp; Tables",CEILING(_xlfn.XLOOKUP(Logistics_Orders[[#This Row],[Event_No]],Event_Master[[#All],[Event_No]],Event_Master[[#All],[Guest_Count]],,0)/Logistics_Orders[[#This Row],[Base_Quantity]],1),1)</f>
        <v>1</v>
      </c>
      <c r="E342" cm="1">
        <f t="array" ref="E342">Logistics_Orders[[#This Row],[Quantity_Ordered]]*_xlfn.XLOOKUP(Logistics_Orders[[#This Row],[Logistics_ID]],Logistics_Catalog[[#All],[Logistics_ID]],Logistics_Catalog[[#All],[Cost]],0,0)</f>
        <v>3000</v>
      </c>
      <c r="F342" cm="1">
        <f t="array" ref="F342">Logistics_Orders[[#This Row],[Quantity_Ordered]]*_xlfn.XLOOKUP(Logistics_Orders[[#This Row],[Logistics_ID]],Logistics_Catalog[[#All],[Logistics_ID]],Logistics_Catalog[[#All],[Client_Charge]],0,0)</f>
        <v>3600</v>
      </c>
      <c r="G342">
        <f>Logistics_Orders[[#This Row],[Client_Charge]]-Logistics_Orders[[#This Row],[Cost]]</f>
        <v>600</v>
      </c>
      <c r="H342" t="s">
        <v>194</v>
      </c>
    </row>
    <row r="343" spans="1:8" x14ac:dyDescent="0.25">
      <c r="A343">
        <v>70</v>
      </c>
      <c r="B343" t="s">
        <v>195</v>
      </c>
      <c r="C343" cm="1">
        <f t="array" ref="C343">_xlfn.XLOOKUP(Logistics_Orders[[#This Row],[Logistics_ID]],Logistics_Catalog[[#All],[Logistics_ID]],Logistics_Catalog[[#All],[Base_Quantity]],0,0)</f>
        <v>10</v>
      </c>
      <c r="D343" cm="1">
        <f t="array" ref="D343">IF(Logistics_Orders[[#This Row],[Item]]="Chairs &amp; Tables",CEILING(_xlfn.XLOOKUP(Logistics_Orders[[#This Row],[Event_No]],Event_Master[[#All],[Event_No]],Event_Master[[#All],[Guest_Count]],,0)/Logistics_Orders[[#This Row],[Base_Quantity]],1),1)</f>
        <v>1</v>
      </c>
      <c r="E343" cm="1">
        <f t="array" ref="E343">Logistics_Orders[[#This Row],[Quantity_Ordered]]*_xlfn.XLOOKUP(Logistics_Orders[[#This Row],[Logistics_ID]],Logistics_Catalog[[#All],[Logistics_ID]],Logistics_Catalog[[#All],[Cost]],0,0)</f>
        <v>6000</v>
      </c>
      <c r="F343" cm="1">
        <f t="array" ref="F343">Logistics_Orders[[#This Row],[Quantity_Ordered]]*_xlfn.XLOOKUP(Logistics_Orders[[#This Row],[Logistics_ID]],Logistics_Catalog[[#All],[Logistics_ID]],Logistics_Catalog[[#All],[Client_Charge]],0,0)</f>
        <v>7200</v>
      </c>
      <c r="G343">
        <f>Logistics_Orders[[#This Row],[Client_Charge]]-Logistics_Orders[[#This Row],[Cost]]</f>
        <v>1200</v>
      </c>
      <c r="H343" t="s">
        <v>198</v>
      </c>
    </row>
    <row r="344" spans="1:8" x14ac:dyDescent="0.25">
      <c r="A344">
        <v>70</v>
      </c>
      <c r="B344" t="s">
        <v>187</v>
      </c>
      <c r="C344" cm="1">
        <f t="array" ref="C344">_xlfn.XLOOKUP(Logistics_Orders[[#This Row],[Logistics_ID]],Logistics_Catalog[[#All],[Logistics_ID]],Logistics_Catalog[[#All],[Base_Quantity]],0,0)</f>
        <v>1</v>
      </c>
      <c r="D344" cm="1">
        <f t="array" ref="D344">IF(Logistics_Orders[[#This Row],[Item]]="Chairs &amp; Tables",CEILING(_xlfn.XLOOKUP(Logistics_Orders[[#This Row],[Event_No]],Event_Master[[#All],[Event_No]],Event_Master[[#All],[Guest_Count]],,0)/Logistics_Orders[[#This Row],[Base_Quantity]],1),1)</f>
        <v>1</v>
      </c>
      <c r="E344" cm="1">
        <f t="array" ref="E344">Logistics_Orders[[#This Row],[Quantity_Ordered]]*_xlfn.XLOOKUP(Logistics_Orders[[#This Row],[Logistics_ID]],Logistics_Catalog[[#All],[Logistics_ID]],Logistics_Catalog[[#All],[Cost]],0,0)</f>
        <v>8000</v>
      </c>
      <c r="F344" cm="1">
        <f t="array" ref="F344">Logistics_Orders[[#This Row],[Quantity_Ordered]]*_xlfn.XLOOKUP(Logistics_Orders[[#This Row],[Logistics_ID]],Logistics_Catalog[[#All],[Logistics_ID]],Logistics_Catalog[[#All],[Client_Charge]],0,0)</f>
        <v>9500</v>
      </c>
      <c r="G344">
        <f>Logistics_Orders[[#This Row],[Client_Charge]]-Logistics_Orders[[#This Row],[Cost]]</f>
        <v>1500</v>
      </c>
      <c r="H344" t="s">
        <v>190</v>
      </c>
    </row>
    <row r="345" spans="1:8" x14ac:dyDescent="0.25">
      <c r="A345">
        <v>71</v>
      </c>
      <c r="B345" t="s">
        <v>177</v>
      </c>
      <c r="C345" cm="1">
        <f t="array" ref="C345">_xlfn.XLOOKUP(Logistics_Orders[[#This Row],[Logistics_ID]],Logistics_Catalog[[#All],[Logistics_ID]],Logistics_Catalog[[#All],[Base_Quantity]],0,0)</f>
        <v>300</v>
      </c>
      <c r="D345" cm="1">
        <f t="array" ref="D345">IF(Logistics_Orders[[#This Row],[Item]]="Chairs &amp; Tables",CEILING(_xlfn.XLOOKUP(Logistics_Orders[[#This Row],[Event_No]],Event_Master[[#All],[Event_No]],Event_Master[[#All],[Guest_Count]],,0)/Logistics_Orders[[#This Row],[Base_Quantity]],1),1)</f>
        <v>1</v>
      </c>
      <c r="E345" cm="1">
        <f t="array" ref="E345">Logistics_Orders[[#This Row],[Quantity_Ordered]]*_xlfn.XLOOKUP(Logistics_Orders[[#This Row],[Logistics_ID]],Logistics_Catalog[[#All],[Logistics_ID]],Logistics_Catalog[[#All],[Cost]],0,0)</f>
        <v>15000</v>
      </c>
      <c r="F345" cm="1">
        <f t="array" ref="F345">Logistics_Orders[[#This Row],[Quantity_Ordered]]*_xlfn.XLOOKUP(Logistics_Orders[[#This Row],[Logistics_ID]],Logistics_Catalog[[#All],[Logistics_ID]],Logistics_Catalog[[#All],[Client_Charge]],0,0)</f>
        <v>18000</v>
      </c>
      <c r="G345">
        <f>Logistics_Orders[[#This Row],[Client_Charge]]-Logistics_Orders[[#This Row],[Cost]]</f>
        <v>3000</v>
      </c>
      <c r="H345" t="s">
        <v>181</v>
      </c>
    </row>
    <row r="346" spans="1:8" x14ac:dyDescent="0.25">
      <c r="A346">
        <v>71</v>
      </c>
      <c r="B346" t="s">
        <v>182</v>
      </c>
      <c r="C346" cm="1">
        <f t="array" ref="C346">_xlfn.XLOOKUP(Logistics_Orders[[#This Row],[Logistics_ID]],Logistics_Catalog[[#All],[Logistics_ID]],Logistics_Catalog[[#All],[Base_Quantity]],0,0)</f>
        <v>1</v>
      </c>
      <c r="D346" cm="1">
        <f t="array" ref="D346">IF(Logistics_Orders[[#This Row],[Item]]="Chairs &amp; Tables",CEILING(_xlfn.XLOOKUP(Logistics_Orders[[#This Row],[Event_No]],Event_Master[[#All],[Event_No]],Event_Master[[#All],[Guest_Count]],,0)/Logistics_Orders[[#This Row],[Base_Quantity]],1),1)</f>
        <v>1</v>
      </c>
      <c r="E346" cm="1">
        <f t="array" ref="E346">Logistics_Orders[[#This Row],[Quantity_Ordered]]*_xlfn.XLOOKUP(Logistics_Orders[[#This Row],[Logistics_ID]],Logistics_Catalog[[#All],[Logistics_ID]],Logistics_Catalog[[#All],[Cost]],0,0)</f>
        <v>12000</v>
      </c>
      <c r="F346" cm="1">
        <f t="array" ref="F346">Logistics_Orders[[#This Row],[Quantity_Ordered]]*_xlfn.XLOOKUP(Logistics_Orders[[#This Row],[Logistics_ID]],Logistics_Catalog[[#All],[Logistics_ID]],Logistics_Catalog[[#All],[Client_Charge]],0,0)</f>
        <v>14500</v>
      </c>
      <c r="G346">
        <f>Logistics_Orders[[#This Row],[Client_Charge]]-Logistics_Orders[[#This Row],[Cost]]</f>
        <v>2500</v>
      </c>
      <c r="H346" t="s">
        <v>186</v>
      </c>
    </row>
    <row r="347" spans="1:8" x14ac:dyDescent="0.25">
      <c r="A347">
        <v>71</v>
      </c>
      <c r="B347" t="s">
        <v>191</v>
      </c>
      <c r="C347" cm="1">
        <f t="array" ref="C347">_xlfn.XLOOKUP(Logistics_Orders[[#This Row],[Logistics_ID]],Logistics_Catalog[[#All],[Logistics_ID]],Logistics_Catalog[[#All],[Base_Quantity]],0,0)</f>
        <v>5</v>
      </c>
      <c r="D347" cm="1">
        <f t="array" ref="D347">IF(Logistics_Orders[[#This Row],[Item]]="Chairs &amp; Tables",CEILING(_xlfn.XLOOKUP(Logistics_Orders[[#This Row],[Event_No]],Event_Master[[#All],[Event_No]],Event_Master[[#All],[Guest_Count]],,0)/Logistics_Orders[[#This Row],[Base_Quantity]],1),1)</f>
        <v>1</v>
      </c>
      <c r="E347" cm="1">
        <f t="array" ref="E347">Logistics_Orders[[#This Row],[Quantity_Ordered]]*_xlfn.XLOOKUP(Logistics_Orders[[#This Row],[Logistics_ID]],Logistics_Catalog[[#All],[Logistics_ID]],Logistics_Catalog[[#All],[Cost]],0,0)</f>
        <v>3000</v>
      </c>
      <c r="F347" cm="1">
        <f t="array" ref="F347">Logistics_Orders[[#This Row],[Quantity_Ordered]]*_xlfn.XLOOKUP(Logistics_Orders[[#This Row],[Logistics_ID]],Logistics_Catalog[[#All],[Logistics_ID]],Logistics_Catalog[[#All],[Client_Charge]],0,0)</f>
        <v>3600</v>
      </c>
      <c r="G347">
        <f>Logistics_Orders[[#This Row],[Client_Charge]]-Logistics_Orders[[#This Row],[Cost]]</f>
        <v>600</v>
      </c>
      <c r="H347" t="s">
        <v>194</v>
      </c>
    </row>
    <row r="348" spans="1:8" x14ac:dyDescent="0.25">
      <c r="A348">
        <v>71</v>
      </c>
      <c r="B348" t="s">
        <v>195</v>
      </c>
      <c r="C348" cm="1">
        <f t="array" ref="C348">_xlfn.XLOOKUP(Logistics_Orders[[#This Row],[Logistics_ID]],Logistics_Catalog[[#All],[Logistics_ID]],Logistics_Catalog[[#All],[Base_Quantity]],0,0)</f>
        <v>10</v>
      </c>
      <c r="D348" cm="1">
        <f t="array" ref="D348">IF(Logistics_Orders[[#This Row],[Item]]="Chairs &amp; Tables",CEILING(_xlfn.XLOOKUP(Logistics_Orders[[#This Row],[Event_No]],Event_Master[[#All],[Event_No]],Event_Master[[#All],[Guest_Count]],,0)/Logistics_Orders[[#This Row],[Base_Quantity]],1),1)</f>
        <v>1</v>
      </c>
      <c r="E348" cm="1">
        <f t="array" ref="E348">Logistics_Orders[[#This Row],[Quantity_Ordered]]*_xlfn.XLOOKUP(Logistics_Orders[[#This Row],[Logistics_ID]],Logistics_Catalog[[#All],[Logistics_ID]],Logistics_Catalog[[#All],[Cost]],0,0)</f>
        <v>6000</v>
      </c>
      <c r="F348" cm="1">
        <f t="array" ref="F348">Logistics_Orders[[#This Row],[Quantity_Ordered]]*_xlfn.XLOOKUP(Logistics_Orders[[#This Row],[Logistics_ID]],Logistics_Catalog[[#All],[Logistics_ID]],Logistics_Catalog[[#All],[Client_Charge]],0,0)</f>
        <v>7200</v>
      </c>
      <c r="G348">
        <f>Logistics_Orders[[#This Row],[Client_Charge]]-Logistics_Orders[[#This Row],[Cost]]</f>
        <v>1200</v>
      </c>
      <c r="H348" t="s">
        <v>198</v>
      </c>
    </row>
    <row r="349" spans="1:8" x14ac:dyDescent="0.25">
      <c r="A349">
        <v>71</v>
      </c>
      <c r="B349" t="s">
        <v>187</v>
      </c>
      <c r="C349" cm="1">
        <f t="array" ref="C349">_xlfn.XLOOKUP(Logistics_Orders[[#This Row],[Logistics_ID]],Logistics_Catalog[[#All],[Logistics_ID]],Logistics_Catalog[[#All],[Base_Quantity]],0,0)</f>
        <v>1</v>
      </c>
      <c r="D349" cm="1">
        <f t="array" ref="D349">IF(Logistics_Orders[[#This Row],[Item]]="Chairs &amp; Tables",CEILING(_xlfn.XLOOKUP(Logistics_Orders[[#This Row],[Event_No]],Event_Master[[#All],[Event_No]],Event_Master[[#All],[Guest_Count]],,0)/Logistics_Orders[[#This Row],[Base_Quantity]],1),1)</f>
        <v>1</v>
      </c>
      <c r="E349" cm="1">
        <f t="array" ref="E349">Logistics_Orders[[#This Row],[Quantity_Ordered]]*_xlfn.XLOOKUP(Logistics_Orders[[#This Row],[Logistics_ID]],Logistics_Catalog[[#All],[Logistics_ID]],Logistics_Catalog[[#All],[Cost]],0,0)</f>
        <v>8000</v>
      </c>
      <c r="F349" cm="1">
        <f t="array" ref="F349">Logistics_Orders[[#This Row],[Quantity_Ordered]]*_xlfn.XLOOKUP(Logistics_Orders[[#This Row],[Logistics_ID]],Logistics_Catalog[[#All],[Logistics_ID]],Logistics_Catalog[[#All],[Client_Charge]],0,0)</f>
        <v>9500</v>
      </c>
      <c r="G349">
        <f>Logistics_Orders[[#This Row],[Client_Charge]]-Logistics_Orders[[#This Row],[Cost]]</f>
        <v>1500</v>
      </c>
      <c r="H349" t="s">
        <v>190</v>
      </c>
    </row>
    <row r="350" spans="1:8" x14ac:dyDescent="0.25">
      <c r="A350">
        <v>72</v>
      </c>
      <c r="B350" t="s">
        <v>177</v>
      </c>
      <c r="C350" cm="1">
        <f t="array" ref="C350">_xlfn.XLOOKUP(Logistics_Orders[[#This Row],[Logistics_ID]],Logistics_Catalog[[#All],[Logistics_ID]],Logistics_Catalog[[#All],[Base_Quantity]],0,0)</f>
        <v>300</v>
      </c>
      <c r="D350" cm="1">
        <f t="array" ref="D350">IF(Logistics_Orders[[#This Row],[Item]]="Chairs &amp; Tables",CEILING(_xlfn.XLOOKUP(Logistics_Orders[[#This Row],[Event_No]],Event_Master[[#All],[Event_No]],Event_Master[[#All],[Guest_Count]],,0)/Logistics_Orders[[#This Row],[Base_Quantity]],1),1)</f>
        <v>1</v>
      </c>
      <c r="E350" cm="1">
        <f t="array" ref="E350">Logistics_Orders[[#This Row],[Quantity_Ordered]]*_xlfn.XLOOKUP(Logistics_Orders[[#This Row],[Logistics_ID]],Logistics_Catalog[[#All],[Logistics_ID]],Logistics_Catalog[[#All],[Cost]],0,0)</f>
        <v>15000</v>
      </c>
      <c r="F350" cm="1">
        <f t="array" ref="F350">Logistics_Orders[[#This Row],[Quantity_Ordered]]*_xlfn.XLOOKUP(Logistics_Orders[[#This Row],[Logistics_ID]],Logistics_Catalog[[#All],[Logistics_ID]],Logistics_Catalog[[#All],[Client_Charge]],0,0)</f>
        <v>18000</v>
      </c>
      <c r="G350">
        <f>Logistics_Orders[[#This Row],[Client_Charge]]-Logistics_Orders[[#This Row],[Cost]]</f>
        <v>3000</v>
      </c>
      <c r="H350" t="s">
        <v>181</v>
      </c>
    </row>
    <row r="351" spans="1:8" x14ac:dyDescent="0.25">
      <c r="A351">
        <v>72</v>
      </c>
      <c r="B351" t="s">
        <v>182</v>
      </c>
      <c r="C351" cm="1">
        <f t="array" ref="C351">_xlfn.XLOOKUP(Logistics_Orders[[#This Row],[Logistics_ID]],Logistics_Catalog[[#All],[Logistics_ID]],Logistics_Catalog[[#All],[Base_Quantity]],0,0)</f>
        <v>1</v>
      </c>
      <c r="D351" cm="1">
        <f t="array" ref="D351">IF(Logistics_Orders[[#This Row],[Item]]="Chairs &amp; Tables",CEILING(_xlfn.XLOOKUP(Logistics_Orders[[#This Row],[Event_No]],Event_Master[[#All],[Event_No]],Event_Master[[#All],[Guest_Count]],,0)/Logistics_Orders[[#This Row],[Base_Quantity]],1),1)</f>
        <v>1</v>
      </c>
      <c r="E351" cm="1">
        <f t="array" ref="E351">Logistics_Orders[[#This Row],[Quantity_Ordered]]*_xlfn.XLOOKUP(Logistics_Orders[[#This Row],[Logistics_ID]],Logistics_Catalog[[#All],[Logistics_ID]],Logistics_Catalog[[#All],[Cost]],0,0)</f>
        <v>12000</v>
      </c>
      <c r="F351" cm="1">
        <f t="array" ref="F351">Logistics_Orders[[#This Row],[Quantity_Ordered]]*_xlfn.XLOOKUP(Logistics_Orders[[#This Row],[Logistics_ID]],Logistics_Catalog[[#All],[Logistics_ID]],Logistics_Catalog[[#All],[Client_Charge]],0,0)</f>
        <v>14500</v>
      </c>
      <c r="G351">
        <f>Logistics_Orders[[#This Row],[Client_Charge]]-Logistics_Orders[[#This Row],[Cost]]</f>
        <v>2500</v>
      </c>
      <c r="H351" t="s">
        <v>186</v>
      </c>
    </row>
    <row r="352" spans="1:8" x14ac:dyDescent="0.25">
      <c r="A352">
        <v>72</v>
      </c>
      <c r="B352" t="s">
        <v>191</v>
      </c>
      <c r="C352" cm="1">
        <f t="array" ref="C352">_xlfn.XLOOKUP(Logistics_Orders[[#This Row],[Logistics_ID]],Logistics_Catalog[[#All],[Logistics_ID]],Logistics_Catalog[[#All],[Base_Quantity]],0,0)</f>
        <v>5</v>
      </c>
      <c r="D352" cm="1">
        <f t="array" ref="D352">IF(Logistics_Orders[[#This Row],[Item]]="Chairs &amp; Tables",CEILING(_xlfn.XLOOKUP(Logistics_Orders[[#This Row],[Event_No]],Event_Master[[#All],[Event_No]],Event_Master[[#All],[Guest_Count]],,0)/Logistics_Orders[[#This Row],[Base_Quantity]],1),1)</f>
        <v>1</v>
      </c>
      <c r="E352" cm="1">
        <f t="array" ref="E352">Logistics_Orders[[#This Row],[Quantity_Ordered]]*_xlfn.XLOOKUP(Logistics_Orders[[#This Row],[Logistics_ID]],Logistics_Catalog[[#All],[Logistics_ID]],Logistics_Catalog[[#All],[Cost]],0,0)</f>
        <v>3000</v>
      </c>
      <c r="F352" cm="1">
        <f t="array" ref="F352">Logistics_Orders[[#This Row],[Quantity_Ordered]]*_xlfn.XLOOKUP(Logistics_Orders[[#This Row],[Logistics_ID]],Logistics_Catalog[[#All],[Logistics_ID]],Logistics_Catalog[[#All],[Client_Charge]],0,0)</f>
        <v>3600</v>
      </c>
      <c r="G352">
        <f>Logistics_Orders[[#This Row],[Client_Charge]]-Logistics_Orders[[#This Row],[Cost]]</f>
        <v>600</v>
      </c>
      <c r="H352" t="s">
        <v>194</v>
      </c>
    </row>
    <row r="353" spans="1:8" x14ac:dyDescent="0.25">
      <c r="A353">
        <v>72</v>
      </c>
      <c r="B353" t="s">
        <v>195</v>
      </c>
      <c r="C353" cm="1">
        <f t="array" ref="C353">_xlfn.XLOOKUP(Logistics_Orders[[#This Row],[Logistics_ID]],Logistics_Catalog[[#All],[Logistics_ID]],Logistics_Catalog[[#All],[Base_Quantity]],0,0)</f>
        <v>10</v>
      </c>
      <c r="D353" cm="1">
        <f t="array" ref="D353">IF(Logistics_Orders[[#This Row],[Item]]="Chairs &amp; Tables",CEILING(_xlfn.XLOOKUP(Logistics_Orders[[#This Row],[Event_No]],Event_Master[[#All],[Event_No]],Event_Master[[#All],[Guest_Count]],,0)/Logistics_Orders[[#This Row],[Base_Quantity]],1),1)</f>
        <v>1</v>
      </c>
      <c r="E353" cm="1">
        <f t="array" ref="E353">Logistics_Orders[[#This Row],[Quantity_Ordered]]*_xlfn.XLOOKUP(Logistics_Orders[[#This Row],[Logistics_ID]],Logistics_Catalog[[#All],[Logistics_ID]],Logistics_Catalog[[#All],[Cost]],0,0)</f>
        <v>6000</v>
      </c>
      <c r="F353" cm="1">
        <f t="array" ref="F353">Logistics_Orders[[#This Row],[Quantity_Ordered]]*_xlfn.XLOOKUP(Logistics_Orders[[#This Row],[Logistics_ID]],Logistics_Catalog[[#All],[Logistics_ID]],Logistics_Catalog[[#All],[Client_Charge]],0,0)</f>
        <v>7200</v>
      </c>
      <c r="G353">
        <f>Logistics_Orders[[#This Row],[Client_Charge]]-Logistics_Orders[[#This Row],[Cost]]</f>
        <v>1200</v>
      </c>
      <c r="H353" t="s">
        <v>198</v>
      </c>
    </row>
    <row r="354" spans="1:8" x14ac:dyDescent="0.25">
      <c r="A354">
        <v>72</v>
      </c>
      <c r="B354" t="s">
        <v>187</v>
      </c>
      <c r="C354" cm="1">
        <f t="array" ref="C354">_xlfn.XLOOKUP(Logistics_Orders[[#This Row],[Logistics_ID]],Logistics_Catalog[[#All],[Logistics_ID]],Logistics_Catalog[[#All],[Base_Quantity]],0,0)</f>
        <v>1</v>
      </c>
      <c r="D354" cm="1">
        <f t="array" ref="D354">IF(Logistics_Orders[[#This Row],[Item]]="Chairs &amp; Tables",CEILING(_xlfn.XLOOKUP(Logistics_Orders[[#This Row],[Event_No]],Event_Master[[#All],[Event_No]],Event_Master[[#All],[Guest_Count]],,0)/Logistics_Orders[[#This Row],[Base_Quantity]],1),1)</f>
        <v>1</v>
      </c>
      <c r="E354" cm="1">
        <f t="array" ref="E354">Logistics_Orders[[#This Row],[Quantity_Ordered]]*_xlfn.XLOOKUP(Logistics_Orders[[#This Row],[Logistics_ID]],Logistics_Catalog[[#All],[Logistics_ID]],Logistics_Catalog[[#All],[Cost]],0,0)</f>
        <v>8000</v>
      </c>
      <c r="F354" cm="1">
        <f t="array" ref="F354">Logistics_Orders[[#This Row],[Quantity_Ordered]]*_xlfn.XLOOKUP(Logistics_Orders[[#This Row],[Logistics_ID]],Logistics_Catalog[[#All],[Logistics_ID]],Logistics_Catalog[[#All],[Client_Charge]],0,0)</f>
        <v>9500</v>
      </c>
      <c r="G354">
        <f>Logistics_Orders[[#This Row],[Client_Charge]]-Logistics_Orders[[#This Row],[Cost]]</f>
        <v>1500</v>
      </c>
      <c r="H354" t="s">
        <v>190</v>
      </c>
    </row>
    <row r="355" spans="1:8" x14ac:dyDescent="0.25">
      <c r="A355">
        <v>73</v>
      </c>
      <c r="B355" t="s">
        <v>177</v>
      </c>
      <c r="C355" cm="1">
        <f t="array" ref="C355">_xlfn.XLOOKUP(Logistics_Orders[[#This Row],[Logistics_ID]],Logistics_Catalog[[#All],[Logistics_ID]],Logistics_Catalog[[#All],[Base_Quantity]],0,0)</f>
        <v>300</v>
      </c>
      <c r="D355" cm="1">
        <f t="array" ref="D355">IF(Logistics_Orders[[#This Row],[Item]]="Chairs &amp; Tables",CEILING(_xlfn.XLOOKUP(Logistics_Orders[[#This Row],[Event_No]],Event_Master[[#All],[Event_No]],Event_Master[[#All],[Guest_Count]],,0)/Logistics_Orders[[#This Row],[Base_Quantity]],1),1)</f>
        <v>3</v>
      </c>
      <c r="E355" cm="1">
        <f t="array" ref="E355">Logistics_Orders[[#This Row],[Quantity_Ordered]]*_xlfn.XLOOKUP(Logistics_Orders[[#This Row],[Logistics_ID]],Logistics_Catalog[[#All],[Logistics_ID]],Logistics_Catalog[[#All],[Cost]],0,0)</f>
        <v>45000</v>
      </c>
      <c r="F355" cm="1">
        <f t="array" ref="F355">Logistics_Orders[[#This Row],[Quantity_Ordered]]*_xlfn.XLOOKUP(Logistics_Orders[[#This Row],[Logistics_ID]],Logistics_Catalog[[#All],[Logistics_ID]],Logistics_Catalog[[#All],[Client_Charge]],0,0)</f>
        <v>54000</v>
      </c>
      <c r="G355">
        <f>Logistics_Orders[[#This Row],[Client_Charge]]-Logistics_Orders[[#This Row],[Cost]]</f>
        <v>9000</v>
      </c>
      <c r="H355" t="s">
        <v>181</v>
      </c>
    </row>
    <row r="356" spans="1:8" x14ac:dyDescent="0.25">
      <c r="A356">
        <v>73</v>
      </c>
      <c r="B356" t="s">
        <v>182</v>
      </c>
      <c r="C356" cm="1">
        <f t="array" ref="C356">_xlfn.XLOOKUP(Logistics_Orders[[#This Row],[Logistics_ID]],Logistics_Catalog[[#All],[Logistics_ID]],Logistics_Catalog[[#All],[Base_Quantity]],0,0)</f>
        <v>1</v>
      </c>
      <c r="D356" cm="1">
        <f t="array" ref="D356">IF(Logistics_Orders[[#This Row],[Item]]="Chairs &amp; Tables",CEILING(_xlfn.XLOOKUP(Logistics_Orders[[#This Row],[Event_No]],Event_Master[[#All],[Event_No]],Event_Master[[#All],[Guest_Count]],,0)/Logistics_Orders[[#This Row],[Base_Quantity]],1),1)</f>
        <v>1</v>
      </c>
      <c r="E356" cm="1">
        <f t="array" ref="E356">Logistics_Orders[[#This Row],[Quantity_Ordered]]*_xlfn.XLOOKUP(Logistics_Orders[[#This Row],[Logistics_ID]],Logistics_Catalog[[#All],[Logistics_ID]],Logistics_Catalog[[#All],[Cost]],0,0)</f>
        <v>12000</v>
      </c>
      <c r="F356" cm="1">
        <f t="array" ref="F356">Logistics_Orders[[#This Row],[Quantity_Ordered]]*_xlfn.XLOOKUP(Logistics_Orders[[#This Row],[Logistics_ID]],Logistics_Catalog[[#All],[Logistics_ID]],Logistics_Catalog[[#All],[Client_Charge]],0,0)</f>
        <v>14500</v>
      </c>
      <c r="G356">
        <f>Logistics_Orders[[#This Row],[Client_Charge]]-Logistics_Orders[[#This Row],[Cost]]</f>
        <v>2500</v>
      </c>
      <c r="H356" t="s">
        <v>186</v>
      </c>
    </row>
    <row r="357" spans="1:8" x14ac:dyDescent="0.25">
      <c r="A357">
        <v>73</v>
      </c>
      <c r="B357" t="s">
        <v>191</v>
      </c>
      <c r="C357" cm="1">
        <f t="array" ref="C357">_xlfn.XLOOKUP(Logistics_Orders[[#This Row],[Logistics_ID]],Logistics_Catalog[[#All],[Logistics_ID]],Logistics_Catalog[[#All],[Base_Quantity]],0,0)</f>
        <v>5</v>
      </c>
      <c r="D357" cm="1">
        <f t="array" ref="D357">IF(Logistics_Orders[[#This Row],[Item]]="Chairs &amp; Tables",CEILING(_xlfn.XLOOKUP(Logistics_Orders[[#This Row],[Event_No]],Event_Master[[#All],[Event_No]],Event_Master[[#All],[Guest_Count]],,0)/Logistics_Orders[[#This Row],[Base_Quantity]],1),1)</f>
        <v>1</v>
      </c>
      <c r="E357" cm="1">
        <f t="array" ref="E357">Logistics_Orders[[#This Row],[Quantity_Ordered]]*_xlfn.XLOOKUP(Logistics_Orders[[#This Row],[Logistics_ID]],Logistics_Catalog[[#All],[Logistics_ID]],Logistics_Catalog[[#All],[Cost]],0,0)</f>
        <v>3000</v>
      </c>
      <c r="F357" cm="1">
        <f t="array" ref="F357">Logistics_Orders[[#This Row],[Quantity_Ordered]]*_xlfn.XLOOKUP(Logistics_Orders[[#This Row],[Logistics_ID]],Logistics_Catalog[[#All],[Logistics_ID]],Logistics_Catalog[[#All],[Client_Charge]],0,0)</f>
        <v>3600</v>
      </c>
      <c r="G357">
        <f>Logistics_Orders[[#This Row],[Client_Charge]]-Logistics_Orders[[#This Row],[Cost]]</f>
        <v>600</v>
      </c>
      <c r="H357" t="s">
        <v>194</v>
      </c>
    </row>
    <row r="358" spans="1:8" x14ac:dyDescent="0.25">
      <c r="A358">
        <v>73</v>
      </c>
      <c r="B358" t="s">
        <v>195</v>
      </c>
      <c r="C358" cm="1">
        <f t="array" ref="C358">_xlfn.XLOOKUP(Logistics_Orders[[#This Row],[Logistics_ID]],Logistics_Catalog[[#All],[Logistics_ID]],Logistics_Catalog[[#All],[Base_Quantity]],0,0)</f>
        <v>10</v>
      </c>
      <c r="D358" cm="1">
        <f t="array" ref="D358">IF(Logistics_Orders[[#This Row],[Item]]="Chairs &amp; Tables",CEILING(_xlfn.XLOOKUP(Logistics_Orders[[#This Row],[Event_No]],Event_Master[[#All],[Event_No]],Event_Master[[#All],[Guest_Count]],,0)/Logistics_Orders[[#This Row],[Base_Quantity]],1),1)</f>
        <v>1</v>
      </c>
      <c r="E358" cm="1">
        <f t="array" ref="E358">Logistics_Orders[[#This Row],[Quantity_Ordered]]*_xlfn.XLOOKUP(Logistics_Orders[[#This Row],[Logistics_ID]],Logistics_Catalog[[#All],[Logistics_ID]],Logistics_Catalog[[#All],[Cost]],0,0)</f>
        <v>6000</v>
      </c>
      <c r="F358" cm="1">
        <f t="array" ref="F358">Logistics_Orders[[#This Row],[Quantity_Ordered]]*_xlfn.XLOOKUP(Logistics_Orders[[#This Row],[Logistics_ID]],Logistics_Catalog[[#All],[Logistics_ID]],Logistics_Catalog[[#All],[Client_Charge]],0,0)</f>
        <v>7200</v>
      </c>
      <c r="G358">
        <f>Logistics_Orders[[#This Row],[Client_Charge]]-Logistics_Orders[[#This Row],[Cost]]</f>
        <v>1200</v>
      </c>
      <c r="H358" t="s">
        <v>198</v>
      </c>
    </row>
    <row r="359" spans="1:8" x14ac:dyDescent="0.25">
      <c r="A359">
        <v>73</v>
      </c>
      <c r="B359" t="s">
        <v>187</v>
      </c>
      <c r="C359" cm="1">
        <f t="array" ref="C359">_xlfn.XLOOKUP(Logistics_Orders[[#This Row],[Logistics_ID]],Logistics_Catalog[[#All],[Logistics_ID]],Logistics_Catalog[[#All],[Base_Quantity]],0,0)</f>
        <v>1</v>
      </c>
      <c r="D359" cm="1">
        <f t="array" ref="D359">IF(Logistics_Orders[[#This Row],[Item]]="Chairs &amp; Tables",CEILING(_xlfn.XLOOKUP(Logistics_Orders[[#This Row],[Event_No]],Event_Master[[#All],[Event_No]],Event_Master[[#All],[Guest_Count]],,0)/Logistics_Orders[[#This Row],[Base_Quantity]],1),1)</f>
        <v>1</v>
      </c>
      <c r="E359" cm="1">
        <f t="array" ref="E359">Logistics_Orders[[#This Row],[Quantity_Ordered]]*_xlfn.XLOOKUP(Logistics_Orders[[#This Row],[Logistics_ID]],Logistics_Catalog[[#All],[Logistics_ID]],Logistics_Catalog[[#All],[Cost]],0,0)</f>
        <v>8000</v>
      </c>
      <c r="F359" cm="1">
        <f t="array" ref="F359">Logistics_Orders[[#This Row],[Quantity_Ordered]]*_xlfn.XLOOKUP(Logistics_Orders[[#This Row],[Logistics_ID]],Logistics_Catalog[[#All],[Logistics_ID]],Logistics_Catalog[[#All],[Client_Charge]],0,0)</f>
        <v>9500</v>
      </c>
      <c r="G359">
        <f>Logistics_Orders[[#This Row],[Client_Charge]]-Logistics_Orders[[#This Row],[Cost]]</f>
        <v>1500</v>
      </c>
      <c r="H359" t="s">
        <v>190</v>
      </c>
    </row>
    <row r="360" spans="1:8" x14ac:dyDescent="0.25">
      <c r="A360">
        <v>74</v>
      </c>
      <c r="B360" t="s">
        <v>177</v>
      </c>
      <c r="C360" cm="1">
        <f t="array" ref="C360">_xlfn.XLOOKUP(Logistics_Orders[[#This Row],[Logistics_ID]],Logistics_Catalog[[#All],[Logistics_ID]],Logistics_Catalog[[#All],[Base_Quantity]],0,0)</f>
        <v>300</v>
      </c>
      <c r="D360" cm="1">
        <f t="array" ref="D360">IF(Logistics_Orders[[#This Row],[Item]]="Chairs &amp; Tables",CEILING(_xlfn.XLOOKUP(Logistics_Orders[[#This Row],[Event_No]],Event_Master[[#All],[Event_No]],Event_Master[[#All],[Guest_Count]],,0)/Logistics_Orders[[#This Row],[Base_Quantity]],1),1)</f>
        <v>2</v>
      </c>
      <c r="E360" cm="1">
        <f t="array" ref="E360">Logistics_Orders[[#This Row],[Quantity_Ordered]]*_xlfn.XLOOKUP(Logistics_Orders[[#This Row],[Logistics_ID]],Logistics_Catalog[[#All],[Logistics_ID]],Logistics_Catalog[[#All],[Cost]],0,0)</f>
        <v>30000</v>
      </c>
      <c r="F360" cm="1">
        <f t="array" ref="F360">Logistics_Orders[[#This Row],[Quantity_Ordered]]*_xlfn.XLOOKUP(Logistics_Orders[[#This Row],[Logistics_ID]],Logistics_Catalog[[#All],[Logistics_ID]],Logistics_Catalog[[#All],[Client_Charge]],0,0)</f>
        <v>36000</v>
      </c>
      <c r="G360">
        <f>Logistics_Orders[[#This Row],[Client_Charge]]-Logistics_Orders[[#This Row],[Cost]]</f>
        <v>6000</v>
      </c>
      <c r="H360" t="s">
        <v>181</v>
      </c>
    </row>
    <row r="361" spans="1:8" x14ac:dyDescent="0.25">
      <c r="A361">
        <v>74</v>
      </c>
      <c r="B361" t="s">
        <v>182</v>
      </c>
      <c r="C361" cm="1">
        <f t="array" ref="C361">_xlfn.XLOOKUP(Logistics_Orders[[#This Row],[Logistics_ID]],Logistics_Catalog[[#All],[Logistics_ID]],Logistics_Catalog[[#All],[Base_Quantity]],0,0)</f>
        <v>1</v>
      </c>
      <c r="D361" cm="1">
        <f t="array" ref="D361">IF(Logistics_Orders[[#This Row],[Item]]="Chairs &amp; Tables",CEILING(_xlfn.XLOOKUP(Logistics_Orders[[#This Row],[Event_No]],Event_Master[[#All],[Event_No]],Event_Master[[#All],[Guest_Count]],,0)/Logistics_Orders[[#This Row],[Base_Quantity]],1),1)</f>
        <v>1</v>
      </c>
      <c r="E361" cm="1">
        <f t="array" ref="E361">Logistics_Orders[[#This Row],[Quantity_Ordered]]*_xlfn.XLOOKUP(Logistics_Orders[[#This Row],[Logistics_ID]],Logistics_Catalog[[#All],[Logistics_ID]],Logistics_Catalog[[#All],[Cost]],0,0)</f>
        <v>12000</v>
      </c>
      <c r="F361" cm="1">
        <f t="array" ref="F361">Logistics_Orders[[#This Row],[Quantity_Ordered]]*_xlfn.XLOOKUP(Logistics_Orders[[#This Row],[Logistics_ID]],Logistics_Catalog[[#All],[Logistics_ID]],Logistics_Catalog[[#All],[Client_Charge]],0,0)</f>
        <v>14500</v>
      </c>
      <c r="G361">
        <f>Logistics_Orders[[#This Row],[Client_Charge]]-Logistics_Orders[[#This Row],[Cost]]</f>
        <v>2500</v>
      </c>
      <c r="H361" t="s">
        <v>186</v>
      </c>
    </row>
    <row r="362" spans="1:8" x14ac:dyDescent="0.25">
      <c r="A362">
        <v>74</v>
      </c>
      <c r="B362" t="s">
        <v>191</v>
      </c>
      <c r="C362" cm="1">
        <f t="array" ref="C362">_xlfn.XLOOKUP(Logistics_Orders[[#This Row],[Logistics_ID]],Logistics_Catalog[[#All],[Logistics_ID]],Logistics_Catalog[[#All],[Base_Quantity]],0,0)</f>
        <v>5</v>
      </c>
      <c r="D362" cm="1">
        <f t="array" ref="D362">IF(Logistics_Orders[[#This Row],[Item]]="Chairs &amp; Tables",CEILING(_xlfn.XLOOKUP(Logistics_Orders[[#This Row],[Event_No]],Event_Master[[#All],[Event_No]],Event_Master[[#All],[Guest_Count]],,0)/Logistics_Orders[[#This Row],[Base_Quantity]],1),1)</f>
        <v>1</v>
      </c>
      <c r="E362" cm="1">
        <f t="array" ref="E362">Logistics_Orders[[#This Row],[Quantity_Ordered]]*_xlfn.XLOOKUP(Logistics_Orders[[#This Row],[Logistics_ID]],Logistics_Catalog[[#All],[Logistics_ID]],Logistics_Catalog[[#All],[Cost]],0,0)</f>
        <v>3000</v>
      </c>
      <c r="F362" cm="1">
        <f t="array" ref="F362">Logistics_Orders[[#This Row],[Quantity_Ordered]]*_xlfn.XLOOKUP(Logistics_Orders[[#This Row],[Logistics_ID]],Logistics_Catalog[[#All],[Logistics_ID]],Logistics_Catalog[[#All],[Client_Charge]],0,0)</f>
        <v>3600</v>
      </c>
      <c r="G362">
        <f>Logistics_Orders[[#This Row],[Client_Charge]]-Logistics_Orders[[#This Row],[Cost]]</f>
        <v>600</v>
      </c>
      <c r="H362" t="s">
        <v>194</v>
      </c>
    </row>
    <row r="363" spans="1:8" x14ac:dyDescent="0.25">
      <c r="A363">
        <v>74</v>
      </c>
      <c r="B363" t="s">
        <v>195</v>
      </c>
      <c r="C363" cm="1">
        <f t="array" ref="C363">_xlfn.XLOOKUP(Logistics_Orders[[#This Row],[Logistics_ID]],Logistics_Catalog[[#All],[Logistics_ID]],Logistics_Catalog[[#All],[Base_Quantity]],0,0)</f>
        <v>10</v>
      </c>
      <c r="D363" cm="1">
        <f t="array" ref="D363">IF(Logistics_Orders[[#This Row],[Item]]="Chairs &amp; Tables",CEILING(_xlfn.XLOOKUP(Logistics_Orders[[#This Row],[Event_No]],Event_Master[[#All],[Event_No]],Event_Master[[#All],[Guest_Count]],,0)/Logistics_Orders[[#This Row],[Base_Quantity]],1),1)</f>
        <v>1</v>
      </c>
      <c r="E363" cm="1">
        <f t="array" ref="E363">Logistics_Orders[[#This Row],[Quantity_Ordered]]*_xlfn.XLOOKUP(Logistics_Orders[[#This Row],[Logistics_ID]],Logistics_Catalog[[#All],[Logistics_ID]],Logistics_Catalog[[#All],[Cost]],0,0)</f>
        <v>6000</v>
      </c>
      <c r="F363" cm="1">
        <f t="array" ref="F363">Logistics_Orders[[#This Row],[Quantity_Ordered]]*_xlfn.XLOOKUP(Logistics_Orders[[#This Row],[Logistics_ID]],Logistics_Catalog[[#All],[Logistics_ID]],Logistics_Catalog[[#All],[Client_Charge]],0,0)</f>
        <v>7200</v>
      </c>
      <c r="G363">
        <f>Logistics_Orders[[#This Row],[Client_Charge]]-Logistics_Orders[[#This Row],[Cost]]</f>
        <v>1200</v>
      </c>
      <c r="H363" t="s">
        <v>198</v>
      </c>
    </row>
    <row r="364" spans="1:8" x14ac:dyDescent="0.25">
      <c r="A364">
        <v>74</v>
      </c>
      <c r="B364" t="s">
        <v>187</v>
      </c>
      <c r="C364" cm="1">
        <f t="array" ref="C364">_xlfn.XLOOKUP(Logistics_Orders[[#This Row],[Logistics_ID]],Logistics_Catalog[[#All],[Logistics_ID]],Logistics_Catalog[[#All],[Base_Quantity]],0,0)</f>
        <v>1</v>
      </c>
      <c r="D364" cm="1">
        <f t="array" ref="D364">IF(Logistics_Orders[[#This Row],[Item]]="Chairs &amp; Tables",CEILING(_xlfn.XLOOKUP(Logistics_Orders[[#This Row],[Event_No]],Event_Master[[#All],[Event_No]],Event_Master[[#All],[Guest_Count]],,0)/Logistics_Orders[[#This Row],[Base_Quantity]],1),1)</f>
        <v>1</v>
      </c>
      <c r="E364" cm="1">
        <f t="array" ref="E364">Logistics_Orders[[#This Row],[Quantity_Ordered]]*_xlfn.XLOOKUP(Logistics_Orders[[#This Row],[Logistics_ID]],Logistics_Catalog[[#All],[Logistics_ID]],Logistics_Catalog[[#All],[Cost]],0,0)</f>
        <v>8000</v>
      </c>
      <c r="F364" cm="1">
        <f t="array" ref="F364">Logistics_Orders[[#This Row],[Quantity_Ordered]]*_xlfn.XLOOKUP(Logistics_Orders[[#This Row],[Logistics_ID]],Logistics_Catalog[[#All],[Logistics_ID]],Logistics_Catalog[[#All],[Client_Charge]],0,0)</f>
        <v>9500</v>
      </c>
      <c r="G364">
        <f>Logistics_Orders[[#This Row],[Client_Charge]]-Logistics_Orders[[#This Row],[Cost]]</f>
        <v>1500</v>
      </c>
      <c r="H364" t="s">
        <v>190</v>
      </c>
    </row>
    <row r="365" spans="1:8" x14ac:dyDescent="0.25">
      <c r="A365">
        <v>75</v>
      </c>
      <c r="B365" t="s">
        <v>177</v>
      </c>
      <c r="C365" cm="1">
        <f t="array" ref="C365">_xlfn.XLOOKUP(Logistics_Orders[[#This Row],[Logistics_ID]],Logistics_Catalog[[#All],[Logistics_ID]],Logistics_Catalog[[#All],[Base_Quantity]],0,0)</f>
        <v>300</v>
      </c>
      <c r="D365" cm="1">
        <f t="array" ref="D365">IF(Logistics_Orders[[#This Row],[Item]]="Chairs &amp; Tables",CEILING(_xlfn.XLOOKUP(Logistics_Orders[[#This Row],[Event_No]],Event_Master[[#All],[Event_No]],Event_Master[[#All],[Guest_Count]],,0)/Logistics_Orders[[#This Row],[Base_Quantity]],1),1)</f>
        <v>2</v>
      </c>
      <c r="E365" cm="1">
        <f t="array" ref="E365">Logistics_Orders[[#This Row],[Quantity_Ordered]]*_xlfn.XLOOKUP(Logistics_Orders[[#This Row],[Logistics_ID]],Logistics_Catalog[[#All],[Logistics_ID]],Logistics_Catalog[[#All],[Cost]],0,0)</f>
        <v>30000</v>
      </c>
      <c r="F365" cm="1">
        <f t="array" ref="F365">Logistics_Orders[[#This Row],[Quantity_Ordered]]*_xlfn.XLOOKUP(Logistics_Orders[[#This Row],[Logistics_ID]],Logistics_Catalog[[#All],[Logistics_ID]],Logistics_Catalog[[#All],[Client_Charge]],0,0)</f>
        <v>36000</v>
      </c>
      <c r="G365">
        <f>Logistics_Orders[[#This Row],[Client_Charge]]-Logistics_Orders[[#This Row],[Cost]]</f>
        <v>6000</v>
      </c>
      <c r="H365" t="s">
        <v>181</v>
      </c>
    </row>
    <row r="366" spans="1:8" x14ac:dyDescent="0.25">
      <c r="A366">
        <v>75</v>
      </c>
      <c r="B366" t="s">
        <v>182</v>
      </c>
      <c r="C366" cm="1">
        <f t="array" ref="C366">_xlfn.XLOOKUP(Logistics_Orders[[#This Row],[Logistics_ID]],Logistics_Catalog[[#All],[Logistics_ID]],Logistics_Catalog[[#All],[Base_Quantity]],0,0)</f>
        <v>1</v>
      </c>
      <c r="D366" cm="1">
        <f t="array" ref="D366">IF(Logistics_Orders[[#This Row],[Item]]="Chairs &amp; Tables",CEILING(_xlfn.XLOOKUP(Logistics_Orders[[#This Row],[Event_No]],Event_Master[[#All],[Event_No]],Event_Master[[#All],[Guest_Count]],,0)/Logistics_Orders[[#This Row],[Base_Quantity]],1),1)</f>
        <v>1</v>
      </c>
      <c r="E366" cm="1">
        <f t="array" ref="E366">Logistics_Orders[[#This Row],[Quantity_Ordered]]*_xlfn.XLOOKUP(Logistics_Orders[[#This Row],[Logistics_ID]],Logistics_Catalog[[#All],[Logistics_ID]],Logistics_Catalog[[#All],[Cost]],0,0)</f>
        <v>12000</v>
      </c>
      <c r="F366" cm="1">
        <f t="array" ref="F366">Logistics_Orders[[#This Row],[Quantity_Ordered]]*_xlfn.XLOOKUP(Logistics_Orders[[#This Row],[Logistics_ID]],Logistics_Catalog[[#All],[Logistics_ID]],Logistics_Catalog[[#All],[Client_Charge]],0,0)</f>
        <v>14500</v>
      </c>
      <c r="G366">
        <f>Logistics_Orders[[#This Row],[Client_Charge]]-Logistics_Orders[[#This Row],[Cost]]</f>
        <v>2500</v>
      </c>
      <c r="H366" t="s">
        <v>186</v>
      </c>
    </row>
    <row r="367" spans="1:8" x14ac:dyDescent="0.25">
      <c r="A367">
        <v>75</v>
      </c>
      <c r="B367" t="s">
        <v>191</v>
      </c>
      <c r="C367" cm="1">
        <f t="array" ref="C367">_xlfn.XLOOKUP(Logistics_Orders[[#This Row],[Logistics_ID]],Logistics_Catalog[[#All],[Logistics_ID]],Logistics_Catalog[[#All],[Base_Quantity]],0,0)</f>
        <v>5</v>
      </c>
      <c r="D367" cm="1">
        <f t="array" ref="D367">IF(Logistics_Orders[[#This Row],[Item]]="Chairs &amp; Tables",CEILING(_xlfn.XLOOKUP(Logistics_Orders[[#This Row],[Event_No]],Event_Master[[#All],[Event_No]],Event_Master[[#All],[Guest_Count]],,0)/Logistics_Orders[[#This Row],[Base_Quantity]],1),1)</f>
        <v>1</v>
      </c>
      <c r="E367" cm="1">
        <f t="array" ref="E367">Logistics_Orders[[#This Row],[Quantity_Ordered]]*_xlfn.XLOOKUP(Logistics_Orders[[#This Row],[Logistics_ID]],Logistics_Catalog[[#All],[Logistics_ID]],Logistics_Catalog[[#All],[Cost]],0,0)</f>
        <v>3000</v>
      </c>
      <c r="F367" cm="1">
        <f t="array" ref="F367">Logistics_Orders[[#This Row],[Quantity_Ordered]]*_xlfn.XLOOKUP(Logistics_Orders[[#This Row],[Logistics_ID]],Logistics_Catalog[[#All],[Logistics_ID]],Logistics_Catalog[[#All],[Client_Charge]],0,0)</f>
        <v>3600</v>
      </c>
      <c r="G367">
        <f>Logistics_Orders[[#This Row],[Client_Charge]]-Logistics_Orders[[#This Row],[Cost]]</f>
        <v>600</v>
      </c>
      <c r="H367" t="s">
        <v>194</v>
      </c>
    </row>
    <row r="368" spans="1:8" x14ac:dyDescent="0.25">
      <c r="A368">
        <v>75</v>
      </c>
      <c r="B368" t="s">
        <v>195</v>
      </c>
      <c r="C368" cm="1">
        <f t="array" ref="C368">_xlfn.XLOOKUP(Logistics_Orders[[#This Row],[Logistics_ID]],Logistics_Catalog[[#All],[Logistics_ID]],Logistics_Catalog[[#All],[Base_Quantity]],0,0)</f>
        <v>10</v>
      </c>
      <c r="D368" cm="1">
        <f t="array" ref="D368">IF(Logistics_Orders[[#This Row],[Item]]="Chairs &amp; Tables",CEILING(_xlfn.XLOOKUP(Logistics_Orders[[#This Row],[Event_No]],Event_Master[[#All],[Event_No]],Event_Master[[#All],[Guest_Count]],,0)/Logistics_Orders[[#This Row],[Base_Quantity]],1),1)</f>
        <v>1</v>
      </c>
      <c r="E368" cm="1">
        <f t="array" ref="E368">Logistics_Orders[[#This Row],[Quantity_Ordered]]*_xlfn.XLOOKUP(Logistics_Orders[[#This Row],[Logistics_ID]],Logistics_Catalog[[#All],[Logistics_ID]],Logistics_Catalog[[#All],[Cost]],0,0)</f>
        <v>6000</v>
      </c>
      <c r="F368" cm="1">
        <f t="array" ref="F368">Logistics_Orders[[#This Row],[Quantity_Ordered]]*_xlfn.XLOOKUP(Logistics_Orders[[#This Row],[Logistics_ID]],Logistics_Catalog[[#All],[Logistics_ID]],Logistics_Catalog[[#All],[Client_Charge]],0,0)</f>
        <v>7200</v>
      </c>
      <c r="G368">
        <f>Logistics_Orders[[#This Row],[Client_Charge]]-Logistics_Orders[[#This Row],[Cost]]</f>
        <v>1200</v>
      </c>
      <c r="H368" t="s">
        <v>198</v>
      </c>
    </row>
    <row r="369" spans="1:8" x14ac:dyDescent="0.25">
      <c r="A369">
        <v>75</v>
      </c>
      <c r="B369" t="s">
        <v>187</v>
      </c>
      <c r="C369" cm="1">
        <f t="array" ref="C369">_xlfn.XLOOKUP(Logistics_Orders[[#This Row],[Logistics_ID]],Logistics_Catalog[[#All],[Logistics_ID]],Logistics_Catalog[[#All],[Base_Quantity]],0,0)</f>
        <v>1</v>
      </c>
      <c r="D369" cm="1">
        <f t="array" ref="D369">IF(Logistics_Orders[[#This Row],[Item]]="Chairs &amp; Tables",CEILING(_xlfn.XLOOKUP(Logistics_Orders[[#This Row],[Event_No]],Event_Master[[#All],[Event_No]],Event_Master[[#All],[Guest_Count]],,0)/Logistics_Orders[[#This Row],[Base_Quantity]],1),1)</f>
        <v>1</v>
      </c>
      <c r="E369" cm="1">
        <f t="array" ref="E369">Logistics_Orders[[#This Row],[Quantity_Ordered]]*_xlfn.XLOOKUP(Logistics_Orders[[#This Row],[Logistics_ID]],Logistics_Catalog[[#All],[Logistics_ID]],Logistics_Catalog[[#All],[Cost]],0,0)</f>
        <v>8000</v>
      </c>
      <c r="F369" cm="1">
        <f t="array" ref="F369">Logistics_Orders[[#This Row],[Quantity_Ordered]]*_xlfn.XLOOKUP(Logistics_Orders[[#This Row],[Logistics_ID]],Logistics_Catalog[[#All],[Logistics_ID]],Logistics_Catalog[[#All],[Client_Charge]],0,0)</f>
        <v>9500</v>
      </c>
      <c r="G369">
        <f>Logistics_Orders[[#This Row],[Client_Charge]]-Logistics_Orders[[#This Row],[Cost]]</f>
        <v>1500</v>
      </c>
      <c r="H369" t="s">
        <v>190</v>
      </c>
    </row>
    <row r="370" spans="1:8" x14ac:dyDescent="0.25">
      <c r="A370">
        <v>76</v>
      </c>
      <c r="B370" t="s">
        <v>177</v>
      </c>
      <c r="C370" cm="1">
        <f t="array" ref="C370">_xlfn.XLOOKUP(Logistics_Orders[[#This Row],[Logistics_ID]],Logistics_Catalog[[#All],[Logistics_ID]],Logistics_Catalog[[#All],[Base_Quantity]],0,0)</f>
        <v>300</v>
      </c>
      <c r="D370" cm="1">
        <f t="array" ref="D370">IF(Logistics_Orders[[#This Row],[Item]]="Chairs &amp; Tables",CEILING(_xlfn.XLOOKUP(Logistics_Orders[[#This Row],[Event_No]],Event_Master[[#All],[Event_No]],Event_Master[[#All],[Guest_Count]],,0)/Logistics_Orders[[#This Row],[Base_Quantity]],1),1)</f>
        <v>3</v>
      </c>
      <c r="E370" cm="1">
        <f t="array" ref="E370">Logistics_Orders[[#This Row],[Quantity_Ordered]]*_xlfn.XLOOKUP(Logistics_Orders[[#This Row],[Logistics_ID]],Logistics_Catalog[[#All],[Logistics_ID]],Logistics_Catalog[[#All],[Cost]],0,0)</f>
        <v>45000</v>
      </c>
      <c r="F370" cm="1">
        <f t="array" ref="F370">Logistics_Orders[[#This Row],[Quantity_Ordered]]*_xlfn.XLOOKUP(Logistics_Orders[[#This Row],[Logistics_ID]],Logistics_Catalog[[#All],[Logistics_ID]],Logistics_Catalog[[#All],[Client_Charge]],0,0)</f>
        <v>54000</v>
      </c>
      <c r="G370">
        <f>Logistics_Orders[[#This Row],[Client_Charge]]-Logistics_Orders[[#This Row],[Cost]]</f>
        <v>9000</v>
      </c>
      <c r="H370" t="s">
        <v>181</v>
      </c>
    </row>
    <row r="371" spans="1:8" x14ac:dyDescent="0.25">
      <c r="A371">
        <v>76</v>
      </c>
      <c r="B371" t="s">
        <v>182</v>
      </c>
      <c r="C371" cm="1">
        <f t="array" ref="C371">_xlfn.XLOOKUP(Logistics_Orders[[#This Row],[Logistics_ID]],Logistics_Catalog[[#All],[Logistics_ID]],Logistics_Catalog[[#All],[Base_Quantity]],0,0)</f>
        <v>1</v>
      </c>
      <c r="D371" cm="1">
        <f t="array" ref="D371">IF(Logistics_Orders[[#This Row],[Item]]="Chairs &amp; Tables",CEILING(_xlfn.XLOOKUP(Logistics_Orders[[#This Row],[Event_No]],Event_Master[[#All],[Event_No]],Event_Master[[#All],[Guest_Count]],,0)/Logistics_Orders[[#This Row],[Base_Quantity]],1),1)</f>
        <v>1</v>
      </c>
      <c r="E371" cm="1">
        <f t="array" ref="E371">Logistics_Orders[[#This Row],[Quantity_Ordered]]*_xlfn.XLOOKUP(Logistics_Orders[[#This Row],[Logistics_ID]],Logistics_Catalog[[#All],[Logistics_ID]],Logistics_Catalog[[#All],[Cost]],0,0)</f>
        <v>12000</v>
      </c>
      <c r="F371" cm="1">
        <f t="array" ref="F371">Logistics_Orders[[#This Row],[Quantity_Ordered]]*_xlfn.XLOOKUP(Logistics_Orders[[#This Row],[Logistics_ID]],Logistics_Catalog[[#All],[Logistics_ID]],Logistics_Catalog[[#All],[Client_Charge]],0,0)</f>
        <v>14500</v>
      </c>
      <c r="G371">
        <f>Logistics_Orders[[#This Row],[Client_Charge]]-Logistics_Orders[[#This Row],[Cost]]</f>
        <v>2500</v>
      </c>
      <c r="H371" t="s">
        <v>186</v>
      </c>
    </row>
    <row r="372" spans="1:8" x14ac:dyDescent="0.25">
      <c r="A372">
        <v>76</v>
      </c>
      <c r="B372" t="s">
        <v>191</v>
      </c>
      <c r="C372" cm="1">
        <f t="array" ref="C372">_xlfn.XLOOKUP(Logistics_Orders[[#This Row],[Logistics_ID]],Logistics_Catalog[[#All],[Logistics_ID]],Logistics_Catalog[[#All],[Base_Quantity]],0,0)</f>
        <v>5</v>
      </c>
      <c r="D372" cm="1">
        <f t="array" ref="D372">IF(Logistics_Orders[[#This Row],[Item]]="Chairs &amp; Tables",CEILING(_xlfn.XLOOKUP(Logistics_Orders[[#This Row],[Event_No]],Event_Master[[#All],[Event_No]],Event_Master[[#All],[Guest_Count]],,0)/Logistics_Orders[[#This Row],[Base_Quantity]],1),1)</f>
        <v>1</v>
      </c>
      <c r="E372" cm="1">
        <f t="array" ref="E372">Logistics_Orders[[#This Row],[Quantity_Ordered]]*_xlfn.XLOOKUP(Logistics_Orders[[#This Row],[Logistics_ID]],Logistics_Catalog[[#All],[Logistics_ID]],Logistics_Catalog[[#All],[Cost]],0,0)</f>
        <v>3000</v>
      </c>
      <c r="F372" cm="1">
        <f t="array" ref="F372">Logistics_Orders[[#This Row],[Quantity_Ordered]]*_xlfn.XLOOKUP(Logistics_Orders[[#This Row],[Logistics_ID]],Logistics_Catalog[[#All],[Logistics_ID]],Logistics_Catalog[[#All],[Client_Charge]],0,0)</f>
        <v>3600</v>
      </c>
      <c r="G372">
        <f>Logistics_Orders[[#This Row],[Client_Charge]]-Logistics_Orders[[#This Row],[Cost]]</f>
        <v>600</v>
      </c>
      <c r="H372" t="s">
        <v>194</v>
      </c>
    </row>
    <row r="373" spans="1:8" x14ac:dyDescent="0.25">
      <c r="A373">
        <v>76</v>
      </c>
      <c r="B373" t="s">
        <v>195</v>
      </c>
      <c r="C373" cm="1">
        <f t="array" ref="C373">_xlfn.XLOOKUP(Logistics_Orders[[#This Row],[Logistics_ID]],Logistics_Catalog[[#All],[Logistics_ID]],Logistics_Catalog[[#All],[Base_Quantity]],0,0)</f>
        <v>10</v>
      </c>
      <c r="D373" cm="1">
        <f t="array" ref="D373">IF(Logistics_Orders[[#This Row],[Item]]="Chairs &amp; Tables",CEILING(_xlfn.XLOOKUP(Logistics_Orders[[#This Row],[Event_No]],Event_Master[[#All],[Event_No]],Event_Master[[#All],[Guest_Count]],,0)/Logistics_Orders[[#This Row],[Base_Quantity]],1),1)</f>
        <v>1</v>
      </c>
      <c r="E373" cm="1">
        <f t="array" ref="E373">Logistics_Orders[[#This Row],[Quantity_Ordered]]*_xlfn.XLOOKUP(Logistics_Orders[[#This Row],[Logistics_ID]],Logistics_Catalog[[#All],[Logistics_ID]],Logistics_Catalog[[#All],[Cost]],0,0)</f>
        <v>6000</v>
      </c>
      <c r="F373" cm="1">
        <f t="array" ref="F373">Logistics_Orders[[#This Row],[Quantity_Ordered]]*_xlfn.XLOOKUP(Logistics_Orders[[#This Row],[Logistics_ID]],Logistics_Catalog[[#All],[Logistics_ID]],Logistics_Catalog[[#All],[Client_Charge]],0,0)</f>
        <v>7200</v>
      </c>
      <c r="G373">
        <f>Logistics_Orders[[#This Row],[Client_Charge]]-Logistics_Orders[[#This Row],[Cost]]</f>
        <v>1200</v>
      </c>
      <c r="H373" t="s">
        <v>198</v>
      </c>
    </row>
    <row r="374" spans="1:8" x14ac:dyDescent="0.25">
      <c r="A374">
        <v>76</v>
      </c>
      <c r="B374" t="s">
        <v>187</v>
      </c>
      <c r="C374" cm="1">
        <f t="array" ref="C374">_xlfn.XLOOKUP(Logistics_Orders[[#This Row],[Logistics_ID]],Logistics_Catalog[[#All],[Logistics_ID]],Logistics_Catalog[[#All],[Base_Quantity]],0,0)</f>
        <v>1</v>
      </c>
      <c r="D374" cm="1">
        <f t="array" ref="D374">IF(Logistics_Orders[[#This Row],[Item]]="Chairs &amp; Tables",CEILING(_xlfn.XLOOKUP(Logistics_Orders[[#This Row],[Event_No]],Event_Master[[#All],[Event_No]],Event_Master[[#All],[Guest_Count]],,0)/Logistics_Orders[[#This Row],[Base_Quantity]],1),1)</f>
        <v>1</v>
      </c>
      <c r="E374" cm="1">
        <f t="array" ref="E374">Logistics_Orders[[#This Row],[Quantity_Ordered]]*_xlfn.XLOOKUP(Logistics_Orders[[#This Row],[Logistics_ID]],Logistics_Catalog[[#All],[Logistics_ID]],Logistics_Catalog[[#All],[Cost]],0,0)</f>
        <v>8000</v>
      </c>
      <c r="F374" cm="1">
        <f t="array" ref="F374">Logistics_Orders[[#This Row],[Quantity_Ordered]]*_xlfn.XLOOKUP(Logistics_Orders[[#This Row],[Logistics_ID]],Logistics_Catalog[[#All],[Logistics_ID]],Logistics_Catalog[[#All],[Client_Charge]],0,0)</f>
        <v>9500</v>
      </c>
      <c r="G374">
        <f>Logistics_Orders[[#This Row],[Client_Charge]]-Logistics_Orders[[#This Row],[Cost]]</f>
        <v>1500</v>
      </c>
      <c r="H374" t="s">
        <v>190</v>
      </c>
    </row>
    <row r="375" spans="1:8" x14ac:dyDescent="0.25">
      <c r="A375">
        <v>77</v>
      </c>
      <c r="B375" t="s">
        <v>177</v>
      </c>
      <c r="C375" cm="1">
        <f t="array" ref="C375">_xlfn.XLOOKUP(Logistics_Orders[[#This Row],[Logistics_ID]],Logistics_Catalog[[#All],[Logistics_ID]],Logistics_Catalog[[#All],[Base_Quantity]],0,0)</f>
        <v>300</v>
      </c>
      <c r="D375" cm="1">
        <f t="array" ref="D375">IF(Logistics_Orders[[#This Row],[Item]]="Chairs &amp; Tables",CEILING(_xlfn.XLOOKUP(Logistics_Orders[[#This Row],[Event_No]],Event_Master[[#All],[Event_No]],Event_Master[[#All],[Guest_Count]],,0)/Logistics_Orders[[#This Row],[Base_Quantity]],1),1)</f>
        <v>3</v>
      </c>
      <c r="E375" cm="1">
        <f t="array" ref="E375">Logistics_Orders[[#This Row],[Quantity_Ordered]]*_xlfn.XLOOKUP(Logistics_Orders[[#This Row],[Logistics_ID]],Logistics_Catalog[[#All],[Logistics_ID]],Logistics_Catalog[[#All],[Cost]],0,0)</f>
        <v>45000</v>
      </c>
      <c r="F375" cm="1">
        <f t="array" ref="F375">Logistics_Orders[[#This Row],[Quantity_Ordered]]*_xlfn.XLOOKUP(Logistics_Orders[[#This Row],[Logistics_ID]],Logistics_Catalog[[#All],[Logistics_ID]],Logistics_Catalog[[#All],[Client_Charge]],0,0)</f>
        <v>54000</v>
      </c>
      <c r="G375">
        <f>Logistics_Orders[[#This Row],[Client_Charge]]-Logistics_Orders[[#This Row],[Cost]]</f>
        <v>9000</v>
      </c>
      <c r="H375" t="s">
        <v>181</v>
      </c>
    </row>
    <row r="376" spans="1:8" x14ac:dyDescent="0.25">
      <c r="A376">
        <v>77</v>
      </c>
      <c r="B376" t="s">
        <v>182</v>
      </c>
      <c r="C376" cm="1">
        <f t="array" ref="C376">_xlfn.XLOOKUP(Logistics_Orders[[#This Row],[Logistics_ID]],Logistics_Catalog[[#All],[Logistics_ID]],Logistics_Catalog[[#All],[Base_Quantity]],0,0)</f>
        <v>1</v>
      </c>
      <c r="D376" cm="1">
        <f t="array" ref="D376">IF(Logistics_Orders[[#This Row],[Item]]="Chairs &amp; Tables",CEILING(_xlfn.XLOOKUP(Logistics_Orders[[#This Row],[Event_No]],Event_Master[[#All],[Event_No]],Event_Master[[#All],[Guest_Count]],,0)/Logistics_Orders[[#This Row],[Base_Quantity]],1),1)</f>
        <v>1</v>
      </c>
      <c r="E376" cm="1">
        <f t="array" ref="E376">Logistics_Orders[[#This Row],[Quantity_Ordered]]*_xlfn.XLOOKUP(Logistics_Orders[[#This Row],[Logistics_ID]],Logistics_Catalog[[#All],[Logistics_ID]],Logistics_Catalog[[#All],[Cost]],0,0)</f>
        <v>12000</v>
      </c>
      <c r="F376" cm="1">
        <f t="array" ref="F376">Logistics_Orders[[#This Row],[Quantity_Ordered]]*_xlfn.XLOOKUP(Logistics_Orders[[#This Row],[Logistics_ID]],Logistics_Catalog[[#All],[Logistics_ID]],Logistics_Catalog[[#All],[Client_Charge]],0,0)</f>
        <v>14500</v>
      </c>
      <c r="G376">
        <f>Logistics_Orders[[#This Row],[Client_Charge]]-Logistics_Orders[[#This Row],[Cost]]</f>
        <v>2500</v>
      </c>
      <c r="H376" t="s">
        <v>186</v>
      </c>
    </row>
    <row r="377" spans="1:8" x14ac:dyDescent="0.25">
      <c r="A377">
        <v>77</v>
      </c>
      <c r="B377" t="s">
        <v>191</v>
      </c>
      <c r="C377" cm="1">
        <f t="array" ref="C377">_xlfn.XLOOKUP(Logistics_Orders[[#This Row],[Logistics_ID]],Logistics_Catalog[[#All],[Logistics_ID]],Logistics_Catalog[[#All],[Base_Quantity]],0,0)</f>
        <v>5</v>
      </c>
      <c r="D377" cm="1">
        <f t="array" ref="D377">IF(Logistics_Orders[[#This Row],[Item]]="Chairs &amp; Tables",CEILING(_xlfn.XLOOKUP(Logistics_Orders[[#This Row],[Event_No]],Event_Master[[#All],[Event_No]],Event_Master[[#All],[Guest_Count]],,0)/Logistics_Orders[[#This Row],[Base_Quantity]],1),1)</f>
        <v>1</v>
      </c>
      <c r="E377" cm="1">
        <f t="array" ref="E377">Logistics_Orders[[#This Row],[Quantity_Ordered]]*_xlfn.XLOOKUP(Logistics_Orders[[#This Row],[Logistics_ID]],Logistics_Catalog[[#All],[Logistics_ID]],Logistics_Catalog[[#All],[Cost]],0,0)</f>
        <v>3000</v>
      </c>
      <c r="F377" cm="1">
        <f t="array" ref="F377">Logistics_Orders[[#This Row],[Quantity_Ordered]]*_xlfn.XLOOKUP(Logistics_Orders[[#This Row],[Logistics_ID]],Logistics_Catalog[[#All],[Logistics_ID]],Logistics_Catalog[[#All],[Client_Charge]],0,0)</f>
        <v>3600</v>
      </c>
      <c r="G377">
        <f>Logistics_Orders[[#This Row],[Client_Charge]]-Logistics_Orders[[#This Row],[Cost]]</f>
        <v>600</v>
      </c>
      <c r="H377" t="s">
        <v>194</v>
      </c>
    </row>
    <row r="378" spans="1:8" x14ac:dyDescent="0.25">
      <c r="A378">
        <v>77</v>
      </c>
      <c r="B378" t="s">
        <v>195</v>
      </c>
      <c r="C378" cm="1">
        <f t="array" ref="C378">_xlfn.XLOOKUP(Logistics_Orders[[#This Row],[Logistics_ID]],Logistics_Catalog[[#All],[Logistics_ID]],Logistics_Catalog[[#All],[Base_Quantity]],0,0)</f>
        <v>10</v>
      </c>
      <c r="D378" cm="1">
        <f t="array" ref="D378">IF(Logistics_Orders[[#This Row],[Item]]="Chairs &amp; Tables",CEILING(_xlfn.XLOOKUP(Logistics_Orders[[#This Row],[Event_No]],Event_Master[[#All],[Event_No]],Event_Master[[#All],[Guest_Count]],,0)/Logistics_Orders[[#This Row],[Base_Quantity]],1),1)</f>
        <v>1</v>
      </c>
      <c r="E378" cm="1">
        <f t="array" ref="E378">Logistics_Orders[[#This Row],[Quantity_Ordered]]*_xlfn.XLOOKUP(Logistics_Orders[[#This Row],[Logistics_ID]],Logistics_Catalog[[#All],[Logistics_ID]],Logistics_Catalog[[#All],[Cost]],0,0)</f>
        <v>6000</v>
      </c>
      <c r="F378" cm="1">
        <f t="array" ref="F378">Logistics_Orders[[#This Row],[Quantity_Ordered]]*_xlfn.XLOOKUP(Logistics_Orders[[#This Row],[Logistics_ID]],Logistics_Catalog[[#All],[Logistics_ID]],Logistics_Catalog[[#All],[Client_Charge]],0,0)</f>
        <v>7200</v>
      </c>
      <c r="G378">
        <f>Logistics_Orders[[#This Row],[Client_Charge]]-Logistics_Orders[[#This Row],[Cost]]</f>
        <v>1200</v>
      </c>
      <c r="H378" t="s">
        <v>198</v>
      </c>
    </row>
    <row r="379" spans="1:8" x14ac:dyDescent="0.25">
      <c r="A379">
        <v>77</v>
      </c>
      <c r="B379" t="s">
        <v>187</v>
      </c>
      <c r="C379" cm="1">
        <f t="array" ref="C379">_xlfn.XLOOKUP(Logistics_Orders[[#This Row],[Logistics_ID]],Logistics_Catalog[[#All],[Logistics_ID]],Logistics_Catalog[[#All],[Base_Quantity]],0,0)</f>
        <v>1</v>
      </c>
      <c r="D379" cm="1">
        <f t="array" ref="D379">IF(Logistics_Orders[[#This Row],[Item]]="Chairs &amp; Tables",CEILING(_xlfn.XLOOKUP(Logistics_Orders[[#This Row],[Event_No]],Event_Master[[#All],[Event_No]],Event_Master[[#All],[Guest_Count]],,0)/Logistics_Orders[[#This Row],[Base_Quantity]],1),1)</f>
        <v>1</v>
      </c>
      <c r="E379" cm="1">
        <f t="array" ref="E379">Logistics_Orders[[#This Row],[Quantity_Ordered]]*_xlfn.XLOOKUP(Logistics_Orders[[#This Row],[Logistics_ID]],Logistics_Catalog[[#All],[Logistics_ID]],Logistics_Catalog[[#All],[Cost]],0,0)</f>
        <v>8000</v>
      </c>
      <c r="F379" cm="1">
        <f t="array" ref="F379">Logistics_Orders[[#This Row],[Quantity_Ordered]]*_xlfn.XLOOKUP(Logistics_Orders[[#This Row],[Logistics_ID]],Logistics_Catalog[[#All],[Logistics_ID]],Logistics_Catalog[[#All],[Client_Charge]],0,0)</f>
        <v>9500</v>
      </c>
      <c r="G379">
        <f>Logistics_Orders[[#This Row],[Client_Charge]]-Logistics_Orders[[#This Row],[Cost]]</f>
        <v>1500</v>
      </c>
      <c r="H379" t="s">
        <v>190</v>
      </c>
    </row>
    <row r="380" spans="1:8" x14ac:dyDescent="0.25">
      <c r="A380">
        <v>78</v>
      </c>
      <c r="B380" t="s">
        <v>177</v>
      </c>
      <c r="C380" cm="1">
        <f t="array" ref="C380">_xlfn.XLOOKUP(Logistics_Orders[[#This Row],[Logistics_ID]],Logistics_Catalog[[#All],[Logistics_ID]],Logistics_Catalog[[#All],[Base_Quantity]],0,0)</f>
        <v>300</v>
      </c>
      <c r="D380" cm="1">
        <f t="array" ref="D380">IF(Logistics_Orders[[#This Row],[Item]]="Chairs &amp; Tables",CEILING(_xlfn.XLOOKUP(Logistics_Orders[[#This Row],[Event_No]],Event_Master[[#All],[Event_No]],Event_Master[[#All],[Guest_Count]],,0)/Logistics_Orders[[#This Row],[Base_Quantity]],1),1)</f>
        <v>4</v>
      </c>
      <c r="E380" cm="1">
        <f t="array" ref="E380">Logistics_Orders[[#This Row],[Quantity_Ordered]]*_xlfn.XLOOKUP(Logistics_Orders[[#This Row],[Logistics_ID]],Logistics_Catalog[[#All],[Logistics_ID]],Logistics_Catalog[[#All],[Cost]],0,0)</f>
        <v>60000</v>
      </c>
      <c r="F380" cm="1">
        <f t="array" ref="F380">Logistics_Orders[[#This Row],[Quantity_Ordered]]*_xlfn.XLOOKUP(Logistics_Orders[[#This Row],[Logistics_ID]],Logistics_Catalog[[#All],[Logistics_ID]],Logistics_Catalog[[#All],[Client_Charge]],0,0)</f>
        <v>72000</v>
      </c>
      <c r="G380">
        <f>Logistics_Orders[[#This Row],[Client_Charge]]-Logistics_Orders[[#This Row],[Cost]]</f>
        <v>12000</v>
      </c>
      <c r="H380" t="s">
        <v>181</v>
      </c>
    </row>
    <row r="381" spans="1:8" x14ac:dyDescent="0.25">
      <c r="A381">
        <v>78</v>
      </c>
      <c r="B381" t="s">
        <v>182</v>
      </c>
      <c r="C381" cm="1">
        <f t="array" ref="C381">_xlfn.XLOOKUP(Logistics_Orders[[#This Row],[Logistics_ID]],Logistics_Catalog[[#All],[Logistics_ID]],Logistics_Catalog[[#All],[Base_Quantity]],0,0)</f>
        <v>1</v>
      </c>
      <c r="D381" cm="1">
        <f t="array" ref="D381">IF(Logistics_Orders[[#This Row],[Item]]="Chairs &amp; Tables",CEILING(_xlfn.XLOOKUP(Logistics_Orders[[#This Row],[Event_No]],Event_Master[[#All],[Event_No]],Event_Master[[#All],[Guest_Count]],,0)/Logistics_Orders[[#This Row],[Base_Quantity]],1),1)</f>
        <v>1</v>
      </c>
      <c r="E381" cm="1">
        <f t="array" ref="E381">Logistics_Orders[[#This Row],[Quantity_Ordered]]*_xlfn.XLOOKUP(Logistics_Orders[[#This Row],[Logistics_ID]],Logistics_Catalog[[#All],[Logistics_ID]],Logistics_Catalog[[#All],[Cost]],0,0)</f>
        <v>12000</v>
      </c>
      <c r="F381" cm="1">
        <f t="array" ref="F381">Logistics_Orders[[#This Row],[Quantity_Ordered]]*_xlfn.XLOOKUP(Logistics_Orders[[#This Row],[Logistics_ID]],Logistics_Catalog[[#All],[Logistics_ID]],Logistics_Catalog[[#All],[Client_Charge]],0,0)</f>
        <v>14500</v>
      </c>
      <c r="G381">
        <f>Logistics_Orders[[#This Row],[Client_Charge]]-Logistics_Orders[[#This Row],[Cost]]</f>
        <v>2500</v>
      </c>
      <c r="H381" t="s">
        <v>186</v>
      </c>
    </row>
    <row r="382" spans="1:8" x14ac:dyDescent="0.25">
      <c r="A382">
        <v>78</v>
      </c>
      <c r="B382" t="s">
        <v>191</v>
      </c>
      <c r="C382" cm="1">
        <f t="array" ref="C382">_xlfn.XLOOKUP(Logistics_Orders[[#This Row],[Logistics_ID]],Logistics_Catalog[[#All],[Logistics_ID]],Logistics_Catalog[[#All],[Base_Quantity]],0,0)</f>
        <v>5</v>
      </c>
      <c r="D382" cm="1">
        <f t="array" ref="D382">IF(Logistics_Orders[[#This Row],[Item]]="Chairs &amp; Tables",CEILING(_xlfn.XLOOKUP(Logistics_Orders[[#This Row],[Event_No]],Event_Master[[#All],[Event_No]],Event_Master[[#All],[Guest_Count]],,0)/Logistics_Orders[[#This Row],[Base_Quantity]],1),1)</f>
        <v>1</v>
      </c>
      <c r="E382" cm="1">
        <f t="array" ref="E382">Logistics_Orders[[#This Row],[Quantity_Ordered]]*_xlfn.XLOOKUP(Logistics_Orders[[#This Row],[Logistics_ID]],Logistics_Catalog[[#All],[Logistics_ID]],Logistics_Catalog[[#All],[Cost]],0,0)</f>
        <v>3000</v>
      </c>
      <c r="F382" cm="1">
        <f t="array" ref="F382">Logistics_Orders[[#This Row],[Quantity_Ordered]]*_xlfn.XLOOKUP(Logistics_Orders[[#This Row],[Logistics_ID]],Logistics_Catalog[[#All],[Logistics_ID]],Logistics_Catalog[[#All],[Client_Charge]],0,0)</f>
        <v>3600</v>
      </c>
      <c r="G382">
        <f>Logistics_Orders[[#This Row],[Client_Charge]]-Logistics_Orders[[#This Row],[Cost]]</f>
        <v>600</v>
      </c>
      <c r="H382" t="s">
        <v>194</v>
      </c>
    </row>
    <row r="383" spans="1:8" x14ac:dyDescent="0.25">
      <c r="A383">
        <v>78</v>
      </c>
      <c r="B383" t="s">
        <v>195</v>
      </c>
      <c r="C383" cm="1">
        <f t="array" ref="C383">_xlfn.XLOOKUP(Logistics_Orders[[#This Row],[Logistics_ID]],Logistics_Catalog[[#All],[Logistics_ID]],Logistics_Catalog[[#All],[Base_Quantity]],0,0)</f>
        <v>10</v>
      </c>
      <c r="D383" cm="1">
        <f t="array" ref="D383">IF(Logistics_Orders[[#This Row],[Item]]="Chairs &amp; Tables",CEILING(_xlfn.XLOOKUP(Logistics_Orders[[#This Row],[Event_No]],Event_Master[[#All],[Event_No]],Event_Master[[#All],[Guest_Count]],,0)/Logistics_Orders[[#This Row],[Base_Quantity]],1),1)</f>
        <v>1</v>
      </c>
      <c r="E383" cm="1">
        <f t="array" ref="E383">Logistics_Orders[[#This Row],[Quantity_Ordered]]*_xlfn.XLOOKUP(Logistics_Orders[[#This Row],[Logistics_ID]],Logistics_Catalog[[#All],[Logistics_ID]],Logistics_Catalog[[#All],[Cost]],0,0)</f>
        <v>6000</v>
      </c>
      <c r="F383" cm="1">
        <f t="array" ref="F383">Logistics_Orders[[#This Row],[Quantity_Ordered]]*_xlfn.XLOOKUP(Logistics_Orders[[#This Row],[Logistics_ID]],Logistics_Catalog[[#All],[Logistics_ID]],Logistics_Catalog[[#All],[Client_Charge]],0,0)</f>
        <v>7200</v>
      </c>
      <c r="G383">
        <f>Logistics_Orders[[#This Row],[Client_Charge]]-Logistics_Orders[[#This Row],[Cost]]</f>
        <v>1200</v>
      </c>
      <c r="H383" t="s">
        <v>198</v>
      </c>
    </row>
    <row r="384" spans="1:8" x14ac:dyDescent="0.25">
      <c r="A384">
        <v>78</v>
      </c>
      <c r="B384" t="s">
        <v>187</v>
      </c>
      <c r="C384" cm="1">
        <f t="array" ref="C384">_xlfn.XLOOKUP(Logistics_Orders[[#This Row],[Logistics_ID]],Logistics_Catalog[[#All],[Logistics_ID]],Logistics_Catalog[[#All],[Base_Quantity]],0,0)</f>
        <v>1</v>
      </c>
      <c r="D384" cm="1">
        <f t="array" ref="D384">IF(Logistics_Orders[[#This Row],[Item]]="Chairs &amp; Tables",CEILING(_xlfn.XLOOKUP(Logistics_Orders[[#This Row],[Event_No]],Event_Master[[#All],[Event_No]],Event_Master[[#All],[Guest_Count]],,0)/Logistics_Orders[[#This Row],[Base_Quantity]],1),1)</f>
        <v>1</v>
      </c>
      <c r="E384" cm="1">
        <f t="array" ref="E384">Logistics_Orders[[#This Row],[Quantity_Ordered]]*_xlfn.XLOOKUP(Logistics_Orders[[#This Row],[Logistics_ID]],Logistics_Catalog[[#All],[Logistics_ID]],Logistics_Catalog[[#All],[Cost]],0,0)</f>
        <v>8000</v>
      </c>
      <c r="F384" cm="1">
        <f t="array" ref="F384">Logistics_Orders[[#This Row],[Quantity_Ordered]]*_xlfn.XLOOKUP(Logistics_Orders[[#This Row],[Logistics_ID]],Logistics_Catalog[[#All],[Logistics_ID]],Logistics_Catalog[[#All],[Client_Charge]],0,0)</f>
        <v>9500</v>
      </c>
      <c r="G384">
        <f>Logistics_Orders[[#This Row],[Client_Charge]]-Logistics_Orders[[#This Row],[Cost]]</f>
        <v>1500</v>
      </c>
      <c r="H384" t="s">
        <v>190</v>
      </c>
    </row>
    <row r="385" spans="1:8" x14ac:dyDescent="0.25">
      <c r="A385">
        <v>79</v>
      </c>
      <c r="B385" t="s">
        <v>177</v>
      </c>
      <c r="C385" cm="1">
        <f t="array" ref="C385">_xlfn.XLOOKUP(Logistics_Orders[[#This Row],[Logistics_ID]],Logistics_Catalog[[#All],[Logistics_ID]],Logistics_Catalog[[#All],[Base_Quantity]],0,0)</f>
        <v>300</v>
      </c>
      <c r="D385" cm="1">
        <f t="array" ref="D385">IF(Logistics_Orders[[#This Row],[Item]]="Chairs &amp; Tables",CEILING(_xlfn.XLOOKUP(Logistics_Orders[[#This Row],[Event_No]],Event_Master[[#All],[Event_No]],Event_Master[[#All],[Guest_Count]],,0)/Logistics_Orders[[#This Row],[Base_Quantity]],1),1)</f>
        <v>5</v>
      </c>
      <c r="E385" cm="1">
        <f t="array" ref="E385">Logistics_Orders[[#This Row],[Quantity_Ordered]]*_xlfn.XLOOKUP(Logistics_Orders[[#This Row],[Logistics_ID]],Logistics_Catalog[[#All],[Logistics_ID]],Logistics_Catalog[[#All],[Cost]],0,0)</f>
        <v>75000</v>
      </c>
      <c r="F385" cm="1">
        <f t="array" ref="F385">Logistics_Orders[[#This Row],[Quantity_Ordered]]*_xlfn.XLOOKUP(Logistics_Orders[[#This Row],[Logistics_ID]],Logistics_Catalog[[#All],[Logistics_ID]],Logistics_Catalog[[#All],[Client_Charge]],0,0)</f>
        <v>90000</v>
      </c>
      <c r="G385">
        <f>Logistics_Orders[[#This Row],[Client_Charge]]-Logistics_Orders[[#This Row],[Cost]]</f>
        <v>15000</v>
      </c>
      <c r="H385" t="s">
        <v>181</v>
      </c>
    </row>
    <row r="386" spans="1:8" x14ac:dyDescent="0.25">
      <c r="A386">
        <v>79</v>
      </c>
      <c r="B386" t="s">
        <v>182</v>
      </c>
      <c r="C386" cm="1">
        <f t="array" ref="C386">_xlfn.XLOOKUP(Logistics_Orders[[#This Row],[Logistics_ID]],Logistics_Catalog[[#All],[Logistics_ID]],Logistics_Catalog[[#All],[Base_Quantity]],0,0)</f>
        <v>1</v>
      </c>
      <c r="D386" cm="1">
        <f t="array" ref="D386">IF(Logistics_Orders[[#This Row],[Item]]="Chairs &amp; Tables",CEILING(_xlfn.XLOOKUP(Logistics_Orders[[#This Row],[Event_No]],Event_Master[[#All],[Event_No]],Event_Master[[#All],[Guest_Count]],,0)/Logistics_Orders[[#This Row],[Base_Quantity]],1),1)</f>
        <v>1</v>
      </c>
      <c r="E386" cm="1">
        <f t="array" ref="E386">Logistics_Orders[[#This Row],[Quantity_Ordered]]*_xlfn.XLOOKUP(Logistics_Orders[[#This Row],[Logistics_ID]],Logistics_Catalog[[#All],[Logistics_ID]],Logistics_Catalog[[#All],[Cost]],0,0)</f>
        <v>12000</v>
      </c>
      <c r="F386" cm="1">
        <f t="array" ref="F386">Logistics_Orders[[#This Row],[Quantity_Ordered]]*_xlfn.XLOOKUP(Logistics_Orders[[#This Row],[Logistics_ID]],Logistics_Catalog[[#All],[Logistics_ID]],Logistics_Catalog[[#All],[Client_Charge]],0,0)</f>
        <v>14500</v>
      </c>
      <c r="G386">
        <f>Logistics_Orders[[#This Row],[Client_Charge]]-Logistics_Orders[[#This Row],[Cost]]</f>
        <v>2500</v>
      </c>
      <c r="H386" t="s">
        <v>186</v>
      </c>
    </row>
    <row r="387" spans="1:8" x14ac:dyDescent="0.25">
      <c r="A387">
        <v>79</v>
      </c>
      <c r="B387" t="s">
        <v>191</v>
      </c>
      <c r="C387" cm="1">
        <f t="array" ref="C387">_xlfn.XLOOKUP(Logistics_Orders[[#This Row],[Logistics_ID]],Logistics_Catalog[[#All],[Logistics_ID]],Logistics_Catalog[[#All],[Base_Quantity]],0,0)</f>
        <v>5</v>
      </c>
      <c r="D387" cm="1">
        <f t="array" ref="D387">IF(Logistics_Orders[[#This Row],[Item]]="Chairs &amp; Tables",CEILING(_xlfn.XLOOKUP(Logistics_Orders[[#This Row],[Event_No]],Event_Master[[#All],[Event_No]],Event_Master[[#All],[Guest_Count]],,0)/Logistics_Orders[[#This Row],[Base_Quantity]],1),1)</f>
        <v>1</v>
      </c>
      <c r="E387" cm="1">
        <f t="array" ref="E387">Logistics_Orders[[#This Row],[Quantity_Ordered]]*_xlfn.XLOOKUP(Logistics_Orders[[#This Row],[Logistics_ID]],Logistics_Catalog[[#All],[Logistics_ID]],Logistics_Catalog[[#All],[Cost]],0,0)</f>
        <v>3000</v>
      </c>
      <c r="F387" cm="1">
        <f t="array" ref="F387">Logistics_Orders[[#This Row],[Quantity_Ordered]]*_xlfn.XLOOKUP(Logistics_Orders[[#This Row],[Logistics_ID]],Logistics_Catalog[[#All],[Logistics_ID]],Logistics_Catalog[[#All],[Client_Charge]],0,0)</f>
        <v>3600</v>
      </c>
      <c r="G387">
        <f>Logistics_Orders[[#This Row],[Client_Charge]]-Logistics_Orders[[#This Row],[Cost]]</f>
        <v>600</v>
      </c>
      <c r="H387" t="s">
        <v>194</v>
      </c>
    </row>
    <row r="388" spans="1:8" x14ac:dyDescent="0.25">
      <c r="A388">
        <v>79</v>
      </c>
      <c r="B388" t="s">
        <v>195</v>
      </c>
      <c r="C388" cm="1">
        <f t="array" ref="C388">_xlfn.XLOOKUP(Logistics_Orders[[#This Row],[Logistics_ID]],Logistics_Catalog[[#All],[Logistics_ID]],Logistics_Catalog[[#All],[Base_Quantity]],0,0)</f>
        <v>10</v>
      </c>
      <c r="D388" cm="1">
        <f t="array" ref="D388">IF(Logistics_Orders[[#This Row],[Item]]="Chairs &amp; Tables",CEILING(_xlfn.XLOOKUP(Logistics_Orders[[#This Row],[Event_No]],Event_Master[[#All],[Event_No]],Event_Master[[#All],[Guest_Count]],,0)/Logistics_Orders[[#This Row],[Base_Quantity]],1),1)</f>
        <v>1</v>
      </c>
      <c r="E388" cm="1">
        <f t="array" ref="E388">Logistics_Orders[[#This Row],[Quantity_Ordered]]*_xlfn.XLOOKUP(Logistics_Orders[[#This Row],[Logistics_ID]],Logistics_Catalog[[#All],[Logistics_ID]],Logistics_Catalog[[#All],[Cost]],0,0)</f>
        <v>6000</v>
      </c>
      <c r="F388" cm="1">
        <f t="array" ref="F388">Logistics_Orders[[#This Row],[Quantity_Ordered]]*_xlfn.XLOOKUP(Logistics_Orders[[#This Row],[Logistics_ID]],Logistics_Catalog[[#All],[Logistics_ID]],Logistics_Catalog[[#All],[Client_Charge]],0,0)</f>
        <v>7200</v>
      </c>
      <c r="G388">
        <f>Logistics_Orders[[#This Row],[Client_Charge]]-Logistics_Orders[[#This Row],[Cost]]</f>
        <v>1200</v>
      </c>
      <c r="H388" t="s">
        <v>198</v>
      </c>
    </row>
    <row r="389" spans="1:8" x14ac:dyDescent="0.25">
      <c r="A389">
        <v>79</v>
      </c>
      <c r="B389" t="s">
        <v>187</v>
      </c>
      <c r="C389" cm="1">
        <f t="array" ref="C389">_xlfn.XLOOKUP(Logistics_Orders[[#This Row],[Logistics_ID]],Logistics_Catalog[[#All],[Logistics_ID]],Logistics_Catalog[[#All],[Base_Quantity]],0,0)</f>
        <v>1</v>
      </c>
      <c r="D389" cm="1">
        <f t="array" ref="D389">IF(Logistics_Orders[[#This Row],[Item]]="Chairs &amp; Tables",CEILING(_xlfn.XLOOKUP(Logistics_Orders[[#This Row],[Event_No]],Event_Master[[#All],[Event_No]],Event_Master[[#All],[Guest_Count]],,0)/Logistics_Orders[[#This Row],[Base_Quantity]],1),1)</f>
        <v>1</v>
      </c>
      <c r="E389" cm="1">
        <f t="array" ref="E389">Logistics_Orders[[#This Row],[Quantity_Ordered]]*_xlfn.XLOOKUP(Logistics_Orders[[#This Row],[Logistics_ID]],Logistics_Catalog[[#All],[Logistics_ID]],Logistics_Catalog[[#All],[Cost]],0,0)</f>
        <v>8000</v>
      </c>
      <c r="F389" cm="1">
        <f t="array" ref="F389">Logistics_Orders[[#This Row],[Quantity_Ordered]]*_xlfn.XLOOKUP(Logistics_Orders[[#This Row],[Logistics_ID]],Logistics_Catalog[[#All],[Logistics_ID]],Logistics_Catalog[[#All],[Client_Charge]],0,0)</f>
        <v>9500</v>
      </c>
      <c r="G389">
        <f>Logistics_Orders[[#This Row],[Client_Charge]]-Logistics_Orders[[#This Row],[Cost]]</f>
        <v>1500</v>
      </c>
      <c r="H389" t="s">
        <v>190</v>
      </c>
    </row>
    <row r="390" spans="1:8" x14ac:dyDescent="0.25">
      <c r="A390">
        <v>80</v>
      </c>
      <c r="B390" t="s">
        <v>177</v>
      </c>
      <c r="C390" cm="1">
        <f t="array" ref="C390">_xlfn.XLOOKUP(Logistics_Orders[[#This Row],[Logistics_ID]],Logistics_Catalog[[#All],[Logistics_ID]],Logistics_Catalog[[#All],[Base_Quantity]],0,0)</f>
        <v>300</v>
      </c>
      <c r="D390" cm="1">
        <f t="array" ref="D390">IF(Logistics_Orders[[#This Row],[Item]]="Chairs &amp; Tables",CEILING(_xlfn.XLOOKUP(Logistics_Orders[[#This Row],[Event_No]],Event_Master[[#All],[Event_No]],Event_Master[[#All],[Guest_Count]],,0)/Logistics_Orders[[#This Row],[Base_Quantity]],1),1)</f>
        <v>4</v>
      </c>
      <c r="E390" cm="1">
        <f t="array" ref="E390">Logistics_Orders[[#This Row],[Quantity_Ordered]]*_xlfn.XLOOKUP(Logistics_Orders[[#This Row],[Logistics_ID]],Logistics_Catalog[[#All],[Logistics_ID]],Logistics_Catalog[[#All],[Cost]],0,0)</f>
        <v>60000</v>
      </c>
      <c r="F390" cm="1">
        <f t="array" ref="F390">Logistics_Orders[[#This Row],[Quantity_Ordered]]*_xlfn.XLOOKUP(Logistics_Orders[[#This Row],[Logistics_ID]],Logistics_Catalog[[#All],[Logistics_ID]],Logistics_Catalog[[#All],[Client_Charge]],0,0)</f>
        <v>72000</v>
      </c>
      <c r="G390">
        <f>Logistics_Orders[[#This Row],[Client_Charge]]-Logistics_Orders[[#This Row],[Cost]]</f>
        <v>12000</v>
      </c>
      <c r="H390" t="s">
        <v>181</v>
      </c>
    </row>
    <row r="391" spans="1:8" x14ac:dyDescent="0.25">
      <c r="A391">
        <v>80</v>
      </c>
      <c r="B391" t="s">
        <v>182</v>
      </c>
      <c r="C391" cm="1">
        <f t="array" ref="C391">_xlfn.XLOOKUP(Logistics_Orders[[#This Row],[Logistics_ID]],Logistics_Catalog[[#All],[Logistics_ID]],Logistics_Catalog[[#All],[Base_Quantity]],0,0)</f>
        <v>1</v>
      </c>
      <c r="D391" cm="1">
        <f t="array" ref="D391">IF(Logistics_Orders[[#This Row],[Item]]="Chairs &amp; Tables",CEILING(_xlfn.XLOOKUP(Logistics_Orders[[#This Row],[Event_No]],Event_Master[[#All],[Event_No]],Event_Master[[#All],[Guest_Count]],,0)/Logistics_Orders[[#This Row],[Base_Quantity]],1),1)</f>
        <v>1</v>
      </c>
      <c r="E391" cm="1">
        <f t="array" ref="E391">Logistics_Orders[[#This Row],[Quantity_Ordered]]*_xlfn.XLOOKUP(Logistics_Orders[[#This Row],[Logistics_ID]],Logistics_Catalog[[#All],[Logistics_ID]],Logistics_Catalog[[#All],[Cost]],0,0)</f>
        <v>12000</v>
      </c>
      <c r="F391" cm="1">
        <f t="array" ref="F391">Logistics_Orders[[#This Row],[Quantity_Ordered]]*_xlfn.XLOOKUP(Logistics_Orders[[#This Row],[Logistics_ID]],Logistics_Catalog[[#All],[Logistics_ID]],Logistics_Catalog[[#All],[Client_Charge]],0,0)</f>
        <v>14500</v>
      </c>
      <c r="G391">
        <f>Logistics_Orders[[#This Row],[Client_Charge]]-Logistics_Orders[[#This Row],[Cost]]</f>
        <v>2500</v>
      </c>
      <c r="H391" t="s">
        <v>186</v>
      </c>
    </row>
    <row r="392" spans="1:8" x14ac:dyDescent="0.25">
      <c r="A392">
        <v>80</v>
      </c>
      <c r="B392" t="s">
        <v>191</v>
      </c>
      <c r="C392" cm="1">
        <f t="array" ref="C392">_xlfn.XLOOKUP(Logistics_Orders[[#This Row],[Logistics_ID]],Logistics_Catalog[[#All],[Logistics_ID]],Logistics_Catalog[[#All],[Base_Quantity]],0,0)</f>
        <v>5</v>
      </c>
      <c r="D392" cm="1">
        <f t="array" ref="D392">IF(Logistics_Orders[[#This Row],[Item]]="Chairs &amp; Tables",CEILING(_xlfn.XLOOKUP(Logistics_Orders[[#This Row],[Event_No]],Event_Master[[#All],[Event_No]],Event_Master[[#All],[Guest_Count]],,0)/Logistics_Orders[[#This Row],[Base_Quantity]],1),1)</f>
        <v>1</v>
      </c>
      <c r="E392" cm="1">
        <f t="array" ref="E392">Logistics_Orders[[#This Row],[Quantity_Ordered]]*_xlfn.XLOOKUP(Logistics_Orders[[#This Row],[Logistics_ID]],Logistics_Catalog[[#All],[Logistics_ID]],Logistics_Catalog[[#All],[Cost]],0,0)</f>
        <v>3000</v>
      </c>
      <c r="F392" cm="1">
        <f t="array" ref="F392">Logistics_Orders[[#This Row],[Quantity_Ordered]]*_xlfn.XLOOKUP(Logistics_Orders[[#This Row],[Logistics_ID]],Logistics_Catalog[[#All],[Logistics_ID]],Logistics_Catalog[[#All],[Client_Charge]],0,0)</f>
        <v>3600</v>
      </c>
      <c r="G392">
        <f>Logistics_Orders[[#This Row],[Client_Charge]]-Logistics_Orders[[#This Row],[Cost]]</f>
        <v>600</v>
      </c>
      <c r="H392" t="s">
        <v>194</v>
      </c>
    </row>
    <row r="393" spans="1:8" x14ac:dyDescent="0.25">
      <c r="A393">
        <v>80</v>
      </c>
      <c r="B393" t="s">
        <v>195</v>
      </c>
      <c r="C393" cm="1">
        <f t="array" ref="C393">_xlfn.XLOOKUP(Logistics_Orders[[#This Row],[Logistics_ID]],Logistics_Catalog[[#All],[Logistics_ID]],Logistics_Catalog[[#All],[Base_Quantity]],0,0)</f>
        <v>10</v>
      </c>
      <c r="D393" cm="1">
        <f t="array" ref="D393">IF(Logistics_Orders[[#This Row],[Item]]="Chairs &amp; Tables",CEILING(_xlfn.XLOOKUP(Logistics_Orders[[#This Row],[Event_No]],Event_Master[[#All],[Event_No]],Event_Master[[#All],[Guest_Count]],,0)/Logistics_Orders[[#This Row],[Base_Quantity]],1),1)</f>
        <v>1</v>
      </c>
      <c r="E393" cm="1">
        <f t="array" ref="E393">Logistics_Orders[[#This Row],[Quantity_Ordered]]*_xlfn.XLOOKUP(Logistics_Orders[[#This Row],[Logistics_ID]],Logistics_Catalog[[#All],[Logistics_ID]],Logistics_Catalog[[#All],[Cost]],0,0)</f>
        <v>6000</v>
      </c>
      <c r="F393" cm="1">
        <f t="array" ref="F393">Logistics_Orders[[#This Row],[Quantity_Ordered]]*_xlfn.XLOOKUP(Logistics_Orders[[#This Row],[Logistics_ID]],Logistics_Catalog[[#All],[Logistics_ID]],Logistics_Catalog[[#All],[Client_Charge]],0,0)</f>
        <v>7200</v>
      </c>
      <c r="G393">
        <f>Logistics_Orders[[#This Row],[Client_Charge]]-Logistics_Orders[[#This Row],[Cost]]</f>
        <v>1200</v>
      </c>
      <c r="H393" t="s">
        <v>198</v>
      </c>
    </row>
    <row r="394" spans="1:8" x14ac:dyDescent="0.25">
      <c r="A394">
        <v>80</v>
      </c>
      <c r="B394" t="s">
        <v>187</v>
      </c>
      <c r="C394" cm="1">
        <f t="array" ref="C394">_xlfn.XLOOKUP(Logistics_Orders[[#This Row],[Logistics_ID]],Logistics_Catalog[[#All],[Logistics_ID]],Logistics_Catalog[[#All],[Base_Quantity]],0,0)</f>
        <v>1</v>
      </c>
      <c r="D394" cm="1">
        <f t="array" ref="D394">IF(Logistics_Orders[[#This Row],[Item]]="Chairs &amp; Tables",CEILING(_xlfn.XLOOKUP(Logistics_Orders[[#This Row],[Event_No]],Event_Master[[#All],[Event_No]],Event_Master[[#All],[Guest_Count]],,0)/Logistics_Orders[[#This Row],[Base_Quantity]],1),1)</f>
        <v>1</v>
      </c>
      <c r="E394" cm="1">
        <f t="array" ref="E394">Logistics_Orders[[#This Row],[Quantity_Ordered]]*_xlfn.XLOOKUP(Logistics_Orders[[#This Row],[Logistics_ID]],Logistics_Catalog[[#All],[Logistics_ID]],Logistics_Catalog[[#All],[Cost]],0,0)</f>
        <v>8000</v>
      </c>
      <c r="F394" cm="1">
        <f t="array" ref="F394">Logistics_Orders[[#This Row],[Quantity_Ordered]]*_xlfn.XLOOKUP(Logistics_Orders[[#This Row],[Logistics_ID]],Logistics_Catalog[[#All],[Logistics_ID]],Logistics_Catalog[[#All],[Client_Charge]],0,0)</f>
        <v>9500</v>
      </c>
      <c r="G394">
        <f>Logistics_Orders[[#This Row],[Client_Charge]]-Logistics_Orders[[#This Row],[Cost]]</f>
        <v>1500</v>
      </c>
      <c r="H394" t="s">
        <v>190</v>
      </c>
    </row>
    <row r="395" spans="1:8" x14ac:dyDescent="0.25">
      <c r="A395">
        <v>81</v>
      </c>
      <c r="B395" t="s">
        <v>177</v>
      </c>
      <c r="C395" cm="1">
        <f t="array" ref="C395">_xlfn.XLOOKUP(Logistics_Orders[[#This Row],[Logistics_ID]],Logistics_Catalog[[#All],[Logistics_ID]],Logistics_Catalog[[#All],[Base_Quantity]],0,0)</f>
        <v>300</v>
      </c>
      <c r="D395" cm="1">
        <f t="array" ref="D395">IF(Logistics_Orders[[#This Row],[Item]]="Chairs &amp; Tables",CEILING(_xlfn.XLOOKUP(Logistics_Orders[[#This Row],[Event_No]],Event_Master[[#All],[Event_No]],Event_Master[[#All],[Guest_Count]],,0)/Logistics_Orders[[#This Row],[Base_Quantity]],1),1)</f>
        <v>4</v>
      </c>
      <c r="E395" cm="1">
        <f t="array" ref="E395">Logistics_Orders[[#This Row],[Quantity_Ordered]]*_xlfn.XLOOKUP(Logistics_Orders[[#This Row],[Logistics_ID]],Logistics_Catalog[[#All],[Logistics_ID]],Logistics_Catalog[[#All],[Cost]],0,0)</f>
        <v>60000</v>
      </c>
      <c r="F395" cm="1">
        <f t="array" ref="F395">Logistics_Orders[[#This Row],[Quantity_Ordered]]*_xlfn.XLOOKUP(Logistics_Orders[[#This Row],[Logistics_ID]],Logistics_Catalog[[#All],[Logistics_ID]],Logistics_Catalog[[#All],[Client_Charge]],0,0)</f>
        <v>72000</v>
      </c>
      <c r="G395">
        <f>Logistics_Orders[[#This Row],[Client_Charge]]-Logistics_Orders[[#This Row],[Cost]]</f>
        <v>12000</v>
      </c>
      <c r="H395" t="s">
        <v>181</v>
      </c>
    </row>
    <row r="396" spans="1:8" x14ac:dyDescent="0.25">
      <c r="A396">
        <v>81</v>
      </c>
      <c r="B396" t="s">
        <v>182</v>
      </c>
      <c r="C396" cm="1">
        <f t="array" ref="C396">_xlfn.XLOOKUP(Logistics_Orders[[#This Row],[Logistics_ID]],Logistics_Catalog[[#All],[Logistics_ID]],Logistics_Catalog[[#All],[Base_Quantity]],0,0)</f>
        <v>1</v>
      </c>
      <c r="D396" cm="1">
        <f t="array" ref="D396">IF(Logistics_Orders[[#This Row],[Item]]="Chairs &amp; Tables",CEILING(_xlfn.XLOOKUP(Logistics_Orders[[#This Row],[Event_No]],Event_Master[[#All],[Event_No]],Event_Master[[#All],[Guest_Count]],,0)/Logistics_Orders[[#This Row],[Base_Quantity]],1),1)</f>
        <v>1</v>
      </c>
      <c r="E396" cm="1">
        <f t="array" ref="E396">Logistics_Orders[[#This Row],[Quantity_Ordered]]*_xlfn.XLOOKUP(Logistics_Orders[[#This Row],[Logistics_ID]],Logistics_Catalog[[#All],[Logistics_ID]],Logistics_Catalog[[#All],[Cost]],0,0)</f>
        <v>12000</v>
      </c>
      <c r="F396" cm="1">
        <f t="array" ref="F396">Logistics_Orders[[#This Row],[Quantity_Ordered]]*_xlfn.XLOOKUP(Logistics_Orders[[#This Row],[Logistics_ID]],Logistics_Catalog[[#All],[Logistics_ID]],Logistics_Catalog[[#All],[Client_Charge]],0,0)</f>
        <v>14500</v>
      </c>
      <c r="G396">
        <f>Logistics_Orders[[#This Row],[Client_Charge]]-Logistics_Orders[[#This Row],[Cost]]</f>
        <v>2500</v>
      </c>
      <c r="H396" t="s">
        <v>186</v>
      </c>
    </row>
    <row r="397" spans="1:8" x14ac:dyDescent="0.25">
      <c r="A397">
        <v>81</v>
      </c>
      <c r="B397" t="s">
        <v>191</v>
      </c>
      <c r="C397" cm="1">
        <f t="array" ref="C397">_xlfn.XLOOKUP(Logistics_Orders[[#This Row],[Logistics_ID]],Logistics_Catalog[[#All],[Logistics_ID]],Logistics_Catalog[[#All],[Base_Quantity]],0,0)</f>
        <v>5</v>
      </c>
      <c r="D397" cm="1">
        <f t="array" ref="D397">IF(Logistics_Orders[[#This Row],[Item]]="Chairs &amp; Tables",CEILING(_xlfn.XLOOKUP(Logistics_Orders[[#This Row],[Event_No]],Event_Master[[#All],[Event_No]],Event_Master[[#All],[Guest_Count]],,0)/Logistics_Orders[[#This Row],[Base_Quantity]],1),1)</f>
        <v>1</v>
      </c>
      <c r="E397" cm="1">
        <f t="array" ref="E397">Logistics_Orders[[#This Row],[Quantity_Ordered]]*_xlfn.XLOOKUP(Logistics_Orders[[#This Row],[Logistics_ID]],Logistics_Catalog[[#All],[Logistics_ID]],Logistics_Catalog[[#All],[Cost]],0,0)</f>
        <v>3000</v>
      </c>
      <c r="F397" cm="1">
        <f t="array" ref="F397">Logistics_Orders[[#This Row],[Quantity_Ordered]]*_xlfn.XLOOKUP(Logistics_Orders[[#This Row],[Logistics_ID]],Logistics_Catalog[[#All],[Logistics_ID]],Logistics_Catalog[[#All],[Client_Charge]],0,0)</f>
        <v>3600</v>
      </c>
      <c r="G397">
        <f>Logistics_Orders[[#This Row],[Client_Charge]]-Logistics_Orders[[#This Row],[Cost]]</f>
        <v>600</v>
      </c>
      <c r="H397" t="s">
        <v>194</v>
      </c>
    </row>
    <row r="398" spans="1:8" x14ac:dyDescent="0.25">
      <c r="A398">
        <v>81</v>
      </c>
      <c r="B398" t="s">
        <v>195</v>
      </c>
      <c r="C398" cm="1">
        <f t="array" ref="C398">_xlfn.XLOOKUP(Logistics_Orders[[#This Row],[Logistics_ID]],Logistics_Catalog[[#All],[Logistics_ID]],Logistics_Catalog[[#All],[Base_Quantity]],0,0)</f>
        <v>10</v>
      </c>
      <c r="D398" cm="1">
        <f t="array" ref="D398">IF(Logistics_Orders[[#This Row],[Item]]="Chairs &amp; Tables",CEILING(_xlfn.XLOOKUP(Logistics_Orders[[#This Row],[Event_No]],Event_Master[[#All],[Event_No]],Event_Master[[#All],[Guest_Count]],,0)/Logistics_Orders[[#This Row],[Base_Quantity]],1),1)</f>
        <v>1</v>
      </c>
      <c r="E398" cm="1">
        <f t="array" ref="E398">Logistics_Orders[[#This Row],[Quantity_Ordered]]*_xlfn.XLOOKUP(Logistics_Orders[[#This Row],[Logistics_ID]],Logistics_Catalog[[#All],[Logistics_ID]],Logistics_Catalog[[#All],[Cost]],0,0)</f>
        <v>6000</v>
      </c>
      <c r="F398" cm="1">
        <f t="array" ref="F398">Logistics_Orders[[#This Row],[Quantity_Ordered]]*_xlfn.XLOOKUP(Logistics_Orders[[#This Row],[Logistics_ID]],Logistics_Catalog[[#All],[Logistics_ID]],Logistics_Catalog[[#All],[Client_Charge]],0,0)</f>
        <v>7200</v>
      </c>
      <c r="G398">
        <f>Logistics_Orders[[#This Row],[Client_Charge]]-Logistics_Orders[[#This Row],[Cost]]</f>
        <v>1200</v>
      </c>
      <c r="H398" t="s">
        <v>198</v>
      </c>
    </row>
    <row r="399" spans="1:8" x14ac:dyDescent="0.25">
      <c r="A399">
        <v>81</v>
      </c>
      <c r="B399" t="s">
        <v>187</v>
      </c>
      <c r="C399" cm="1">
        <f t="array" ref="C399">_xlfn.XLOOKUP(Logistics_Orders[[#This Row],[Logistics_ID]],Logistics_Catalog[[#All],[Logistics_ID]],Logistics_Catalog[[#All],[Base_Quantity]],0,0)</f>
        <v>1</v>
      </c>
      <c r="D399" cm="1">
        <f t="array" ref="D399">IF(Logistics_Orders[[#This Row],[Item]]="Chairs &amp; Tables",CEILING(_xlfn.XLOOKUP(Logistics_Orders[[#This Row],[Event_No]],Event_Master[[#All],[Event_No]],Event_Master[[#All],[Guest_Count]],,0)/Logistics_Orders[[#This Row],[Base_Quantity]],1),1)</f>
        <v>1</v>
      </c>
      <c r="E399" cm="1">
        <f t="array" ref="E399">Logistics_Orders[[#This Row],[Quantity_Ordered]]*_xlfn.XLOOKUP(Logistics_Orders[[#This Row],[Logistics_ID]],Logistics_Catalog[[#All],[Logistics_ID]],Logistics_Catalog[[#All],[Cost]],0,0)</f>
        <v>8000</v>
      </c>
      <c r="F399" cm="1">
        <f t="array" ref="F399">Logistics_Orders[[#This Row],[Quantity_Ordered]]*_xlfn.XLOOKUP(Logistics_Orders[[#This Row],[Logistics_ID]],Logistics_Catalog[[#All],[Logistics_ID]],Logistics_Catalog[[#All],[Client_Charge]],0,0)</f>
        <v>9500</v>
      </c>
      <c r="G399">
        <f>Logistics_Orders[[#This Row],[Client_Charge]]-Logistics_Orders[[#This Row],[Cost]]</f>
        <v>1500</v>
      </c>
      <c r="H399" t="s">
        <v>190</v>
      </c>
    </row>
    <row r="400" spans="1:8" x14ac:dyDescent="0.25">
      <c r="A400">
        <v>82</v>
      </c>
      <c r="B400" t="s">
        <v>177</v>
      </c>
      <c r="C400" cm="1">
        <f t="array" ref="C400">_xlfn.XLOOKUP(Logistics_Orders[[#This Row],[Logistics_ID]],Logistics_Catalog[[#All],[Logistics_ID]],Logistics_Catalog[[#All],[Base_Quantity]],0,0)</f>
        <v>300</v>
      </c>
      <c r="D400" cm="1">
        <f t="array" ref="D400">IF(Logistics_Orders[[#This Row],[Item]]="Chairs &amp; Tables",CEILING(_xlfn.XLOOKUP(Logistics_Orders[[#This Row],[Event_No]],Event_Master[[#All],[Event_No]],Event_Master[[#All],[Guest_Count]],,0)/Logistics_Orders[[#This Row],[Base_Quantity]],1),1)</f>
        <v>3</v>
      </c>
      <c r="E400" cm="1">
        <f t="array" ref="E400">Logistics_Orders[[#This Row],[Quantity_Ordered]]*_xlfn.XLOOKUP(Logistics_Orders[[#This Row],[Logistics_ID]],Logistics_Catalog[[#All],[Logistics_ID]],Logistics_Catalog[[#All],[Cost]],0,0)</f>
        <v>45000</v>
      </c>
      <c r="F400" cm="1">
        <f t="array" ref="F400">Logistics_Orders[[#This Row],[Quantity_Ordered]]*_xlfn.XLOOKUP(Logistics_Orders[[#This Row],[Logistics_ID]],Logistics_Catalog[[#All],[Logistics_ID]],Logistics_Catalog[[#All],[Client_Charge]],0,0)</f>
        <v>54000</v>
      </c>
      <c r="G400">
        <f>Logistics_Orders[[#This Row],[Client_Charge]]-Logistics_Orders[[#This Row],[Cost]]</f>
        <v>9000</v>
      </c>
      <c r="H400" t="s">
        <v>181</v>
      </c>
    </row>
    <row r="401" spans="1:8" x14ac:dyDescent="0.25">
      <c r="A401">
        <v>82</v>
      </c>
      <c r="B401" t="s">
        <v>182</v>
      </c>
      <c r="C401" cm="1">
        <f t="array" ref="C401">_xlfn.XLOOKUP(Logistics_Orders[[#This Row],[Logistics_ID]],Logistics_Catalog[[#All],[Logistics_ID]],Logistics_Catalog[[#All],[Base_Quantity]],0,0)</f>
        <v>1</v>
      </c>
      <c r="D401" cm="1">
        <f t="array" ref="D401">IF(Logistics_Orders[[#This Row],[Item]]="Chairs &amp; Tables",CEILING(_xlfn.XLOOKUP(Logistics_Orders[[#This Row],[Event_No]],Event_Master[[#All],[Event_No]],Event_Master[[#All],[Guest_Count]],,0)/Logistics_Orders[[#This Row],[Base_Quantity]],1),1)</f>
        <v>1</v>
      </c>
      <c r="E401" cm="1">
        <f t="array" ref="E401">Logistics_Orders[[#This Row],[Quantity_Ordered]]*_xlfn.XLOOKUP(Logistics_Orders[[#This Row],[Logistics_ID]],Logistics_Catalog[[#All],[Logistics_ID]],Logistics_Catalog[[#All],[Cost]],0,0)</f>
        <v>12000</v>
      </c>
      <c r="F401" cm="1">
        <f t="array" ref="F401">Logistics_Orders[[#This Row],[Quantity_Ordered]]*_xlfn.XLOOKUP(Logistics_Orders[[#This Row],[Logistics_ID]],Logistics_Catalog[[#All],[Logistics_ID]],Logistics_Catalog[[#All],[Client_Charge]],0,0)</f>
        <v>14500</v>
      </c>
      <c r="G401">
        <f>Logistics_Orders[[#This Row],[Client_Charge]]-Logistics_Orders[[#This Row],[Cost]]</f>
        <v>2500</v>
      </c>
      <c r="H401" t="s">
        <v>186</v>
      </c>
    </row>
    <row r="402" spans="1:8" x14ac:dyDescent="0.25">
      <c r="A402">
        <v>82</v>
      </c>
      <c r="B402" t="s">
        <v>191</v>
      </c>
      <c r="C402" cm="1">
        <f t="array" ref="C402">_xlfn.XLOOKUP(Logistics_Orders[[#This Row],[Logistics_ID]],Logistics_Catalog[[#All],[Logistics_ID]],Logistics_Catalog[[#All],[Base_Quantity]],0,0)</f>
        <v>5</v>
      </c>
      <c r="D402" cm="1">
        <f t="array" ref="D402">IF(Logistics_Orders[[#This Row],[Item]]="Chairs &amp; Tables",CEILING(_xlfn.XLOOKUP(Logistics_Orders[[#This Row],[Event_No]],Event_Master[[#All],[Event_No]],Event_Master[[#All],[Guest_Count]],,0)/Logistics_Orders[[#This Row],[Base_Quantity]],1),1)</f>
        <v>1</v>
      </c>
      <c r="E402" cm="1">
        <f t="array" ref="E402">Logistics_Orders[[#This Row],[Quantity_Ordered]]*_xlfn.XLOOKUP(Logistics_Orders[[#This Row],[Logistics_ID]],Logistics_Catalog[[#All],[Logistics_ID]],Logistics_Catalog[[#All],[Cost]],0,0)</f>
        <v>3000</v>
      </c>
      <c r="F402" cm="1">
        <f t="array" ref="F402">Logistics_Orders[[#This Row],[Quantity_Ordered]]*_xlfn.XLOOKUP(Logistics_Orders[[#This Row],[Logistics_ID]],Logistics_Catalog[[#All],[Logistics_ID]],Logistics_Catalog[[#All],[Client_Charge]],0,0)</f>
        <v>3600</v>
      </c>
      <c r="G402">
        <f>Logistics_Orders[[#This Row],[Client_Charge]]-Logistics_Orders[[#This Row],[Cost]]</f>
        <v>600</v>
      </c>
      <c r="H402" t="s">
        <v>194</v>
      </c>
    </row>
    <row r="403" spans="1:8" x14ac:dyDescent="0.25">
      <c r="A403">
        <v>82</v>
      </c>
      <c r="B403" t="s">
        <v>195</v>
      </c>
      <c r="C403" cm="1">
        <f t="array" ref="C403">_xlfn.XLOOKUP(Logistics_Orders[[#This Row],[Logistics_ID]],Logistics_Catalog[[#All],[Logistics_ID]],Logistics_Catalog[[#All],[Base_Quantity]],0,0)</f>
        <v>10</v>
      </c>
      <c r="D403" cm="1">
        <f t="array" ref="D403">IF(Logistics_Orders[[#This Row],[Item]]="Chairs &amp; Tables",CEILING(_xlfn.XLOOKUP(Logistics_Orders[[#This Row],[Event_No]],Event_Master[[#All],[Event_No]],Event_Master[[#All],[Guest_Count]],,0)/Logistics_Orders[[#This Row],[Base_Quantity]],1),1)</f>
        <v>1</v>
      </c>
      <c r="E403" cm="1">
        <f t="array" ref="E403">Logistics_Orders[[#This Row],[Quantity_Ordered]]*_xlfn.XLOOKUP(Logistics_Orders[[#This Row],[Logistics_ID]],Logistics_Catalog[[#All],[Logistics_ID]],Logistics_Catalog[[#All],[Cost]],0,0)</f>
        <v>6000</v>
      </c>
      <c r="F403" cm="1">
        <f t="array" ref="F403">Logistics_Orders[[#This Row],[Quantity_Ordered]]*_xlfn.XLOOKUP(Logistics_Orders[[#This Row],[Logistics_ID]],Logistics_Catalog[[#All],[Logistics_ID]],Logistics_Catalog[[#All],[Client_Charge]],0,0)</f>
        <v>7200</v>
      </c>
      <c r="G403">
        <f>Logistics_Orders[[#This Row],[Client_Charge]]-Logistics_Orders[[#This Row],[Cost]]</f>
        <v>1200</v>
      </c>
      <c r="H403" t="s">
        <v>198</v>
      </c>
    </row>
    <row r="404" spans="1:8" x14ac:dyDescent="0.25">
      <c r="A404">
        <v>82</v>
      </c>
      <c r="B404" t="s">
        <v>187</v>
      </c>
      <c r="C404" cm="1">
        <f t="array" ref="C404">_xlfn.XLOOKUP(Logistics_Orders[[#This Row],[Logistics_ID]],Logistics_Catalog[[#All],[Logistics_ID]],Logistics_Catalog[[#All],[Base_Quantity]],0,0)</f>
        <v>1</v>
      </c>
      <c r="D404" cm="1">
        <f t="array" ref="D404">IF(Logistics_Orders[[#This Row],[Item]]="Chairs &amp; Tables",CEILING(_xlfn.XLOOKUP(Logistics_Orders[[#This Row],[Event_No]],Event_Master[[#All],[Event_No]],Event_Master[[#All],[Guest_Count]],,0)/Logistics_Orders[[#This Row],[Base_Quantity]],1),1)</f>
        <v>1</v>
      </c>
      <c r="E404" cm="1">
        <f t="array" ref="E404">Logistics_Orders[[#This Row],[Quantity_Ordered]]*_xlfn.XLOOKUP(Logistics_Orders[[#This Row],[Logistics_ID]],Logistics_Catalog[[#All],[Logistics_ID]],Logistics_Catalog[[#All],[Cost]],0,0)</f>
        <v>8000</v>
      </c>
      <c r="F404" cm="1">
        <f t="array" ref="F404">Logistics_Orders[[#This Row],[Quantity_Ordered]]*_xlfn.XLOOKUP(Logistics_Orders[[#This Row],[Logistics_ID]],Logistics_Catalog[[#All],[Logistics_ID]],Logistics_Catalog[[#All],[Client_Charge]],0,0)</f>
        <v>9500</v>
      </c>
      <c r="G404">
        <f>Logistics_Orders[[#This Row],[Client_Charge]]-Logistics_Orders[[#This Row],[Cost]]</f>
        <v>1500</v>
      </c>
      <c r="H404" t="s">
        <v>190</v>
      </c>
    </row>
    <row r="405" spans="1:8" x14ac:dyDescent="0.25">
      <c r="A405">
        <v>83</v>
      </c>
      <c r="B405" t="s">
        <v>177</v>
      </c>
      <c r="C405" cm="1">
        <f t="array" ref="C405">_xlfn.XLOOKUP(Logistics_Orders[[#This Row],[Logistics_ID]],Logistics_Catalog[[#All],[Logistics_ID]],Logistics_Catalog[[#All],[Base_Quantity]],0,0)</f>
        <v>300</v>
      </c>
      <c r="D405" cm="1">
        <f t="array" ref="D405">IF(Logistics_Orders[[#This Row],[Item]]="Chairs &amp; Tables",CEILING(_xlfn.XLOOKUP(Logistics_Orders[[#This Row],[Event_No]],Event_Master[[#All],[Event_No]],Event_Master[[#All],[Guest_Count]],,0)/Logistics_Orders[[#This Row],[Base_Quantity]],1),1)</f>
        <v>2</v>
      </c>
      <c r="E405" cm="1">
        <f t="array" ref="E405">Logistics_Orders[[#This Row],[Quantity_Ordered]]*_xlfn.XLOOKUP(Logistics_Orders[[#This Row],[Logistics_ID]],Logistics_Catalog[[#All],[Logistics_ID]],Logistics_Catalog[[#All],[Cost]],0,0)</f>
        <v>30000</v>
      </c>
      <c r="F405" cm="1">
        <f t="array" ref="F405">Logistics_Orders[[#This Row],[Quantity_Ordered]]*_xlfn.XLOOKUP(Logistics_Orders[[#This Row],[Logistics_ID]],Logistics_Catalog[[#All],[Logistics_ID]],Logistics_Catalog[[#All],[Client_Charge]],0,0)</f>
        <v>36000</v>
      </c>
      <c r="G405">
        <f>Logistics_Orders[[#This Row],[Client_Charge]]-Logistics_Orders[[#This Row],[Cost]]</f>
        <v>6000</v>
      </c>
      <c r="H405" t="s">
        <v>181</v>
      </c>
    </row>
    <row r="406" spans="1:8" x14ac:dyDescent="0.25">
      <c r="A406">
        <v>83</v>
      </c>
      <c r="B406" t="s">
        <v>182</v>
      </c>
      <c r="C406" cm="1">
        <f t="array" ref="C406">_xlfn.XLOOKUP(Logistics_Orders[[#This Row],[Logistics_ID]],Logistics_Catalog[[#All],[Logistics_ID]],Logistics_Catalog[[#All],[Base_Quantity]],0,0)</f>
        <v>1</v>
      </c>
      <c r="D406" cm="1">
        <f t="array" ref="D406">IF(Logistics_Orders[[#This Row],[Item]]="Chairs &amp; Tables",CEILING(_xlfn.XLOOKUP(Logistics_Orders[[#This Row],[Event_No]],Event_Master[[#All],[Event_No]],Event_Master[[#All],[Guest_Count]],,0)/Logistics_Orders[[#This Row],[Base_Quantity]],1),1)</f>
        <v>1</v>
      </c>
      <c r="E406" cm="1">
        <f t="array" ref="E406">Logistics_Orders[[#This Row],[Quantity_Ordered]]*_xlfn.XLOOKUP(Logistics_Orders[[#This Row],[Logistics_ID]],Logistics_Catalog[[#All],[Logistics_ID]],Logistics_Catalog[[#All],[Cost]],0,0)</f>
        <v>12000</v>
      </c>
      <c r="F406" cm="1">
        <f t="array" ref="F406">Logistics_Orders[[#This Row],[Quantity_Ordered]]*_xlfn.XLOOKUP(Logistics_Orders[[#This Row],[Logistics_ID]],Logistics_Catalog[[#All],[Logistics_ID]],Logistics_Catalog[[#All],[Client_Charge]],0,0)</f>
        <v>14500</v>
      </c>
      <c r="G406">
        <f>Logistics_Orders[[#This Row],[Client_Charge]]-Logistics_Orders[[#This Row],[Cost]]</f>
        <v>2500</v>
      </c>
      <c r="H406" t="s">
        <v>186</v>
      </c>
    </row>
    <row r="407" spans="1:8" x14ac:dyDescent="0.25">
      <c r="A407">
        <v>83</v>
      </c>
      <c r="B407" t="s">
        <v>191</v>
      </c>
      <c r="C407" cm="1">
        <f t="array" ref="C407">_xlfn.XLOOKUP(Logistics_Orders[[#This Row],[Logistics_ID]],Logistics_Catalog[[#All],[Logistics_ID]],Logistics_Catalog[[#All],[Base_Quantity]],0,0)</f>
        <v>5</v>
      </c>
      <c r="D407" cm="1">
        <f t="array" ref="D407">IF(Logistics_Orders[[#This Row],[Item]]="Chairs &amp; Tables",CEILING(_xlfn.XLOOKUP(Logistics_Orders[[#This Row],[Event_No]],Event_Master[[#All],[Event_No]],Event_Master[[#All],[Guest_Count]],,0)/Logistics_Orders[[#This Row],[Base_Quantity]],1),1)</f>
        <v>1</v>
      </c>
      <c r="E407" cm="1">
        <f t="array" ref="E407">Logistics_Orders[[#This Row],[Quantity_Ordered]]*_xlfn.XLOOKUP(Logistics_Orders[[#This Row],[Logistics_ID]],Logistics_Catalog[[#All],[Logistics_ID]],Logistics_Catalog[[#All],[Cost]],0,0)</f>
        <v>3000</v>
      </c>
      <c r="F407" cm="1">
        <f t="array" ref="F407">Logistics_Orders[[#This Row],[Quantity_Ordered]]*_xlfn.XLOOKUP(Logistics_Orders[[#This Row],[Logistics_ID]],Logistics_Catalog[[#All],[Logistics_ID]],Logistics_Catalog[[#All],[Client_Charge]],0,0)</f>
        <v>3600</v>
      </c>
      <c r="G407">
        <f>Logistics_Orders[[#This Row],[Client_Charge]]-Logistics_Orders[[#This Row],[Cost]]</f>
        <v>600</v>
      </c>
      <c r="H407" t="s">
        <v>194</v>
      </c>
    </row>
    <row r="408" spans="1:8" x14ac:dyDescent="0.25">
      <c r="A408">
        <v>83</v>
      </c>
      <c r="B408" t="s">
        <v>187</v>
      </c>
      <c r="C408" cm="1">
        <f t="array" ref="C408">_xlfn.XLOOKUP(Logistics_Orders[[#This Row],[Logistics_ID]],Logistics_Catalog[[#All],[Logistics_ID]],Logistics_Catalog[[#All],[Base_Quantity]],0,0)</f>
        <v>1</v>
      </c>
      <c r="D408" cm="1">
        <f t="array" ref="D408">IF(Logistics_Orders[[#This Row],[Item]]="Chairs &amp; Tables",CEILING(_xlfn.XLOOKUP(Logistics_Orders[[#This Row],[Event_No]],Event_Master[[#All],[Event_No]],Event_Master[[#All],[Guest_Count]],,0)/Logistics_Orders[[#This Row],[Base_Quantity]],1),1)</f>
        <v>1</v>
      </c>
      <c r="E408" cm="1">
        <f t="array" ref="E408">Logistics_Orders[[#This Row],[Quantity_Ordered]]*_xlfn.XLOOKUP(Logistics_Orders[[#This Row],[Logistics_ID]],Logistics_Catalog[[#All],[Logistics_ID]],Logistics_Catalog[[#All],[Cost]],0,0)</f>
        <v>8000</v>
      </c>
      <c r="F408" cm="1">
        <f t="array" ref="F408">Logistics_Orders[[#This Row],[Quantity_Ordered]]*_xlfn.XLOOKUP(Logistics_Orders[[#This Row],[Logistics_ID]],Logistics_Catalog[[#All],[Logistics_ID]],Logistics_Catalog[[#All],[Client_Charge]],0,0)</f>
        <v>9500</v>
      </c>
      <c r="G408">
        <f>Logistics_Orders[[#This Row],[Client_Charge]]-Logistics_Orders[[#This Row],[Cost]]</f>
        <v>1500</v>
      </c>
      <c r="H408" t="s">
        <v>190</v>
      </c>
    </row>
    <row r="409" spans="1:8" x14ac:dyDescent="0.25">
      <c r="A409">
        <v>84</v>
      </c>
      <c r="B409" t="s">
        <v>177</v>
      </c>
      <c r="C409" cm="1">
        <f t="array" ref="C409">_xlfn.XLOOKUP(Logistics_Orders[[#This Row],[Logistics_ID]],Logistics_Catalog[[#All],[Logistics_ID]],Logistics_Catalog[[#All],[Base_Quantity]],0,0)</f>
        <v>300</v>
      </c>
      <c r="D409" cm="1">
        <f t="array" ref="D409">IF(Logistics_Orders[[#This Row],[Item]]="Chairs &amp; Tables",CEILING(_xlfn.XLOOKUP(Logistics_Orders[[#This Row],[Event_No]],Event_Master[[#All],[Event_No]],Event_Master[[#All],[Guest_Count]],,0)/Logistics_Orders[[#This Row],[Base_Quantity]],1),1)</f>
        <v>3</v>
      </c>
      <c r="E409" cm="1">
        <f t="array" ref="E409">Logistics_Orders[[#This Row],[Quantity_Ordered]]*_xlfn.XLOOKUP(Logistics_Orders[[#This Row],[Logistics_ID]],Logistics_Catalog[[#All],[Logistics_ID]],Logistics_Catalog[[#All],[Cost]],0,0)</f>
        <v>45000</v>
      </c>
      <c r="F409" cm="1">
        <f t="array" ref="F409">Logistics_Orders[[#This Row],[Quantity_Ordered]]*_xlfn.XLOOKUP(Logistics_Orders[[#This Row],[Logistics_ID]],Logistics_Catalog[[#All],[Logistics_ID]],Logistics_Catalog[[#All],[Client_Charge]],0,0)</f>
        <v>54000</v>
      </c>
      <c r="G409">
        <f>Logistics_Orders[[#This Row],[Client_Charge]]-Logistics_Orders[[#This Row],[Cost]]</f>
        <v>9000</v>
      </c>
      <c r="H409" t="s">
        <v>181</v>
      </c>
    </row>
    <row r="410" spans="1:8" x14ac:dyDescent="0.25">
      <c r="A410">
        <v>84</v>
      </c>
      <c r="B410" t="s">
        <v>182</v>
      </c>
      <c r="C410" cm="1">
        <f t="array" ref="C410">_xlfn.XLOOKUP(Logistics_Orders[[#This Row],[Logistics_ID]],Logistics_Catalog[[#All],[Logistics_ID]],Logistics_Catalog[[#All],[Base_Quantity]],0,0)</f>
        <v>1</v>
      </c>
      <c r="D410" cm="1">
        <f t="array" ref="D410">IF(Logistics_Orders[[#This Row],[Item]]="Chairs &amp; Tables",CEILING(_xlfn.XLOOKUP(Logistics_Orders[[#This Row],[Event_No]],Event_Master[[#All],[Event_No]],Event_Master[[#All],[Guest_Count]],,0)/Logistics_Orders[[#This Row],[Base_Quantity]],1),1)</f>
        <v>1</v>
      </c>
      <c r="E410" cm="1">
        <f t="array" ref="E410">Logistics_Orders[[#This Row],[Quantity_Ordered]]*_xlfn.XLOOKUP(Logistics_Orders[[#This Row],[Logistics_ID]],Logistics_Catalog[[#All],[Logistics_ID]],Logistics_Catalog[[#All],[Cost]],0,0)</f>
        <v>12000</v>
      </c>
      <c r="F410" cm="1">
        <f t="array" ref="F410">Logistics_Orders[[#This Row],[Quantity_Ordered]]*_xlfn.XLOOKUP(Logistics_Orders[[#This Row],[Logistics_ID]],Logistics_Catalog[[#All],[Logistics_ID]],Logistics_Catalog[[#All],[Client_Charge]],0,0)</f>
        <v>14500</v>
      </c>
      <c r="G410">
        <f>Logistics_Orders[[#This Row],[Client_Charge]]-Logistics_Orders[[#This Row],[Cost]]</f>
        <v>2500</v>
      </c>
      <c r="H410" t="s">
        <v>186</v>
      </c>
    </row>
    <row r="411" spans="1:8" x14ac:dyDescent="0.25">
      <c r="A411">
        <v>84</v>
      </c>
      <c r="B411" t="s">
        <v>191</v>
      </c>
      <c r="C411" cm="1">
        <f t="array" ref="C411">_xlfn.XLOOKUP(Logistics_Orders[[#This Row],[Logistics_ID]],Logistics_Catalog[[#All],[Logistics_ID]],Logistics_Catalog[[#All],[Base_Quantity]],0,0)</f>
        <v>5</v>
      </c>
      <c r="D411" cm="1">
        <f t="array" ref="D411">IF(Logistics_Orders[[#This Row],[Item]]="Chairs &amp; Tables",CEILING(_xlfn.XLOOKUP(Logistics_Orders[[#This Row],[Event_No]],Event_Master[[#All],[Event_No]],Event_Master[[#All],[Guest_Count]],,0)/Logistics_Orders[[#This Row],[Base_Quantity]],1),1)</f>
        <v>1</v>
      </c>
      <c r="E411" cm="1">
        <f t="array" ref="E411">Logistics_Orders[[#This Row],[Quantity_Ordered]]*_xlfn.XLOOKUP(Logistics_Orders[[#This Row],[Logistics_ID]],Logistics_Catalog[[#All],[Logistics_ID]],Logistics_Catalog[[#All],[Cost]],0,0)</f>
        <v>3000</v>
      </c>
      <c r="F411" cm="1">
        <f t="array" ref="F411">Logistics_Orders[[#This Row],[Quantity_Ordered]]*_xlfn.XLOOKUP(Logistics_Orders[[#This Row],[Logistics_ID]],Logistics_Catalog[[#All],[Logistics_ID]],Logistics_Catalog[[#All],[Client_Charge]],0,0)</f>
        <v>3600</v>
      </c>
      <c r="G411">
        <f>Logistics_Orders[[#This Row],[Client_Charge]]-Logistics_Orders[[#This Row],[Cost]]</f>
        <v>600</v>
      </c>
      <c r="H411" t="s">
        <v>194</v>
      </c>
    </row>
    <row r="412" spans="1:8" x14ac:dyDescent="0.25">
      <c r="A412">
        <v>84</v>
      </c>
      <c r="B412" t="s">
        <v>195</v>
      </c>
      <c r="C412" cm="1">
        <f t="array" ref="C412">_xlfn.XLOOKUP(Logistics_Orders[[#This Row],[Logistics_ID]],Logistics_Catalog[[#All],[Logistics_ID]],Logistics_Catalog[[#All],[Base_Quantity]],0,0)</f>
        <v>10</v>
      </c>
      <c r="D412" cm="1">
        <f t="array" ref="D412">IF(Logistics_Orders[[#This Row],[Item]]="Chairs &amp; Tables",CEILING(_xlfn.XLOOKUP(Logistics_Orders[[#This Row],[Event_No]],Event_Master[[#All],[Event_No]],Event_Master[[#All],[Guest_Count]],,0)/Logistics_Orders[[#This Row],[Base_Quantity]],1),1)</f>
        <v>1</v>
      </c>
      <c r="E412" cm="1">
        <f t="array" ref="E412">Logistics_Orders[[#This Row],[Quantity_Ordered]]*_xlfn.XLOOKUP(Logistics_Orders[[#This Row],[Logistics_ID]],Logistics_Catalog[[#All],[Logistics_ID]],Logistics_Catalog[[#All],[Cost]],0,0)</f>
        <v>6000</v>
      </c>
      <c r="F412" cm="1">
        <f t="array" ref="F412">Logistics_Orders[[#This Row],[Quantity_Ordered]]*_xlfn.XLOOKUP(Logistics_Orders[[#This Row],[Logistics_ID]],Logistics_Catalog[[#All],[Logistics_ID]],Logistics_Catalog[[#All],[Client_Charge]],0,0)</f>
        <v>7200</v>
      </c>
      <c r="G412">
        <f>Logistics_Orders[[#This Row],[Client_Charge]]-Logistics_Orders[[#This Row],[Cost]]</f>
        <v>1200</v>
      </c>
      <c r="H412" t="s">
        <v>198</v>
      </c>
    </row>
    <row r="413" spans="1:8" x14ac:dyDescent="0.25">
      <c r="A413">
        <v>84</v>
      </c>
      <c r="B413" t="s">
        <v>187</v>
      </c>
      <c r="C413" cm="1">
        <f t="array" ref="C413">_xlfn.XLOOKUP(Logistics_Orders[[#This Row],[Logistics_ID]],Logistics_Catalog[[#All],[Logistics_ID]],Logistics_Catalog[[#All],[Base_Quantity]],0,0)</f>
        <v>1</v>
      </c>
      <c r="D413" cm="1">
        <f t="array" ref="D413">IF(Logistics_Orders[[#This Row],[Item]]="Chairs &amp; Tables",CEILING(_xlfn.XLOOKUP(Logistics_Orders[[#This Row],[Event_No]],Event_Master[[#All],[Event_No]],Event_Master[[#All],[Guest_Count]],,0)/Logistics_Orders[[#This Row],[Base_Quantity]],1),1)</f>
        <v>1</v>
      </c>
      <c r="E413" cm="1">
        <f t="array" ref="E413">Logistics_Orders[[#This Row],[Quantity_Ordered]]*_xlfn.XLOOKUP(Logistics_Orders[[#This Row],[Logistics_ID]],Logistics_Catalog[[#All],[Logistics_ID]],Logistics_Catalog[[#All],[Cost]],0,0)</f>
        <v>8000</v>
      </c>
      <c r="F413" cm="1">
        <f t="array" ref="F413">Logistics_Orders[[#This Row],[Quantity_Ordered]]*_xlfn.XLOOKUP(Logistics_Orders[[#This Row],[Logistics_ID]],Logistics_Catalog[[#All],[Logistics_ID]],Logistics_Catalog[[#All],[Client_Charge]],0,0)</f>
        <v>9500</v>
      </c>
      <c r="G413">
        <f>Logistics_Orders[[#This Row],[Client_Charge]]-Logistics_Orders[[#This Row],[Cost]]</f>
        <v>1500</v>
      </c>
      <c r="H413" t="s">
        <v>190</v>
      </c>
    </row>
    <row r="414" spans="1:8" x14ac:dyDescent="0.25">
      <c r="A414">
        <v>85</v>
      </c>
      <c r="B414" t="s">
        <v>177</v>
      </c>
      <c r="C414" cm="1">
        <f t="array" ref="C414">_xlfn.XLOOKUP(Logistics_Orders[[#This Row],[Logistics_ID]],Logistics_Catalog[[#All],[Logistics_ID]],Logistics_Catalog[[#All],[Base_Quantity]],0,0)</f>
        <v>300</v>
      </c>
      <c r="D414" cm="1">
        <f t="array" ref="D414">IF(Logistics_Orders[[#This Row],[Item]]="Chairs &amp; Tables",CEILING(_xlfn.XLOOKUP(Logistics_Orders[[#This Row],[Event_No]],Event_Master[[#All],[Event_No]],Event_Master[[#All],[Guest_Count]],,0)/Logistics_Orders[[#This Row],[Base_Quantity]],1),1)</f>
        <v>2</v>
      </c>
      <c r="E414" cm="1">
        <f t="array" ref="E414">Logistics_Orders[[#This Row],[Quantity_Ordered]]*_xlfn.XLOOKUP(Logistics_Orders[[#This Row],[Logistics_ID]],Logistics_Catalog[[#All],[Logistics_ID]],Logistics_Catalog[[#All],[Cost]],0,0)</f>
        <v>30000</v>
      </c>
      <c r="F414" cm="1">
        <f t="array" ref="F414">Logistics_Orders[[#This Row],[Quantity_Ordered]]*_xlfn.XLOOKUP(Logistics_Orders[[#This Row],[Logistics_ID]],Logistics_Catalog[[#All],[Logistics_ID]],Logistics_Catalog[[#All],[Client_Charge]],0,0)</f>
        <v>36000</v>
      </c>
      <c r="G414">
        <f>Logistics_Orders[[#This Row],[Client_Charge]]-Logistics_Orders[[#This Row],[Cost]]</f>
        <v>6000</v>
      </c>
      <c r="H414" t="s">
        <v>181</v>
      </c>
    </row>
    <row r="415" spans="1:8" x14ac:dyDescent="0.25">
      <c r="A415">
        <v>85</v>
      </c>
      <c r="B415" t="s">
        <v>182</v>
      </c>
      <c r="C415" cm="1">
        <f t="array" ref="C415">_xlfn.XLOOKUP(Logistics_Orders[[#This Row],[Logistics_ID]],Logistics_Catalog[[#All],[Logistics_ID]],Logistics_Catalog[[#All],[Base_Quantity]],0,0)</f>
        <v>1</v>
      </c>
      <c r="D415" cm="1">
        <f t="array" ref="D415">IF(Logistics_Orders[[#This Row],[Item]]="Chairs &amp; Tables",CEILING(_xlfn.XLOOKUP(Logistics_Orders[[#This Row],[Event_No]],Event_Master[[#All],[Event_No]],Event_Master[[#All],[Guest_Count]],,0)/Logistics_Orders[[#This Row],[Base_Quantity]],1),1)</f>
        <v>1</v>
      </c>
      <c r="E415" cm="1">
        <f t="array" ref="E415">Logistics_Orders[[#This Row],[Quantity_Ordered]]*_xlfn.XLOOKUP(Logistics_Orders[[#This Row],[Logistics_ID]],Logistics_Catalog[[#All],[Logistics_ID]],Logistics_Catalog[[#All],[Cost]],0,0)</f>
        <v>12000</v>
      </c>
      <c r="F415" cm="1">
        <f t="array" ref="F415">Logistics_Orders[[#This Row],[Quantity_Ordered]]*_xlfn.XLOOKUP(Logistics_Orders[[#This Row],[Logistics_ID]],Logistics_Catalog[[#All],[Logistics_ID]],Logistics_Catalog[[#All],[Client_Charge]],0,0)</f>
        <v>14500</v>
      </c>
      <c r="G415">
        <f>Logistics_Orders[[#This Row],[Client_Charge]]-Logistics_Orders[[#This Row],[Cost]]</f>
        <v>2500</v>
      </c>
      <c r="H415" t="s">
        <v>186</v>
      </c>
    </row>
    <row r="416" spans="1:8" x14ac:dyDescent="0.25">
      <c r="A416">
        <v>85</v>
      </c>
      <c r="B416" t="s">
        <v>191</v>
      </c>
      <c r="C416" cm="1">
        <f t="array" ref="C416">_xlfn.XLOOKUP(Logistics_Orders[[#This Row],[Logistics_ID]],Logistics_Catalog[[#All],[Logistics_ID]],Logistics_Catalog[[#All],[Base_Quantity]],0,0)</f>
        <v>5</v>
      </c>
      <c r="D416" cm="1">
        <f t="array" ref="D416">IF(Logistics_Orders[[#This Row],[Item]]="Chairs &amp; Tables",CEILING(_xlfn.XLOOKUP(Logistics_Orders[[#This Row],[Event_No]],Event_Master[[#All],[Event_No]],Event_Master[[#All],[Guest_Count]],,0)/Logistics_Orders[[#This Row],[Base_Quantity]],1),1)</f>
        <v>1</v>
      </c>
      <c r="E416" cm="1">
        <f t="array" ref="E416">Logistics_Orders[[#This Row],[Quantity_Ordered]]*_xlfn.XLOOKUP(Logistics_Orders[[#This Row],[Logistics_ID]],Logistics_Catalog[[#All],[Logistics_ID]],Logistics_Catalog[[#All],[Cost]],0,0)</f>
        <v>3000</v>
      </c>
      <c r="F416" cm="1">
        <f t="array" ref="F416">Logistics_Orders[[#This Row],[Quantity_Ordered]]*_xlfn.XLOOKUP(Logistics_Orders[[#This Row],[Logistics_ID]],Logistics_Catalog[[#All],[Logistics_ID]],Logistics_Catalog[[#All],[Client_Charge]],0,0)</f>
        <v>3600</v>
      </c>
      <c r="G416">
        <f>Logistics_Orders[[#This Row],[Client_Charge]]-Logistics_Orders[[#This Row],[Cost]]</f>
        <v>600</v>
      </c>
      <c r="H416" t="s">
        <v>194</v>
      </c>
    </row>
    <row r="417" spans="1:8" x14ac:dyDescent="0.25">
      <c r="A417">
        <v>85</v>
      </c>
      <c r="B417" t="s">
        <v>195</v>
      </c>
      <c r="C417" cm="1">
        <f t="array" ref="C417">_xlfn.XLOOKUP(Logistics_Orders[[#This Row],[Logistics_ID]],Logistics_Catalog[[#All],[Logistics_ID]],Logistics_Catalog[[#All],[Base_Quantity]],0,0)</f>
        <v>10</v>
      </c>
      <c r="D417" cm="1">
        <f t="array" ref="D417">IF(Logistics_Orders[[#This Row],[Item]]="Chairs &amp; Tables",CEILING(_xlfn.XLOOKUP(Logistics_Orders[[#This Row],[Event_No]],Event_Master[[#All],[Event_No]],Event_Master[[#All],[Guest_Count]],,0)/Logistics_Orders[[#This Row],[Base_Quantity]],1),1)</f>
        <v>1</v>
      </c>
      <c r="E417" cm="1">
        <f t="array" ref="E417">Logistics_Orders[[#This Row],[Quantity_Ordered]]*_xlfn.XLOOKUP(Logistics_Orders[[#This Row],[Logistics_ID]],Logistics_Catalog[[#All],[Logistics_ID]],Logistics_Catalog[[#All],[Cost]],0,0)</f>
        <v>6000</v>
      </c>
      <c r="F417" cm="1">
        <f t="array" ref="F417">Logistics_Orders[[#This Row],[Quantity_Ordered]]*_xlfn.XLOOKUP(Logistics_Orders[[#This Row],[Logistics_ID]],Logistics_Catalog[[#All],[Logistics_ID]],Logistics_Catalog[[#All],[Client_Charge]],0,0)</f>
        <v>7200</v>
      </c>
      <c r="G417">
        <f>Logistics_Orders[[#This Row],[Client_Charge]]-Logistics_Orders[[#This Row],[Cost]]</f>
        <v>1200</v>
      </c>
      <c r="H417" t="s">
        <v>198</v>
      </c>
    </row>
    <row r="418" spans="1:8" x14ac:dyDescent="0.25">
      <c r="A418">
        <v>85</v>
      </c>
      <c r="B418" t="s">
        <v>187</v>
      </c>
      <c r="C418" cm="1">
        <f t="array" ref="C418">_xlfn.XLOOKUP(Logistics_Orders[[#This Row],[Logistics_ID]],Logistics_Catalog[[#All],[Logistics_ID]],Logistics_Catalog[[#All],[Base_Quantity]],0,0)</f>
        <v>1</v>
      </c>
      <c r="D418" cm="1">
        <f t="array" ref="D418">IF(Logistics_Orders[[#This Row],[Item]]="Chairs &amp; Tables",CEILING(_xlfn.XLOOKUP(Logistics_Orders[[#This Row],[Event_No]],Event_Master[[#All],[Event_No]],Event_Master[[#All],[Guest_Count]],,0)/Logistics_Orders[[#This Row],[Base_Quantity]],1),1)</f>
        <v>1</v>
      </c>
      <c r="E418" cm="1">
        <f t="array" ref="E418">Logistics_Orders[[#This Row],[Quantity_Ordered]]*_xlfn.XLOOKUP(Logistics_Orders[[#This Row],[Logistics_ID]],Logistics_Catalog[[#All],[Logistics_ID]],Logistics_Catalog[[#All],[Cost]],0,0)</f>
        <v>8000</v>
      </c>
      <c r="F418" cm="1">
        <f t="array" ref="F418">Logistics_Orders[[#This Row],[Quantity_Ordered]]*_xlfn.XLOOKUP(Logistics_Orders[[#This Row],[Logistics_ID]],Logistics_Catalog[[#All],[Logistics_ID]],Logistics_Catalog[[#All],[Client_Charge]],0,0)</f>
        <v>9500</v>
      </c>
      <c r="G418">
        <f>Logistics_Orders[[#This Row],[Client_Charge]]-Logistics_Orders[[#This Row],[Cost]]</f>
        <v>1500</v>
      </c>
      <c r="H418" t="s">
        <v>190</v>
      </c>
    </row>
    <row r="419" spans="1:8" x14ac:dyDescent="0.25">
      <c r="A419">
        <v>86</v>
      </c>
      <c r="B419" t="s">
        <v>177</v>
      </c>
      <c r="C419" cm="1">
        <f t="array" ref="C419">_xlfn.XLOOKUP(Logistics_Orders[[#This Row],[Logistics_ID]],Logistics_Catalog[[#All],[Logistics_ID]],Logistics_Catalog[[#All],[Base_Quantity]],0,0)</f>
        <v>300</v>
      </c>
      <c r="D419" cm="1">
        <f t="array" ref="D419">IF(Logistics_Orders[[#This Row],[Item]]="Chairs &amp; Tables",CEILING(_xlfn.XLOOKUP(Logistics_Orders[[#This Row],[Event_No]],Event_Master[[#All],[Event_No]],Event_Master[[#All],[Guest_Count]],,0)/Logistics_Orders[[#This Row],[Base_Quantity]],1),1)</f>
        <v>2</v>
      </c>
      <c r="E419" cm="1">
        <f t="array" ref="E419">Logistics_Orders[[#This Row],[Quantity_Ordered]]*_xlfn.XLOOKUP(Logistics_Orders[[#This Row],[Logistics_ID]],Logistics_Catalog[[#All],[Logistics_ID]],Logistics_Catalog[[#All],[Cost]],0,0)</f>
        <v>30000</v>
      </c>
      <c r="F419" cm="1">
        <f t="array" ref="F419">Logistics_Orders[[#This Row],[Quantity_Ordered]]*_xlfn.XLOOKUP(Logistics_Orders[[#This Row],[Logistics_ID]],Logistics_Catalog[[#All],[Logistics_ID]],Logistics_Catalog[[#All],[Client_Charge]],0,0)</f>
        <v>36000</v>
      </c>
      <c r="G419">
        <f>Logistics_Orders[[#This Row],[Client_Charge]]-Logistics_Orders[[#This Row],[Cost]]</f>
        <v>6000</v>
      </c>
      <c r="H419" t="s">
        <v>181</v>
      </c>
    </row>
    <row r="420" spans="1:8" x14ac:dyDescent="0.25">
      <c r="A420">
        <v>86</v>
      </c>
      <c r="B420" t="s">
        <v>182</v>
      </c>
      <c r="C420" cm="1">
        <f t="array" ref="C420">_xlfn.XLOOKUP(Logistics_Orders[[#This Row],[Logistics_ID]],Logistics_Catalog[[#All],[Logistics_ID]],Logistics_Catalog[[#All],[Base_Quantity]],0,0)</f>
        <v>1</v>
      </c>
      <c r="D420" cm="1">
        <f t="array" ref="D420">IF(Logistics_Orders[[#This Row],[Item]]="Chairs &amp; Tables",CEILING(_xlfn.XLOOKUP(Logistics_Orders[[#This Row],[Event_No]],Event_Master[[#All],[Event_No]],Event_Master[[#All],[Guest_Count]],,0)/Logistics_Orders[[#This Row],[Base_Quantity]],1),1)</f>
        <v>1</v>
      </c>
      <c r="E420" cm="1">
        <f t="array" ref="E420">Logistics_Orders[[#This Row],[Quantity_Ordered]]*_xlfn.XLOOKUP(Logistics_Orders[[#This Row],[Logistics_ID]],Logistics_Catalog[[#All],[Logistics_ID]],Logistics_Catalog[[#All],[Cost]],0,0)</f>
        <v>12000</v>
      </c>
      <c r="F420" cm="1">
        <f t="array" ref="F420">Logistics_Orders[[#This Row],[Quantity_Ordered]]*_xlfn.XLOOKUP(Logistics_Orders[[#This Row],[Logistics_ID]],Logistics_Catalog[[#All],[Logistics_ID]],Logistics_Catalog[[#All],[Client_Charge]],0,0)</f>
        <v>14500</v>
      </c>
      <c r="G420">
        <f>Logistics_Orders[[#This Row],[Client_Charge]]-Logistics_Orders[[#This Row],[Cost]]</f>
        <v>2500</v>
      </c>
      <c r="H420" t="s">
        <v>186</v>
      </c>
    </row>
    <row r="421" spans="1:8" x14ac:dyDescent="0.25">
      <c r="A421">
        <v>86</v>
      </c>
      <c r="B421" t="s">
        <v>191</v>
      </c>
      <c r="C421" cm="1">
        <f t="array" ref="C421">_xlfn.XLOOKUP(Logistics_Orders[[#This Row],[Logistics_ID]],Logistics_Catalog[[#All],[Logistics_ID]],Logistics_Catalog[[#All],[Base_Quantity]],0,0)</f>
        <v>5</v>
      </c>
      <c r="D421" cm="1">
        <f t="array" ref="D421">IF(Logistics_Orders[[#This Row],[Item]]="Chairs &amp; Tables",CEILING(_xlfn.XLOOKUP(Logistics_Orders[[#This Row],[Event_No]],Event_Master[[#All],[Event_No]],Event_Master[[#All],[Guest_Count]],,0)/Logistics_Orders[[#This Row],[Base_Quantity]],1),1)</f>
        <v>1</v>
      </c>
      <c r="E421" cm="1">
        <f t="array" ref="E421">Logistics_Orders[[#This Row],[Quantity_Ordered]]*_xlfn.XLOOKUP(Logistics_Orders[[#This Row],[Logistics_ID]],Logistics_Catalog[[#All],[Logistics_ID]],Logistics_Catalog[[#All],[Cost]],0,0)</f>
        <v>3000</v>
      </c>
      <c r="F421" cm="1">
        <f t="array" ref="F421">Logistics_Orders[[#This Row],[Quantity_Ordered]]*_xlfn.XLOOKUP(Logistics_Orders[[#This Row],[Logistics_ID]],Logistics_Catalog[[#All],[Logistics_ID]],Logistics_Catalog[[#All],[Client_Charge]],0,0)</f>
        <v>3600</v>
      </c>
      <c r="G421">
        <f>Logistics_Orders[[#This Row],[Client_Charge]]-Logistics_Orders[[#This Row],[Cost]]</f>
        <v>600</v>
      </c>
      <c r="H421" t="s">
        <v>194</v>
      </c>
    </row>
    <row r="422" spans="1:8" x14ac:dyDescent="0.25">
      <c r="A422">
        <v>86</v>
      </c>
      <c r="B422" t="s">
        <v>195</v>
      </c>
      <c r="C422" cm="1">
        <f t="array" ref="C422">_xlfn.XLOOKUP(Logistics_Orders[[#This Row],[Logistics_ID]],Logistics_Catalog[[#All],[Logistics_ID]],Logistics_Catalog[[#All],[Base_Quantity]],0,0)</f>
        <v>10</v>
      </c>
      <c r="D422" cm="1">
        <f t="array" ref="D422">IF(Logistics_Orders[[#This Row],[Item]]="Chairs &amp; Tables",CEILING(_xlfn.XLOOKUP(Logistics_Orders[[#This Row],[Event_No]],Event_Master[[#All],[Event_No]],Event_Master[[#All],[Guest_Count]],,0)/Logistics_Orders[[#This Row],[Base_Quantity]],1),1)</f>
        <v>1</v>
      </c>
      <c r="E422" cm="1">
        <f t="array" ref="E422">Logistics_Orders[[#This Row],[Quantity_Ordered]]*_xlfn.XLOOKUP(Logistics_Orders[[#This Row],[Logistics_ID]],Logistics_Catalog[[#All],[Logistics_ID]],Logistics_Catalog[[#All],[Cost]],0,0)</f>
        <v>6000</v>
      </c>
      <c r="F422" cm="1">
        <f t="array" ref="F422">Logistics_Orders[[#This Row],[Quantity_Ordered]]*_xlfn.XLOOKUP(Logistics_Orders[[#This Row],[Logistics_ID]],Logistics_Catalog[[#All],[Logistics_ID]],Logistics_Catalog[[#All],[Client_Charge]],0,0)</f>
        <v>7200</v>
      </c>
      <c r="G422">
        <f>Logistics_Orders[[#This Row],[Client_Charge]]-Logistics_Orders[[#This Row],[Cost]]</f>
        <v>1200</v>
      </c>
      <c r="H422" t="s">
        <v>198</v>
      </c>
    </row>
    <row r="423" spans="1:8" x14ac:dyDescent="0.25">
      <c r="A423">
        <v>86</v>
      </c>
      <c r="B423" t="s">
        <v>187</v>
      </c>
      <c r="C423" cm="1">
        <f t="array" ref="C423">_xlfn.XLOOKUP(Logistics_Orders[[#This Row],[Logistics_ID]],Logistics_Catalog[[#All],[Logistics_ID]],Logistics_Catalog[[#All],[Base_Quantity]],0,0)</f>
        <v>1</v>
      </c>
      <c r="D423" cm="1">
        <f t="array" ref="D423">IF(Logistics_Orders[[#This Row],[Item]]="Chairs &amp; Tables",CEILING(_xlfn.XLOOKUP(Logistics_Orders[[#This Row],[Event_No]],Event_Master[[#All],[Event_No]],Event_Master[[#All],[Guest_Count]],,0)/Logistics_Orders[[#This Row],[Base_Quantity]],1),1)</f>
        <v>1</v>
      </c>
      <c r="E423" cm="1">
        <f t="array" ref="E423">Logistics_Orders[[#This Row],[Quantity_Ordered]]*_xlfn.XLOOKUP(Logistics_Orders[[#This Row],[Logistics_ID]],Logistics_Catalog[[#All],[Logistics_ID]],Logistics_Catalog[[#All],[Cost]],0,0)</f>
        <v>8000</v>
      </c>
      <c r="F423" cm="1">
        <f t="array" ref="F423">Logistics_Orders[[#This Row],[Quantity_Ordered]]*_xlfn.XLOOKUP(Logistics_Orders[[#This Row],[Logistics_ID]],Logistics_Catalog[[#All],[Logistics_ID]],Logistics_Catalog[[#All],[Client_Charge]],0,0)</f>
        <v>9500</v>
      </c>
      <c r="G423">
        <f>Logistics_Orders[[#This Row],[Client_Charge]]-Logistics_Orders[[#This Row],[Cost]]</f>
        <v>1500</v>
      </c>
      <c r="H423" t="s">
        <v>190</v>
      </c>
    </row>
    <row r="424" spans="1:8" x14ac:dyDescent="0.25">
      <c r="A424">
        <v>87</v>
      </c>
      <c r="B424" t="s">
        <v>177</v>
      </c>
      <c r="C424" cm="1">
        <f t="array" ref="C424">_xlfn.XLOOKUP(Logistics_Orders[[#This Row],[Logistics_ID]],Logistics_Catalog[[#All],[Logistics_ID]],Logistics_Catalog[[#All],[Base_Quantity]],0,0)</f>
        <v>300</v>
      </c>
      <c r="D424" cm="1">
        <f t="array" ref="D424">IF(Logistics_Orders[[#This Row],[Item]]="Chairs &amp; Tables",CEILING(_xlfn.XLOOKUP(Logistics_Orders[[#This Row],[Event_No]],Event_Master[[#All],[Event_No]],Event_Master[[#All],[Guest_Count]],,0)/Logistics_Orders[[#This Row],[Base_Quantity]],1),1)</f>
        <v>1</v>
      </c>
      <c r="E424" cm="1">
        <f t="array" ref="E424">Logistics_Orders[[#This Row],[Quantity_Ordered]]*_xlfn.XLOOKUP(Logistics_Orders[[#This Row],[Logistics_ID]],Logistics_Catalog[[#All],[Logistics_ID]],Logistics_Catalog[[#All],[Cost]],0,0)</f>
        <v>15000</v>
      </c>
      <c r="F424" cm="1">
        <f t="array" ref="F424">Logistics_Orders[[#This Row],[Quantity_Ordered]]*_xlfn.XLOOKUP(Logistics_Orders[[#This Row],[Logistics_ID]],Logistics_Catalog[[#All],[Logistics_ID]],Logistics_Catalog[[#All],[Client_Charge]],0,0)</f>
        <v>18000</v>
      </c>
      <c r="G424">
        <f>Logistics_Orders[[#This Row],[Client_Charge]]-Logistics_Orders[[#This Row],[Cost]]</f>
        <v>3000</v>
      </c>
      <c r="H424" t="s">
        <v>181</v>
      </c>
    </row>
    <row r="425" spans="1:8" x14ac:dyDescent="0.25">
      <c r="A425">
        <v>87</v>
      </c>
      <c r="B425" t="s">
        <v>182</v>
      </c>
      <c r="C425" cm="1">
        <f t="array" ref="C425">_xlfn.XLOOKUP(Logistics_Orders[[#This Row],[Logistics_ID]],Logistics_Catalog[[#All],[Logistics_ID]],Logistics_Catalog[[#All],[Base_Quantity]],0,0)</f>
        <v>1</v>
      </c>
      <c r="D425" cm="1">
        <f t="array" ref="D425">IF(Logistics_Orders[[#This Row],[Item]]="Chairs &amp; Tables",CEILING(_xlfn.XLOOKUP(Logistics_Orders[[#This Row],[Event_No]],Event_Master[[#All],[Event_No]],Event_Master[[#All],[Guest_Count]],,0)/Logistics_Orders[[#This Row],[Base_Quantity]],1),1)</f>
        <v>1</v>
      </c>
      <c r="E425" cm="1">
        <f t="array" ref="E425">Logistics_Orders[[#This Row],[Quantity_Ordered]]*_xlfn.XLOOKUP(Logistics_Orders[[#This Row],[Logistics_ID]],Logistics_Catalog[[#All],[Logistics_ID]],Logistics_Catalog[[#All],[Cost]],0,0)</f>
        <v>12000</v>
      </c>
      <c r="F425" cm="1">
        <f t="array" ref="F425">Logistics_Orders[[#This Row],[Quantity_Ordered]]*_xlfn.XLOOKUP(Logistics_Orders[[#This Row],[Logistics_ID]],Logistics_Catalog[[#All],[Logistics_ID]],Logistics_Catalog[[#All],[Client_Charge]],0,0)</f>
        <v>14500</v>
      </c>
      <c r="G425">
        <f>Logistics_Orders[[#This Row],[Client_Charge]]-Logistics_Orders[[#This Row],[Cost]]</f>
        <v>2500</v>
      </c>
      <c r="H425" t="s">
        <v>186</v>
      </c>
    </row>
    <row r="426" spans="1:8" x14ac:dyDescent="0.25">
      <c r="A426">
        <v>87</v>
      </c>
      <c r="B426" t="s">
        <v>191</v>
      </c>
      <c r="C426" cm="1">
        <f t="array" ref="C426">_xlfn.XLOOKUP(Logistics_Orders[[#This Row],[Logistics_ID]],Logistics_Catalog[[#All],[Logistics_ID]],Logistics_Catalog[[#All],[Base_Quantity]],0,0)</f>
        <v>5</v>
      </c>
      <c r="D426" cm="1">
        <f t="array" ref="D426">IF(Logistics_Orders[[#This Row],[Item]]="Chairs &amp; Tables",CEILING(_xlfn.XLOOKUP(Logistics_Orders[[#This Row],[Event_No]],Event_Master[[#All],[Event_No]],Event_Master[[#All],[Guest_Count]],,0)/Logistics_Orders[[#This Row],[Base_Quantity]],1),1)</f>
        <v>1</v>
      </c>
      <c r="E426" cm="1">
        <f t="array" ref="E426">Logistics_Orders[[#This Row],[Quantity_Ordered]]*_xlfn.XLOOKUP(Logistics_Orders[[#This Row],[Logistics_ID]],Logistics_Catalog[[#All],[Logistics_ID]],Logistics_Catalog[[#All],[Cost]],0,0)</f>
        <v>3000</v>
      </c>
      <c r="F426" cm="1">
        <f t="array" ref="F426">Logistics_Orders[[#This Row],[Quantity_Ordered]]*_xlfn.XLOOKUP(Logistics_Orders[[#This Row],[Logistics_ID]],Logistics_Catalog[[#All],[Logistics_ID]],Logistics_Catalog[[#All],[Client_Charge]],0,0)</f>
        <v>3600</v>
      </c>
      <c r="G426">
        <f>Logistics_Orders[[#This Row],[Client_Charge]]-Logistics_Orders[[#This Row],[Cost]]</f>
        <v>600</v>
      </c>
      <c r="H426" t="s">
        <v>194</v>
      </c>
    </row>
    <row r="427" spans="1:8" x14ac:dyDescent="0.25">
      <c r="A427">
        <v>87</v>
      </c>
      <c r="B427" t="s">
        <v>195</v>
      </c>
      <c r="C427" cm="1">
        <f t="array" ref="C427">_xlfn.XLOOKUP(Logistics_Orders[[#This Row],[Logistics_ID]],Logistics_Catalog[[#All],[Logistics_ID]],Logistics_Catalog[[#All],[Base_Quantity]],0,0)</f>
        <v>10</v>
      </c>
      <c r="D427" cm="1">
        <f t="array" ref="D427">IF(Logistics_Orders[[#This Row],[Item]]="Chairs &amp; Tables",CEILING(_xlfn.XLOOKUP(Logistics_Orders[[#This Row],[Event_No]],Event_Master[[#All],[Event_No]],Event_Master[[#All],[Guest_Count]],,0)/Logistics_Orders[[#This Row],[Base_Quantity]],1),1)</f>
        <v>1</v>
      </c>
      <c r="E427" cm="1">
        <f t="array" ref="E427">Logistics_Orders[[#This Row],[Quantity_Ordered]]*_xlfn.XLOOKUP(Logistics_Orders[[#This Row],[Logistics_ID]],Logistics_Catalog[[#All],[Logistics_ID]],Logistics_Catalog[[#All],[Cost]],0,0)</f>
        <v>6000</v>
      </c>
      <c r="F427" cm="1">
        <f t="array" ref="F427">Logistics_Orders[[#This Row],[Quantity_Ordered]]*_xlfn.XLOOKUP(Logistics_Orders[[#This Row],[Logistics_ID]],Logistics_Catalog[[#All],[Logistics_ID]],Logistics_Catalog[[#All],[Client_Charge]],0,0)</f>
        <v>7200</v>
      </c>
      <c r="G427">
        <f>Logistics_Orders[[#This Row],[Client_Charge]]-Logistics_Orders[[#This Row],[Cost]]</f>
        <v>1200</v>
      </c>
      <c r="H427" t="s">
        <v>198</v>
      </c>
    </row>
    <row r="428" spans="1:8" x14ac:dyDescent="0.25">
      <c r="A428">
        <v>87</v>
      </c>
      <c r="B428" t="s">
        <v>187</v>
      </c>
      <c r="C428" cm="1">
        <f t="array" ref="C428">_xlfn.XLOOKUP(Logistics_Orders[[#This Row],[Logistics_ID]],Logistics_Catalog[[#All],[Logistics_ID]],Logistics_Catalog[[#All],[Base_Quantity]],0,0)</f>
        <v>1</v>
      </c>
      <c r="D428" cm="1">
        <f t="array" ref="D428">IF(Logistics_Orders[[#This Row],[Item]]="Chairs &amp; Tables",CEILING(_xlfn.XLOOKUP(Logistics_Orders[[#This Row],[Event_No]],Event_Master[[#All],[Event_No]],Event_Master[[#All],[Guest_Count]],,0)/Logistics_Orders[[#This Row],[Base_Quantity]],1),1)</f>
        <v>1</v>
      </c>
      <c r="E428" cm="1">
        <f t="array" ref="E428">Logistics_Orders[[#This Row],[Quantity_Ordered]]*_xlfn.XLOOKUP(Logistics_Orders[[#This Row],[Logistics_ID]],Logistics_Catalog[[#All],[Logistics_ID]],Logistics_Catalog[[#All],[Cost]],0,0)</f>
        <v>8000</v>
      </c>
      <c r="F428" cm="1">
        <f t="array" ref="F428">Logistics_Orders[[#This Row],[Quantity_Ordered]]*_xlfn.XLOOKUP(Logistics_Orders[[#This Row],[Logistics_ID]],Logistics_Catalog[[#All],[Logistics_ID]],Logistics_Catalog[[#All],[Client_Charge]],0,0)</f>
        <v>9500</v>
      </c>
      <c r="G428">
        <f>Logistics_Orders[[#This Row],[Client_Charge]]-Logistics_Orders[[#This Row],[Cost]]</f>
        <v>1500</v>
      </c>
      <c r="H428" t="s">
        <v>190</v>
      </c>
    </row>
    <row r="429" spans="1:8" x14ac:dyDescent="0.25">
      <c r="A429">
        <v>88</v>
      </c>
      <c r="B429" t="s">
        <v>177</v>
      </c>
      <c r="C429" cm="1">
        <f t="array" ref="C429">_xlfn.XLOOKUP(Logistics_Orders[[#This Row],[Logistics_ID]],Logistics_Catalog[[#All],[Logistics_ID]],Logistics_Catalog[[#All],[Base_Quantity]],0,0)</f>
        <v>300</v>
      </c>
      <c r="D429" cm="1">
        <f t="array" ref="D429">IF(Logistics_Orders[[#This Row],[Item]]="Chairs &amp; Tables",CEILING(_xlfn.XLOOKUP(Logistics_Orders[[#This Row],[Event_No]],Event_Master[[#All],[Event_No]],Event_Master[[#All],[Guest_Count]],,0)/Logistics_Orders[[#This Row],[Base_Quantity]],1),1)</f>
        <v>2</v>
      </c>
      <c r="E429" cm="1">
        <f t="array" ref="E429">Logistics_Orders[[#This Row],[Quantity_Ordered]]*_xlfn.XLOOKUP(Logistics_Orders[[#This Row],[Logistics_ID]],Logistics_Catalog[[#All],[Logistics_ID]],Logistics_Catalog[[#All],[Cost]],0,0)</f>
        <v>30000</v>
      </c>
      <c r="F429" cm="1">
        <f t="array" ref="F429">Logistics_Orders[[#This Row],[Quantity_Ordered]]*_xlfn.XLOOKUP(Logistics_Orders[[#This Row],[Logistics_ID]],Logistics_Catalog[[#All],[Logistics_ID]],Logistics_Catalog[[#All],[Client_Charge]],0,0)</f>
        <v>36000</v>
      </c>
      <c r="G429">
        <f>Logistics_Orders[[#This Row],[Client_Charge]]-Logistics_Orders[[#This Row],[Cost]]</f>
        <v>6000</v>
      </c>
      <c r="H429" t="s">
        <v>181</v>
      </c>
    </row>
    <row r="430" spans="1:8" x14ac:dyDescent="0.25">
      <c r="A430">
        <v>88</v>
      </c>
      <c r="B430" t="s">
        <v>182</v>
      </c>
      <c r="C430" cm="1">
        <f t="array" ref="C430">_xlfn.XLOOKUP(Logistics_Orders[[#This Row],[Logistics_ID]],Logistics_Catalog[[#All],[Logistics_ID]],Logistics_Catalog[[#All],[Base_Quantity]],0,0)</f>
        <v>1</v>
      </c>
      <c r="D430" cm="1">
        <f t="array" ref="D430">IF(Logistics_Orders[[#This Row],[Item]]="Chairs &amp; Tables",CEILING(_xlfn.XLOOKUP(Logistics_Orders[[#This Row],[Event_No]],Event_Master[[#All],[Event_No]],Event_Master[[#All],[Guest_Count]],,0)/Logistics_Orders[[#This Row],[Base_Quantity]],1),1)</f>
        <v>1</v>
      </c>
      <c r="E430" cm="1">
        <f t="array" ref="E430">Logistics_Orders[[#This Row],[Quantity_Ordered]]*_xlfn.XLOOKUP(Logistics_Orders[[#This Row],[Logistics_ID]],Logistics_Catalog[[#All],[Logistics_ID]],Logistics_Catalog[[#All],[Cost]],0,0)</f>
        <v>12000</v>
      </c>
      <c r="F430" cm="1">
        <f t="array" ref="F430">Logistics_Orders[[#This Row],[Quantity_Ordered]]*_xlfn.XLOOKUP(Logistics_Orders[[#This Row],[Logistics_ID]],Logistics_Catalog[[#All],[Logistics_ID]],Logistics_Catalog[[#All],[Client_Charge]],0,0)</f>
        <v>14500</v>
      </c>
      <c r="G430">
        <f>Logistics_Orders[[#This Row],[Client_Charge]]-Logistics_Orders[[#This Row],[Cost]]</f>
        <v>2500</v>
      </c>
      <c r="H430" t="s">
        <v>186</v>
      </c>
    </row>
    <row r="431" spans="1:8" x14ac:dyDescent="0.25">
      <c r="A431">
        <v>88</v>
      </c>
      <c r="B431" t="s">
        <v>191</v>
      </c>
      <c r="C431" cm="1">
        <f t="array" ref="C431">_xlfn.XLOOKUP(Logistics_Orders[[#This Row],[Logistics_ID]],Logistics_Catalog[[#All],[Logistics_ID]],Logistics_Catalog[[#All],[Base_Quantity]],0,0)</f>
        <v>5</v>
      </c>
      <c r="D431" cm="1">
        <f t="array" ref="D431">IF(Logistics_Orders[[#This Row],[Item]]="Chairs &amp; Tables",CEILING(_xlfn.XLOOKUP(Logistics_Orders[[#This Row],[Event_No]],Event_Master[[#All],[Event_No]],Event_Master[[#All],[Guest_Count]],,0)/Logistics_Orders[[#This Row],[Base_Quantity]],1),1)</f>
        <v>1</v>
      </c>
      <c r="E431" cm="1">
        <f t="array" ref="E431">Logistics_Orders[[#This Row],[Quantity_Ordered]]*_xlfn.XLOOKUP(Logistics_Orders[[#This Row],[Logistics_ID]],Logistics_Catalog[[#All],[Logistics_ID]],Logistics_Catalog[[#All],[Cost]],0,0)</f>
        <v>3000</v>
      </c>
      <c r="F431" cm="1">
        <f t="array" ref="F431">Logistics_Orders[[#This Row],[Quantity_Ordered]]*_xlfn.XLOOKUP(Logistics_Orders[[#This Row],[Logistics_ID]],Logistics_Catalog[[#All],[Logistics_ID]],Logistics_Catalog[[#All],[Client_Charge]],0,0)</f>
        <v>3600</v>
      </c>
      <c r="G431">
        <f>Logistics_Orders[[#This Row],[Client_Charge]]-Logistics_Orders[[#This Row],[Cost]]</f>
        <v>600</v>
      </c>
      <c r="H431" t="s">
        <v>194</v>
      </c>
    </row>
    <row r="432" spans="1:8" x14ac:dyDescent="0.25">
      <c r="A432">
        <v>88</v>
      </c>
      <c r="B432" t="s">
        <v>195</v>
      </c>
      <c r="C432" cm="1">
        <f t="array" ref="C432">_xlfn.XLOOKUP(Logistics_Orders[[#This Row],[Logistics_ID]],Logistics_Catalog[[#All],[Logistics_ID]],Logistics_Catalog[[#All],[Base_Quantity]],0,0)</f>
        <v>10</v>
      </c>
      <c r="D432" cm="1">
        <f t="array" ref="D432">IF(Logistics_Orders[[#This Row],[Item]]="Chairs &amp; Tables",CEILING(_xlfn.XLOOKUP(Logistics_Orders[[#This Row],[Event_No]],Event_Master[[#All],[Event_No]],Event_Master[[#All],[Guest_Count]],,0)/Logistics_Orders[[#This Row],[Base_Quantity]],1),1)</f>
        <v>1</v>
      </c>
      <c r="E432" cm="1">
        <f t="array" ref="E432">Logistics_Orders[[#This Row],[Quantity_Ordered]]*_xlfn.XLOOKUP(Logistics_Orders[[#This Row],[Logistics_ID]],Logistics_Catalog[[#All],[Logistics_ID]],Logistics_Catalog[[#All],[Cost]],0,0)</f>
        <v>6000</v>
      </c>
      <c r="F432" cm="1">
        <f t="array" ref="F432">Logistics_Orders[[#This Row],[Quantity_Ordered]]*_xlfn.XLOOKUP(Logistics_Orders[[#This Row],[Logistics_ID]],Logistics_Catalog[[#All],[Logistics_ID]],Logistics_Catalog[[#All],[Client_Charge]],0,0)</f>
        <v>7200</v>
      </c>
      <c r="G432">
        <f>Logistics_Orders[[#This Row],[Client_Charge]]-Logistics_Orders[[#This Row],[Cost]]</f>
        <v>1200</v>
      </c>
      <c r="H432" t="s">
        <v>198</v>
      </c>
    </row>
    <row r="433" spans="1:8" x14ac:dyDescent="0.25">
      <c r="A433">
        <v>88</v>
      </c>
      <c r="B433" t="s">
        <v>187</v>
      </c>
      <c r="C433" cm="1">
        <f t="array" ref="C433">_xlfn.XLOOKUP(Logistics_Orders[[#This Row],[Logistics_ID]],Logistics_Catalog[[#All],[Logistics_ID]],Logistics_Catalog[[#All],[Base_Quantity]],0,0)</f>
        <v>1</v>
      </c>
      <c r="D433" cm="1">
        <f t="array" ref="D433">IF(Logistics_Orders[[#This Row],[Item]]="Chairs &amp; Tables",CEILING(_xlfn.XLOOKUP(Logistics_Orders[[#This Row],[Event_No]],Event_Master[[#All],[Event_No]],Event_Master[[#All],[Guest_Count]],,0)/Logistics_Orders[[#This Row],[Base_Quantity]],1),1)</f>
        <v>1</v>
      </c>
      <c r="E433" cm="1">
        <f t="array" ref="E433">Logistics_Orders[[#This Row],[Quantity_Ordered]]*_xlfn.XLOOKUP(Logistics_Orders[[#This Row],[Logistics_ID]],Logistics_Catalog[[#All],[Logistics_ID]],Logistics_Catalog[[#All],[Cost]],0,0)</f>
        <v>8000</v>
      </c>
      <c r="F433" cm="1">
        <f t="array" ref="F433">Logistics_Orders[[#This Row],[Quantity_Ordered]]*_xlfn.XLOOKUP(Logistics_Orders[[#This Row],[Logistics_ID]],Logistics_Catalog[[#All],[Logistics_ID]],Logistics_Catalog[[#All],[Client_Charge]],0,0)</f>
        <v>9500</v>
      </c>
      <c r="G433">
        <f>Logistics_Orders[[#This Row],[Client_Charge]]-Logistics_Orders[[#This Row],[Cost]]</f>
        <v>1500</v>
      </c>
      <c r="H433" t="s">
        <v>190</v>
      </c>
    </row>
    <row r="434" spans="1:8" x14ac:dyDescent="0.25">
      <c r="A434">
        <v>89</v>
      </c>
      <c r="B434" t="s">
        <v>177</v>
      </c>
      <c r="C434" cm="1">
        <f t="array" ref="C434">_xlfn.XLOOKUP(Logistics_Orders[[#This Row],[Logistics_ID]],Logistics_Catalog[[#All],[Logistics_ID]],Logistics_Catalog[[#All],[Base_Quantity]],0,0)</f>
        <v>300</v>
      </c>
      <c r="D434" cm="1">
        <f t="array" ref="D434">IF(Logistics_Orders[[#This Row],[Item]]="Chairs &amp; Tables",CEILING(_xlfn.XLOOKUP(Logistics_Orders[[#This Row],[Event_No]],Event_Master[[#All],[Event_No]],Event_Master[[#All],[Guest_Count]],,0)/Logistics_Orders[[#This Row],[Base_Quantity]],1),1)</f>
        <v>2</v>
      </c>
      <c r="E434" cm="1">
        <f t="array" ref="E434">Logistics_Orders[[#This Row],[Quantity_Ordered]]*_xlfn.XLOOKUP(Logistics_Orders[[#This Row],[Logistics_ID]],Logistics_Catalog[[#All],[Logistics_ID]],Logistics_Catalog[[#All],[Cost]],0,0)</f>
        <v>30000</v>
      </c>
      <c r="F434" cm="1">
        <f t="array" ref="F434">Logistics_Orders[[#This Row],[Quantity_Ordered]]*_xlfn.XLOOKUP(Logistics_Orders[[#This Row],[Logistics_ID]],Logistics_Catalog[[#All],[Logistics_ID]],Logistics_Catalog[[#All],[Client_Charge]],0,0)</f>
        <v>36000</v>
      </c>
      <c r="G434">
        <f>Logistics_Orders[[#This Row],[Client_Charge]]-Logistics_Orders[[#This Row],[Cost]]</f>
        <v>6000</v>
      </c>
      <c r="H434" t="s">
        <v>181</v>
      </c>
    </row>
    <row r="435" spans="1:8" x14ac:dyDescent="0.25">
      <c r="A435">
        <v>89</v>
      </c>
      <c r="B435" t="s">
        <v>182</v>
      </c>
      <c r="C435" cm="1">
        <f t="array" ref="C435">_xlfn.XLOOKUP(Logistics_Orders[[#This Row],[Logistics_ID]],Logistics_Catalog[[#All],[Logistics_ID]],Logistics_Catalog[[#All],[Base_Quantity]],0,0)</f>
        <v>1</v>
      </c>
      <c r="D435" cm="1">
        <f t="array" ref="D435">IF(Logistics_Orders[[#This Row],[Item]]="Chairs &amp; Tables",CEILING(_xlfn.XLOOKUP(Logistics_Orders[[#This Row],[Event_No]],Event_Master[[#All],[Event_No]],Event_Master[[#All],[Guest_Count]],,0)/Logistics_Orders[[#This Row],[Base_Quantity]],1),1)</f>
        <v>1</v>
      </c>
      <c r="E435" cm="1">
        <f t="array" ref="E435">Logistics_Orders[[#This Row],[Quantity_Ordered]]*_xlfn.XLOOKUP(Logistics_Orders[[#This Row],[Logistics_ID]],Logistics_Catalog[[#All],[Logistics_ID]],Logistics_Catalog[[#All],[Cost]],0,0)</f>
        <v>12000</v>
      </c>
      <c r="F435" cm="1">
        <f t="array" ref="F435">Logistics_Orders[[#This Row],[Quantity_Ordered]]*_xlfn.XLOOKUP(Logistics_Orders[[#This Row],[Logistics_ID]],Logistics_Catalog[[#All],[Logistics_ID]],Logistics_Catalog[[#All],[Client_Charge]],0,0)</f>
        <v>14500</v>
      </c>
      <c r="G435">
        <f>Logistics_Orders[[#This Row],[Client_Charge]]-Logistics_Orders[[#This Row],[Cost]]</f>
        <v>2500</v>
      </c>
      <c r="H435" t="s">
        <v>186</v>
      </c>
    </row>
    <row r="436" spans="1:8" x14ac:dyDescent="0.25">
      <c r="A436">
        <v>89</v>
      </c>
      <c r="B436" t="s">
        <v>191</v>
      </c>
      <c r="C436" cm="1">
        <f t="array" ref="C436">_xlfn.XLOOKUP(Logistics_Orders[[#This Row],[Logistics_ID]],Logistics_Catalog[[#All],[Logistics_ID]],Logistics_Catalog[[#All],[Base_Quantity]],0,0)</f>
        <v>5</v>
      </c>
      <c r="D436" cm="1">
        <f t="array" ref="D436">IF(Logistics_Orders[[#This Row],[Item]]="Chairs &amp; Tables",CEILING(_xlfn.XLOOKUP(Logistics_Orders[[#This Row],[Event_No]],Event_Master[[#All],[Event_No]],Event_Master[[#All],[Guest_Count]],,0)/Logistics_Orders[[#This Row],[Base_Quantity]],1),1)</f>
        <v>1</v>
      </c>
      <c r="E436" cm="1">
        <f t="array" ref="E436">Logistics_Orders[[#This Row],[Quantity_Ordered]]*_xlfn.XLOOKUP(Logistics_Orders[[#This Row],[Logistics_ID]],Logistics_Catalog[[#All],[Logistics_ID]],Logistics_Catalog[[#All],[Cost]],0,0)</f>
        <v>3000</v>
      </c>
      <c r="F436" cm="1">
        <f t="array" ref="F436">Logistics_Orders[[#This Row],[Quantity_Ordered]]*_xlfn.XLOOKUP(Logistics_Orders[[#This Row],[Logistics_ID]],Logistics_Catalog[[#All],[Logistics_ID]],Logistics_Catalog[[#All],[Client_Charge]],0,0)</f>
        <v>3600</v>
      </c>
      <c r="G436">
        <f>Logistics_Orders[[#This Row],[Client_Charge]]-Logistics_Orders[[#This Row],[Cost]]</f>
        <v>600</v>
      </c>
      <c r="H436" t="s">
        <v>194</v>
      </c>
    </row>
    <row r="437" spans="1:8" x14ac:dyDescent="0.25">
      <c r="A437">
        <v>89</v>
      </c>
      <c r="B437" t="s">
        <v>195</v>
      </c>
      <c r="C437" cm="1">
        <f t="array" ref="C437">_xlfn.XLOOKUP(Logistics_Orders[[#This Row],[Logistics_ID]],Logistics_Catalog[[#All],[Logistics_ID]],Logistics_Catalog[[#All],[Base_Quantity]],0,0)</f>
        <v>10</v>
      </c>
      <c r="D437" cm="1">
        <f t="array" ref="D437">IF(Logistics_Orders[[#This Row],[Item]]="Chairs &amp; Tables",CEILING(_xlfn.XLOOKUP(Logistics_Orders[[#This Row],[Event_No]],Event_Master[[#All],[Event_No]],Event_Master[[#All],[Guest_Count]],,0)/Logistics_Orders[[#This Row],[Base_Quantity]],1),1)</f>
        <v>1</v>
      </c>
      <c r="E437" cm="1">
        <f t="array" ref="E437">Logistics_Orders[[#This Row],[Quantity_Ordered]]*_xlfn.XLOOKUP(Logistics_Orders[[#This Row],[Logistics_ID]],Logistics_Catalog[[#All],[Logistics_ID]],Logistics_Catalog[[#All],[Cost]],0,0)</f>
        <v>6000</v>
      </c>
      <c r="F437" cm="1">
        <f t="array" ref="F437">Logistics_Orders[[#This Row],[Quantity_Ordered]]*_xlfn.XLOOKUP(Logistics_Orders[[#This Row],[Logistics_ID]],Logistics_Catalog[[#All],[Logistics_ID]],Logistics_Catalog[[#All],[Client_Charge]],0,0)</f>
        <v>7200</v>
      </c>
      <c r="G437">
        <f>Logistics_Orders[[#This Row],[Client_Charge]]-Logistics_Orders[[#This Row],[Cost]]</f>
        <v>1200</v>
      </c>
      <c r="H437" t="s">
        <v>198</v>
      </c>
    </row>
    <row r="438" spans="1:8" x14ac:dyDescent="0.25">
      <c r="A438">
        <v>89</v>
      </c>
      <c r="B438" t="s">
        <v>187</v>
      </c>
      <c r="C438" cm="1">
        <f t="array" ref="C438">_xlfn.XLOOKUP(Logistics_Orders[[#This Row],[Logistics_ID]],Logistics_Catalog[[#All],[Logistics_ID]],Logistics_Catalog[[#All],[Base_Quantity]],0,0)</f>
        <v>1</v>
      </c>
      <c r="D438" cm="1">
        <f t="array" ref="D438">IF(Logistics_Orders[[#This Row],[Item]]="Chairs &amp; Tables",CEILING(_xlfn.XLOOKUP(Logistics_Orders[[#This Row],[Event_No]],Event_Master[[#All],[Event_No]],Event_Master[[#All],[Guest_Count]],,0)/Logistics_Orders[[#This Row],[Base_Quantity]],1),1)</f>
        <v>1</v>
      </c>
      <c r="E438" cm="1">
        <f t="array" ref="E438">Logistics_Orders[[#This Row],[Quantity_Ordered]]*_xlfn.XLOOKUP(Logistics_Orders[[#This Row],[Logistics_ID]],Logistics_Catalog[[#All],[Logistics_ID]],Logistics_Catalog[[#All],[Cost]],0,0)</f>
        <v>8000</v>
      </c>
      <c r="F438" cm="1">
        <f t="array" ref="F438">Logistics_Orders[[#This Row],[Quantity_Ordered]]*_xlfn.XLOOKUP(Logistics_Orders[[#This Row],[Logistics_ID]],Logistics_Catalog[[#All],[Logistics_ID]],Logistics_Catalog[[#All],[Client_Charge]],0,0)</f>
        <v>9500</v>
      </c>
      <c r="G438">
        <f>Logistics_Orders[[#This Row],[Client_Charge]]-Logistics_Orders[[#This Row],[Cost]]</f>
        <v>1500</v>
      </c>
      <c r="H438" t="s">
        <v>190</v>
      </c>
    </row>
    <row r="439" spans="1:8" x14ac:dyDescent="0.25">
      <c r="A439">
        <v>90</v>
      </c>
      <c r="B439" t="s">
        <v>177</v>
      </c>
      <c r="C439" cm="1">
        <f t="array" ref="C439">_xlfn.XLOOKUP(Logistics_Orders[[#This Row],[Logistics_ID]],Logistics_Catalog[[#All],[Logistics_ID]],Logistics_Catalog[[#All],[Base_Quantity]],0,0)</f>
        <v>300</v>
      </c>
      <c r="D439" cm="1">
        <f t="array" ref="D439">IF(Logistics_Orders[[#This Row],[Item]]="Chairs &amp; Tables",CEILING(_xlfn.XLOOKUP(Logistics_Orders[[#This Row],[Event_No]],Event_Master[[#All],[Event_No]],Event_Master[[#All],[Guest_Count]],,0)/Logistics_Orders[[#This Row],[Base_Quantity]],1),1)</f>
        <v>2</v>
      </c>
      <c r="E439" cm="1">
        <f t="array" ref="E439">Logistics_Orders[[#This Row],[Quantity_Ordered]]*_xlfn.XLOOKUP(Logistics_Orders[[#This Row],[Logistics_ID]],Logistics_Catalog[[#All],[Logistics_ID]],Logistics_Catalog[[#All],[Cost]],0,0)</f>
        <v>30000</v>
      </c>
      <c r="F439" cm="1">
        <f t="array" ref="F439">Logistics_Orders[[#This Row],[Quantity_Ordered]]*_xlfn.XLOOKUP(Logistics_Orders[[#This Row],[Logistics_ID]],Logistics_Catalog[[#All],[Logistics_ID]],Logistics_Catalog[[#All],[Client_Charge]],0,0)</f>
        <v>36000</v>
      </c>
      <c r="G439">
        <f>Logistics_Orders[[#This Row],[Client_Charge]]-Logistics_Orders[[#This Row],[Cost]]</f>
        <v>6000</v>
      </c>
      <c r="H439" t="s">
        <v>181</v>
      </c>
    </row>
    <row r="440" spans="1:8" x14ac:dyDescent="0.25">
      <c r="A440">
        <v>90</v>
      </c>
      <c r="B440" t="s">
        <v>191</v>
      </c>
      <c r="C440" cm="1">
        <f t="array" ref="C440">_xlfn.XLOOKUP(Logistics_Orders[[#This Row],[Logistics_ID]],Logistics_Catalog[[#All],[Logistics_ID]],Logistics_Catalog[[#All],[Base_Quantity]],0,0)</f>
        <v>5</v>
      </c>
      <c r="D440" cm="1">
        <f t="array" ref="D440">IF(Logistics_Orders[[#This Row],[Item]]="Chairs &amp; Tables",CEILING(_xlfn.XLOOKUP(Logistics_Orders[[#This Row],[Event_No]],Event_Master[[#All],[Event_No]],Event_Master[[#All],[Guest_Count]],,0)/Logistics_Orders[[#This Row],[Base_Quantity]],1),1)</f>
        <v>1</v>
      </c>
      <c r="E440" cm="1">
        <f t="array" ref="E440">Logistics_Orders[[#This Row],[Quantity_Ordered]]*_xlfn.XLOOKUP(Logistics_Orders[[#This Row],[Logistics_ID]],Logistics_Catalog[[#All],[Logistics_ID]],Logistics_Catalog[[#All],[Cost]],0,0)</f>
        <v>3000</v>
      </c>
      <c r="F440" cm="1">
        <f t="array" ref="F440">Logistics_Orders[[#This Row],[Quantity_Ordered]]*_xlfn.XLOOKUP(Logistics_Orders[[#This Row],[Logistics_ID]],Logistics_Catalog[[#All],[Logistics_ID]],Logistics_Catalog[[#All],[Client_Charge]],0,0)</f>
        <v>3600</v>
      </c>
      <c r="G440">
        <f>Logistics_Orders[[#This Row],[Client_Charge]]-Logistics_Orders[[#This Row],[Cost]]</f>
        <v>600</v>
      </c>
      <c r="H440" t="s">
        <v>194</v>
      </c>
    </row>
    <row r="441" spans="1:8" x14ac:dyDescent="0.25">
      <c r="A441">
        <v>90</v>
      </c>
      <c r="B441" t="s">
        <v>195</v>
      </c>
      <c r="C441" cm="1">
        <f t="array" ref="C441">_xlfn.XLOOKUP(Logistics_Orders[[#This Row],[Logistics_ID]],Logistics_Catalog[[#All],[Logistics_ID]],Logistics_Catalog[[#All],[Base_Quantity]],0,0)</f>
        <v>10</v>
      </c>
      <c r="D441" cm="1">
        <f t="array" ref="D441">IF(Logistics_Orders[[#This Row],[Item]]="Chairs &amp; Tables",CEILING(_xlfn.XLOOKUP(Logistics_Orders[[#This Row],[Event_No]],Event_Master[[#All],[Event_No]],Event_Master[[#All],[Guest_Count]],,0)/Logistics_Orders[[#This Row],[Base_Quantity]],1),1)</f>
        <v>1</v>
      </c>
      <c r="E441" cm="1">
        <f t="array" ref="E441">Logistics_Orders[[#This Row],[Quantity_Ordered]]*_xlfn.XLOOKUP(Logistics_Orders[[#This Row],[Logistics_ID]],Logistics_Catalog[[#All],[Logistics_ID]],Logistics_Catalog[[#All],[Cost]],0,0)</f>
        <v>6000</v>
      </c>
      <c r="F441" cm="1">
        <f t="array" ref="F441">Logistics_Orders[[#This Row],[Quantity_Ordered]]*_xlfn.XLOOKUP(Logistics_Orders[[#This Row],[Logistics_ID]],Logistics_Catalog[[#All],[Logistics_ID]],Logistics_Catalog[[#All],[Client_Charge]],0,0)</f>
        <v>7200</v>
      </c>
      <c r="G441">
        <f>Logistics_Orders[[#This Row],[Client_Charge]]-Logistics_Orders[[#This Row],[Cost]]</f>
        <v>1200</v>
      </c>
      <c r="H441" t="s">
        <v>198</v>
      </c>
    </row>
    <row r="442" spans="1:8" x14ac:dyDescent="0.25">
      <c r="A442">
        <v>90</v>
      </c>
      <c r="B442" t="s">
        <v>187</v>
      </c>
      <c r="C442" cm="1">
        <f t="array" ref="C442">_xlfn.XLOOKUP(Logistics_Orders[[#This Row],[Logistics_ID]],Logistics_Catalog[[#All],[Logistics_ID]],Logistics_Catalog[[#All],[Base_Quantity]],0,0)</f>
        <v>1</v>
      </c>
      <c r="D442" cm="1">
        <f t="array" ref="D442">IF(Logistics_Orders[[#This Row],[Item]]="Chairs &amp; Tables",CEILING(_xlfn.XLOOKUP(Logistics_Orders[[#This Row],[Event_No]],Event_Master[[#All],[Event_No]],Event_Master[[#All],[Guest_Count]],,0)/Logistics_Orders[[#This Row],[Base_Quantity]],1),1)</f>
        <v>1</v>
      </c>
      <c r="E442" cm="1">
        <f t="array" ref="E442">Logistics_Orders[[#This Row],[Quantity_Ordered]]*_xlfn.XLOOKUP(Logistics_Orders[[#This Row],[Logistics_ID]],Logistics_Catalog[[#All],[Logistics_ID]],Logistics_Catalog[[#All],[Cost]],0,0)</f>
        <v>8000</v>
      </c>
      <c r="F442" cm="1">
        <f t="array" ref="F442">Logistics_Orders[[#This Row],[Quantity_Ordered]]*_xlfn.XLOOKUP(Logistics_Orders[[#This Row],[Logistics_ID]],Logistics_Catalog[[#All],[Logistics_ID]],Logistics_Catalog[[#All],[Client_Charge]],0,0)</f>
        <v>9500</v>
      </c>
      <c r="G442">
        <f>Logistics_Orders[[#This Row],[Client_Charge]]-Logistics_Orders[[#This Row],[Cost]]</f>
        <v>1500</v>
      </c>
      <c r="H442" t="s">
        <v>190</v>
      </c>
    </row>
    <row r="443" spans="1:8" x14ac:dyDescent="0.25">
      <c r="A443">
        <v>91</v>
      </c>
      <c r="B443" t="s">
        <v>177</v>
      </c>
      <c r="C443" cm="1">
        <f t="array" ref="C443">_xlfn.XLOOKUP(Logistics_Orders[[#This Row],[Logistics_ID]],Logistics_Catalog[[#All],[Logistics_ID]],Logistics_Catalog[[#All],[Base_Quantity]],0,0)</f>
        <v>300</v>
      </c>
      <c r="D443" cm="1">
        <f t="array" ref="D443">IF(Logistics_Orders[[#This Row],[Item]]="Chairs &amp; Tables",CEILING(_xlfn.XLOOKUP(Logistics_Orders[[#This Row],[Event_No]],Event_Master[[#All],[Event_No]],Event_Master[[#All],[Guest_Count]],,0)/Logistics_Orders[[#This Row],[Base_Quantity]],1),1)</f>
        <v>2</v>
      </c>
      <c r="E443" cm="1">
        <f t="array" ref="E443">Logistics_Orders[[#This Row],[Quantity_Ordered]]*_xlfn.XLOOKUP(Logistics_Orders[[#This Row],[Logistics_ID]],Logistics_Catalog[[#All],[Logistics_ID]],Logistics_Catalog[[#All],[Cost]],0,0)</f>
        <v>30000</v>
      </c>
      <c r="F443" cm="1">
        <f t="array" ref="F443">Logistics_Orders[[#This Row],[Quantity_Ordered]]*_xlfn.XLOOKUP(Logistics_Orders[[#This Row],[Logistics_ID]],Logistics_Catalog[[#All],[Logistics_ID]],Logistics_Catalog[[#All],[Client_Charge]],0,0)</f>
        <v>36000</v>
      </c>
      <c r="G443">
        <f>Logistics_Orders[[#This Row],[Client_Charge]]-Logistics_Orders[[#This Row],[Cost]]</f>
        <v>6000</v>
      </c>
      <c r="H443" t="s">
        <v>181</v>
      </c>
    </row>
    <row r="444" spans="1:8" x14ac:dyDescent="0.25">
      <c r="A444">
        <v>91</v>
      </c>
      <c r="B444" t="s">
        <v>182</v>
      </c>
      <c r="C444" cm="1">
        <f t="array" ref="C444">_xlfn.XLOOKUP(Logistics_Orders[[#This Row],[Logistics_ID]],Logistics_Catalog[[#All],[Logistics_ID]],Logistics_Catalog[[#All],[Base_Quantity]],0,0)</f>
        <v>1</v>
      </c>
      <c r="D444" cm="1">
        <f t="array" ref="D444">IF(Logistics_Orders[[#This Row],[Item]]="Chairs &amp; Tables",CEILING(_xlfn.XLOOKUP(Logistics_Orders[[#This Row],[Event_No]],Event_Master[[#All],[Event_No]],Event_Master[[#All],[Guest_Count]],,0)/Logistics_Orders[[#This Row],[Base_Quantity]],1),1)</f>
        <v>1</v>
      </c>
      <c r="E444" cm="1">
        <f t="array" ref="E444">Logistics_Orders[[#This Row],[Quantity_Ordered]]*_xlfn.XLOOKUP(Logistics_Orders[[#This Row],[Logistics_ID]],Logistics_Catalog[[#All],[Logistics_ID]],Logistics_Catalog[[#All],[Cost]],0,0)</f>
        <v>12000</v>
      </c>
      <c r="F444" cm="1">
        <f t="array" ref="F444">Logistics_Orders[[#This Row],[Quantity_Ordered]]*_xlfn.XLOOKUP(Logistics_Orders[[#This Row],[Logistics_ID]],Logistics_Catalog[[#All],[Logistics_ID]],Logistics_Catalog[[#All],[Client_Charge]],0,0)</f>
        <v>14500</v>
      </c>
      <c r="G444">
        <f>Logistics_Orders[[#This Row],[Client_Charge]]-Logistics_Orders[[#This Row],[Cost]]</f>
        <v>2500</v>
      </c>
      <c r="H444" t="s">
        <v>186</v>
      </c>
    </row>
    <row r="445" spans="1:8" x14ac:dyDescent="0.25">
      <c r="A445">
        <v>91</v>
      </c>
      <c r="B445" t="s">
        <v>191</v>
      </c>
      <c r="C445" cm="1">
        <f t="array" ref="C445">_xlfn.XLOOKUP(Logistics_Orders[[#This Row],[Logistics_ID]],Logistics_Catalog[[#All],[Logistics_ID]],Logistics_Catalog[[#All],[Base_Quantity]],0,0)</f>
        <v>5</v>
      </c>
      <c r="D445" cm="1">
        <f t="array" ref="D445">IF(Logistics_Orders[[#This Row],[Item]]="Chairs &amp; Tables",CEILING(_xlfn.XLOOKUP(Logistics_Orders[[#This Row],[Event_No]],Event_Master[[#All],[Event_No]],Event_Master[[#All],[Guest_Count]],,0)/Logistics_Orders[[#This Row],[Base_Quantity]],1),1)</f>
        <v>1</v>
      </c>
      <c r="E445" cm="1">
        <f t="array" ref="E445">Logistics_Orders[[#This Row],[Quantity_Ordered]]*_xlfn.XLOOKUP(Logistics_Orders[[#This Row],[Logistics_ID]],Logistics_Catalog[[#All],[Logistics_ID]],Logistics_Catalog[[#All],[Cost]],0,0)</f>
        <v>3000</v>
      </c>
      <c r="F445" cm="1">
        <f t="array" ref="F445">Logistics_Orders[[#This Row],[Quantity_Ordered]]*_xlfn.XLOOKUP(Logistics_Orders[[#This Row],[Logistics_ID]],Logistics_Catalog[[#All],[Logistics_ID]],Logistics_Catalog[[#All],[Client_Charge]],0,0)</f>
        <v>3600</v>
      </c>
      <c r="G445">
        <f>Logistics_Orders[[#This Row],[Client_Charge]]-Logistics_Orders[[#This Row],[Cost]]</f>
        <v>600</v>
      </c>
      <c r="H445" t="s">
        <v>194</v>
      </c>
    </row>
    <row r="446" spans="1:8" x14ac:dyDescent="0.25">
      <c r="A446">
        <v>91</v>
      </c>
      <c r="B446" t="s">
        <v>195</v>
      </c>
      <c r="C446" cm="1">
        <f t="array" ref="C446">_xlfn.XLOOKUP(Logistics_Orders[[#This Row],[Logistics_ID]],Logistics_Catalog[[#All],[Logistics_ID]],Logistics_Catalog[[#All],[Base_Quantity]],0,0)</f>
        <v>10</v>
      </c>
      <c r="D446" cm="1">
        <f t="array" ref="D446">IF(Logistics_Orders[[#This Row],[Item]]="Chairs &amp; Tables",CEILING(_xlfn.XLOOKUP(Logistics_Orders[[#This Row],[Event_No]],Event_Master[[#All],[Event_No]],Event_Master[[#All],[Guest_Count]],,0)/Logistics_Orders[[#This Row],[Base_Quantity]],1),1)</f>
        <v>1</v>
      </c>
      <c r="E446" cm="1">
        <f t="array" ref="E446">Logistics_Orders[[#This Row],[Quantity_Ordered]]*_xlfn.XLOOKUP(Logistics_Orders[[#This Row],[Logistics_ID]],Logistics_Catalog[[#All],[Logistics_ID]],Logistics_Catalog[[#All],[Cost]],0,0)</f>
        <v>6000</v>
      </c>
      <c r="F446" cm="1">
        <f t="array" ref="F446">Logistics_Orders[[#This Row],[Quantity_Ordered]]*_xlfn.XLOOKUP(Logistics_Orders[[#This Row],[Logistics_ID]],Logistics_Catalog[[#All],[Logistics_ID]],Logistics_Catalog[[#All],[Client_Charge]],0,0)</f>
        <v>7200</v>
      </c>
      <c r="G446">
        <f>Logistics_Orders[[#This Row],[Client_Charge]]-Logistics_Orders[[#This Row],[Cost]]</f>
        <v>1200</v>
      </c>
      <c r="H446" t="s">
        <v>198</v>
      </c>
    </row>
    <row r="447" spans="1:8" x14ac:dyDescent="0.25">
      <c r="A447">
        <v>91</v>
      </c>
      <c r="B447" t="s">
        <v>187</v>
      </c>
      <c r="C447" cm="1">
        <f t="array" ref="C447">_xlfn.XLOOKUP(Logistics_Orders[[#This Row],[Logistics_ID]],Logistics_Catalog[[#All],[Logistics_ID]],Logistics_Catalog[[#All],[Base_Quantity]],0,0)</f>
        <v>1</v>
      </c>
      <c r="D447" cm="1">
        <f t="array" ref="D447">IF(Logistics_Orders[[#This Row],[Item]]="Chairs &amp; Tables",CEILING(_xlfn.XLOOKUP(Logistics_Orders[[#This Row],[Event_No]],Event_Master[[#All],[Event_No]],Event_Master[[#All],[Guest_Count]],,0)/Logistics_Orders[[#This Row],[Base_Quantity]],1),1)</f>
        <v>1</v>
      </c>
      <c r="E447" cm="1">
        <f t="array" ref="E447">Logistics_Orders[[#This Row],[Quantity_Ordered]]*_xlfn.XLOOKUP(Logistics_Orders[[#This Row],[Logistics_ID]],Logistics_Catalog[[#All],[Logistics_ID]],Logistics_Catalog[[#All],[Cost]],0,0)</f>
        <v>8000</v>
      </c>
      <c r="F447" cm="1">
        <f t="array" ref="F447">Logistics_Orders[[#This Row],[Quantity_Ordered]]*_xlfn.XLOOKUP(Logistics_Orders[[#This Row],[Logistics_ID]],Logistics_Catalog[[#All],[Logistics_ID]],Logistics_Catalog[[#All],[Client_Charge]],0,0)</f>
        <v>9500</v>
      </c>
      <c r="G447">
        <f>Logistics_Orders[[#This Row],[Client_Charge]]-Logistics_Orders[[#This Row],[Cost]]</f>
        <v>1500</v>
      </c>
      <c r="H447" t="s">
        <v>190</v>
      </c>
    </row>
    <row r="448" spans="1:8" x14ac:dyDescent="0.25">
      <c r="A448">
        <v>92</v>
      </c>
      <c r="B448" t="s">
        <v>177</v>
      </c>
      <c r="C448" cm="1">
        <f t="array" ref="C448">_xlfn.XLOOKUP(Logistics_Orders[[#This Row],[Logistics_ID]],Logistics_Catalog[[#All],[Logistics_ID]],Logistics_Catalog[[#All],[Base_Quantity]],0,0)</f>
        <v>300</v>
      </c>
      <c r="D448" cm="1">
        <f t="array" ref="D448">IF(Logistics_Orders[[#This Row],[Item]]="Chairs &amp; Tables",CEILING(_xlfn.XLOOKUP(Logistics_Orders[[#This Row],[Event_No]],Event_Master[[#All],[Event_No]],Event_Master[[#All],[Guest_Count]],,0)/Logistics_Orders[[#This Row],[Base_Quantity]],1),1)</f>
        <v>4</v>
      </c>
      <c r="E448" cm="1">
        <f t="array" ref="E448">Logistics_Orders[[#This Row],[Quantity_Ordered]]*_xlfn.XLOOKUP(Logistics_Orders[[#This Row],[Logistics_ID]],Logistics_Catalog[[#All],[Logistics_ID]],Logistics_Catalog[[#All],[Cost]],0,0)</f>
        <v>60000</v>
      </c>
      <c r="F448" cm="1">
        <f t="array" ref="F448">Logistics_Orders[[#This Row],[Quantity_Ordered]]*_xlfn.XLOOKUP(Logistics_Orders[[#This Row],[Logistics_ID]],Logistics_Catalog[[#All],[Logistics_ID]],Logistics_Catalog[[#All],[Client_Charge]],0,0)</f>
        <v>72000</v>
      </c>
      <c r="G448">
        <f>Logistics_Orders[[#This Row],[Client_Charge]]-Logistics_Orders[[#This Row],[Cost]]</f>
        <v>12000</v>
      </c>
      <c r="H448" t="s">
        <v>181</v>
      </c>
    </row>
    <row r="449" spans="1:8" x14ac:dyDescent="0.25">
      <c r="A449">
        <v>92</v>
      </c>
      <c r="B449" t="s">
        <v>182</v>
      </c>
      <c r="C449" cm="1">
        <f t="array" ref="C449">_xlfn.XLOOKUP(Logistics_Orders[[#This Row],[Logistics_ID]],Logistics_Catalog[[#All],[Logistics_ID]],Logistics_Catalog[[#All],[Base_Quantity]],0,0)</f>
        <v>1</v>
      </c>
      <c r="D449" cm="1">
        <f t="array" ref="D449">IF(Logistics_Orders[[#This Row],[Item]]="Chairs &amp; Tables",CEILING(_xlfn.XLOOKUP(Logistics_Orders[[#This Row],[Event_No]],Event_Master[[#All],[Event_No]],Event_Master[[#All],[Guest_Count]],,0)/Logistics_Orders[[#This Row],[Base_Quantity]],1),1)</f>
        <v>1</v>
      </c>
      <c r="E449" cm="1">
        <f t="array" ref="E449">Logistics_Orders[[#This Row],[Quantity_Ordered]]*_xlfn.XLOOKUP(Logistics_Orders[[#This Row],[Logistics_ID]],Logistics_Catalog[[#All],[Logistics_ID]],Logistics_Catalog[[#All],[Cost]],0,0)</f>
        <v>12000</v>
      </c>
      <c r="F449" cm="1">
        <f t="array" ref="F449">Logistics_Orders[[#This Row],[Quantity_Ordered]]*_xlfn.XLOOKUP(Logistics_Orders[[#This Row],[Logistics_ID]],Logistics_Catalog[[#All],[Logistics_ID]],Logistics_Catalog[[#All],[Client_Charge]],0,0)</f>
        <v>14500</v>
      </c>
      <c r="G449">
        <f>Logistics_Orders[[#This Row],[Client_Charge]]-Logistics_Orders[[#This Row],[Cost]]</f>
        <v>2500</v>
      </c>
      <c r="H449" t="s">
        <v>186</v>
      </c>
    </row>
    <row r="450" spans="1:8" x14ac:dyDescent="0.25">
      <c r="A450">
        <v>92</v>
      </c>
      <c r="B450" t="s">
        <v>191</v>
      </c>
      <c r="C450" cm="1">
        <f t="array" ref="C450">_xlfn.XLOOKUP(Logistics_Orders[[#This Row],[Logistics_ID]],Logistics_Catalog[[#All],[Logistics_ID]],Logistics_Catalog[[#All],[Base_Quantity]],0,0)</f>
        <v>5</v>
      </c>
      <c r="D450" cm="1">
        <f t="array" ref="D450">IF(Logistics_Orders[[#This Row],[Item]]="Chairs &amp; Tables",CEILING(_xlfn.XLOOKUP(Logistics_Orders[[#This Row],[Event_No]],Event_Master[[#All],[Event_No]],Event_Master[[#All],[Guest_Count]],,0)/Logistics_Orders[[#This Row],[Base_Quantity]],1),1)</f>
        <v>1</v>
      </c>
      <c r="E450" cm="1">
        <f t="array" ref="E450">Logistics_Orders[[#This Row],[Quantity_Ordered]]*_xlfn.XLOOKUP(Logistics_Orders[[#This Row],[Logistics_ID]],Logistics_Catalog[[#All],[Logistics_ID]],Logistics_Catalog[[#All],[Cost]],0,0)</f>
        <v>3000</v>
      </c>
      <c r="F450" cm="1">
        <f t="array" ref="F450">Logistics_Orders[[#This Row],[Quantity_Ordered]]*_xlfn.XLOOKUP(Logistics_Orders[[#This Row],[Logistics_ID]],Logistics_Catalog[[#All],[Logistics_ID]],Logistics_Catalog[[#All],[Client_Charge]],0,0)</f>
        <v>3600</v>
      </c>
      <c r="G450">
        <f>Logistics_Orders[[#This Row],[Client_Charge]]-Logistics_Orders[[#This Row],[Cost]]</f>
        <v>600</v>
      </c>
      <c r="H450" t="s">
        <v>194</v>
      </c>
    </row>
    <row r="451" spans="1:8" x14ac:dyDescent="0.25">
      <c r="A451">
        <v>92</v>
      </c>
      <c r="B451" t="s">
        <v>195</v>
      </c>
      <c r="C451" cm="1">
        <f t="array" ref="C451">_xlfn.XLOOKUP(Logistics_Orders[[#This Row],[Logistics_ID]],Logistics_Catalog[[#All],[Logistics_ID]],Logistics_Catalog[[#All],[Base_Quantity]],0,0)</f>
        <v>10</v>
      </c>
      <c r="D451" cm="1">
        <f t="array" ref="D451">IF(Logistics_Orders[[#This Row],[Item]]="Chairs &amp; Tables",CEILING(_xlfn.XLOOKUP(Logistics_Orders[[#This Row],[Event_No]],Event_Master[[#All],[Event_No]],Event_Master[[#All],[Guest_Count]],,0)/Logistics_Orders[[#This Row],[Base_Quantity]],1),1)</f>
        <v>1</v>
      </c>
      <c r="E451" cm="1">
        <f t="array" ref="E451">Logistics_Orders[[#This Row],[Quantity_Ordered]]*_xlfn.XLOOKUP(Logistics_Orders[[#This Row],[Logistics_ID]],Logistics_Catalog[[#All],[Logistics_ID]],Logistics_Catalog[[#All],[Cost]],0,0)</f>
        <v>6000</v>
      </c>
      <c r="F451" cm="1">
        <f t="array" ref="F451">Logistics_Orders[[#This Row],[Quantity_Ordered]]*_xlfn.XLOOKUP(Logistics_Orders[[#This Row],[Logistics_ID]],Logistics_Catalog[[#All],[Logistics_ID]],Logistics_Catalog[[#All],[Client_Charge]],0,0)</f>
        <v>7200</v>
      </c>
      <c r="G451">
        <f>Logistics_Orders[[#This Row],[Client_Charge]]-Logistics_Orders[[#This Row],[Cost]]</f>
        <v>1200</v>
      </c>
      <c r="H451" t="s">
        <v>198</v>
      </c>
    </row>
    <row r="452" spans="1:8" x14ac:dyDescent="0.25">
      <c r="A452">
        <v>92</v>
      </c>
      <c r="B452" t="s">
        <v>187</v>
      </c>
      <c r="C452" cm="1">
        <f t="array" ref="C452">_xlfn.XLOOKUP(Logistics_Orders[[#This Row],[Logistics_ID]],Logistics_Catalog[[#All],[Logistics_ID]],Logistics_Catalog[[#All],[Base_Quantity]],0,0)</f>
        <v>1</v>
      </c>
      <c r="D452" cm="1">
        <f t="array" ref="D452">IF(Logistics_Orders[[#This Row],[Item]]="Chairs &amp; Tables",CEILING(_xlfn.XLOOKUP(Logistics_Orders[[#This Row],[Event_No]],Event_Master[[#All],[Event_No]],Event_Master[[#All],[Guest_Count]],,0)/Logistics_Orders[[#This Row],[Base_Quantity]],1),1)</f>
        <v>1</v>
      </c>
      <c r="E452" cm="1">
        <f t="array" ref="E452">Logistics_Orders[[#This Row],[Quantity_Ordered]]*_xlfn.XLOOKUP(Logistics_Orders[[#This Row],[Logistics_ID]],Logistics_Catalog[[#All],[Logistics_ID]],Logistics_Catalog[[#All],[Cost]],0,0)</f>
        <v>8000</v>
      </c>
      <c r="F452" cm="1">
        <f t="array" ref="F452">Logistics_Orders[[#This Row],[Quantity_Ordered]]*_xlfn.XLOOKUP(Logistics_Orders[[#This Row],[Logistics_ID]],Logistics_Catalog[[#All],[Logistics_ID]],Logistics_Catalog[[#All],[Client_Charge]],0,0)</f>
        <v>9500</v>
      </c>
      <c r="G452">
        <f>Logistics_Orders[[#This Row],[Client_Charge]]-Logistics_Orders[[#This Row],[Cost]]</f>
        <v>1500</v>
      </c>
      <c r="H452" t="s">
        <v>190</v>
      </c>
    </row>
    <row r="453" spans="1:8" x14ac:dyDescent="0.25">
      <c r="A453">
        <v>93</v>
      </c>
      <c r="B453" t="s">
        <v>177</v>
      </c>
      <c r="C453" cm="1">
        <f t="array" ref="C453">_xlfn.XLOOKUP(Logistics_Orders[[#This Row],[Logistics_ID]],Logistics_Catalog[[#All],[Logistics_ID]],Logistics_Catalog[[#All],[Base_Quantity]],0,0)</f>
        <v>300</v>
      </c>
      <c r="D453" cm="1">
        <f t="array" ref="D453">IF(Logistics_Orders[[#This Row],[Item]]="Chairs &amp; Tables",CEILING(_xlfn.XLOOKUP(Logistics_Orders[[#This Row],[Event_No]],Event_Master[[#All],[Event_No]],Event_Master[[#All],[Guest_Count]],,0)/Logistics_Orders[[#This Row],[Base_Quantity]],1),1)</f>
        <v>3</v>
      </c>
      <c r="E453" cm="1">
        <f t="array" ref="E453">Logistics_Orders[[#This Row],[Quantity_Ordered]]*_xlfn.XLOOKUP(Logistics_Orders[[#This Row],[Logistics_ID]],Logistics_Catalog[[#All],[Logistics_ID]],Logistics_Catalog[[#All],[Cost]],0,0)</f>
        <v>45000</v>
      </c>
      <c r="F453" cm="1">
        <f t="array" ref="F453">Logistics_Orders[[#This Row],[Quantity_Ordered]]*_xlfn.XLOOKUP(Logistics_Orders[[#This Row],[Logistics_ID]],Logistics_Catalog[[#All],[Logistics_ID]],Logistics_Catalog[[#All],[Client_Charge]],0,0)</f>
        <v>54000</v>
      </c>
      <c r="G453">
        <f>Logistics_Orders[[#This Row],[Client_Charge]]-Logistics_Orders[[#This Row],[Cost]]</f>
        <v>9000</v>
      </c>
      <c r="H453" t="s">
        <v>181</v>
      </c>
    </row>
    <row r="454" spans="1:8" x14ac:dyDescent="0.25">
      <c r="A454">
        <v>93</v>
      </c>
      <c r="B454" t="s">
        <v>182</v>
      </c>
      <c r="C454" cm="1">
        <f t="array" ref="C454">_xlfn.XLOOKUP(Logistics_Orders[[#This Row],[Logistics_ID]],Logistics_Catalog[[#All],[Logistics_ID]],Logistics_Catalog[[#All],[Base_Quantity]],0,0)</f>
        <v>1</v>
      </c>
      <c r="D454" cm="1">
        <f t="array" ref="D454">IF(Logistics_Orders[[#This Row],[Item]]="Chairs &amp; Tables",CEILING(_xlfn.XLOOKUP(Logistics_Orders[[#This Row],[Event_No]],Event_Master[[#All],[Event_No]],Event_Master[[#All],[Guest_Count]],,0)/Logistics_Orders[[#This Row],[Base_Quantity]],1),1)</f>
        <v>1</v>
      </c>
      <c r="E454" cm="1">
        <f t="array" ref="E454">Logistics_Orders[[#This Row],[Quantity_Ordered]]*_xlfn.XLOOKUP(Logistics_Orders[[#This Row],[Logistics_ID]],Logistics_Catalog[[#All],[Logistics_ID]],Logistics_Catalog[[#All],[Cost]],0,0)</f>
        <v>12000</v>
      </c>
      <c r="F454" cm="1">
        <f t="array" ref="F454">Logistics_Orders[[#This Row],[Quantity_Ordered]]*_xlfn.XLOOKUP(Logistics_Orders[[#This Row],[Logistics_ID]],Logistics_Catalog[[#All],[Logistics_ID]],Logistics_Catalog[[#All],[Client_Charge]],0,0)</f>
        <v>14500</v>
      </c>
      <c r="G454">
        <f>Logistics_Orders[[#This Row],[Client_Charge]]-Logistics_Orders[[#This Row],[Cost]]</f>
        <v>2500</v>
      </c>
      <c r="H454" t="s">
        <v>186</v>
      </c>
    </row>
    <row r="455" spans="1:8" x14ac:dyDescent="0.25">
      <c r="A455">
        <v>93</v>
      </c>
      <c r="B455" t="s">
        <v>191</v>
      </c>
      <c r="C455" cm="1">
        <f t="array" ref="C455">_xlfn.XLOOKUP(Logistics_Orders[[#This Row],[Logistics_ID]],Logistics_Catalog[[#All],[Logistics_ID]],Logistics_Catalog[[#All],[Base_Quantity]],0,0)</f>
        <v>5</v>
      </c>
      <c r="D455" cm="1">
        <f t="array" ref="D455">IF(Logistics_Orders[[#This Row],[Item]]="Chairs &amp; Tables",CEILING(_xlfn.XLOOKUP(Logistics_Orders[[#This Row],[Event_No]],Event_Master[[#All],[Event_No]],Event_Master[[#All],[Guest_Count]],,0)/Logistics_Orders[[#This Row],[Base_Quantity]],1),1)</f>
        <v>1</v>
      </c>
      <c r="E455" cm="1">
        <f t="array" ref="E455">Logistics_Orders[[#This Row],[Quantity_Ordered]]*_xlfn.XLOOKUP(Logistics_Orders[[#This Row],[Logistics_ID]],Logistics_Catalog[[#All],[Logistics_ID]],Logistics_Catalog[[#All],[Cost]],0,0)</f>
        <v>3000</v>
      </c>
      <c r="F455" cm="1">
        <f t="array" ref="F455">Logistics_Orders[[#This Row],[Quantity_Ordered]]*_xlfn.XLOOKUP(Logistics_Orders[[#This Row],[Logistics_ID]],Logistics_Catalog[[#All],[Logistics_ID]],Logistics_Catalog[[#All],[Client_Charge]],0,0)</f>
        <v>3600</v>
      </c>
      <c r="G455">
        <f>Logistics_Orders[[#This Row],[Client_Charge]]-Logistics_Orders[[#This Row],[Cost]]</f>
        <v>600</v>
      </c>
      <c r="H455" t="s">
        <v>194</v>
      </c>
    </row>
    <row r="456" spans="1:8" x14ac:dyDescent="0.25">
      <c r="A456">
        <v>93</v>
      </c>
      <c r="B456" t="s">
        <v>195</v>
      </c>
      <c r="C456" cm="1">
        <f t="array" ref="C456">_xlfn.XLOOKUP(Logistics_Orders[[#This Row],[Logistics_ID]],Logistics_Catalog[[#All],[Logistics_ID]],Logistics_Catalog[[#All],[Base_Quantity]],0,0)</f>
        <v>10</v>
      </c>
      <c r="D456" cm="1">
        <f t="array" ref="D456">IF(Logistics_Orders[[#This Row],[Item]]="Chairs &amp; Tables",CEILING(_xlfn.XLOOKUP(Logistics_Orders[[#This Row],[Event_No]],Event_Master[[#All],[Event_No]],Event_Master[[#All],[Guest_Count]],,0)/Logistics_Orders[[#This Row],[Base_Quantity]],1),1)</f>
        <v>1</v>
      </c>
      <c r="E456" cm="1">
        <f t="array" ref="E456">Logistics_Orders[[#This Row],[Quantity_Ordered]]*_xlfn.XLOOKUP(Logistics_Orders[[#This Row],[Logistics_ID]],Logistics_Catalog[[#All],[Logistics_ID]],Logistics_Catalog[[#All],[Cost]],0,0)</f>
        <v>6000</v>
      </c>
      <c r="F456" cm="1">
        <f t="array" ref="F456">Logistics_Orders[[#This Row],[Quantity_Ordered]]*_xlfn.XLOOKUP(Logistics_Orders[[#This Row],[Logistics_ID]],Logistics_Catalog[[#All],[Logistics_ID]],Logistics_Catalog[[#All],[Client_Charge]],0,0)</f>
        <v>7200</v>
      </c>
      <c r="G456">
        <f>Logistics_Orders[[#This Row],[Client_Charge]]-Logistics_Orders[[#This Row],[Cost]]</f>
        <v>1200</v>
      </c>
      <c r="H456" t="s">
        <v>198</v>
      </c>
    </row>
    <row r="457" spans="1:8" x14ac:dyDescent="0.25">
      <c r="A457">
        <v>93</v>
      </c>
      <c r="B457" t="s">
        <v>187</v>
      </c>
      <c r="C457" cm="1">
        <f t="array" ref="C457">_xlfn.XLOOKUP(Logistics_Orders[[#This Row],[Logistics_ID]],Logistics_Catalog[[#All],[Logistics_ID]],Logistics_Catalog[[#All],[Base_Quantity]],0,0)</f>
        <v>1</v>
      </c>
      <c r="D457" cm="1">
        <f t="array" ref="D457">IF(Logistics_Orders[[#This Row],[Item]]="Chairs &amp; Tables",CEILING(_xlfn.XLOOKUP(Logistics_Orders[[#This Row],[Event_No]],Event_Master[[#All],[Event_No]],Event_Master[[#All],[Guest_Count]],,0)/Logistics_Orders[[#This Row],[Base_Quantity]],1),1)</f>
        <v>1</v>
      </c>
      <c r="E457" cm="1">
        <f t="array" ref="E457">Logistics_Orders[[#This Row],[Quantity_Ordered]]*_xlfn.XLOOKUP(Logistics_Orders[[#This Row],[Logistics_ID]],Logistics_Catalog[[#All],[Logistics_ID]],Logistics_Catalog[[#All],[Cost]],0,0)</f>
        <v>8000</v>
      </c>
      <c r="F457" cm="1">
        <f t="array" ref="F457">Logistics_Orders[[#This Row],[Quantity_Ordered]]*_xlfn.XLOOKUP(Logistics_Orders[[#This Row],[Logistics_ID]],Logistics_Catalog[[#All],[Logistics_ID]],Logistics_Catalog[[#All],[Client_Charge]],0,0)</f>
        <v>9500</v>
      </c>
      <c r="G457">
        <f>Logistics_Orders[[#This Row],[Client_Charge]]-Logistics_Orders[[#This Row],[Cost]]</f>
        <v>1500</v>
      </c>
      <c r="H457" t="s">
        <v>190</v>
      </c>
    </row>
    <row r="458" spans="1:8" x14ac:dyDescent="0.25">
      <c r="A458">
        <v>94</v>
      </c>
      <c r="B458" t="s">
        <v>177</v>
      </c>
      <c r="C458" cm="1">
        <f t="array" ref="C458">_xlfn.XLOOKUP(Logistics_Orders[[#This Row],[Logistics_ID]],Logistics_Catalog[[#All],[Logistics_ID]],Logistics_Catalog[[#All],[Base_Quantity]],0,0)</f>
        <v>300</v>
      </c>
      <c r="D458" cm="1">
        <f t="array" ref="D458">IF(Logistics_Orders[[#This Row],[Item]]="Chairs &amp; Tables",CEILING(_xlfn.XLOOKUP(Logistics_Orders[[#This Row],[Event_No]],Event_Master[[#All],[Event_No]],Event_Master[[#All],[Guest_Count]],,0)/Logistics_Orders[[#This Row],[Base_Quantity]],1),1)</f>
        <v>2</v>
      </c>
      <c r="E458" cm="1">
        <f t="array" ref="E458">Logistics_Orders[[#This Row],[Quantity_Ordered]]*_xlfn.XLOOKUP(Logistics_Orders[[#This Row],[Logistics_ID]],Logistics_Catalog[[#All],[Logistics_ID]],Logistics_Catalog[[#All],[Cost]],0,0)</f>
        <v>30000</v>
      </c>
      <c r="F458" cm="1">
        <f t="array" ref="F458">Logistics_Orders[[#This Row],[Quantity_Ordered]]*_xlfn.XLOOKUP(Logistics_Orders[[#This Row],[Logistics_ID]],Logistics_Catalog[[#All],[Logistics_ID]],Logistics_Catalog[[#All],[Client_Charge]],0,0)</f>
        <v>36000</v>
      </c>
      <c r="G458">
        <f>Logistics_Orders[[#This Row],[Client_Charge]]-Logistics_Orders[[#This Row],[Cost]]</f>
        <v>6000</v>
      </c>
      <c r="H458" t="s">
        <v>181</v>
      </c>
    </row>
    <row r="459" spans="1:8" x14ac:dyDescent="0.25">
      <c r="A459">
        <v>94</v>
      </c>
      <c r="B459" t="s">
        <v>182</v>
      </c>
      <c r="C459" cm="1">
        <f t="array" ref="C459">_xlfn.XLOOKUP(Logistics_Orders[[#This Row],[Logistics_ID]],Logistics_Catalog[[#All],[Logistics_ID]],Logistics_Catalog[[#All],[Base_Quantity]],0,0)</f>
        <v>1</v>
      </c>
      <c r="D459" cm="1">
        <f t="array" ref="D459">IF(Logistics_Orders[[#This Row],[Item]]="Chairs &amp; Tables",CEILING(_xlfn.XLOOKUP(Logistics_Orders[[#This Row],[Event_No]],Event_Master[[#All],[Event_No]],Event_Master[[#All],[Guest_Count]],,0)/Logistics_Orders[[#This Row],[Base_Quantity]],1),1)</f>
        <v>1</v>
      </c>
      <c r="E459" cm="1">
        <f t="array" ref="E459">Logistics_Orders[[#This Row],[Quantity_Ordered]]*_xlfn.XLOOKUP(Logistics_Orders[[#This Row],[Logistics_ID]],Logistics_Catalog[[#All],[Logistics_ID]],Logistics_Catalog[[#All],[Cost]],0,0)</f>
        <v>12000</v>
      </c>
      <c r="F459" cm="1">
        <f t="array" ref="F459">Logistics_Orders[[#This Row],[Quantity_Ordered]]*_xlfn.XLOOKUP(Logistics_Orders[[#This Row],[Logistics_ID]],Logistics_Catalog[[#All],[Logistics_ID]],Logistics_Catalog[[#All],[Client_Charge]],0,0)</f>
        <v>14500</v>
      </c>
      <c r="G459">
        <f>Logistics_Orders[[#This Row],[Client_Charge]]-Logistics_Orders[[#This Row],[Cost]]</f>
        <v>2500</v>
      </c>
      <c r="H459" t="s">
        <v>186</v>
      </c>
    </row>
    <row r="460" spans="1:8" x14ac:dyDescent="0.25">
      <c r="A460">
        <v>94</v>
      </c>
      <c r="B460" t="s">
        <v>191</v>
      </c>
      <c r="C460" cm="1">
        <f t="array" ref="C460">_xlfn.XLOOKUP(Logistics_Orders[[#This Row],[Logistics_ID]],Logistics_Catalog[[#All],[Logistics_ID]],Logistics_Catalog[[#All],[Base_Quantity]],0,0)</f>
        <v>5</v>
      </c>
      <c r="D460" cm="1">
        <f t="array" ref="D460">IF(Logistics_Orders[[#This Row],[Item]]="Chairs &amp; Tables",CEILING(_xlfn.XLOOKUP(Logistics_Orders[[#This Row],[Event_No]],Event_Master[[#All],[Event_No]],Event_Master[[#All],[Guest_Count]],,0)/Logistics_Orders[[#This Row],[Base_Quantity]],1),1)</f>
        <v>1</v>
      </c>
      <c r="E460" cm="1">
        <f t="array" ref="E460">Logistics_Orders[[#This Row],[Quantity_Ordered]]*_xlfn.XLOOKUP(Logistics_Orders[[#This Row],[Logistics_ID]],Logistics_Catalog[[#All],[Logistics_ID]],Logistics_Catalog[[#All],[Cost]],0,0)</f>
        <v>3000</v>
      </c>
      <c r="F460" cm="1">
        <f t="array" ref="F460">Logistics_Orders[[#This Row],[Quantity_Ordered]]*_xlfn.XLOOKUP(Logistics_Orders[[#This Row],[Logistics_ID]],Logistics_Catalog[[#All],[Logistics_ID]],Logistics_Catalog[[#All],[Client_Charge]],0,0)</f>
        <v>3600</v>
      </c>
      <c r="G460">
        <f>Logistics_Orders[[#This Row],[Client_Charge]]-Logistics_Orders[[#This Row],[Cost]]</f>
        <v>600</v>
      </c>
      <c r="H460" t="s">
        <v>194</v>
      </c>
    </row>
    <row r="461" spans="1:8" x14ac:dyDescent="0.25">
      <c r="A461">
        <v>94</v>
      </c>
      <c r="B461" t="s">
        <v>195</v>
      </c>
      <c r="C461" cm="1">
        <f t="array" ref="C461">_xlfn.XLOOKUP(Logistics_Orders[[#This Row],[Logistics_ID]],Logistics_Catalog[[#All],[Logistics_ID]],Logistics_Catalog[[#All],[Base_Quantity]],0,0)</f>
        <v>10</v>
      </c>
      <c r="D461" cm="1">
        <f t="array" ref="D461">IF(Logistics_Orders[[#This Row],[Item]]="Chairs &amp; Tables",CEILING(_xlfn.XLOOKUP(Logistics_Orders[[#This Row],[Event_No]],Event_Master[[#All],[Event_No]],Event_Master[[#All],[Guest_Count]],,0)/Logistics_Orders[[#This Row],[Base_Quantity]],1),1)</f>
        <v>1</v>
      </c>
      <c r="E461" cm="1">
        <f t="array" ref="E461">Logistics_Orders[[#This Row],[Quantity_Ordered]]*_xlfn.XLOOKUP(Logistics_Orders[[#This Row],[Logistics_ID]],Logistics_Catalog[[#All],[Logistics_ID]],Logistics_Catalog[[#All],[Cost]],0,0)</f>
        <v>6000</v>
      </c>
      <c r="F461" cm="1">
        <f t="array" ref="F461">Logistics_Orders[[#This Row],[Quantity_Ordered]]*_xlfn.XLOOKUP(Logistics_Orders[[#This Row],[Logistics_ID]],Logistics_Catalog[[#All],[Logistics_ID]],Logistics_Catalog[[#All],[Client_Charge]],0,0)</f>
        <v>7200</v>
      </c>
      <c r="G461">
        <f>Logistics_Orders[[#This Row],[Client_Charge]]-Logistics_Orders[[#This Row],[Cost]]</f>
        <v>1200</v>
      </c>
      <c r="H461" t="s">
        <v>198</v>
      </c>
    </row>
    <row r="462" spans="1:8" x14ac:dyDescent="0.25">
      <c r="A462">
        <v>94</v>
      </c>
      <c r="B462" t="s">
        <v>187</v>
      </c>
      <c r="C462" cm="1">
        <f t="array" ref="C462">_xlfn.XLOOKUP(Logistics_Orders[[#This Row],[Logistics_ID]],Logistics_Catalog[[#All],[Logistics_ID]],Logistics_Catalog[[#All],[Base_Quantity]],0,0)</f>
        <v>1</v>
      </c>
      <c r="D462" cm="1">
        <f t="array" ref="D462">IF(Logistics_Orders[[#This Row],[Item]]="Chairs &amp; Tables",CEILING(_xlfn.XLOOKUP(Logistics_Orders[[#This Row],[Event_No]],Event_Master[[#All],[Event_No]],Event_Master[[#All],[Guest_Count]],,0)/Logistics_Orders[[#This Row],[Base_Quantity]],1),1)</f>
        <v>1</v>
      </c>
      <c r="E462" cm="1">
        <f t="array" ref="E462">Logistics_Orders[[#This Row],[Quantity_Ordered]]*_xlfn.XLOOKUP(Logistics_Orders[[#This Row],[Logistics_ID]],Logistics_Catalog[[#All],[Logistics_ID]],Logistics_Catalog[[#All],[Cost]],0,0)</f>
        <v>8000</v>
      </c>
      <c r="F462" cm="1">
        <f t="array" ref="F462">Logistics_Orders[[#This Row],[Quantity_Ordered]]*_xlfn.XLOOKUP(Logistics_Orders[[#This Row],[Logistics_ID]],Logistics_Catalog[[#All],[Logistics_ID]],Logistics_Catalog[[#All],[Client_Charge]],0,0)</f>
        <v>9500</v>
      </c>
      <c r="G462">
        <f>Logistics_Orders[[#This Row],[Client_Charge]]-Logistics_Orders[[#This Row],[Cost]]</f>
        <v>1500</v>
      </c>
      <c r="H462" t="s">
        <v>190</v>
      </c>
    </row>
    <row r="463" spans="1:8" x14ac:dyDescent="0.25">
      <c r="A463">
        <v>95</v>
      </c>
      <c r="B463" t="s">
        <v>177</v>
      </c>
      <c r="C463" cm="1">
        <f t="array" ref="C463">_xlfn.XLOOKUP(Logistics_Orders[[#This Row],[Logistics_ID]],Logistics_Catalog[[#All],[Logistics_ID]],Logistics_Catalog[[#All],[Base_Quantity]],0,0)</f>
        <v>300</v>
      </c>
      <c r="D463" cm="1">
        <f t="array" ref="D463">IF(Logistics_Orders[[#This Row],[Item]]="Chairs &amp; Tables",CEILING(_xlfn.XLOOKUP(Logistics_Orders[[#This Row],[Event_No]],Event_Master[[#All],[Event_No]],Event_Master[[#All],[Guest_Count]],,0)/Logistics_Orders[[#This Row],[Base_Quantity]],1),1)</f>
        <v>7</v>
      </c>
      <c r="E463" cm="1">
        <f t="array" ref="E463">Logistics_Orders[[#This Row],[Quantity_Ordered]]*_xlfn.XLOOKUP(Logistics_Orders[[#This Row],[Logistics_ID]],Logistics_Catalog[[#All],[Logistics_ID]],Logistics_Catalog[[#All],[Cost]],0,0)</f>
        <v>105000</v>
      </c>
      <c r="F463" cm="1">
        <f t="array" ref="F463">Logistics_Orders[[#This Row],[Quantity_Ordered]]*_xlfn.XLOOKUP(Logistics_Orders[[#This Row],[Logistics_ID]],Logistics_Catalog[[#All],[Logistics_ID]],Logistics_Catalog[[#All],[Client_Charge]],0,0)</f>
        <v>126000</v>
      </c>
      <c r="G463">
        <f>Logistics_Orders[[#This Row],[Client_Charge]]-Logistics_Orders[[#This Row],[Cost]]</f>
        <v>21000</v>
      </c>
      <c r="H463" t="s">
        <v>181</v>
      </c>
    </row>
    <row r="464" spans="1:8" x14ac:dyDescent="0.25">
      <c r="A464">
        <v>95</v>
      </c>
      <c r="B464" t="s">
        <v>182</v>
      </c>
      <c r="C464" cm="1">
        <f t="array" ref="C464">_xlfn.XLOOKUP(Logistics_Orders[[#This Row],[Logistics_ID]],Logistics_Catalog[[#All],[Logistics_ID]],Logistics_Catalog[[#All],[Base_Quantity]],0,0)</f>
        <v>1</v>
      </c>
      <c r="D464" cm="1">
        <f t="array" ref="D464">IF(Logistics_Orders[[#This Row],[Item]]="Chairs &amp; Tables",CEILING(_xlfn.XLOOKUP(Logistics_Orders[[#This Row],[Event_No]],Event_Master[[#All],[Event_No]],Event_Master[[#All],[Guest_Count]],,0)/Logistics_Orders[[#This Row],[Base_Quantity]],1),1)</f>
        <v>1</v>
      </c>
      <c r="E464" cm="1">
        <f t="array" ref="E464">Logistics_Orders[[#This Row],[Quantity_Ordered]]*_xlfn.XLOOKUP(Logistics_Orders[[#This Row],[Logistics_ID]],Logistics_Catalog[[#All],[Logistics_ID]],Logistics_Catalog[[#All],[Cost]],0,0)</f>
        <v>12000</v>
      </c>
      <c r="F464" cm="1">
        <f t="array" ref="F464">Logistics_Orders[[#This Row],[Quantity_Ordered]]*_xlfn.XLOOKUP(Logistics_Orders[[#This Row],[Logistics_ID]],Logistics_Catalog[[#All],[Logistics_ID]],Logistics_Catalog[[#All],[Client_Charge]],0,0)</f>
        <v>14500</v>
      </c>
      <c r="G464">
        <f>Logistics_Orders[[#This Row],[Client_Charge]]-Logistics_Orders[[#This Row],[Cost]]</f>
        <v>2500</v>
      </c>
      <c r="H464" t="s">
        <v>186</v>
      </c>
    </row>
    <row r="465" spans="1:8" x14ac:dyDescent="0.25">
      <c r="A465">
        <v>95</v>
      </c>
      <c r="B465" t="s">
        <v>191</v>
      </c>
      <c r="C465" cm="1">
        <f t="array" ref="C465">_xlfn.XLOOKUP(Logistics_Orders[[#This Row],[Logistics_ID]],Logistics_Catalog[[#All],[Logistics_ID]],Logistics_Catalog[[#All],[Base_Quantity]],0,0)</f>
        <v>5</v>
      </c>
      <c r="D465" cm="1">
        <f t="array" ref="D465">IF(Logistics_Orders[[#This Row],[Item]]="Chairs &amp; Tables",CEILING(_xlfn.XLOOKUP(Logistics_Orders[[#This Row],[Event_No]],Event_Master[[#All],[Event_No]],Event_Master[[#All],[Guest_Count]],,0)/Logistics_Orders[[#This Row],[Base_Quantity]],1),1)</f>
        <v>1</v>
      </c>
      <c r="E465" cm="1">
        <f t="array" ref="E465">Logistics_Orders[[#This Row],[Quantity_Ordered]]*_xlfn.XLOOKUP(Logistics_Orders[[#This Row],[Logistics_ID]],Logistics_Catalog[[#All],[Logistics_ID]],Logistics_Catalog[[#All],[Cost]],0,0)</f>
        <v>3000</v>
      </c>
      <c r="F465" cm="1">
        <f t="array" ref="F465">Logistics_Orders[[#This Row],[Quantity_Ordered]]*_xlfn.XLOOKUP(Logistics_Orders[[#This Row],[Logistics_ID]],Logistics_Catalog[[#All],[Logistics_ID]],Logistics_Catalog[[#All],[Client_Charge]],0,0)</f>
        <v>3600</v>
      </c>
      <c r="G465">
        <f>Logistics_Orders[[#This Row],[Client_Charge]]-Logistics_Orders[[#This Row],[Cost]]</f>
        <v>600</v>
      </c>
      <c r="H465" t="s">
        <v>194</v>
      </c>
    </row>
    <row r="466" spans="1:8" x14ac:dyDescent="0.25">
      <c r="A466">
        <v>95</v>
      </c>
      <c r="B466" t="s">
        <v>195</v>
      </c>
      <c r="C466" cm="1">
        <f t="array" ref="C466">_xlfn.XLOOKUP(Logistics_Orders[[#This Row],[Logistics_ID]],Logistics_Catalog[[#All],[Logistics_ID]],Logistics_Catalog[[#All],[Base_Quantity]],0,0)</f>
        <v>10</v>
      </c>
      <c r="D466" cm="1">
        <f t="array" ref="D466">IF(Logistics_Orders[[#This Row],[Item]]="Chairs &amp; Tables",CEILING(_xlfn.XLOOKUP(Logistics_Orders[[#This Row],[Event_No]],Event_Master[[#All],[Event_No]],Event_Master[[#All],[Guest_Count]],,0)/Logistics_Orders[[#This Row],[Base_Quantity]],1),1)</f>
        <v>1</v>
      </c>
      <c r="E466" cm="1">
        <f t="array" ref="E466">Logistics_Orders[[#This Row],[Quantity_Ordered]]*_xlfn.XLOOKUP(Logistics_Orders[[#This Row],[Logistics_ID]],Logistics_Catalog[[#All],[Logistics_ID]],Logistics_Catalog[[#All],[Cost]],0,0)</f>
        <v>6000</v>
      </c>
      <c r="F466" cm="1">
        <f t="array" ref="F466">Logistics_Orders[[#This Row],[Quantity_Ordered]]*_xlfn.XLOOKUP(Logistics_Orders[[#This Row],[Logistics_ID]],Logistics_Catalog[[#All],[Logistics_ID]],Logistics_Catalog[[#All],[Client_Charge]],0,0)</f>
        <v>7200</v>
      </c>
      <c r="G466">
        <f>Logistics_Orders[[#This Row],[Client_Charge]]-Logistics_Orders[[#This Row],[Cost]]</f>
        <v>1200</v>
      </c>
      <c r="H466" t="s">
        <v>198</v>
      </c>
    </row>
    <row r="467" spans="1:8" x14ac:dyDescent="0.25">
      <c r="A467">
        <v>95</v>
      </c>
      <c r="B467" t="s">
        <v>187</v>
      </c>
      <c r="C467" cm="1">
        <f t="array" ref="C467">_xlfn.XLOOKUP(Logistics_Orders[[#This Row],[Logistics_ID]],Logistics_Catalog[[#All],[Logistics_ID]],Logistics_Catalog[[#All],[Base_Quantity]],0,0)</f>
        <v>1</v>
      </c>
      <c r="D467" cm="1">
        <f t="array" ref="D467">IF(Logistics_Orders[[#This Row],[Item]]="Chairs &amp; Tables",CEILING(_xlfn.XLOOKUP(Logistics_Orders[[#This Row],[Event_No]],Event_Master[[#All],[Event_No]],Event_Master[[#All],[Guest_Count]],,0)/Logistics_Orders[[#This Row],[Base_Quantity]],1),1)</f>
        <v>1</v>
      </c>
      <c r="E467" cm="1">
        <f t="array" ref="E467">Logistics_Orders[[#This Row],[Quantity_Ordered]]*_xlfn.XLOOKUP(Logistics_Orders[[#This Row],[Logistics_ID]],Logistics_Catalog[[#All],[Logistics_ID]],Logistics_Catalog[[#All],[Cost]],0,0)</f>
        <v>8000</v>
      </c>
      <c r="F467" cm="1">
        <f t="array" ref="F467">Logistics_Orders[[#This Row],[Quantity_Ordered]]*_xlfn.XLOOKUP(Logistics_Orders[[#This Row],[Logistics_ID]],Logistics_Catalog[[#All],[Logistics_ID]],Logistics_Catalog[[#All],[Client_Charge]],0,0)</f>
        <v>9500</v>
      </c>
      <c r="G467">
        <f>Logistics_Orders[[#This Row],[Client_Charge]]-Logistics_Orders[[#This Row],[Cost]]</f>
        <v>1500</v>
      </c>
      <c r="H467" t="s">
        <v>190</v>
      </c>
    </row>
    <row r="468" spans="1:8" x14ac:dyDescent="0.25">
      <c r="A468">
        <v>96</v>
      </c>
      <c r="B468" t="s">
        <v>177</v>
      </c>
      <c r="C468" cm="1">
        <f t="array" ref="C468">_xlfn.XLOOKUP(Logistics_Orders[[#This Row],[Logistics_ID]],Logistics_Catalog[[#All],[Logistics_ID]],Logistics_Catalog[[#All],[Base_Quantity]],0,0)</f>
        <v>300</v>
      </c>
      <c r="D468" cm="1">
        <f t="array" ref="D468">IF(Logistics_Orders[[#This Row],[Item]]="Chairs &amp; Tables",CEILING(_xlfn.XLOOKUP(Logistics_Orders[[#This Row],[Event_No]],Event_Master[[#All],[Event_No]],Event_Master[[#All],[Guest_Count]],,0)/Logistics_Orders[[#This Row],[Base_Quantity]],1),1)</f>
        <v>3</v>
      </c>
      <c r="E468" cm="1">
        <f t="array" ref="E468">Logistics_Orders[[#This Row],[Quantity_Ordered]]*_xlfn.XLOOKUP(Logistics_Orders[[#This Row],[Logistics_ID]],Logistics_Catalog[[#All],[Logistics_ID]],Logistics_Catalog[[#All],[Cost]],0,0)</f>
        <v>45000</v>
      </c>
      <c r="F468" cm="1">
        <f t="array" ref="F468">Logistics_Orders[[#This Row],[Quantity_Ordered]]*_xlfn.XLOOKUP(Logistics_Orders[[#This Row],[Logistics_ID]],Logistics_Catalog[[#All],[Logistics_ID]],Logistics_Catalog[[#All],[Client_Charge]],0,0)</f>
        <v>54000</v>
      </c>
      <c r="G468">
        <f>Logistics_Orders[[#This Row],[Client_Charge]]-Logistics_Orders[[#This Row],[Cost]]</f>
        <v>9000</v>
      </c>
      <c r="H468" t="s">
        <v>181</v>
      </c>
    </row>
    <row r="469" spans="1:8" x14ac:dyDescent="0.25">
      <c r="A469">
        <v>96</v>
      </c>
      <c r="B469" t="s">
        <v>182</v>
      </c>
      <c r="C469" cm="1">
        <f t="array" ref="C469">_xlfn.XLOOKUP(Logistics_Orders[[#This Row],[Logistics_ID]],Logistics_Catalog[[#All],[Logistics_ID]],Logistics_Catalog[[#All],[Base_Quantity]],0,0)</f>
        <v>1</v>
      </c>
      <c r="D469" cm="1">
        <f t="array" ref="D469">IF(Logistics_Orders[[#This Row],[Item]]="Chairs &amp; Tables",CEILING(_xlfn.XLOOKUP(Logistics_Orders[[#This Row],[Event_No]],Event_Master[[#All],[Event_No]],Event_Master[[#All],[Guest_Count]],,0)/Logistics_Orders[[#This Row],[Base_Quantity]],1),1)</f>
        <v>1</v>
      </c>
      <c r="E469" cm="1">
        <f t="array" ref="E469">Logistics_Orders[[#This Row],[Quantity_Ordered]]*_xlfn.XLOOKUP(Logistics_Orders[[#This Row],[Logistics_ID]],Logistics_Catalog[[#All],[Logistics_ID]],Logistics_Catalog[[#All],[Cost]],0,0)</f>
        <v>12000</v>
      </c>
      <c r="F469" cm="1">
        <f t="array" ref="F469">Logistics_Orders[[#This Row],[Quantity_Ordered]]*_xlfn.XLOOKUP(Logistics_Orders[[#This Row],[Logistics_ID]],Logistics_Catalog[[#All],[Logistics_ID]],Logistics_Catalog[[#All],[Client_Charge]],0,0)</f>
        <v>14500</v>
      </c>
      <c r="G469">
        <f>Logistics_Orders[[#This Row],[Client_Charge]]-Logistics_Orders[[#This Row],[Cost]]</f>
        <v>2500</v>
      </c>
      <c r="H469" t="s">
        <v>186</v>
      </c>
    </row>
    <row r="470" spans="1:8" x14ac:dyDescent="0.25">
      <c r="A470">
        <v>96</v>
      </c>
      <c r="B470" t="s">
        <v>191</v>
      </c>
      <c r="C470" cm="1">
        <f t="array" ref="C470">_xlfn.XLOOKUP(Logistics_Orders[[#This Row],[Logistics_ID]],Logistics_Catalog[[#All],[Logistics_ID]],Logistics_Catalog[[#All],[Base_Quantity]],0,0)</f>
        <v>5</v>
      </c>
      <c r="D470" cm="1">
        <f t="array" ref="D470">IF(Logistics_Orders[[#This Row],[Item]]="Chairs &amp; Tables",CEILING(_xlfn.XLOOKUP(Logistics_Orders[[#This Row],[Event_No]],Event_Master[[#All],[Event_No]],Event_Master[[#All],[Guest_Count]],,0)/Logistics_Orders[[#This Row],[Base_Quantity]],1),1)</f>
        <v>1</v>
      </c>
      <c r="E470" cm="1">
        <f t="array" ref="E470">Logistics_Orders[[#This Row],[Quantity_Ordered]]*_xlfn.XLOOKUP(Logistics_Orders[[#This Row],[Logistics_ID]],Logistics_Catalog[[#All],[Logistics_ID]],Logistics_Catalog[[#All],[Cost]],0,0)</f>
        <v>3000</v>
      </c>
      <c r="F470" cm="1">
        <f t="array" ref="F470">Logistics_Orders[[#This Row],[Quantity_Ordered]]*_xlfn.XLOOKUP(Logistics_Orders[[#This Row],[Logistics_ID]],Logistics_Catalog[[#All],[Logistics_ID]],Logistics_Catalog[[#All],[Client_Charge]],0,0)</f>
        <v>3600</v>
      </c>
      <c r="G470">
        <f>Logistics_Orders[[#This Row],[Client_Charge]]-Logistics_Orders[[#This Row],[Cost]]</f>
        <v>600</v>
      </c>
      <c r="H470" t="s">
        <v>194</v>
      </c>
    </row>
    <row r="471" spans="1:8" x14ac:dyDescent="0.25">
      <c r="A471">
        <v>96</v>
      </c>
      <c r="B471" t="s">
        <v>195</v>
      </c>
      <c r="C471" cm="1">
        <f t="array" ref="C471">_xlfn.XLOOKUP(Logistics_Orders[[#This Row],[Logistics_ID]],Logistics_Catalog[[#All],[Logistics_ID]],Logistics_Catalog[[#All],[Base_Quantity]],0,0)</f>
        <v>10</v>
      </c>
      <c r="D471" cm="1">
        <f t="array" ref="D471">IF(Logistics_Orders[[#This Row],[Item]]="Chairs &amp; Tables",CEILING(_xlfn.XLOOKUP(Logistics_Orders[[#This Row],[Event_No]],Event_Master[[#All],[Event_No]],Event_Master[[#All],[Guest_Count]],,0)/Logistics_Orders[[#This Row],[Base_Quantity]],1),1)</f>
        <v>1</v>
      </c>
      <c r="E471" cm="1">
        <f t="array" ref="E471">Logistics_Orders[[#This Row],[Quantity_Ordered]]*_xlfn.XLOOKUP(Logistics_Orders[[#This Row],[Logistics_ID]],Logistics_Catalog[[#All],[Logistics_ID]],Logistics_Catalog[[#All],[Cost]],0,0)</f>
        <v>6000</v>
      </c>
      <c r="F471" cm="1">
        <f t="array" ref="F471">Logistics_Orders[[#This Row],[Quantity_Ordered]]*_xlfn.XLOOKUP(Logistics_Orders[[#This Row],[Logistics_ID]],Logistics_Catalog[[#All],[Logistics_ID]],Logistics_Catalog[[#All],[Client_Charge]],0,0)</f>
        <v>7200</v>
      </c>
      <c r="G471">
        <f>Logistics_Orders[[#This Row],[Client_Charge]]-Logistics_Orders[[#This Row],[Cost]]</f>
        <v>1200</v>
      </c>
      <c r="H471" t="s">
        <v>198</v>
      </c>
    </row>
    <row r="472" spans="1:8" x14ac:dyDescent="0.25">
      <c r="A472">
        <v>96</v>
      </c>
      <c r="B472" t="s">
        <v>187</v>
      </c>
      <c r="C472" cm="1">
        <f t="array" ref="C472">_xlfn.XLOOKUP(Logistics_Orders[[#This Row],[Logistics_ID]],Logistics_Catalog[[#All],[Logistics_ID]],Logistics_Catalog[[#All],[Base_Quantity]],0,0)</f>
        <v>1</v>
      </c>
      <c r="D472" cm="1">
        <f t="array" ref="D472">IF(Logistics_Orders[[#This Row],[Item]]="Chairs &amp; Tables",CEILING(_xlfn.XLOOKUP(Logistics_Orders[[#This Row],[Event_No]],Event_Master[[#All],[Event_No]],Event_Master[[#All],[Guest_Count]],,0)/Logistics_Orders[[#This Row],[Base_Quantity]],1),1)</f>
        <v>1</v>
      </c>
      <c r="E472" cm="1">
        <f t="array" ref="E472">Logistics_Orders[[#This Row],[Quantity_Ordered]]*_xlfn.XLOOKUP(Logistics_Orders[[#This Row],[Logistics_ID]],Logistics_Catalog[[#All],[Logistics_ID]],Logistics_Catalog[[#All],[Cost]],0,0)</f>
        <v>8000</v>
      </c>
      <c r="F472" cm="1">
        <f t="array" ref="F472">Logistics_Orders[[#This Row],[Quantity_Ordered]]*_xlfn.XLOOKUP(Logistics_Orders[[#This Row],[Logistics_ID]],Logistics_Catalog[[#All],[Logistics_ID]],Logistics_Catalog[[#All],[Client_Charge]],0,0)</f>
        <v>9500</v>
      </c>
      <c r="G472">
        <f>Logistics_Orders[[#This Row],[Client_Charge]]-Logistics_Orders[[#This Row],[Cost]]</f>
        <v>1500</v>
      </c>
      <c r="H472" t="s">
        <v>190</v>
      </c>
    </row>
    <row r="473" spans="1:8" x14ac:dyDescent="0.25">
      <c r="A473">
        <v>97</v>
      </c>
      <c r="B473" t="s">
        <v>177</v>
      </c>
      <c r="C473" cm="1">
        <f t="array" ref="C473">_xlfn.XLOOKUP(Logistics_Orders[[#This Row],[Logistics_ID]],Logistics_Catalog[[#All],[Logistics_ID]],Logistics_Catalog[[#All],[Base_Quantity]],0,0)</f>
        <v>300</v>
      </c>
      <c r="D473" cm="1">
        <f t="array" ref="D473">IF(Logistics_Orders[[#This Row],[Item]]="Chairs &amp; Tables",CEILING(_xlfn.XLOOKUP(Logistics_Orders[[#This Row],[Event_No]],Event_Master[[#All],[Event_No]],Event_Master[[#All],[Guest_Count]],,0)/Logistics_Orders[[#This Row],[Base_Quantity]],1),1)</f>
        <v>2</v>
      </c>
      <c r="E473" cm="1">
        <f t="array" ref="E473">Logistics_Orders[[#This Row],[Quantity_Ordered]]*_xlfn.XLOOKUP(Logistics_Orders[[#This Row],[Logistics_ID]],Logistics_Catalog[[#All],[Logistics_ID]],Logistics_Catalog[[#All],[Cost]],0,0)</f>
        <v>30000</v>
      </c>
      <c r="F473" cm="1">
        <f t="array" ref="F473">Logistics_Orders[[#This Row],[Quantity_Ordered]]*_xlfn.XLOOKUP(Logistics_Orders[[#This Row],[Logistics_ID]],Logistics_Catalog[[#All],[Logistics_ID]],Logistics_Catalog[[#All],[Client_Charge]],0,0)</f>
        <v>36000</v>
      </c>
      <c r="G473">
        <f>Logistics_Orders[[#This Row],[Client_Charge]]-Logistics_Orders[[#This Row],[Cost]]</f>
        <v>6000</v>
      </c>
      <c r="H473" t="s">
        <v>181</v>
      </c>
    </row>
    <row r="474" spans="1:8" x14ac:dyDescent="0.25">
      <c r="A474">
        <v>97</v>
      </c>
      <c r="B474" t="s">
        <v>182</v>
      </c>
      <c r="C474" cm="1">
        <f t="array" ref="C474">_xlfn.XLOOKUP(Logistics_Orders[[#This Row],[Logistics_ID]],Logistics_Catalog[[#All],[Logistics_ID]],Logistics_Catalog[[#All],[Base_Quantity]],0,0)</f>
        <v>1</v>
      </c>
      <c r="D474" cm="1">
        <f t="array" ref="D474">IF(Logistics_Orders[[#This Row],[Item]]="Chairs &amp; Tables",CEILING(_xlfn.XLOOKUP(Logistics_Orders[[#This Row],[Event_No]],Event_Master[[#All],[Event_No]],Event_Master[[#All],[Guest_Count]],,0)/Logistics_Orders[[#This Row],[Base_Quantity]],1),1)</f>
        <v>1</v>
      </c>
      <c r="E474" cm="1">
        <f t="array" ref="E474">Logistics_Orders[[#This Row],[Quantity_Ordered]]*_xlfn.XLOOKUP(Logistics_Orders[[#This Row],[Logistics_ID]],Logistics_Catalog[[#All],[Logistics_ID]],Logistics_Catalog[[#All],[Cost]],0,0)</f>
        <v>12000</v>
      </c>
      <c r="F474" cm="1">
        <f t="array" ref="F474">Logistics_Orders[[#This Row],[Quantity_Ordered]]*_xlfn.XLOOKUP(Logistics_Orders[[#This Row],[Logistics_ID]],Logistics_Catalog[[#All],[Logistics_ID]],Logistics_Catalog[[#All],[Client_Charge]],0,0)</f>
        <v>14500</v>
      </c>
      <c r="G474">
        <f>Logistics_Orders[[#This Row],[Client_Charge]]-Logistics_Orders[[#This Row],[Cost]]</f>
        <v>2500</v>
      </c>
      <c r="H474" t="s">
        <v>186</v>
      </c>
    </row>
    <row r="475" spans="1:8" x14ac:dyDescent="0.25">
      <c r="A475">
        <v>97</v>
      </c>
      <c r="B475" t="s">
        <v>191</v>
      </c>
      <c r="C475" cm="1">
        <f t="array" ref="C475">_xlfn.XLOOKUP(Logistics_Orders[[#This Row],[Logistics_ID]],Logistics_Catalog[[#All],[Logistics_ID]],Logistics_Catalog[[#All],[Base_Quantity]],0,0)</f>
        <v>5</v>
      </c>
      <c r="D475" cm="1">
        <f t="array" ref="D475">IF(Logistics_Orders[[#This Row],[Item]]="Chairs &amp; Tables",CEILING(_xlfn.XLOOKUP(Logistics_Orders[[#This Row],[Event_No]],Event_Master[[#All],[Event_No]],Event_Master[[#All],[Guest_Count]],,0)/Logistics_Orders[[#This Row],[Base_Quantity]],1),1)</f>
        <v>1</v>
      </c>
      <c r="E475" cm="1">
        <f t="array" ref="E475">Logistics_Orders[[#This Row],[Quantity_Ordered]]*_xlfn.XLOOKUP(Logistics_Orders[[#This Row],[Logistics_ID]],Logistics_Catalog[[#All],[Logistics_ID]],Logistics_Catalog[[#All],[Cost]],0,0)</f>
        <v>3000</v>
      </c>
      <c r="F475" cm="1">
        <f t="array" ref="F475">Logistics_Orders[[#This Row],[Quantity_Ordered]]*_xlfn.XLOOKUP(Logistics_Orders[[#This Row],[Logistics_ID]],Logistics_Catalog[[#All],[Logistics_ID]],Logistics_Catalog[[#All],[Client_Charge]],0,0)</f>
        <v>3600</v>
      </c>
      <c r="G475">
        <f>Logistics_Orders[[#This Row],[Client_Charge]]-Logistics_Orders[[#This Row],[Cost]]</f>
        <v>600</v>
      </c>
      <c r="H475" t="s">
        <v>194</v>
      </c>
    </row>
    <row r="476" spans="1:8" x14ac:dyDescent="0.25">
      <c r="A476">
        <v>97</v>
      </c>
      <c r="B476" t="s">
        <v>195</v>
      </c>
      <c r="C476" cm="1">
        <f t="array" ref="C476">_xlfn.XLOOKUP(Logistics_Orders[[#This Row],[Logistics_ID]],Logistics_Catalog[[#All],[Logistics_ID]],Logistics_Catalog[[#All],[Base_Quantity]],0,0)</f>
        <v>10</v>
      </c>
      <c r="D476" cm="1">
        <f t="array" ref="D476">IF(Logistics_Orders[[#This Row],[Item]]="Chairs &amp; Tables",CEILING(_xlfn.XLOOKUP(Logistics_Orders[[#This Row],[Event_No]],Event_Master[[#All],[Event_No]],Event_Master[[#All],[Guest_Count]],,0)/Logistics_Orders[[#This Row],[Base_Quantity]],1),1)</f>
        <v>1</v>
      </c>
      <c r="E476" cm="1">
        <f t="array" ref="E476">Logistics_Orders[[#This Row],[Quantity_Ordered]]*_xlfn.XLOOKUP(Logistics_Orders[[#This Row],[Logistics_ID]],Logistics_Catalog[[#All],[Logistics_ID]],Logistics_Catalog[[#All],[Cost]],0,0)</f>
        <v>6000</v>
      </c>
      <c r="F476" cm="1">
        <f t="array" ref="F476">Logistics_Orders[[#This Row],[Quantity_Ordered]]*_xlfn.XLOOKUP(Logistics_Orders[[#This Row],[Logistics_ID]],Logistics_Catalog[[#All],[Logistics_ID]],Logistics_Catalog[[#All],[Client_Charge]],0,0)</f>
        <v>7200</v>
      </c>
      <c r="G476">
        <f>Logistics_Orders[[#This Row],[Client_Charge]]-Logistics_Orders[[#This Row],[Cost]]</f>
        <v>1200</v>
      </c>
      <c r="H476" t="s">
        <v>198</v>
      </c>
    </row>
    <row r="477" spans="1:8" x14ac:dyDescent="0.25">
      <c r="A477">
        <v>97</v>
      </c>
      <c r="B477" t="s">
        <v>187</v>
      </c>
      <c r="C477" cm="1">
        <f t="array" ref="C477">_xlfn.XLOOKUP(Logistics_Orders[[#This Row],[Logistics_ID]],Logistics_Catalog[[#All],[Logistics_ID]],Logistics_Catalog[[#All],[Base_Quantity]],0,0)</f>
        <v>1</v>
      </c>
      <c r="D477" cm="1">
        <f t="array" ref="D477">IF(Logistics_Orders[[#This Row],[Item]]="Chairs &amp; Tables",CEILING(_xlfn.XLOOKUP(Logistics_Orders[[#This Row],[Event_No]],Event_Master[[#All],[Event_No]],Event_Master[[#All],[Guest_Count]],,0)/Logistics_Orders[[#This Row],[Base_Quantity]],1),1)</f>
        <v>1</v>
      </c>
      <c r="E477" cm="1">
        <f t="array" ref="E477">Logistics_Orders[[#This Row],[Quantity_Ordered]]*_xlfn.XLOOKUP(Logistics_Orders[[#This Row],[Logistics_ID]],Logistics_Catalog[[#All],[Logistics_ID]],Logistics_Catalog[[#All],[Cost]],0,0)</f>
        <v>8000</v>
      </c>
      <c r="F477" cm="1">
        <f t="array" ref="F477">Logistics_Orders[[#This Row],[Quantity_Ordered]]*_xlfn.XLOOKUP(Logistics_Orders[[#This Row],[Logistics_ID]],Logistics_Catalog[[#All],[Logistics_ID]],Logistics_Catalog[[#All],[Client_Charge]],0,0)</f>
        <v>9500</v>
      </c>
      <c r="G477">
        <f>Logistics_Orders[[#This Row],[Client_Charge]]-Logistics_Orders[[#This Row],[Cost]]</f>
        <v>1500</v>
      </c>
      <c r="H477" t="s">
        <v>190</v>
      </c>
    </row>
    <row r="478" spans="1:8" x14ac:dyDescent="0.25">
      <c r="A478">
        <v>98</v>
      </c>
      <c r="B478" t="s">
        <v>177</v>
      </c>
      <c r="C478" cm="1">
        <f t="array" ref="C478">_xlfn.XLOOKUP(Logistics_Orders[[#This Row],[Logistics_ID]],Logistics_Catalog[[#All],[Logistics_ID]],Logistics_Catalog[[#All],[Base_Quantity]],0,0)</f>
        <v>300</v>
      </c>
      <c r="D478" cm="1">
        <f t="array" ref="D478">IF(Logistics_Orders[[#This Row],[Item]]="Chairs &amp; Tables",CEILING(_xlfn.XLOOKUP(Logistics_Orders[[#This Row],[Event_No]],Event_Master[[#All],[Event_No]],Event_Master[[#All],[Guest_Count]],,0)/Logistics_Orders[[#This Row],[Base_Quantity]],1),1)</f>
        <v>3</v>
      </c>
      <c r="E478" cm="1">
        <f t="array" ref="E478">Logistics_Orders[[#This Row],[Quantity_Ordered]]*_xlfn.XLOOKUP(Logistics_Orders[[#This Row],[Logistics_ID]],Logistics_Catalog[[#All],[Logistics_ID]],Logistics_Catalog[[#All],[Cost]],0,0)</f>
        <v>45000</v>
      </c>
      <c r="F478" cm="1">
        <f t="array" ref="F478">Logistics_Orders[[#This Row],[Quantity_Ordered]]*_xlfn.XLOOKUP(Logistics_Orders[[#This Row],[Logistics_ID]],Logistics_Catalog[[#All],[Logistics_ID]],Logistics_Catalog[[#All],[Client_Charge]],0,0)</f>
        <v>54000</v>
      </c>
      <c r="G478">
        <f>Logistics_Orders[[#This Row],[Client_Charge]]-Logistics_Orders[[#This Row],[Cost]]</f>
        <v>9000</v>
      </c>
      <c r="H478" t="s">
        <v>181</v>
      </c>
    </row>
    <row r="479" spans="1:8" x14ac:dyDescent="0.25">
      <c r="A479">
        <v>98</v>
      </c>
      <c r="B479" t="s">
        <v>182</v>
      </c>
      <c r="C479" cm="1">
        <f t="array" ref="C479">_xlfn.XLOOKUP(Logistics_Orders[[#This Row],[Logistics_ID]],Logistics_Catalog[[#All],[Logistics_ID]],Logistics_Catalog[[#All],[Base_Quantity]],0,0)</f>
        <v>1</v>
      </c>
      <c r="D479" cm="1">
        <f t="array" ref="D479">IF(Logistics_Orders[[#This Row],[Item]]="Chairs &amp; Tables",CEILING(_xlfn.XLOOKUP(Logistics_Orders[[#This Row],[Event_No]],Event_Master[[#All],[Event_No]],Event_Master[[#All],[Guest_Count]],,0)/Logistics_Orders[[#This Row],[Base_Quantity]],1),1)</f>
        <v>1</v>
      </c>
      <c r="E479" cm="1">
        <f t="array" ref="E479">Logistics_Orders[[#This Row],[Quantity_Ordered]]*_xlfn.XLOOKUP(Logistics_Orders[[#This Row],[Logistics_ID]],Logistics_Catalog[[#All],[Logistics_ID]],Logistics_Catalog[[#All],[Cost]],0,0)</f>
        <v>12000</v>
      </c>
      <c r="F479" cm="1">
        <f t="array" ref="F479">Logistics_Orders[[#This Row],[Quantity_Ordered]]*_xlfn.XLOOKUP(Logistics_Orders[[#This Row],[Logistics_ID]],Logistics_Catalog[[#All],[Logistics_ID]],Logistics_Catalog[[#All],[Client_Charge]],0,0)</f>
        <v>14500</v>
      </c>
      <c r="G479">
        <f>Logistics_Orders[[#This Row],[Client_Charge]]-Logistics_Orders[[#This Row],[Cost]]</f>
        <v>2500</v>
      </c>
      <c r="H479" t="s">
        <v>186</v>
      </c>
    </row>
    <row r="480" spans="1:8" x14ac:dyDescent="0.25">
      <c r="A480">
        <v>98</v>
      </c>
      <c r="B480" t="s">
        <v>191</v>
      </c>
      <c r="C480" cm="1">
        <f t="array" ref="C480">_xlfn.XLOOKUP(Logistics_Orders[[#This Row],[Logistics_ID]],Logistics_Catalog[[#All],[Logistics_ID]],Logistics_Catalog[[#All],[Base_Quantity]],0,0)</f>
        <v>5</v>
      </c>
      <c r="D480" cm="1">
        <f t="array" ref="D480">IF(Logistics_Orders[[#This Row],[Item]]="Chairs &amp; Tables",CEILING(_xlfn.XLOOKUP(Logistics_Orders[[#This Row],[Event_No]],Event_Master[[#All],[Event_No]],Event_Master[[#All],[Guest_Count]],,0)/Logistics_Orders[[#This Row],[Base_Quantity]],1),1)</f>
        <v>1</v>
      </c>
      <c r="E480" cm="1">
        <f t="array" ref="E480">Logistics_Orders[[#This Row],[Quantity_Ordered]]*_xlfn.XLOOKUP(Logistics_Orders[[#This Row],[Logistics_ID]],Logistics_Catalog[[#All],[Logistics_ID]],Logistics_Catalog[[#All],[Cost]],0,0)</f>
        <v>3000</v>
      </c>
      <c r="F480" cm="1">
        <f t="array" ref="F480">Logistics_Orders[[#This Row],[Quantity_Ordered]]*_xlfn.XLOOKUP(Logistics_Orders[[#This Row],[Logistics_ID]],Logistics_Catalog[[#All],[Logistics_ID]],Logistics_Catalog[[#All],[Client_Charge]],0,0)</f>
        <v>3600</v>
      </c>
      <c r="G480">
        <f>Logistics_Orders[[#This Row],[Client_Charge]]-Logistics_Orders[[#This Row],[Cost]]</f>
        <v>600</v>
      </c>
      <c r="H480" t="s">
        <v>194</v>
      </c>
    </row>
    <row r="481" spans="1:8" x14ac:dyDescent="0.25">
      <c r="A481">
        <v>98</v>
      </c>
      <c r="B481" t="s">
        <v>195</v>
      </c>
      <c r="C481" cm="1">
        <f t="array" ref="C481">_xlfn.XLOOKUP(Logistics_Orders[[#This Row],[Logistics_ID]],Logistics_Catalog[[#All],[Logistics_ID]],Logistics_Catalog[[#All],[Base_Quantity]],0,0)</f>
        <v>10</v>
      </c>
      <c r="D481" cm="1">
        <f t="array" ref="D481">IF(Logistics_Orders[[#This Row],[Item]]="Chairs &amp; Tables",CEILING(_xlfn.XLOOKUP(Logistics_Orders[[#This Row],[Event_No]],Event_Master[[#All],[Event_No]],Event_Master[[#All],[Guest_Count]],,0)/Logistics_Orders[[#This Row],[Base_Quantity]],1),1)</f>
        <v>1</v>
      </c>
      <c r="E481" cm="1">
        <f t="array" ref="E481">Logistics_Orders[[#This Row],[Quantity_Ordered]]*_xlfn.XLOOKUP(Logistics_Orders[[#This Row],[Logistics_ID]],Logistics_Catalog[[#All],[Logistics_ID]],Logistics_Catalog[[#All],[Cost]],0,0)</f>
        <v>6000</v>
      </c>
      <c r="F481" cm="1">
        <f t="array" ref="F481">Logistics_Orders[[#This Row],[Quantity_Ordered]]*_xlfn.XLOOKUP(Logistics_Orders[[#This Row],[Logistics_ID]],Logistics_Catalog[[#All],[Logistics_ID]],Logistics_Catalog[[#All],[Client_Charge]],0,0)</f>
        <v>7200</v>
      </c>
      <c r="G481">
        <f>Logistics_Orders[[#This Row],[Client_Charge]]-Logistics_Orders[[#This Row],[Cost]]</f>
        <v>1200</v>
      </c>
      <c r="H481" t="s">
        <v>198</v>
      </c>
    </row>
    <row r="482" spans="1:8" x14ac:dyDescent="0.25">
      <c r="A482">
        <v>98</v>
      </c>
      <c r="B482" t="s">
        <v>187</v>
      </c>
      <c r="C482" cm="1">
        <f t="array" ref="C482">_xlfn.XLOOKUP(Logistics_Orders[[#This Row],[Logistics_ID]],Logistics_Catalog[[#All],[Logistics_ID]],Logistics_Catalog[[#All],[Base_Quantity]],0,0)</f>
        <v>1</v>
      </c>
      <c r="D482" cm="1">
        <f t="array" ref="D482">IF(Logistics_Orders[[#This Row],[Item]]="Chairs &amp; Tables",CEILING(_xlfn.XLOOKUP(Logistics_Orders[[#This Row],[Event_No]],Event_Master[[#All],[Event_No]],Event_Master[[#All],[Guest_Count]],,0)/Logistics_Orders[[#This Row],[Base_Quantity]],1),1)</f>
        <v>1</v>
      </c>
      <c r="E482" cm="1">
        <f t="array" ref="E482">Logistics_Orders[[#This Row],[Quantity_Ordered]]*_xlfn.XLOOKUP(Logistics_Orders[[#This Row],[Logistics_ID]],Logistics_Catalog[[#All],[Logistics_ID]],Logistics_Catalog[[#All],[Cost]],0,0)</f>
        <v>8000</v>
      </c>
      <c r="F482" cm="1">
        <f t="array" ref="F482">Logistics_Orders[[#This Row],[Quantity_Ordered]]*_xlfn.XLOOKUP(Logistics_Orders[[#This Row],[Logistics_ID]],Logistics_Catalog[[#All],[Logistics_ID]],Logistics_Catalog[[#All],[Client_Charge]],0,0)</f>
        <v>9500</v>
      </c>
      <c r="G482">
        <f>Logistics_Orders[[#This Row],[Client_Charge]]-Logistics_Orders[[#This Row],[Cost]]</f>
        <v>1500</v>
      </c>
      <c r="H482" t="s">
        <v>190</v>
      </c>
    </row>
    <row r="483" spans="1:8" x14ac:dyDescent="0.25">
      <c r="A483">
        <v>99</v>
      </c>
      <c r="B483" t="s">
        <v>177</v>
      </c>
      <c r="C483" cm="1">
        <f t="array" ref="C483">_xlfn.XLOOKUP(Logistics_Orders[[#This Row],[Logistics_ID]],Logistics_Catalog[[#All],[Logistics_ID]],Logistics_Catalog[[#All],[Base_Quantity]],0,0)</f>
        <v>300</v>
      </c>
      <c r="D483" cm="1">
        <f t="array" ref="D483">IF(Logistics_Orders[[#This Row],[Item]]="Chairs &amp; Tables",CEILING(_xlfn.XLOOKUP(Logistics_Orders[[#This Row],[Event_No]],Event_Master[[#All],[Event_No]],Event_Master[[#All],[Guest_Count]],,0)/Logistics_Orders[[#This Row],[Base_Quantity]],1),1)</f>
        <v>1</v>
      </c>
      <c r="E483" cm="1">
        <f t="array" ref="E483">Logistics_Orders[[#This Row],[Quantity_Ordered]]*_xlfn.XLOOKUP(Logistics_Orders[[#This Row],[Logistics_ID]],Logistics_Catalog[[#All],[Logistics_ID]],Logistics_Catalog[[#All],[Cost]],0,0)</f>
        <v>15000</v>
      </c>
      <c r="F483" cm="1">
        <f t="array" ref="F483">Logistics_Orders[[#This Row],[Quantity_Ordered]]*_xlfn.XLOOKUP(Logistics_Orders[[#This Row],[Logistics_ID]],Logistics_Catalog[[#All],[Logistics_ID]],Logistics_Catalog[[#All],[Client_Charge]],0,0)</f>
        <v>18000</v>
      </c>
      <c r="G483">
        <f>Logistics_Orders[[#This Row],[Client_Charge]]-Logistics_Orders[[#This Row],[Cost]]</f>
        <v>3000</v>
      </c>
      <c r="H483" t="s">
        <v>181</v>
      </c>
    </row>
    <row r="484" spans="1:8" x14ac:dyDescent="0.25">
      <c r="A484">
        <v>99</v>
      </c>
      <c r="B484" t="s">
        <v>182</v>
      </c>
      <c r="C484" cm="1">
        <f t="array" ref="C484">_xlfn.XLOOKUP(Logistics_Orders[[#This Row],[Logistics_ID]],Logistics_Catalog[[#All],[Logistics_ID]],Logistics_Catalog[[#All],[Base_Quantity]],0,0)</f>
        <v>1</v>
      </c>
      <c r="D484" cm="1">
        <f t="array" ref="D484">IF(Logistics_Orders[[#This Row],[Item]]="Chairs &amp; Tables",CEILING(_xlfn.XLOOKUP(Logistics_Orders[[#This Row],[Event_No]],Event_Master[[#All],[Event_No]],Event_Master[[#All],[Guest_Count]],,0)/Logistics_Orders[[#This Row],[Base_Quantity]],1),1)</f>
        <v>1</v>
      </c>
      <c r="E484" cm="1">
        <f t="array" ref="E484">Logistics_Orders[[#This Row],[Quantity_Ordered]]*_xlfn.XLOOKUP(Logistics_Orders[[#This Row],[Logistics_ID]],Logistics_Catalog[[#All],[Logistics_ID]],Logistics_Catalog[[#All],[Cost]],0,0)</f>
        <v>12000</v>
      </c>
      <c r="F484" cm="1">
        <f t="array" ref="F484">Logistics_Orders[[#This Row],[Quantity_Ordered]]*_xlfn.XLOOKUP(Logistics_Orders[[#This Row],[Logistics_ID]],Logistics_Catalog[[#All],[Logistics_ID]],Logistics_Catalog[[#All],[Client_Charge]],0,0)</f>
        <v>14500</v>
      </c>
      <c r="G484">
        <f>Logistics_Orders[[#This Row],[Client_Charge]]-Logistics_Orders[[#This Row],[Cost]]</f>
        <v>2500</v>
      </c>
      <c r="H484" t="s">
        <v>186</v>
      </c>
    </row>
    <row r="485" spans="1:8" x14ac:dyDescent="0.25">
      <c r="A485">
        <v>99</v>
      </c>
      <c r="B485" t="s">
        <v>191</v>
      </c>
      <c r="C485" cm="1">
        <f t="array" ref="C485">_xlfn.XLOOKUP(Logistics_Orders[[#This Row],[Logistics_ID]],Logistics_Catalog[[#All],[Logistics_ID]],Logistics_Catalog[[#All],[Base_Quantity]],0,0)</f>
        <v>5</v>
      </c>
      <c r="D485" cm="1">
        <f t="array" ref="D485">IF(Logistics_Orders[[#This Row],[Item]]="Chairs &amp; Tables",CEILING(_xlfn.XLOOKUP(Logistics_Orders[[#This Row],[Event_No]],Event_Master[[#All],[Event_No]],Event_Master[[#All],[Guest_Count]],,0)/Logistics_Orders[[#This Row],[Base_Quantity]],1),1)</f>
        <v>1</v>
      </c>
      <c r="E485" cm="1">
        <f t="array" ref="E485">Logistics_Orders[[#This Row],[Quantity_Ordered]]*_xlfn.XLOOKUP(Logistics_Orders[[#This Row],[Logistics_ID]],Logistics_Catalog[[#All],[Logistics_ID]],Logistics_Catalog[[#All],[Cost]],0,0)</f>
        <v>3000</v>
      </c>
      <c r="F485" cm="1">
        <f t="array" ref="F485">Logistics_Orders[[#This Row],[Quantity_Ordered]]*_xlfn.XLOOKUP(Logistics_Orders[[#This Row],[Logistics_ID]],Logistics_Catalog[[#All],[Logistics_ID]],Logistics_Catalog[[#All],[Client_Charge]],0,0)</f>
        <v>3600</v>
      </c>
      <c r="G485">
        <f>Logistics_Orders[[#This Row],[Client_Charge]]-Logistics_Orders[[#This Row],[Cost]]</f>
        <v>600</v>
      </c>
      <c r="H485" t="s">
        <v>194</v>
      </c>
    </row>
    <row r="486" spans="1:8" x14ac:dyDescent="0.25">
      <c r="A486">
        <v>99</v>
      </c>
      <c r="B486" t="s">
        <v>195</v>
      </c>
      <c r="C486" cm="1">
        <f t="array" ref="C486">_xlfn.XLOOKUP(Logistics_Orders[[#This Row],[Logistics_ID]],Logistics_Catalog[[#All],[Logistics_ID]],Logistics_Catalog[[#All],[Base_Quantity]],0,0)</f>
        <v>10</v>
      </c>
      <c r="D486" cm="1">
        <f t="array" ref="D486">IF(Logistics_Orders[[#This Row],[Item]]="Chairs &amp; Tables",CEILING(_xlfn.XLOOKUP(Logistics_Orders[[#This Row],[Event_No]],Event_Master[[#All],[Event_No]],Event_Master[[#All],[Guest_Count]],,0)/Logistics_Orders[[#This Row],[Base_Quantity]],1),1)</f>
        <v>1</v>
      </c>
      <c r="E486" cm="1">
        <f t="array" ref="E486">Logistics_Orders[[#This Row],[Quantity_Ordered]]*_xlfn.XLOOKUP(Logistics_Orders[[#This Row],[Logistics_ID]],Logistics_Catalog[[#All],[Logistics_ID]],Logistics_Catalog[[#All],[Cost]],0,0)</f>
        <v>6000</v>
      </c>
      <c r="F486" cm="1">
        <f t="array" ref="F486">Logistics_Orders[[#This Row],[Quantity_Ordered]]*_xlfn.XLOOKUP(Logistics_Orders[[#This Row],[Logistics_ID]],Logistics_Catalog[[#All],[Logistics_ID]],Logistics_Catalog[[#All],[Client_Charge]],0,0)</f>
        <v>7200</v>
      </c>
      <c r="G486">
        <f>Logistics_Orders[[#This Row],[Client_Charge]]-Logistics_Orders[[#This Row],[Cost]]</f>
        <v>1200</v>
      </c>
      <c r="H486" t="s">
        <v>198</v>
      </c>
    </row>
    <row r="487" spans="1:8" x14ac:dyDescent="0.25">
      <c r="A487">
        <v>99</v>
      </c>
      <c r="B487" t="s">
        <v>187</v>
      </c>
      <c r="C487" cm="1">
        <f t="array" ref="C487">_xlfn.XLOOKUP(Logistics_Orders[[#This Row],[Logistics_ID]],Logistics_Catalog[[#All],[Logistics_ID]],Logistics_Catalog[[#All],[Base_Quantity]],0,0)</f>
        <v>1</v>
      </c>
      <c r="D487" cm="1">
        <f t="array" ref="D487">IF(Logistics_Orders[[#This Row],[Item]]="Chairs &amp; Tables",CEILING(_xlfn.XLOOKUP(Logistics_Orders[[#This Row],[Event_No]],Event_Master[[#All],[Event_No]],Event_Master[[#All],[Guest_Count]],,0)/Logistics_Orders[[#This Row],[Base_Quantity]],1),1)</f>
        <v>1</v>
      </c>
      <c r="E487" cm="1">
        <f t="array" ref="E487">Logistics_Orders[[#This Row],[Quantity_Ordered]]*_xlfn.XLOOKUP(Logistics_Orders[[#This Row],[Logistics_ID]],Logistics_Catalog[[#All],[Logistics_ID]],Logistics_Catalog[[#All],[Cost]],0,0)</f>
        <v>8000</v>
      </c>
      <c r="F487" cm="1">
        <f t="array" ref="F487">Logistics_Orders[[#This Row],[Quantity_Ordered]]*_xlfn.XLOOKUP(Logistics_Orders[[#This Row],[Logistics_ID]],Logistics_Catalog[[#All],[Logistics_ID]],Logistics_Catalog[[#All],[Client_Charge]],0,0)</f>
        <v>9500</v>
      </c>
      <c r="G487">
        <f>Logistics_Orders[[#This Row],[Client_Charge]]-Logistics_Orders[[#This Row],[Cost]]</f>
        <v>1500</v>
      </c>
      <c r="H487" t="s">
        <v>190</v>
      </c>
    </row>
    <row r="488" spans="1:8" x14ac:dyDescent="0.25">
      <c r="A488">
        <v>100</v>
      </c>
      <c r="B488" t="s">
        <v>177</v>
      </c>
      <c r="C488" cm="1">
        <f t="array" ref="C488">_xlfn.XLOOKUP(Logistics_Orders[[#This Row],[Logistics_ID]],Logistics_Catalog[[#All],[Logistics_ID]],Logistics_Catalog[[#All],[Base_Quantity]],0,0)</f>
        <v>300</v>
      </c>
      <c r="D488" cm="1">
        <f t="array" ref="D488">IF(Logistics_Orders[[#This Row],[Item]]="Chairs &amp; Tables",CEILING(_xlfn.XLOOKUP(Logistics_Orders[[#This Row],[Event_No]],Event_Master[[#All],[Event_No]],Event_Master[[#All],[Guest_Count]],,0)/Logistics_Orders[[#This Row],[Base_Quantity]],1),1)</f>
        <v>1</v>
      </c>
      <c r="E488" cm="1">
        <f t="array" ref="E488">Logistics_Orders[[#This Row],[Quantity_Ordered]]*_xlfn.XLOOKUP(Logistics_Orders[[#This Row],[Logistics_ID]],Logistics_Catalog[[#All],[Logistics_ID]],Logistics_Catalog[[#All],[Cost]],0,0)</f>
        <v>15000</v>
      </c>
      <c r="F488" cm="1">
        <f t="array" ref="F488">Logistics_Orders[[#This Row],[Quantity_Ordered]]*_xlfn.XLOOKUP(Logistics_Orders[[#This Row],[Logistics_ID]],Logistics_Catalog[[#All],[Logistics_ID]],Logistics_Catalog[[#All],[Client_Charge]],0,0)</f>
        <v>18000</v>
      </c>
      <c r="G488">
        <f>Logistics_Orders[[#This Row],[Client_Charge]]-Logistics_Orders[[#This Row],[Cost]]</f>
        <v>3000</v>
      </c>
      <c r="H488" t="s">
        <v>181</v>
      </c>
    </row>
    <row r="489" spans="1:8" x14ac:dyDescent="0.25">
      <c r="A489">
        <v>100</v>
      </c>
      <c r="B489" t="s">
        <v>195</v>
      </c>
      <c r="C489" cm="1">
        <f t="array" ref="C489">_xlfn.XLOOKUP(Logistics_Orders[[#This Row],[Logistics_ID]],Logistics_Catalog[[#All],[Logistics_ID]],Logistics_Catalog[[#All],[Base_Quantity]],0,0)</f>
        <v>10</v>
      </c>
      <c r="D489" cm="1">
        <f t="array" ref="D489">IF(Logistics_Orders[[#This Row],[Item]]="Chairs &amp; Tables",CEILING(_xlfn.XLOOKUP(Logistics_Orders[[#This Row],[Event_No]],Event_Master[[#All],[Event_No]],Event_Master[[#All],[Guest_Count]],,0)/Logistics_Orders[[#This Row],[Base_Quantity]],1),1)</f>
        <v>1</v>
      </c>
      <c r="E489" cm="1">
        <f t="array" ref="E489">Logistics_Orders[[#This Row],[Quantity_Ordered]]*_xlfn.XLOOKUP(Logistics_Orders[[#This Row],[Logistics_ID]],Logistics_Catalog[[#All],[Logistics_ID]],Logistics_Catalog[[#All],[Cost]],0,0)</f>
        <v>6000</v>
      </c>
      <c r="F489" cm="1">
        <f t="array" ref="F489">Logistics_Orders[[#This Row],[Quantity_Ordered]]*_xlfn.XLOOKUP(Logistics_Orders[[#This Row],[Logistics_ID]],Logistics_Catalog[[#All],[Logistics_ID]],Logistics_Catalog[[#All],[Client_Charge]],0,0)</f>
        <v>7200</v>
      </c>
      <c r="G489">
        <f>Logistics_Orders[[#This Row],[Client_Charge]]-Logistics_Orders[[#This Row],[Cost]]</f>
        <v>1200</v>
      </c>
      <c r="H489" t="s">
        <v>198</v>
      </c>
    </row>
    <row r="490" spans="1:8" x14ac:dyDescent="0.25">
      <c r="A490">
        <v>100</v>
      </c>
      <c r="B490" t="s">
        <v>187</v>
      </c>
      <c r="C490" cm="1">
        <f t="array" ref="C490">_xlfn.XLOOKUP(Logistics_Orders[[#This Row],[Logistics_ID]],Logistics_Catalog[[#All],[Logistics_ID]],Logistics_Catalog[[#All],[Base_Quantity]],0,0)</f>
        <v>1</v>
      </c>
      <c r="D490" cm="1">
        <f t="array" ref="D490">IF(Logistics_Orders[[#This Row],[Item]]="Chairs &amp; Tables",CEILING(_xlfn.XLOOKUP(Logistics_Orders[[#This Row],[Event_No]],Event_Master[[#All],[Event_No]],Event_Master[[#All],[Guest_Count]],,0)/Logistics_Orders[[#This Row],[Base_Quantity]],1),1)</f>
        <v>1</v>
      </c>
      <c r="E490" cm="1">
        <f t="array" ref="E490">Logistics_Orders[[#This Row],[Quantity_Ordered]]*_xlfn.XLOOKUP(Logistics_Orders[[#This Row],[Logistics_ID]],Logistics_Catalog[[#All],[Logistics_ID]],Logistics_Catalog[[#All],[Cost]],0,0)</f>
        <v>8000</v>
      </c>
      <c r="F490" cm="1">
        <f t="array" ref="F490">Logistics_Orders[[#This Row],[Quantity_Ordered]]*_xlfn.XLOOKUP(Logistics_Orders[[#This Row],[Logistics_ID]],Logistics_Catalog[[#All],[Logistics_ID]],Logistics_Catalog[[#All],[Client_Charge]],0,0)</f>
        <v>9500</v>
      </c>
      <c r="G490">
        <f>Logistics_Orders[[#This Row],[Client_Charge]]-Logistics_Orders[[#This Row],[Cost]]</f>
        <v>1500</v>
      </c>
      <c r="H490" t="s">
        <v>190</v>
      </c>
    </row>
    <row r="491" spans="1:8" x14ac:dyDescent="0.25">
      <c r="A491">
        <v>101</v>
      </c>
      <c r="B491" t="s">
        <v>177</v>
      </c>
      <c r="C491" cm="1">
        <f t="array" ref="C491">_xlfn.XLOOKUP(Logistics_Orders[[#This Row],[Logistics_ID]],Logistics_Catalog[[#All],[Logistics_ID]],Logistics_Catalog[[#All],[Base_Quantity]],0,0)</f>
        <v>300</v>
      </c>
      <c r="D491" cm="1">
        <f t="array" ref="D491">IF(Logistics_Orders[[#This Row],[Item]]="Chairs &amp; Tables",CEILING(_xlfn.XLOOKUP(Logistics_Orders[[#This Row],[Event_No]],Event_Master[[#All],[Event_No]],Event_Master[[#All],[Guest_Count]],,0)/Logistics_Orders[[#This Row],[Base_Quantity]],1),1)</f>
        <v>1</v>
      </c>
      <c r="E491" cm="1">
        <f t="array" ref="E491">Logistics_Orders[[#This Row],[Quantity_Ordered]]*_xlfn.XLOOKUP(Logistics_Orders[[#This Row],[Logistics_ID]],Logistics_Catalog[[#All],[Logistics_ID]],Logistics_Catalog[[#All],[Cost]],0,0)</f>
        <v>15000</v>
      </c>
      <c r="F491" cm="1">
        <f t="array" ref="F491">Logistics_Orders[[#This Row],[Quantity_Ordered]]*_xlfn.XLOOKUP(Logistics_Orders[[#This Row],[Logistics_ID]],Logistics_Catalog[[#All],[Logistics_ID]],Logistics_Catalog[[#All],[Client_Charge]],0,0)</f>
        <v>18000</v>
      </c>
      <c r="G491">
        <f>Logistics_Orders[[#This Row],[Client_Charge]]-Logistics_Orders[[#This Row],[Cost]]</f>
        <v>3000</v>
      </c>
      <c r="H491" t="s">
        <v>181</v>
      </c>
    </row>
    <row r="492" spans="1:8" x14ac:dyDescent="0.25">
      <c r="A492">
        <v>101</v>
      </c>
      <c r="B492" t="s">
        <v>182</v>
      </c>
      <c r="C492" cm="1">
        <f t="array" ref="C492">_xlfn.XLOOKUP(Logistics_Orders[[#This Row],[Logistics_ID]],Logistics_Catalog[[#All],[Logistics_ID]],Logistics_Catalog[[#All],[Base_Quantity]],0,0)</f>
        <v>1</v>
      </c>
      <c r="D492" cm="1">
        <f t="array" ref="D492">IF(Logistics_Orders[[#This Row],[Item]]="Chairs &amp; Tables",CEILING(_xlfn.XLOOKUP(Logistics_Orders[[#This Row],[Event_No]],Event_Master[[#All],[Event_No]],Event_Master[[#All],[Guest_Count]],,0)/Logistics_Orders[[#This Row],[Base_Quantity]],1),1)</f>
        <v>1</v>
      </c>
      <c r="E492" cm="1">
        <f t="array" ref="E492">Logistics_Orders[[#This Row],[Quantity_Ordered]]*_xlfn.XLOOKUP(Logistics_Orders[[#This Row],[Logistics_ID]],Logistics_Catalog[[#All],[Logistics_ID]],Logistics_Catalog[[#All],[Cost]],0,0)</f>
        <v>12000</v>
      </c>
      <c r="F492" cm="1">
        <f t="array" ref="F492">Logistics_Orders[[#This Row],[Quantity_Ordered]]*_xlfn.XLOOKUP(Logistics_Orders[[#This Row],[Logistics_ID]],Logistics_Catalog[[#All],[Logistics_ID]],Logistics_Catalog[[#All],[Client_Charge]],0,0)</f>
        <v>14500</v>
      </c>
      <c r="G492">
        <f>Logistics_Orders[[#This Row],[Client_Charge]]-Logistics_Orders[[#This Row],[Cost]]</f>
        <v>2500</v>
      </c>
      <c r="H492" t="s">
        <v>186</v>
      </c>
    </row>
    <row r="493" spans="1:8" x14ac:dyDescent="0.25">
      <c r="A493">
        <v>101</v>
      </c>
      <c r="B493" t="s">
        <v>191</v>
      </c>
      <c r="C493" cm="1">
        <f t="array" ref="C493">_xlfn.XLOOKUP(Logistics_Orders[[#This Row],[Logistics_ID]],Logistics_Catalog[[#All],[Logistics_ID]],Logistics_Catalog[[#All],[Base_Quantity]],0,0)</f>
        <v>5</v>
      </c>
      <c r="D493" cm="1">
        <f t="array" ref="D493">IF(Logistics_Orders[[#This Row],[Item]]="Chairs &amp; Tables",CEILING(_xlfn.XLOOKUP(Logistics_Orders[[#This Row],[Event_No]],Event_Master[[#All],[Event_No]],Event_Master[[#All],[Guest_Count]],,0)/Logistics_Orders[[#This Row],[Base_Quantity]],1),1)</f>
        <v>1</v>
      </c>
      <c r="E493" cm="1">
        <f t="array" ref="E493">Logistics_Orders[[#This Row],[Quantity_Ordered]]*_xlfn.XLOOKUP(Logistics_Orders[[#This Row],[Logistics_ID]],Logistics_Catalog[[#All],[Logistics_ID]],Logistics_Catalog[[#All],[Cost]],0,0)</f>
        <v>3000</v>
      </c>
      <c r="F493" cm="1">
        <f t="array" ref="F493">Logistics_Orders[[#This Row],[Quantity_Ordered]]*_xlfn.XLOOKUP(Logistics_Orders[[#This Row],[Logistics_ID]],Logistics_Catalog[[#All],[Logistics_ID]],Logistics_Catalog[[#All],[Client_Charge]],0,0)</f>
        <v>3600</v>
      </c>
      <c r="G493">
        <f>Logistics_Orders[[#This Row],[Client_Charge]]-Logistics_Orders[[#This Row],[Cost]]</f>
        <v>600</v>
      </c>
      <c r="H493" t="s">
        <v>194</v>
      </c>
    </row>
    <row r="494" spans="1:8" x14ac:dyDescent="0.25">
      <c r="A494">
        <v>101</v>
      </c>
      <c r="B494" t="s">
        <v>195</v>
      </c>
      <c r="C494" cm="1">
        <f t="array" ref="C494">_xlfn.XLOOKUP(Logistics_Orders[[#This Row],[Logistics_ID]],Logistics_Catalog[[#All],[Logistics_ID]],Logistics_Catalog[[#All],[Base_Quantity]],0,0)</f>
        <v>10</v>
      </c>
      <c r="D494" cm="1">
        <f t="array" ref="D494">IF(Logistics_Orders[[#This Row],[Item]]="Chairs &amp; Tables",CEILING(_xlfn.XLOOKUP(Logistics_Orders[[#This Row],[Event_No]],Event_Master[[#All],[Event_No]],Event_Master[[#All],[Guest_Count]],,0)/Logistics_Orders[[#This Row],[Base_Quantity]],1),1)</f>
        <v>1</v>
      </c>
      <c r="E494" cm="1">
        <f t="array" ref="E494">Logistics_Orders[[#This Row],[Quantity_Ordered]]*_xlfn.XLOOKUP(Logistics_Orders[[#This Row],[Logistics_ID]],Logistics_Catalog[[#All],[Logistics_ID]],Logistics_Catalog[[#All],[Cost]],0,0)</f>
        <v>6000</v>
      </c>
      <c r="F494" cm="1">
        <f t="array" ref="F494">Logistics_Orders[[#This Row],[Quantity_Ordered]]*_xlfn.XLOOKUP(Logistics_Orders[[#This Row],[Logistics_ID]],Logistics_Catalog[[#All],[Logistics_ID]],Logistics_Catalog[[#All],[Client_Charge]],0,0)</f>
        <v>7200</v>
      </c>
      <c r="G494">
        <f>Logistics_Orders[[#This Row],[Client_Charge]]-Logistics_Orders[[#This Row],[Cost]]</f>
        <v>1200</v>
      </c>
      <c r="H494" t="s">
        <v>198</v>
      </c>
    </row>
    <row r="495" spans="1:8" x14ac:dyDescent="0.25">
      <c r="A495">
        <v>101</v>
      </c>
      <c r="B495" t="s">
        <v>187</v>
      </c>
      <c r="C495" cm="1">
        <f t="array" ref="C495">_xlfn.XLOOKUP(Logistics_Orders[[#This Row],[Logistics_ID]],Logistics_Catalog[[#All],[Logistics_ID]],Logistics_Catalog[[#All],[Base_Quantity]],0,0)</f>
        <v>1</v>
      </c>
      <c r="D495" cm="1">
        <f t="array" ref="D495">IF(Logistics_Orders[[#This Row],[Item]]="Chairs &amp; Tables",CEILING(_xlfn.XLOOKUP(Logistics_Orders[[#This Row],[Event_No]],Event_Master[[#All],[Event_No]],Event_Master[[#All],[Guest_Count]],,0)/Logistics_Orders[[#This Row],[Base_Quantity]],1),1)</f>
        <v>1</v>
      </c>
      <c r="E495" cm="1">
        <f t="array" ref="E495">Logistics_Orders[[#This Row],[Quantity_Ordered]]*_xlfn.XLOOKUP(Logistics_Orders[[#This Row],[Logistics_ID]],Logistics_Catalog[[#All],[Logistics_ID]],Logistics_Catalog[[#All],[Cost]],0,0)</f>
        <v>8000</v>
      </c>
      <c r="F495" cm="1">
        <f t="array" ref="F495">Logistics_Orders[[#This Row],[Quantity_Ordered]]*_xlfn.XLOOKUP(Logistics_Orders[[#This Row],[Logistics_ID]],Logistics_Catalog[[#All],[Logistics_ID]],Logistics_Catalog[[#All],[Client_Charge]],0,0)</f>
        <v>9500</v>
      </c>
      <c r="G495">
        <f>Logistics_Orders[[#This Row],[Client_Charge]]-Logistics_Orders[[#This Row],[Cost]]</f>
        <v>1500</v>
      </c>
      <c r="H495" t="s">
        <v>190</v>
      </c>
    </row>
    <row r="496" spans="1:8" x14ac:dyDescent="0.25">
      <c r="A496">
        <v>102</v>
      </c>
      <c r="B496" t="s">
        <v>177</v>
      </c>
      <c r="C496" cm="1">
        <f t="array" ref="C496">_xlfn.XLOOKUP(Logistics_Orders[[#This Row],[Logistics_ID]],Logistics_Catalog[[#All],[Logistics_ID]],Logistics_Catalog[[#All],[Base_Quantity]],0,0)</f>
        <v>300</v>
      </c>
      <c r="D496" cm="1">
        <f t="array" ref="D496">IF(Logistics_Orders[[#This Row],[Item]]="Chairs &amp; Tables",CEILING(_xlfn.XLOOKUP(Logistics_Orders[[#This Row],[Event_No]],Event_Master[[#All],[Event_No]],Event_Master[[#All],[Guest_Count]],,0)/Logistics_Orders[[#This Row],[Base_Quantity]],1),1)</f>
        <v>4</v>
      </c>
      <c r="E496" cm="1">
        <f t="array" ref="E496">Logistics_Orders[[#This Row],[Quantity_Ordered]]*_xlfn.XLOOKUP(Logistics_Orders[[#This Row],[Logistics_ID]],Logistics_Catalog[[#All],[Logistics_ID]],Logistics_Catalog[[#All],[Cost]],0,0)</f>
        <v>60000</v>
      </c>
      <c r="F496" cm="1">
        <f t="array" ref="F496">Logistics_Orders[[#This Row],[Quantity_Ordered]]*_xlfn.XLOOKUP(Logistics_Orders[[#This Row],[Logistics_ID]],Logistics_Catalog[[#All],[Logistics_ID]],Logistics_Catalog[[#All],[Client_Charge]],0,0)</f>
        <v>72000</v>
      </c>
      <c r="G496">
        <f>Logistics_Orders[[#This Row],[Client_Charge]]-Logistics_Orders[[#This Row],[Cost]]</f>
        <v>12000</v>
      </c>
      <c r="H496" t="s">
        <v>181</v>
      </c>
    </row>
    <row r="497" spans="1:8" x14ac:dyDescent="0.25">
      <c r="A497">
        <v>102</v>
      </c>
      <c r="B497" t="s">
        <v>182</v>
      </c>
      <c r="C497" cm="1">
        <f t="array" ref="C497">_xlfn.XLOOKUP(Logistics_Orders[[#This Row],[Logistics_ID]],Logistics_Catalog[[#All],[Logistics_ID]],Logistics_Catalog[[#All],[Base_Quantity]],0,0)</f>
        <v>1</v>
      </c>
      <c r="D497" cm="1">
        <f t="array" ref="D497">IF(Logistics_Orders[[#This Row],[Item]]="Chairs &amp; Tables",CEILING(_xlfn.XLOOKUP(Logistics_Orders[[#This Row],[Event_No]],Event_Master[[#All],[Event_No]],Event_Master[[#All],[Guest_Count]],,0)/Logistics_Orders[[#This Row],[Base_Quantity]],1),1)</f>
        <v>1</v>
      </c>
      <c r="E497" cm="1">
        <f t="array" ref="E497">Logistics_Orders[[#This Row],[Quantity_Ordered]]*_xlfn.XLOOKUP(Logistics_Orders[[#This Row],[Logistics_ID]],Logistics_Catalog[[#All],[Logistics_ID]],Logistics_Catalog[[#All],[Cost]],0,0)</f>
        <v>12000</v>
      </c>
      <c r="F497" cm="1">
        <f t="array" ref="F497">Logistics_Orders[[#This Row],[Quantity_Ordered]]*_xlfn.XLOOKUP(Logistics_Orders[[#This Row],[Logistics_ID]],Logistics_Catalog[[#All],[Logistics_ID]],Logistics_Catalog[[#All],[Client_Charge]],0,0)</f>
        <v>14500</v>
      </c>
      <c r="G497">
        <f>Logistics_Orders[[#This Row],[Client_Charge]]-Logistics_Orders[[#This Row],[Cost]]</f>
        <v>2500</v>
      </c>
      <c r="H497" t="s">
        <v>186</v>
      </c>
    </row>
    <row r="498" spans="1:8" x14ac:dyDescent="0.25">
      <c r="A498">
        <v>102</v>
      </c>
      <c r="B498" t="s">
        <v>191</v>
      </c>
      <c r="C498" cm="1">
        <f t="array" ref="C498">_xlfn.XLOOKUP(Logistics_Orders[[#This Row],[Logistics_ID]],Logistics_Catalog[[#All],[Logistics_ID]],Logistics_Catalog[[#All],[Base_Quantity]],0,0)</f>
        <v>5</v>
      </c>
      <c r="D498" cm="1">
        <f t="array" ref="D498">IF(Logistics_Orders[[#This Row],[Item]]="Chairs &amp; Tables",CEILING(_xlfn.XLOOKUP(Logistics_Orders[[#This Row],[Event_No]],Event_Master[[#All],[Event_No]],Event_Master[[#All],[Guest_Count]],,0)/Logistics_Orders[[#This Row],[Base_Quantity]],1),1)</f>
        <v>1</v>
      </c>
      <c r="E498" cm="1">
        <f t="array" ref="E498">Logistics_Orders[[#This Row],[Quantity_Ordered]]*_xlfn.XLOOKUP(Logistics_Orders[[#This Row],[Logistics_ID]],Logistics_Catalog[[#All],[Logistics_ID]],Logistics_Catalog[[#All],[Cost]],0,0)</f>
        <v>3000</v>
      </c>
      <c r="F498" cm="1">
        <f t="array" ref="F498">Logistics_Orders[[#This Row],[Quantity_Ordered]]*_xlfn.XLOOKUP(Logistics_Orders[[#This Row],[Logistics_ID]],Logistics_Catalog[[#All],[Logistics_ID]],Logistics_Catalog[[#All],[Client_Charge]],0,0)</f>
        <v>3600</v>
      </c>
      <c r="G498">
        <f>Logistics_Orders[[#This Row],[Client_Charge]]-Logistics_Orders[[#This Row],[Cost]]</f>
        <v>600</v>
      </c>
      <c r="H498" t="s">
        <v>194</v>
      </c>
    </row>
    <row r="499" spans="1:8" x14ac:dyDescent="0.25">
      <c r="A499">
        <v>102</v>
      </c>
      <c r="B499" t="s">
        <v>195</v>
      </c>
      <c r="C499" cm="1">
        <f t="array" ref="C499">_xlfn.XLOOKUP(Logistics_Orders[[#This Row],[Logistics_ID]],Logistics_Catalog[[#All],[Logistics_ID]],Logistics_Catalog[[#All],[Base_Quantity]],0,0)</f>
        <v>10</v>
      </c>
      <c r="D499" cm="1">
        <f t="array" ref="D499">IF(Logistics_Orders[[#This Row],[Item]]="Chairs &amp; Tables",CEILING(_xlfn.XLOOKUP(Logistics_Orders[[#This Row],[Event_No]],Event_Master[[#All],[Event_No]],Event_Master[[#All],[Guest_Count]],,0)/Logistics_Orders[[#This Row],[Base_Quantity]],1),1)</f>
        <v>1</v>
      </c>
      <c r="E499" cm="1">
        <f t="array" ref="E499">Logistics_Orders[[#This Row],[Quantity_Ordered]]*_xlfn.XLOOKUP(Logistics_Orders[[#This Row],[Logistics_ID]],Logistics_Catalog[[#All],[Logistics_ID]],Logistics_Catalog[[#All],[Cost]],0,0)</f>
        <v>6000</v>
      </c>
      <c r="F499" cm="1">
        <f t="array" ref="F499">Logistics_Orders[[#This Row],[Quantity_Ordered]]*_xlfn.XLOOKUP(Logistics_Orders[[#This Row],[Logistics_ID]],Logistics_Catalog[[#All],[Logistics_ID]],Logistics_Catalog[[#All],[Client_Charge]],0,0)</f>
        <v>7200</v>
      </c>
      <c r="G499">
        <f>Logistics_Orders[[#This Row],[Client_Charge]]-Logistics_Orders[[#This Row],[Cost]]</f>
        <v>1200</v>
      </c>
      <c r="H499" t="s">
        <v>198</v>
      </c>
    </row>
    <row r="500" spans="1:8" x14ac:dyDescent="0.25">
      <c r="A500">
        <v>102</v>
      </c>
      <c r="B500" t="s">
        <v>187</v>
      </c>
      <c r="C500" cm="1">
        <f t="array" ref="C500">_xlfn.XLOOKUP(Logistics_Orders[[#This Row],[Logistics_ID]],Logistics_Catalog[[#All],[Logistics_ID]],Logistics_Catalog[[#All],[Base_Quantity]],0,0)</f>
        <v>1</v>
      </c>
      <c r="D500" cm="1">
        <f t="array" ref="D500">IF(Logistics_Orders[[#This Row],[Item]]="Chairs &amp; Tables",CEILING(_xlfn.XLOOKUP(Logistics_Orders[[#This Row],[Event_No]],Event_Master[[#All],[Event_No]],Event_Master[[#All],[Guest_Count]],,0)/Logistics_Orders[[#This Row],[Base_Quantity]],1),1)</f>
        <v>1</v>
      </c>
      <c r="E500" cm="1">
        <f t="array" ref="E500">Logistics_Orders[[#This Row],[Quantity_Ordered]]*_xlfn.XLOOKUP(Logistics_Orders[[#This Row],[Logistics_ID]],Logistics_Catalog[[#All],[Logistics_ID]],Logistics_Catalog[[#All],[Cost]],0,0)</f>
        <v>8000</v>
      </c>
      <c r="F500" cm="1">
        <f t="array" ref="F500">Logistics_Orders[[#This Row],[Quantity_Ordered]]*_xlfn.XLOOKUP(Logistics_Orders[[#This Row],[Logistics_ID]],Logistics_Catalog[[#All],[Logistics_ID]],Logistics_Catalog[[#All],[Client_Charge]],0,0)</f>
        <v>9500</v>
      </c>
      <c r="G500">
        <f>Logistics_Orders[[#This Row],[Client_Charge]]-Logistics_Orders[[#This Row],[Cost]]</f>
        <v>1500</v>
      </c>
      <c r="H500" t="s">
        <v>190</v>
      </c>
    </row>
    <row r="501" spans="1:8" x14ac:dyDescent="0.25">
      <c r="A501">
        <v>103</v>
      </c>
      <c r="B501" t="s">
        <v>177</v>
      </c>
      <c r="C501" cm="1">
        <f t="array" ref="C501">_xlfn.XLOOKUP(Logistics_Orders[[#This Row],[Logistics_ID]],Logistics_Catalog[[#All],[Logistics_ID]],Logistics_Catalog[[#All],[Base_Quantity]],0,0)</f>
        <v>300</v>
      </c>
      <c r="D501" cm="1">
        <f t="array" ref="D501">IF(Logistics_Orders[[#This Row],[Item]]="Chairs &amp; Tables",CEILING(_xlfn.XLOOKUP(Logistics_Orders[[#This Row],[Event_No]],Event_Master[[#All],[Event_No]],Event_Master[[#All],[Guest_Count]],,0)/Logistics_Orders[[#This Row],[Base_Quantity]],1),1)</f>
        <v>1</v>
      </c>
      <c r="E501" cm="1">
        <f t="array" ref="E501">Logistics_Orders[[#This Row],[Quantity_Ordered]]*_xlfn.XLOOKUP(Logistics_Orders[[#This Row],[Logistics_ID]],Logistics_Catalog[[#All],[Logistics_ID]],Logistics_Catalog[[#All],[Cost]],0,0)</f>
        <v>15000</v>
      </c>
      <c r="F501" cm="1">
        <f t="array" ref="F501">Logistics_Orders[[#This Row],[Quantity_Ordered]]*_xlfn.XLOOKUP(Logistics_Orders[[#This Row],[Logistics_ID]],Logistics_Catalog[[#All],[Logistics_ID]],Logistics_Catalog[[#All],[Client_Charge]],0,0)</f>
        <v>18000</v>
      </c>
      <c r="G501">
        <f>Logistics_Orders[[#This Row],[Client_Charge]]-Logistics_Orders[[#This Row],[Cost]]</f>
        <v>3000</v>
      </c>
      <c r="H501" t="s">
        <v>181</v>
      </c>
    </row>
    <row r="502" spans="1:8" x14ac:dyDescent="0.25">
      <c r="A502">
        <v>103</v>
      </c>
      <c r="B502" t="s">
        <v>182</v>
      </c>
      <c r="C502" cm="1">
        <f t="array" ref="C502">_xlfn.XLOOKUP(Logistics_Orders[[#This Row],[Logistics_ID]],Logistics_Catalog[[#All],[Logistics_ID]],Logistics_Catalog[[#All],[Base_Quantity]],0,0)</f>
        <v>1</v>
      </c>
      <c r="D502" cm="1">
        <f t="array" ref="D502">IF(Logistics_Orders[[#This Row],[Item]]="Chairs &amp; Tables",CEILING(_xlfn.XLOOKUP(Logistics_Orders[[#This Row],[Event_No]],Event_Master[[#All],[Event_No]],Event_Master[[#All],[Guest_Count]],,0)/Logistics_Orders[[#This Row],[Base_Quantity]],1),1)</f>
        <v>1</v>
      </c>
      <c r="E502" cm="1">
        <f t="array" ref="E502">Logistics_Orders[[#This Row],[Quantity_Ordered]]*_xlfn.XLOOKUP(Logistics_Orders[[#This Row],[Logistics_ID]],Logistics_Catalog[[#All],[Logistics_ID]],Logistics_Catalog[[#All],[Cost]],0,0)</f>
        <v>12000</v>
      </c>
      <c r="F502" cm="1">
        <f t="array" ref="F502">Logistics_Orders[[#This Row],[Quantity_Ordered]]*_xlfn.XLOOKUP(Logistics_Orders[[#This Row],[Logistics_ID]],Logistics_Catalog[[#All],[Logistics_ID]],Logistics_Catalog[[#All],[Client_Charge]],0,0)</f>
        <v>14500</v>
      </c>
      <c r="G502">
        <f>Logistics_Orders[[#This Row],[Client_Charge]]-Logistics_Orders[[#This Row],[Cost]]</f>
        <v>2500</v>
      </c>
      <c r="H502" t="s">
        <v>186</v>
      </c>
    </row>
    <row r="503" spans="1:8" x14ac:dyDescent="0.25">
      <c r="A503">
        <v>103</v>
      </c>
      <c r="B503" t="s">
        <v>191</v>
      </c>
      <c r="C503" cm="1">
        <f t="array" ref="C503">_xlfn.XLOOKUP(Logistics_Orders[[#This Row],[Logistics_ID]],Logistics_Catalog[[#All],[Logistics_ID]],Logistics_Catalog[[#All],[Base_Quantity]],0,0)</f>
        <v>5</v>
      </c>
      <c r="D503" cm="1">
        <f t="array" ref="D503">IF(Logistics_Orders[[#This Row],[Item]]="Chairs &amp; Tables",CEILING(_xlfn.XLOOKUP(Logistics_Orders[[#This Row],[Event_No]],Event_Master[[#All],[Event_No]],Event_Master[[#All],[Guest_Count]],,0)/Logistics_Orders[[#This Row],[Base_Quantity]],1),1)</f>
        <v>1</v>
      </c>
      <c r="E503" cm="1">
        <f t="array" ref="E503">Logistics_Orders[[#This Row],[Quantity_Ordered]]*_xlfn.XLOOKUP(Logistics_Orders[[#This Row],[Logistics_ID]],Logistics_Catalog[[#All],[Logistics_ID]],Logistics_Catalog[[#All],[Cost]],0,0)</f>
        <v>3000</v>
      </c>
      <c r="F503" cm="1">
        <f t="array" ref="F503">Logistics_Orders[[#This Row],[Quantity_Ordered]]*_xlfn.XLOOKUP(Logistics_Orders[[#This Row],[Logistics_ID]],Logistics_Catalog[[#All],[Logistics_ID]],Logistics_Catalog[[#All],[Client_Charge]],0,0)</f>
        <v>3600</v>
      </c>
      <c r="G503">
        <f>Logistics_Orders[[#This Row],[Client_Charge]]-Logistics_Orders[[#This Row],[Cost]]</f>
        <v>600</v>
      </c>
      <c r="H503" t="s">
        <v>194</v>
      </c>
    </row>
    <row r="504" spans="1:8" x14ac:dyDescent="0.25">
      <c r="A504">
        <v>103</v>
      </c>
      <c r="B504" t="s">
        <v>195</v>
      </c>
      <c r="C504" cm="1">
        <f t="array" ref="C504">_xlfn.XLOOKUP(Logistics_Orders[[#This Row],[Logistics_ID]],Logistics_Catalog[[#All],[Logistics_ID]],Logistics_Catalog[[#All],[Base_Quantity]],0,0)</f>
        <v>10</v>
      </c>
      <c r="D504" cm="1">
        <f t="array" ref="D504">IF(Logistics_Orders[[#This Row],[Item]]="Chairs &amp; Tables",CEILING(_xlfn.XLOOKUP(Logistics_Orders[[#This Row],[Event_No]],Event_Master[[#All],[Event_No]],Event_Master[[#All],[Guest_Count]],,0)/Logistics_Orders[[#This Row],[Base_Quantity]],1),1)</f>
        <v>1</v>
      </c>
      <c r="E504" cm="1">
        <f t="array" ref="E504">Logistics_Orders[[#This Row],[Quantity_Ordered]]*_xlfn.XLOOKUP(Logistics_Orders[[#This Row],[Logistics_ID]],Logistics_Catalog[[#All],[Logistics_ID]],Logistics_Catalog[[#All],[Cost]],0,0)</f>
        <v>6000</v>
      </c>
      <c r="F504" cm="1">
        <f t="array" ref="F504">Logistics_Orders[[#This Row],[Quantity_Ordered]]*_xlfn.XLOOKUP(Logistics_Orders[[#This Row],[Logistics_ID]],Logistics_Catalog[[#All],[Logistics_ID]],Logistics_Catalog[[#All],[Client_Charge]],0,0)</f>
        <v>7200</v>
      </c>
      <c r="G504">
        <f>Logistics_Orders[[#This Row],[Client_Charge]]-Logistics_Orders[[#This Row],[Cost]]</f>
        <v>1200</v>
      </c>
      <c r="H504" t="s">
        <v>198</v>
      </c>
    </row>
    <row r="505" spans="1:8" x14ac:dyDescent="0.25">
      <c r="A505">
        <v>103</v>
      </c>
      <c r="B505" t="s">
        <v>187</v>
      </c>
      <c r="C505" cm="1">
        <f t="array" ref="C505">_xlfn.XLOOKUP(Logistics_Orders[[#This Row],[Logistics_ID]],Logistics_Catalog[[#All],[Logistics_ID]],Logistics_Catalog[[#All],[Base_Quantity]],0,0)</f>
        <v>1</v>
      </c>
      <c r="D505" cm="1">
        <f t="array" ref="D505">IF(Logistics_Orders[[#This Row],[Item]]="Chairs &amp; Tables",CEILING(_xlfn.XLOOKUP(Logistics_Orders[[#This Row],[Event_No]],Event_Master[[#All],[Event_No]],Event_Master[[#All],[Guest_Count]],,0)/Logistics_Orders[[#This Row],[Base_Quantity]],1),1)</f>
        <v>1</v>
      </c>
      <c r="E505" cm="1">
        <f t="array" ref="E505">Logistics_Orders[[#This Row],[Quantity_Ordered]]*_xlfn.XLOOKUP(Logistics_Orders[[#This Row],[Logistics_ID]],Logistics_Catalog[[#All],[Logistics_ID]],Logistics_Catalog[[#All],[Cost]],0,0)</f>
        <v>8000</v>
      </c>
      <c r="F505" cm="1">
        <f t="array" ref="F505">Logistics_Orders[[#This Row],[Quantity_Ordered]]*_xlfn.XLOOKUP(Logistics_Orders[[#This Row],[Logistics_ID]],Logistics_Catalog[[#All],[Logistics_ID]],Logistics_Catalog[[#All],[Client_Charge]],0,0)</f>
        <v>9500</v>
      </c>
      <c r="G505">
        <f>Logistics_Orders[[#This Row],[Client_Charge]]-Logistics_Orders[[#This Row],[Cost]]</f>
        <v>1500</v>
      </c>
      <c r="H505" t="s">
        <v>190</v>
      </c>
    </row>
    <row r="506" spans="1:8" x14ac:dyDescent="0.25">
      <c r="A506">
        <v>104</v>
      </c>
      <c r="B506" t="s">
        <v>177</v>
      </c>
      <c r="C506" cm="1">
        <f t="array" ref="C506">_xlfn.XLOOKUP(Logistics_Orders[[#This Row],[Logistics_ID]],Logistics_Catalog[[#All],[Logistics_ID]],Logistics_Catalog[[#All],[Base_Quantity]],0,0)</f>
        <v>300</v>
      </c>
      <c r="D506" cm="1">
        <f t="array" ref="D506">IF(Logistics_Orders[[#This Row],[Item]]="Chairs &amp; Tables",CEILING(_xlfn.XLOOKUP(Logistics_Orders[[#This Row],[Event_No]],Event_Master[[#All],[Event_No]],Event_Master[[#All],[Guest_Count]],,0)/Logistics_Orders[[#This Row],[Base_Quantity]],1),1)</f>
        <v>1</v>
      </c>
      <c r="E506" cm="1">
        <f t="array" ref="E506">Logistics_Orders[[#This Row],[Quantity_Ordered]]*_xlfn.XLOOKUP(Logistics_Orders[[#This Row],[Logistics_ID]],Logistics_Catalog[[#All],[Logistics_ID]],Logistics_Catalog[[#All],[Cost]],0,0)</f>
        <v>15000</v>
      </c>
      <c r="F506" cm="1">
        <f t="array" ref="F506">Logistics_Orders[[#This Row],[Quantity_Ordered]]*_xlfn.XLOOKUP(Logistics_Orders[[#This Row],[Logistics_ID]],Logistics_Catalog[[#All],[Logistics_ID]],Logistics_Catalog[[#All],[Client_Charge]],0,0)</f>
        <v>18000</v>
      </c>
      <c r="G506">
        <f>Logistics_Orders[[#This Row],[Client_Charge]]-Logistics_Orders[[#This Row],[Cost]]</f>
        <v>3000</v>
      </c>
      <c r="H506" t="s">
        <v>181</v>
      </c>
    </row>
    <row r="507" spans="1:8" x14ac:dyDescent="0.25">
      <c r="A507">
        <v>104</v>
      </c>
      <c r="B507" t="s">
        <v>182</v>
      </c>
      <c r="C507" cm="1">
        <f t="array" ref="C507">_xlfn.XLOOKUP(Logistics_Orders[[#This Row],[Logistics_ID]],Logistics_Catalog[[#All],[Logistics_ID]],Logistics_Catalog[[#All],[Base_Quantity]],0,0)</f>
        <v>1</v>
      </c>
      <c r="D507" cm="1">
        <f t="array" ref="D507">IF(Logistics_Orders[[#This Row],[Item]]="Chairs &amp; Tables",CEILING(_xlfn.XLOOKUP(Logistics_Orders[[#This Row],[Event_No]],Event_Master[[#All],[Event_No]],Event_Master[[#All],[Guest_Count]],,0)/Logistics_Orders[[#This Row],[Base_Quantity]],1),1)</f>
        <v>1</v>
      </c>
      <c r="E507" cm="1">
        <f t="array" ref="E507">Logistics_Orders[[#This Row],[Quantity_Ordered]]*_xlfn.XLOOKUP(Logistics_Orders[[#This Row],[Logistics_ID]],Logistics_Catalog[[#All],[Logistics_ID]],Logistics_Catalog[[#All],[Cost]],0,0)</f>
        <v>12000</v>
      </c>
      <c r="F507" cm="1">
        <f t="array" ref="F507">Logistics_Orders[[#This Row],[Quantity_Ordered]]*_xlfn.XLOOKUP(Logistics_Orders[[#This Row],[Logistics_ID]],Logistics_Catalog[[#All],[Logistics_ID]],Logistics_Catalog[[#All],[Client_Charge]],0,0)</f>
        <v>14500</v>
      </c>
      <c r="G507">
        <f>Logistics_Orders[[#This Row],[Client_Charge]]-Logistics_Orders[[#This Row],[Cost]]</f>
        <v>2500</v>
      </c>
      <c r="H507" t="s">
        <v>186</v>
      </c>
    </row>
    <row r="508" spans="1:8" x14ac:dyDescent="0.25">
      <c r="A508">
        <v>104</v>
      </c>
      <c r="B508" t="s">
        <v>191</v>
      </c>
      <c r="C508" cm="1">
        <f t="array" ref="C508">_xlfn.XLOOKUP(Logistics_Orders[[#This Row],[Logistics_ID]],Logistics_Catalog[[#All],[Logistics_ID]],Logistics_Catalog[[#All],[Base_Quantity]],0,0)</f>
        <v>5</v>
      </c>
      <c r="D508" cm="1">
        <f t="array" ref="D508">IF(Logistics_Orders[[#This Row],[Item]]="Chairs &amp; Tables",CEILING(_xlfn.XLOOKUP(Logistics_Orders[[#This Row],[Event_No]],Event_Master[[#All],[Event_No]],Event_Master[[#All],[Guest_Count]],,0)/Logistics_Orders[[#This Row],[Base_Quantity]],1),1)</f>
        <v>1</v>
      </c>
      <c r="E508" cm="1">
        <f t="array" ref="E508">Logistics_Orders[[#This Row],[Quantity_Ordered]]*_xlfn.XLOOKUP(Logistics_Orders[[#This Row],[Logistics_ID]],Logistics_Catalog[[#All],[Logistics_ID]],Logistics_Catalog[[#All],[Cost]],0,0)</f>
        <v>3000</v>
      </c>
      <c r="F508" cm="1">
        <f t="array" ref="F508">Logistics_Orders[[#This Row],[Quantity_Ordered]]*_xlfn.XLOOKUP(Logistics_Orders[[#This Row],[Logistics_ID]],Logistics_Catalog[[#All],[Logistics_ID]],Logistics_Catalog[[#All],[Client_Charge]],0,0)</f>
        <v>3600</v>
      </c>
      <c r="G508">
        <f>Logistics_Orders[[#This Row],[Client_Charge]]-Logistics_Orders[[#This Row],[Cost]]</f>
        <v>600</v>
      </c>
      <c r="H508" t="s">
        <v>194</v>
      </c>
    </row>
    <row r="509" spans="1:8" x14ac:dyDescent="0.25">
      <c r="A509">
        <v>104</v>
      </c>
      <c r="B509" t="s">
        <v>195</v>
      </c>
      <c r="C509" cm="1">
        <f t="array" ref="C509">_xlfn.XLOOKUP(Logistics_Orders[[#This Row],[Logistics_ID]],Logistics_Catalog[[#All],[Logistics_ID]],Logistics_Catalog[[#All],[Base_Quantity]],0,0)</f>
        <v>10</v>
      </c>
      <c r="D509" cm="1">
        <f t="array" ref="D509">IF(Logistics_Orders[[#This Row],[Item]]="Chairs &amp; Tables",CEILING(_xlfn.XLOOKUP(Logistics_Orders[[#This Row],[Event_No]],Event_Master[[#All],[Event_No]],Event_Master[[#All],[Guest_Count]],,0)/Logistics_Orders[[#This Row],[Base_Quantity]],1),1)</f>
        <v>1</v>
      </c>
      <c r="E509" cm="1">
        <f t="array" ref="E509">Logistics_Orders[[#This Row],[Quantity_Ordered]]*_xlfn.XLOOKUP(Logistics_Orders[[#This Row],[Logistics_ID]],Logistics_Catalog[[#All],[Logistics_ID]],Logistics_Catalog[[#All],[Cost]],0,0)</f>
        <v>6000</v>
      </c>
      <c r="F509" cm="1">
        <f t="array" ref="F509">Logistics_Orders[[#This Row],[Quantity_Ordered]]*_xlfn.XLOOKUP(Logistics_Orders[[#This Row],[Logistics_ID]],Logistics_Catalog[[#All],[Logistics_ID]],Logistics_Catalog[[#All],[Client_Charge]],0,0)</f>
        <v>7200</v>
      </c>
      <c r="G509">
        <f>Logistics_Orders[[#This Row],[Client_Charge]]-Logistics_Orders[[#This Row],[Cost]]</f>
        <v>1200</v>
      </c>
      <c r="H509" t="s">
        <v>198</v>
      </c>
    </row>
    <row r="510" spans="1:8" x14ac:dyDescent="0.25">
      <c r="A510">
        <v>104</v>
      </c>
      <c r="B510" t="s">
        <v>187</v>
      </c>
      <c r="C510" cm="1">
        <f t="array" ref="C510">_xlfn.XLOOKUP(Logistics_Orders[[#This Row],[Logistics_ID]],Logistics_Catalog[[#All],[Logistics_ID]],Logistics_Catalog[[#All],[Base_Quantity]],0,0)</f>
        <v>1</v>
      </c>
      <c r="D510" cm="1">
        <f t="array" ref="D510">IF(Logistics_Orders[[#This Row],[Item]]="Chairs &amp; Tables",CEILING(_xlfn.XLOOKUP(Logistics_Orders[[#This Row],[Event_No]],Event_Master[[#All],[Event_No]],Event_Master[[#All],[Guest_Count]],,0)/Logistics_Orders[[#This Row],[Base_Quantity]],1),1)</f>
        <v>1</v>
      </c>
      <c r="E510" cm="1">
        <f t="array" ref="E510">Logistics_Orders[[#This Row],[Quantity_Ordered]]*_xlfn.XLOOKUP(Logistics_Orders[[#This Row],[Logistics_ID]],Logistics_Catalog[[#All],[Logistics_ID]],Logistics_Catalog[[#All],[Cost]],0,0)</f>
        <v>8000</v>
      </c>
      <c r="F510" cm="1">
        <f t="array" ref="F510">Logistics_Orders[[#This Row],[Quantity_Ordered]]*_xlfn.XLOOKUP(Logistics_Orders[[#This Row],[Logistics_ID]],Logistics_Catalog[[#All],[Logistics_ID]],Logistics_Catalog[[#All],[Client_Charge]],0,0)</f>
        <v>9500</v>
      </c>
      <c r="G510">
        <f>Logistics_Orders[[#This Row],[Client_Charge]]-Logistics_Orders[[#This Row],[Cost]]</f>
        <v>1500</v>
      </c>
      <c r="H510" t="s">
        <v>190</v>
      </c>
    </row>
    <row r="511" spans="1:8" x14ac:dyDescent="0.25">
      <c r="A511">
        <v>105</v>
      </c>
      <c r="B511" t="s">
        <v>177</v>
      </c>
      <c r="C511" cm="1">
        <f t="array" ref="C511">_xlfn.XLOOKUP(Logistics_Orders[[#This Row],[Logistics_ID]],Logistics_Catalog[[#All],[Logistics_ID]],Logistics_Catalog[[#All],[Base_Quantity]],0,0)</f>
        <v>300</v>
      </c>
      <c r="D511" cm="1">
        <f t="array" ref="D511">IF(Logistics_Orders[[#This Row],[Item]]="Chairs &amp; Tables",CEILING(_xlfn.XLOOKUP(Logistics_Orders[[#This Row],[Event_No]],Event_Master[[#All],[Event_No]],Event_Master[[#All],[Guest_Count]],,0)/Logistics_Orders[[#This Row],[Base_Quantity]],1),1)</f>
        <v>2</v>
      </c>
      <c r="E511" cm="1">
        <f t="array" ref="E511">Logistics_Orders[[#This Row],[Quantity_Ordered]]*_xlfn.XLOOKUP(Logistics_Orders[[#This Row],[Logistics_ID]],Logistics_Catalog[[#All],[Logistics_ID]],Logistics_Catalog[[#All],[Cost]],0,0)</f>
        <v>30000</v>
      </c>
      <c r="F511" cm="1">
        <f t="array" ref="F511">Logistics_Orders[[#This Row],[Quantity_Ordered]]*_xlfn.XLOOKUP(Logistics_Orders[[#This Row],[Logistics_ID]],Logistics_Catalog[[#All],[Logistics_ID]],Logistics_Catalog[[#All],[Client_Charge]],0,0)</f>
        <v>36000</v>
      </c>
      <c r="G511">
        <f>Logistics_Orders[[#This Row],[Client_Charge]]-Logistics_Orders[[#This Row],[Cost]]</f>
        <v>6000</v>
      </c>
      <c r="H511" t="s">
        <v>181</v>
      </c>
    </row>
    <row r="512" spans="1:8" x14ac:dyDescent="0.25">
      <c r="A512">
        <v>105</v>
      </c>
      <c r="B512" t="s">
        <v>182</v>
      </c>
      <c r="C512" cm="1">
        <f t="array" ref="C512">_xlfn.XLOOKUP(Logistics_Orders[[#This Row],[Logistics_ID]],Logistics_Catalog[[#All],[Logistics_ID]],Logistics_Catalog[[#All],[Base_Quantity]],0,0)</f>
        <v>1</v>
      </c>
      <c r="D512" cm="1">
        <f t="array" ref="D512">IF(Logistics_Orders[[#This Row],[Item]]="Chairs &amp; Tables",CEILING(_xlfn.XLOOKUP(Logistics_Orders[[#This Row],[Event_No]],Event_Master[[#All],[Event_No]],Event_Master[[#All],[Guest_Count]],,0)/Logistics_Orders[[#This Row],[Base_Quantity]],1),1)</f>
        <v>1</v>
      </c>
      <c r="E512" cm="1">
        <f t="array" ref="E512">Logistics_Orders[[#This Row],[Quantity_Ordered]]*_xlfn.XLOOKUP(Logistics_Orders[[#This Row],[Logistics_ID]],Logistics_Catalog[[#All],[Logistics_ID]],Logistics_Catalog[[#All],[Cost]],0,0)</f>
        <v>12000</v>
      </c>
      <c r="F512" cm="1">
        <f t="array" ref="F512">Logistics_Orders[[#This Row],[Quantity_Ordered]]*_xlfn.XLOOKUP(Logistics_Orders[[#This Row],[Logistics_ID]],Logistics_Catalog[[#All],[Logistics_ID]],Logistics_Catalog[[#All],[Client_Charge]],0,0)</f>
        <v>14500</v>
      </c>
      <c r="G512">
        <f>Logistics_Orders[[#This Row],[Client_Charge]]-Logistics_Orders[[#This Row],[Cost]]</f>
        <v>2500</v>
      </c>
      <c r="H512" t="s">
        <v>186</v>
      </c>
    </row>
    <row r="513" spans="1:8" x14ac:dyDescent="0.25">
      <c r="A513">
        <v>105</v>
      </c>
      <c r="B513" t="s">
        <v>191</v>
      </c>
      <c r="C513" cm="1">
        <f t="array" ref="C513">_xlfn.XLOOKUP(Logistics_Orders[[#This Row],[Logistics_ID]],Logistics_Catalog[[#All],[Logistics_ID]],Logistics_Catalog[[#All],[Base_Quantity]],0,0)</f>
        <v>5</v>
      </c>
      <c r="D513" cm="1">
        <f t="array" ref="D513">IF(Logistics_Orders[[#This Row],[Item]]="Chairs &amp; Tables",CEILING(_xlfn.XLOOKUP(Logistics_Orders[[#This Row],[Event_No]],Event_Master[[#All],[Event_No]],Event_Master[[#All],[Guest_Count]],,0)/Logistics_Orders[[#This Row],[Base_Quantity]],1),1)</f>
        <v>1</v>
      </c>
      <c r="E513" cm="1">
        <f t="array" ref="E513">Logistics_Orders[[#This Row],[Quantity_Ordered]]*_xlfn.XLOOKUP(Logistics_Orders[[#This Row],[Logistics_ID]],Logistics_Catalog[[#All],[Logistics_ID]],Logistics_Catalog[[#All],[Cost]],0,0)</f>
        <v>3000</v>
      </c>
      <c r="F513" cm="1">
        <f t="array" ref="F513">Logistics_Orders[[#This Row],[Quantity_Ordered]]*_xlfn.XLOOKUP(Logistics_Orders[[#This Row],[Logistics_ID]],Logistics_Catalog[[#All],[Logistics_ID]],Logistics_Catalog[[#All],[Client_Charge]],0,0)</f>
        <v>3600</v>
      </c>
      <c r="G513">
        <f>Logistics_Orders[[#This Row],[Client_Charge]]-Logistics_Orders[[#This Row],[Cost]]</f>
        <v>600</v>
      </c>
      <c r="H513" t="s">
        <v>194</v>
      </c>
    </row>
    <row r="514" spans="1:8" x14ac:dyDescent="0.25">
      <c r="A514">
        <v>105</v>
      </c>
      <c r="B514" t="s">
        <v>195</v>
      </c>
      <c r="C514" cm="1">
        <f t="array" ref="C514">_xlfn.XLOOKUP(Logistics_Orders[[#This Row],[Logistics_ID]],Logistics_Catalog[[#All],[Logistics_ID]],Logistics_Catalog[[#All],[Base_Quantity]],0,0)</f>
        <v>10</v>
      </c>
      <c r="D514" cm="1">
        <f t="array" ref="D514">IF(Logistics_Orders[[#This Row],[Item]]="Chairs &amp; Tables",CEILING(_xlfn.XLOOKUP(Logistics_Orders[[#This Row],[Event_No]],Event_Master[[#All],[Event_No]],Event_Master[[#All],[Guest_Count]],,0)/Logistics_Orders[[#This Row],[Base_Quantity]],1),1)</f>
        <v>1</v>
      </c>
      <c r="E514" cm="1">
        <f t="array" ref="E514">Logistics_Orders[[#This Row],[Quantity_Ordered]]*_xlfn.XLOOKUP(Logistics_Orders[[#This Row],[Logistics_ID]],Logistics_Catalog[[#All],[Logistics_ID]],Logistics_Catalog[[#All],[Cost]],0,0)</f>
        <v>6000</v>
      </c>
      <c r="F514" cm="1">
        <f t="array" ref="F514">Logistics_Orders[[#This Row],[Quantity_Ordered]]*_xlfn.XLOOKUP(Logistics_Orders[[#This Row],[Logistics_ID]],Logistics_Catalog[[#All],[Logistics_ID]],Logistics_Catalog[[#All],[Client_Charge]],0,0)</f>
        <v>7200</v>
      </c>
      <c r="G514">
        <f>Logistics_Orders[[#This Row],[Client_Charge]]-Logistics_Orders[[#This Row],[Cost]]</f>
        <v>1200</v>
      </c>
      <c r="H514" t="s">
        <v>198</v>
      </c>
    </row>
    <row r="515" spans="1:8" x14ac:dyDescent="0.25">
      <c r="A515">
        <v>105</v>
      </c>
      <c r="B515" t="s">
        <v>187</v>
      </c>
      <c r="C515" cm="1">
        <f t="array" ref="C515">_xlfn.XLOOKUP(Logistics_Orders[[#This Row],[Logistics_ID]],Logistics_Catalog[[#All],[Logistics_ID]],Logistics_Catalog[[#All],[Base_Quantity]],0,0)</f>
        <v>1</v>
      </c>
      <c r="D515" cm="1">
        <f t="array" ref="D515">IF(Logistics_Orders[[#This Row],[Item]]="Chairs &amp; Tables",CEILING(_xlfn.XLOOKUP(Logistics_Orders[[#This Row],[Event_No]],Event_Master[[#All],[Event_No]],Event_Master[[#All],[Guest_Count]],,0)/Logistics_Orders[[#This Row],[Base_Quantity]],1),1)</f>
        <v>1</v>
      </c>
      <c r="E515" cm="1">
        <f t="array" ref="E515">Logistics_Orders[[#This Row],[Quantity_Ordered]]*_xlfn.XLOOKUP(Logistics_Orders[[#This Row],[Logistics_ID]],Logistics_Catalog[[#All],[Logistics_ID]],Logistics_Catalog[[#All],[Cost]],0,0)</f>
        <v>8000</v>
      </c>
      <c r="F515" cm="1">
        <f t="array" ref="F515">Logistics_Orders[[#This Row],[Quantity_Ordered]]*_xlfn.XLOOKUP(Logistics_Orders[[#This Row],[Logistics_ID]],Logistics_Catalog[[#All],[Logistics_ID]],Logistics_Catalog[[#All],[Client_Charge]],0,0)</f>
        <v>9500</v>
      </c>
      <c r="G515">
        <f>Logistics_Orders[[#This Row],[Client_Charge]]-Logistics_Orders[[#This Row],[Cost]]</f>
        <v>1500</v>
      </c>
      <c r="H515" t="s">
        <v>190</v>
      </c>
    </row>
    <row r="516" spans="1:8" x14ac:dyDescent="0.25">
      <c r="A516">
        <v>106</v>
      </c>
      <c r="B516" t="s">
        <v>177</v>
      </c>
      <c r="C516" cm="1">
        <f t="array" ref="C516">_xlfn.XLOOKUP(Logistics_Orders[[#This Row],[Logistics_ID]],Logistics_Catalog[[#All],[Logistics_ID]],Logistics_Catalog[[#All],[Base_Quantity]],0,0)</f>
        <v>300</v>
      </c>
      <c r="D516" cm="1">
        <f t="array" ref="D516">IF(Logistics_Orders[[#This Row],[Item]]="Chairs &amp; Tables",CEILING(_xlfn.XLOOKUP(Logistics_Orders[[#This Row],[Event_No]],Event_Master[[#All],[Event_No]],Event_Master[[#All],[Guest_Count]],,0)/Logistics_Orders[[#This Row],[Base_Quantity]],1),1)</f>
        <v>1</v>
      </c>
      <c r="E516" cm="1">
        <f t="array" ref="E516">Logistics_Orders[[#This Row],[Quantity_Ordered]]*_xlfn.XLOOKUP(Logistics_Orders[[#This Row],[Logistics_ID]],Logistics_Catalog[[#All],[Logistics_ID]],Logistics_Catalog[[#All],[Cost]],0,0)</f>
        <v>15000</v>
      </c>
      <c r="F516" cm="1">
        <f t="array" ref="F516">Logistics_Orders[[#This Row],[Quantity_Ordered]]*_xlfn.XLOOKUP(Logistics_Orders[[#This Row],[Logistics_ID]],Logistics_Catalog[[#All],[Logistics_ID]],Logistics_Catalog[[#All],[Client_Charge]],0,0)</f>
        <v>18000</v>
      </c>
      <c r="G516">
        <f>Logistics_Orders[[#This Row],[Client_Charge]]-Logistics_Orders[[#This Row],[Cost]]</f>
        <v>3000</v>
      </c>
      <c r="H516" t="s">
        <v>181</v>
      </c>
    </row>
    <row r="517" spans="1:8" x14ac:dyDescent="0.25">
      <c r="A517">
        <v>106</v>
      </c>
      <c r="B517" t="s">
        <v>182</v>
      </c>
      <c r="C517" cm="1">
        <f t="array" ref="C517">_xlfn.XLOOKUP(Logistics_Orders[[#This Row],[Logistics_ID]],Logistics_Catalog[[#All],[Logistics_ID]],Logistics_Catalog[[#All],[Base_Quantity]],0,0)</f>
        <v>1</v>
      </c>
      <c r="D517" cm="1">
        <f t="array" ref="D517">IF(Logistics_Orders[[#This Row],[Item]]="Chairs &amp; Tables",CEILING(_xlfn.XLOOKUP(Logistics_Orders[[#This Row],[Event_No]],Event_Master[[#All],[Event_No]],Event_Master[[#All],[Guest_Count]],,0)/Logistics_Orders[[#This Row],[Base_Quantity]],1),1)</f>
        <v>1</v>
      </c>
      <c r="E517" cm="1">
        <f t="array" ref="E517">Logistics_Orders[[#This Row],[Quantity_Ordered]]*_xlfn.XLOOKUP(Logistics_Orders[[#This Row],[Logistics_ID]],Logistics_Catalog[[#All],[Logistics_ID]],Logistics_Catalog[[#All],[Cost]],0,0)</f>
        <v>12000</v>
      </c>
      <c r="F517" cm="1">
        <f t="array" ref="F517">Logistics_Orders[[#This Row],[Quantity_Ordered]]*_xlfn.XLOOKUP(Logistics_Orders[[#This Row],[Logistics_ID]],Logistics_Catalog[[#All],[Logistics_ID]],Logistics_Catalog[[#All],[Client_Charge]],0,0)</f>
        <v>14500</v>
      </c>
      <c r="G517">
        <f>Logistics_Orders[[#This Row],[Client_Charge]]-Logistics_Orders[[#This Row],[Cost]]</f>
        <v>2500</v>
      </c>
      <c r="H517" t="s">
        <v>186</v>
      </c>
    </row>
    <row r="518" spans="1:8" x14ac:dyDescent="0.25">
      <c r="A518">
        <v>106</v>
      </c>
      <c r="B518" t="s">
        <v>191</v>
      </c>
      <c r="C518" cm="1">
        <f t="array" ref="C518">_xlfn.XLOOKUP(Logistics_Orders[[#This Row],[Logistics_ID]],Logistics_Catalog[[#All],[Logistics_ID]],Logistics_Catalog[[#All],[Base_Quantity]],0,0)</f>
        <v>5</v>
      </c>
      <c r="D518" cm="1">
        <f t="array" ref="D518">IF(Logistics_Orders[[#This Row],[Item]]="Chairs &amp; Tables",CEILING(_xlfn.XLOOKUP(Logistics_Orders[[#This Row],[Event_No]],Event_Master[[#All],[Event_No]],Event_Master[[#All],[Guest_Count]],,0)/Logistics_Orders[[#This Row],[Base_Quantity]],1),1)</f>
        <v>1</v>
      </c>
      <c r="E518" cm="1">
        <f t="array" ref="E518">Logistics_Orders[[#This Row],[Quantity_Ordered]]*_xlfn.XLOOKUP(Logistics_Orders[[#This Row],[Logistics_ID]],Logistics_Catalog[[#All],[Logistics_ID]],Logistics_Catalog[[#All],[Cost]],0,0)</f>
        <v>3000</v>
      </c>
      <c r="F518" cm="1">
        <f t="array" ref="F518">Logistics_Orders[[#This Row],[Quantity_Ordered]]*_xlfn.XLOOKUP(Logistics_Orders[[#This Row],[Logistics_ID]],Logistics_Catalog[[#All],[Logistics_ID]],Logistics_Catalog[[#All],[Client_Charge]],0,0)</f>
        <v>3600</v>
      </c>
      <c r="G518">
        <f>Logistics_Orders[[#This Row],[Client_Charge]]-Logistics_Orders[[#This Row],[Cost]]</f>
        <v>600</v>
      </c>
      <c r="H518" t="s">
        <v>194</v>
      </c>
    </row>
    <row r="519" spans="1:8" x14ac:dyDescent="0.25">
      <c r="A519">
        <v>106</v>
      </c>
      <c r="B519" t="s">
        <v>195</v>
      </c>
      <c r="C519" cm="1">
        <f t="array" ref="C519">_xlfn.XLOOKUP(Logistics_Orders[[#This Row],[Logistics_ID]],Logistics_Catalog[[#All],[Logistics_ID]],Logistics_Catalog[[#All],[Base_Quantity]],0,0)</f>
        <v>10</v>
      </c>
      <c r="D519" cm="1">
        <f t="array" ref="D519">IF(Logistics_Orders[[#This Row],[Item]]="Chairs &amp; Tables",CEILING(_xlfn.XLOOKUP(Logistics_Orders[[#This Row],[Event_No]],Event_Master[[#All],[Event_No]],Event_Master[[#All],[Guest_Count]],,0)/Logistics_Orders[[#This Row],[Base_Quantity]],1),1)</f>
        <v>1</v>
      </c>
      <c r="E519" cm="1">
        <f t="array" ref="E519">Logistics_Orders[[#This Row],[Quantity_Ordered]]*_xlfn.XLOOKUP(Logistics_Orders[[#This Row],[Logistics_ID]],Logistics_Catalog[[#All],[Logistics_ID]],Logistics_Catalog[[#All],[Cost]],0,0)</f>
        <v>6000</v>
      </c>
      <c r="F519" cm="1">
        <f t="array" ref="F519">Logistics_Orders[[#This Row],[Quantity_Ordered]]*_xlfn.XLOOKUP(Logistics_Orders[[#This Row],[Logistics_ID]],Logistics_Catalog[[#All],[Logistics_ID]],Logistics_Catalog[[#All],[Client_Charge]],0,0)</f>
        <v>7200</v>
      </c>
      <c r="G519">
        <f>Logistics_Orders[[#This Row],[Client_Charge]]-Logistics_Orders[[#This Row],[Cost]]</f>
        <v>1200</v>
      </c>
      <c r="H519" t="s">
        <v>198</v>
      </c>
    </row>
    <row r="520" spans="1:8" x14ac:dyDescent="0.25">
      <c r="A520">
        <v>106</v>
      </c>
      <c r="B520" t="s">
        <v>187</v>
      </c>
      <c r="C520" cm="1">
        <f t="array" ref="C520">_xlfn.XLOOKUP(Logistics_Orders[[#This Row],[Logistics_ID]],Logistics_Catalog[[#All],[Logistics_ID]],Logistics_Catalog[[#All],[Base_Quantity]],0,0)</f>
        <v>1</v>
      </c>
      <c r="D520" cm="1">
        <f t="array" ref="D520">IF(Logistics_Orders[[#This Row],[Item]]="Chairs &amp; Tables",CEILING(_xlfn.XLOOKUP(Logistics_Orders[[#This Row],[Event_No]],Event_Master[[#All],[Event_No]],Event_Master[[#All],[Guest_Count]],,0)/Logistics_Orders[[#This Row],[Base_Quantity]],1),1)</f>
        <v>1</v>
      </c>
      <c r="E520" cm="1">
        <f t="array" ref="E520">Logistics_Orders[[#This Row],[Quantity_Ordered]]*_xlfn.XLOOKUP(Logistics_Orders[[#This Row],[Logistics_ID]],Logistics_Catalog[[#All],[Logistics_ID]],Logistics_Catalog[[#All],[Cost]],0,0)</f>
        <v>8000</v>
      </c>
      <c r="F520" cm="1">
        <f t="array" ref="F520">Logistics_Orders[[#This Row],[Quantity_Ordered]]*_xlfn.XLOOKUP(Logistics_Orders[[#This Row],[Logistics_ID]],Logistics_Catalog[[#All],[Logistics_ID]],Logistics_Catalog[[#All],[Client_Charge]],0,0)</f>
        <v>9500</v>
      </c>
      <c r="G520">
        <f>Logistics_Orders[[#This Row],[Client_Charge]]-Logistics_Orders[[#This Row],[Cost]]</f>
        <v>1500</v>
      </c>
      <c r="H520" t="s">
        <v>190</v>
      </c>
    </row>
    <row r="521" spans="1:8" x14ac:dyDescent="0.25">
      <c r="A521">
        <v>107</v>
      </c>
      <c r="B521" t="s">
        <v>177</v>
      </c>
      <c r="C521" cm="1">
        <f t="array" ref="C521">_xlfn.XLOOKUP(Logistics_Orders[[#This Row],[Logistics_ID]],Logistics_Catalog[[#All],[Logistics_ID]],Logistics_Catalog[[#All],[Base_Quantity]],0,0)</f>
        <v>300</v>
      </c>
      <c r="D521" cm="1">
        <f t="array" ref="D521">IF(Logistics_Orders[[#This Row],[Item]]="Chairs &amp; Tables",CEILING(_xlfn.XLOOKUP(Logistics_Orders[[#This Row],[Event_No]],Event_Master[[#All],[Event_No]],Event_Master[[#All],[Guest_Count]],,0)/Logistics_Orders[[#This Row],[Base_Quantity]],1),1)</f>
        <v>4</v>
      </c>
      <c r="E521" cm="1">
        <f t="array" ref="E521">Logistics_Orders[[#This Row],[Quantity_Ordered]]*_xlfn.XLOOKUP(Logistics_Orders[[#This Row],[Logistics_ID]],Logistics_Catalog[[#All],[Logistics_ID]],Logistics_Catalog[[#All],[Cost]],0,0)</f>
        <v>60000</v>
      </c>
      <c r="F521" cm="1">
        <f t="array" ref="F521">Logistics_Orders[[#This Row],[Quantity_Ordered]]*_xlfn.XLOOKUP(Logistics_Orders[[#This Row],[Logistics_ID]],Logistics_Catalog[[#All],[Logistics_ID]],Logistics_Catalog[[#All],[Client_Charge]],0,0)</f>
        <v>72000</v>
      </c>
      <c r="G521">
        <f>Logistics_Orders[[#This Row],[Client_Charge]]-Logistics_Orders[[#This Row],[Cost]]</f>
        <v>12000</v>
      </c>
      <c r="H521" t="s">
        <v>181</v>
      </c>
    </row>
    <row r="522" spans="1:8" x14ac:dyDescent="0.25">
      <c r="A522">
        <v>107</v>
      </c>
      <c r="B522" t="s">
        <v>182</v>
      </c>
      <c r="C522" cm="1">
        <f t="array" ref="C522">_xlfn.XLOOKUP(Logistics_Orders[[#This Row],[Logistics_ID]],Logistics_Catalog[[#All],[Logistics_ID]],Logistics_Catalog[[#All],[Base_Quantity]],0,0)</f>
        <v>1</v>
      </c>
      <c r="D522" cm="1">
        <f t="array" ref="D522">IF(Logistics_Orders[[#This Row],[Item]]="Chairs &amp; Tables",CEILING(_xlfn.XLOOKUP(Logistics_Orders[[#This Row],[Event_No]],Event_Master[[#All],[Event_No]],Event_Master[[#All],[Guest_Count]],,0)/Logistics_Orders[[#This Row],[Base_Quantity]],1),1)</f>
        <v>1</v>
      </c>
      <c r="E522" cm="1">
        <f t="array" ref="E522">Logistics_Orders[[#This Row],[Quantity_Ordered]]*_xlfn.XLOOKUP(Logistics_Orders[[#This Row],[Logistics_ID]],Logistics_Catalog[[#All],[Logistics_ID]],Logistics_Catalog[[#All],[Cost]],0,0)</f>
        <v>12000</v>
      </c>
      <c r="F522" cm="1">
        <f t="array" ref="F522">Logistics_Orders[[#This Row],[Quantity_Ordered]]*_xlfn.XLOOKUP(Logistics_Orders[[#This Row],[Logistics_ID]],Logistics_Catalog[[#All],[Logistics_ID]],Logistics_Catalog[[#All],[Client_Charge]],0,0)</f>
        <v>14500</v>
      </c>
      <c r="G522">
        <f>Logistics_Orders[[#This Row],[Client_Charge]]-Logistics_Orders[[#This Row],[Cost]]</f>
        <v>2500</v>
      </c>
      <c r="H522" t="s">
        <v>186</v>
      </c>
    </row>
    <row r="523" spans="1:8" x14ac:dyDescent="0.25">
      <c r="A523">
        <v>107</v>
      </c>
      <c r="B523" t="s">
        <v>191</v>
      </c>
      <c r="C523" cm="1">
        <f t="array" ref="C523">_xlfn.XLOOKUP(Logistics_Orders[[#This Row],[Logistics_ID]],Logistics_Catalog[[#All],[Logistics_ID]],Logistics_Catalog[[#All],[Base_Quantity]],0,0)</f>
        <v>5</v>
      </c>
      <c r="D523" cm="1">
        <f t="array" ref="D523">IF(Logistics_Orders[[#This Row],[Item]]="Chairs &amp; Tables",CEILING(_xlfn.XLOOKUP(Logistics_Orders[[#This Row],[Event_No]],Event_Master[[#All],[Event_No]],Event_Master[[#All],[Guest_Count]],,0)/Logistics_Orders[[#This Row],[Base_Quantity]],1),1)</f>
        <v>1</v>
      </c>
      <c r="E523" cm="1">
        <f t="array" ref="E523">Logistics_Orders[[#This Row],[Quantity_Ordered]]*_xlfn.XLOOKUP(Logistics_Orders[[#This Row],[Logistics_ID]],Logistics_Catalog[[#All],[Logistics_ID]],Logistics_Catalog[[#All],[Cost]],0,0)</f>
        <v>3000</v>
      </c>
      <c r="F523" cm="1">
        <f t="array" ref="F523">Logistics_Orders[[#This Row],[Quantity_Ordered]]*_xlfn.XLOOKUP(Logistics_Orders[[#This Row],[Logistics_ID]],Logistics_Catalog[[#All],[Logistics_ID]],Logistics_Catalog[[#All],[Client_Charge]],0,0)</f>
        <v>3600</v>
      </c>
      <c r="G523">
        <f>Logistics_Orders[[#This Row],[Client_Charge]]-Logistics_Orders[[#This Row],[Cost]]</f>
        <v>600</v>
      </c>
      <c r="H523" t="s">
        <v>194</v>
      </c>
    </row>
    <row r="524" spans="1:8" x14ac:dyDescent="0.25">
      <c r="A524">
        <v>107</v>
      </c>
      <c r="B524" t="s">
        <v>195</v>
      </c>
      <c r="C524" cm="1">
        <f t="array" ref="C524">_xlfn.XLOOKUP(Logistics_Orders[[#This Row],[Logistics_ID]],Logistics_Catalog[[#All],[Logistics_ID]],Logistics_Catalog[[#All],[Base_Quantity]],0,0)</f>
        <v>10</v>
      </c>
      <c r="D524" cm="1">
        <f t="array" ref="D524">IF(Logistics_Orders[[#This Row],[Item]]="Chairs &amp; Tables",CEILING(_xlfn.XLOOKUP(Logistics_Orders[[#This Row],[Event_No]],Event_Master[[#All],[Event_No]],Event_Master[[#All],[Guest_Count]],,0)/Logistics_Orders[[#This Row],[Base_Quantity]],1),1)</f>
        <v>1</v>
      </c>
      <c r="E524" cm="1">
        <f t="array" ref="E524">Logistics_Orders[[#This Row],[Quantity_Ordered]]*_xlfn.XLOOKUP(Logistics_Orders[[#This Row],[Logistics_ID]],Logistics_Catalog[[#All],[Logistics_ID]],Logistics_Catalog[[#All],[Cost]],0,0)</f>
        <v>6000</v>
      </c>
      <c r="F524" cm="1">
        <f t="array" ref="F524">Logistics_Orders[[#This Row],[Quantity_Ordered]]*_xlfn.XLOOKUP(Logistics_Orders[[#This Row],[Logistics_ID]],Logistics_Catalog[[#All],[Logistics_ID]],Logistics_Catalog[[#All],[Client_Charge]],0,0)</f>
        <v>7200</v>
      </c>
      <c r="G524">
        <f>Logistics_Orders[[#This Row],[Client_Charge]]-Logistics_Orders[[#This Row],[Cost]]</f>
        <v>1200</v>
      </c>
      <c r="H524" t="s">
        <v>198</v>
      </c>
    </row>
    <row r="525" spans="1:8" x14ac:dyDescent="0.25">
      <c r="A525">
        <v>107</v>
      </c>
      <c r="B525" t="s">
        <v>187</v>
      </c>
      <c r="C525" cm="1">
        <f t="array" ref="C525">_xlfn.XLOOKUP(Logistics_Orders[[#This Row],[Logistics_ID]],Logistics_Catalog[[#All],[Logistics_ID]],Logistics_Catalog[[#All],[Base_Quantity]],0,0)</f>
        <v>1</v>
      </c>
      <c r="D525" cm="1">
        <f t="array" ref="D525">IF(Logistics_Orders[[#This Row],[Item]]="Chairs &amp; Tables",CEILING(_xlfn.XLOOKUP(Logistics_Orders[[#This Row],[Event_No]],Event_Master[[#All],[Event_No]],Event_Master[[#All],[Guest_Count]],,0)/Logistics_Orders[[#This Row],[Base_Quantity]],1),1)</f>
        <v>1</v>
      </c>
      <c r="E525" cm="1">
        <f t="array" ref="E525">Logistics_Orders[[#This Row],[Quantity_Ordered]]*_xlfn.XLOOKUP(Logistics_Orders[[#This Row],[Logistics_ID]],Logistics_Catalog[[#All],[Logistics_ID]],Logistics_Catalog[[#All],[Cost]],0,0)</f>
        <v>8000</v>
      </c>
      <c r="F525" cm="1">
        <f t="array" ref="F525">Logistics_Orders[[#This Row],[Quantity_Ordered]]*_xlfn.XLOOKUP(Logistics_Orders[[#This Row],[Logistics_ID]],Logistics_Catalog[[#All],[Logistics_ID]],Logistics_Catalog[[#All],[Client_Charge]],0,0)</f>
        <v>9500</v>
      </c>
      <c r="G525">
        <f>Logistics_Orders[[#This Row],[Client_Charge]]-Logistics_Orders[[#This Row],[Cost]]</f>
        <v>1500</v>
      </c>
      <c r="H525" t="s">
        <v>190</v>
      </c>
    </row>
    <row r="526" spans="1:8" x14ac:dyDescent="0.25">
      <c r="A526">
        <v>108</v>
      </c>
      <c r="B526" t="s">
        <v>177</v>
      </c>
      <c r="C526" cm="1">
        <f t="array" ref="C526">_xlfn.XLOOKUP(Logistics_Orders[[#This Row],[Logistics_ID]],Logistics_Catalog[[#All],[Logistics_ID]],Logistics_Catalog[[#All],[Base_Quantity]],0,0)</f>
        <v>300</v>
      </c>
      <c r="D526" cm="1">
        <f t="array" ref="D526">IF(Logistics_Orders[[#This Row],[Item]]="Chairs &amp; Tables",CEILING(_xlfn.XLOOKUP(Logistics_Orders[[#This Row],[Event_No]],Event_Master[[#All],[Event_No]],Event_Master[[#All],[Guest_Count]],,0)/Logistics_Orders[[#This Row],[Base_Quantity]],1),1)</f>
        <v>2</v>
      </c>
      <c r="E526" cm="1">
        <f t="array" ref="E526">Logistics_Orders[[#This Row],[Quantity_Ordered]]*_xlfn.XLOOKUP(Logistics_Orders[[#This Row],[Logistics_ID]],Logistics_Catalog[[#All],[Logistics_ID]],Logistics_Catalog[[#All],[Cost]],0,0)</f>
        <v>30000</v>
      </c>
      <c r="F526" cm="1">
        <f t="array" ref="F526">Logistics_Orders[[#This Row],[Quantity_Ordered]]*_xlfn.XLOOKUP(Logistics_Orders[[#This Row],[Logistics_ID]],Logistics_Catalog[[#All],[Logistics_ID]],Logistics_Catalog[[#All],[Client_Charge]],0,0)</f>
        <v>36000</v>
      </c>
      <c r="G526">
        <f>Logistics_Orders[[#This Row],[Client_Charge]]-Logistics_Orders[[#This Row],[Cost]]</f>
        <v>6000</v>
      </c>
      <c r="H526" t="s">
        <v>181</v>
      </c>
    </row>
    <row r="527" spans="1:8" x14ac:dyDescent="0.25">
      <c r="A527">
        <v>108</v>
      </c>
      <c r="B527" t="s">
        <v>182</v>
      </c>
      <c r="C527" cm="1">
        <f t="array" ref="C527">_xlfn.XLOOKUP(Logistics_Orders[[#This Row],[Logistics_ID]],Logistics_Catalog[[#All],[Logistics_ID]],Logistics_Catalog[[#All],[Base_Quantity]],0,0)</f>
        <v>1</v>
      </c>
      <c r="D527" cm="1">
        <f t="array" ref="D527">IF(Logistics_Orders[[#This Row],[Item]]="Chairs &amp; Tables",CEILING(_xlfn.XLOOKUP(Logistics_Orders[[#This Row],[Event_No]],Event_Master[[#All],[Event_No]],Event_Master[[#All],[Guest_Count]],,0)/Logistics_Orders[[#This Row],[Base_Quantity]],1),1)</f>
        <v>1</v>
      </c>
      <c r="E527" cm="1">
        <f t="array" ref="E527">Logistics_Orders[[#This Row],[Quantity_Ordered]]*_xlfn.XLOOKUP(Logistics_Orders[[#This Row],[Logistics_ID]],Logistics_Catalog[[#All],[Logistics_ID]],Logistics_Catalog[[#All],[Cost]],0,0)</f>
        <v>12000</v>
      </c>
      <c r="F527" cm="1">
        <f t="array" ref="F527">Logistics_Orders[[#This Row],[Quantity_Ordered]]*_xlfn.XLOOKUP(Logistics_Orders[[#This Row],[Logistics_ID]],Logistics_Catalog[[#All],[Logistics_ID]],Logistics_Catalog[[#All],[Client_Charge]],0,0)</f>
        <v>14500</v>
      </c>
      <c r="G527">
        <f>Logistics_Orders[[#This Row],[Client_Charge]]-Logistics_Orders[[#This Row],[Cost]]</f>
        <v>2500</v>
      </c>
      <c r="H527" t="s">
        <v>186</v>
      </c>
    </row>
    <row r="528" spans="1:8" x14ac:dyDescent="0.25">
      <c r="A528">
        <v>108</v>
      </c>
      <c r="B528" t="s">
        <v>191</v>
      </c>
      <c r="C528" cm="1">
        <f t="array" ref="C528">_xlfn.XLOOKUP(Logistics_Orders[[#This Row],[Logistics_ID]],Logistics_Catalog[[#All],[Logistics_ID]],Logistics_Catalog[[#All],[Base_Quantity]],0,0)</f>
        <v>5</v>
      </c>
      <c r="D528" cm="1">
        <f t="array" ref="D528">IF(Logistics_Orders[[#This Row],[Item]]="Chairs &amp; Tables",CEILING(_xlfn.XLOOKUP(Logistics_Orders[[#This Row],[Event_No]],Event_Master[[#All],[Event_No]],Event_Master[[#All],[Guest_Count]],,0)/Logistics_Orders[[#This Row],[Base_Quantity]],1),1)</f>
        <v>1</v>
      </c>
      <c r="E528" cm="1">
        <f t="array" ref="E528">Logistics_Orders[[#This Row],[Quantity_Ordered]]*_xlfn.XLOOKUP(Logistics_Orders[[#This Row],[Logistics_ID]],Logistics_Catalog[[#All],[Logistics_ID]],Logistics_Catalog[[#All],[Cost]],0,0)</f>
        <v>3000</v>
      </c>
      <c r="F528" cm="1">
        <f t="array" ref="F528">Logistics_Orders[[#This Row],[Quantity_Ordered]]*_xlfn.XLOOKUP(Logistics_Orders[[#This Row],[Logistics_ID]],Logistics_Catalog[[#All],[Logistics_ID]],Logistics_Catalog[[#All],[Client_Charge]],0,0)</f>
        <v>3600</v>
      </c>
      <c r="G528">
        <f>Logistics_Orders[[#This Row],[Client_Charge]]-Logistics_Orders[[#This Row],[Cost]]</f>
        <v>600</v>
      </c>
      <c r="H528" t="s">
        <v>194</v>
      </c>
    </row>
    <row r="529" spans="1:8" x14ac:dyDescent="0.25">
      <c r="A529">
        <v>108</v>
      </c>
      <c r="B529" t="s">
        <v>195</v>
      </c>
      <c r="C529" cm="1">
        <f t="array" ref="C529">_xlfn.XLOOKUP(Logistics_Orders[[#This Row],[Logistics_ID]],Logistics_Catalog[[#All],[Logistics_ID]],Logistics_Catalog[[#All],[Base_Quantity]],0,0)</f>
        <v>10</v>
      </c>
      <c r="D529" cm="1">
        <f t="array" ref="D529">IF(Logistics_Orders[[#This Row],[Item]]="Chairs &amp; Tables",CEILING(_xlfn.XLOOKUP(Logistics_Orders[[#This Row],[Event_No]],Event_Master[[#All],[Event_No]],Event_Master[[#All],[Guest_Count]],,0)/Logistics_Orders[[#This Row],[Base_Quantity]],1),1)</f>
        <v>1</v>
      </c>
      <c r="E529" cm="1">
        <f t="array" ref="E529">Logistics_Orders[[#This Row],[Quantity_Ordered]]*_xlfn.XLOOKUP(Logistics_Orders[[#This Row],[Logistics_ID]],Logistics_Catalog[[#All],[Logistics_ID]],Logistics_Catalog[[#All],[Cost]],0,0)</f>
        <v>6000</v>
      </c>
      <c r="F529" cm="1">
        <f t="array" ref="F529">Logistics_Orders[[#This Row],[Quantity_Ordered]]*_xlfn.XLOOKUP(Logistics_Orders[[#This Row],[Logistics_ID]],Logistics_Catalog[[#All],[Logistics_ID]],Logistics_Catalog[[#All],[Client_Charge]],0,0)</f>
        <v>7200</v>
      </c>
      <c r="G529">
        <f>Logistics_Orders[[#This Row],[Client_Charge]]-Logistics_Orders[[#This Row],[Cost]]</f>
        <v>1200</v>
      </c>
      <c r="H529" t="s">
        <v>198</v>
      </c>
    </row>
    <row r="530" spans="1:8" x14ac:dyDescent="0.25">
      <c r="A530">
        <v>108</v>
      </c>
      <c r="B530" t="s">
        <v>187</v>
      </c>
      <c r="C530" cm="1">
        <f t="array" ref="C530">_xlfn.XLOOKUP(Logistics_Orders[[#This Row],[Logistics_ID]],Logistics_Catalog[[#All],[Logistics_ID]],Logistics_Catalog[[#All],[Base_Quantity]],0,0)</f>
        <v>1</v>
      </c>
      <c r="D530" cm="1">
        <f t="array" ref="D530">IF(Logistics_Orders[[#This Row],[Item]]="Chairs &amp; Tables",CEILING(_xlfn.XLOOKUP(Logistics_Orders[[#This Row],[Event_No]],Event_Master[[#All],[Event_No]],Event_Master[[#All],[Guest_Count]],,0)/Logistics_Orders[[#This Row],[Base_Quantity]],1),1)</f>
        <v>1</v>
      </c>
      <c r="E530" cm="1">
        <f t="array" ref="E530">Logistics_Orders[[#This Row],[Quantity_Ordered]]*_xlfn.XLOOKUP(Logistics_Orders[[#This Row],[Logistics_ID]],Logistics_Catalog[[#All],[Logistics_ID]],Logistics_Catalog[[#All],[Cost]],0,0)</f>
        <v>8000</v>
      </c>
      <c r="F530" cm="1">
        <f t="array" ref="F530">Logistics_Orders[[#This Row],[Quantity_Ordered]]*_xlfn.XLOOKUP(Logistics_Orders[[#This Row],[Logistics_ID]],Logistics_Catalog[[#All],[Logistics_ID]],Logistics_Catalog[[#All],[Client_Charge]],0,0)</f>
        <v>9500</v>
      </c>
      <c r="G530">
        <f>Logistics_Orders[[#This Row],[Client_Charge]]-Logistics_Orders[[#This Row],[Cost]]</f>
        <v>1500</v>
      </c>
      <c r="H530" t="s">
        <v>190</v>
      </c>
    </row>
    <row r="531" spans="1:8" x14ac:dyDescent="0.25">
      <c r="A531">
        <v>109</v>
      </c>
      <c r="B531" t="s">
        <v>177</v>
      </c>
      <c r="C531" cm="1">
        <f t="array" ref="C531">_xlfn.XLOOKUP(Logistics_Orders[[#This Row],[Logistics_ID]],Logistics_Catalog[[#All],[Logistics_ID]],Logistics_Catalog[[#All],[Base_Quantity]],0,0)</f>
        <v>300</v>
      </c>
      <c r="D531" cm="1">
        <f t="array" ref="D531">IF(Logistics_Orders[[#This Row],[Item]]="Chairs &amp; Tables",CEILING(_xlfn.XLOOKUP(Logistics_Orders[[#This Row],[Event_No]],Event_Master[[#All],[Event_No]],Event_Master[[#All],[Guest_Count]],,0)/Logistics_Orders[[#This Row],[Base_Quantity]],1),1)</f>
        <v>1</v>
      </c>
      <c r="E531" cm="1">
        <f t="array" ref="E531">Logistics_Orders[[#This Row],[Quantity_Ordered]]*_xlfn.XLOOKUP(Logistics_Orders[[#This Row],[Logistics_ID]],Logistics_Catalog[[#All],[Logistics_ID]],Logistics_Catalog[[#All],[Cost]],0,0)</f>
        <v>15000</v>
      </c>
      <c r="F531" cm="1">
        <f t="array" ref="F531">Logistics_Orders[[#This Row],[Quantity_Ordered]]*_xlfn.XLOOKUP(Logistics_Orders[[#This Row],[Logistics_ID]],Logistics_Catalog[[#All],[Logistics_ID]],Logistics_Catalog[[#All],[Client_Charge]],0,0)</f>
        <v>18000</v>
      </c>
      <c r="G531">
        <f>Logistics_Orders[[#This Row],[Client_Charge]]-Logistics_Orders[[#This Row],[Cost]]</f>
        <v>3000</v>
      </c>
      <c r="H531" t="s">
        <v>181</v>
      </c>
    </row>
    <row r="532" spans="1:8" x14ac:dyDescent="0.25">
      <c r="A532">
        <v>109</v>
      </c>
      <c r="B532" t="s">
        <v>182</v>
      </c>
      <c r="C532" cm="1">
        <f t="array" ref="C532">_xlfn.XLOOKUP(Logistics_Orders[[#This Row],[Logistics_ID]],Logistics_Catalog[[#All],[Logistics_ID]],Logistics_Catalog[[#All],[Base_Quantity]],0,0)</f>
        <v>1</v>
      </c>
      <c r="D532" cm="1">
        <f t="array" ref="D532">IF(Logistics_Orders[[#This Row],[Item]]="Chairs &amp; Tables",CEILING(_xlfn.XLOOKUP(Logistics_Orders[[#This Row],[Event_No]],Event_Master[[#All],[Event_No]],Event_Master[[#All],[Guest_Count]],,0)/Logistics_Orders[[#This Row],[Base_Quantity]],1),1)</f>
        <v>1</v>
      </c>
      <c r="E532" cm="1">
        <f t="array" ref="E532">Logistics_Orders[[#This Row],[Quantity_Ordered]]*_xlfn.XLOOKUP(Logistics_Orders[[#This Row],[Logistics_ID]],Logistics_Catalog[[#All],[Logistics_ID]],Logistics_Catalog[[#All],[Cost]],0,0)</f>
        <v>12000</v>
      </c>
      <c r="F532" cm="1">
        <f t="array" ref="F532">Logistics_Orders[[#This Row],[Quantity_Ordered]]*_xlfn.XLOOKUP(Logistics_Orders[[#This Row],[Logistics_ID]],Logistics_Catalog[[#All],[Logistics_ID]],Logistics_Catalog[[#All],[Client_Charge]],0,0)</f>
        <v>14500</v>
      </c>
      <c r="G532">
        <f>Logistics_Orders[[#This Row],[Client_Charge]]-Logistics_Orders[[#This Row],[Cost]]</f>
        <v>2500</v>
      </c>
      <c r="H532" t="s">
        <v>186</v>
      </c>
    </row>
    <row r="533" spans="1:8" x14ac:dyDescent="0.25">
      <c r="A533">
        <v>109</v>
      </c>
      <c r="B533" t="s">
        <v>191</v>
      </c>
      <c r="C533" cm="1">
        <f t="array" ref="C533">_xlfn.XLOOKUP(Logistics_Orders[[#This Row],[Logistics_ID]],Logistics_Catalog[[#All],[Logistics_ID]],Logistics_Catalog[[#All],[Base_Quantity]],0,0)</f>
        <v>5</v>
      </c>
      <c r="D533" cm="1">
        <f t="array" ref="D533">IF(Logistics_Orders[[#This Row],[Item]]="Chairs &amp; Tables",CEILING(_xlfn.XLOOKUP(Logistics_Orders[[#This Row],[Event_No]],Event_Master[[#All],[Event_No]],Event_Master[[#All],[Guest_Count]],,0)/Logistics_Orders[[#This Row],[Base_Quantity]],1),1)</f>
        <v>1</v>
      </c>
      <c r="E533" cm="1">
        <f t="array" ref="E533">Logistics_Orders[[#This Row],[Quantity_Ordered]]*_xlfn.XLOOKUP(Logistics_Orders[[#This Row],[Logistics_ID]],Logistics_Catalog[[#All],[Logistics_ID]],Logistics_Catalog[[#All],[Cost]],0,0)</f>
        <v>3000</v>
      </c>
      <c r="F533" cm="1">
        <f t="array" ref="F533">Logistics_Orders[[#This Row],[Quantity_Ordered]]*_xlfn.XLOOKUP(Logistics_Orders[[#This Row],[Logistics_ID]],Logistics_Catalog[[#All],[Logistics_ID]],Logistics_Catalog[[#All],[Client_Charge]],0,0)</f>
        <v>3600</v>
      </c>
      <c r="G533">
        <f>Logistics_Orders[[#This Row],[Client_Charge]]-Logistics_Orders[[#This Row],[Cost]]</f>
        <v>600</v>
      </c>
      <c r="H533" t="s">
        <v>194</v>
      </c>
    </row>
    <row r="534" spans="1:8" x14ac:dyDescent="0.25">
      <c r="A534">
        <v>109</v>
      </c>
      <c r="B534" t="s">
        <v>195</v>
      </c>
      <c r="C534" cm="1">
        <f t="array" ref="C534">_xlfn.XLOOKUP(Logistics_Orders[[#This Row],[Logistics_ID]],Logistics_Catalog[[#All],[Logistics_ID]],Logistics_Catalog[[#All],[Base_Quantity]],0,0)</f>
        <v>10</v>
      </c>
      <c r="D534" cm="1">
        <f t="array" ref="D534">IF(Logistics_Orders[[#This Row],[Item]]="Chairs &amp; Tables",CEILING(_xlfn.XLOOKUP(Logistics_Orders[[#This Row],[Event_No]],Event_Master[[#All],[Event_No]],Event_Master[[#All],[Guest_Count]],,0)/Logistics_Orders[[#This Row],[Base_Quantity]],1),1)</f>
        <v>1</v>
      </c>
      <c r="E534" cm="1">
        <f t="array" ref="E534">Logistics_Orders[[#This Row],[Quantity_Ordered]]*_xlfn.XLOOKUP(Logistics_Orders[[#This Row],[Logistics_ID]],Logistics_Catalog[[#All],[Logistics_ID]],Logistics_Catalog[[#All],[Cost]],0,0)</f>
        <v>6000</v>
      </c>
      <c r="F534" cm="1">
        <f t="array" ref="F534">Logistics_Orders[[#This Row],[Quantity_Ordered]]*_xlfn.XLOOKUP(Logistics_Orders[[#This Row],[Logistics_ID]],Logistics_Catalog[[#All],[Logistics_ID]],Logistics_Catalog[[#All],[Client_Charge]],0,0)</f>
        <v>7200</v>
      </c>
      <c r="G534">
        <f>Logistics_Orders[[#This Row],[Client_Charge]]-Logistics_Orders[[#This Row],[Cost]]</f>
        <v>1200</v>
      </c>
      <c r="H534" t="s">
        <v>198</v>
      </c>
    </row>
    <row r="535" spans="1:8" x14ac:dyDescent="0.25">
      <c r="A535">
        <v>109</v>
      </c>
      <c r="B535" t="s">
        <v>187</v>
      </c>
      <c r="C535" cm="1">
        <f t="array" ref="C535">_xlfn.XLOOKUP(Logistics_Orders[[#This Row],[Logistics_ID]],Logistics_Catalog[[#All],[Logistics_ID]],Logistics_Catalog[[#All],[Base_Quantity]],0,0)</f>
        <v>1</v>
      </c>
      <c r="D535" cm="1">
        <f t="array" ref="D535">IF(Logistics_Orders[[#This Row],[Item]]="Chairs &amp; Tables",CEILING(_xlfn.XLOOKUP(Logistics_Orders[[#This Row],[Event_No]],Event_Master[[#All],[Event_No]],Event_Master[[#All],[Guest_Count]],,0)/Logistics_Orders[[#This Row],[Base_Quantity]],1),1)</f>
        <v>1</v>
      </c>
      <c r="E535" cm="1">
        <f t="array" ref="E535">Logistics_Orders[[#This Row],[Quantity_Ordered]]*_xlfn.XLOOKUP(Logistics_Orders[[#This Row],[Logistics_ID]],Logistics_Catalog[[#All],[Logistics_ID]],Logistics_Catalog[[#All],[Cost]],0,0)</f>
        <v>8000</v>
      </c>
      <c r="F535" cm="1">
        <f t="array" ref="F535">Logistics_Orders[[#This Row],[Quantity_Ordered]]*_xlfn.XLOOKUP(Logistics_Orders[[#This Row],[Logistics_ID]],Logistics_Catalog[[#All],[Logistics_ID]],Logistics_Catalog[[#All],[Client_Charge]],0,0)</f>
        <v>9500</v>
      </c>
      <c r="G535">
        <f>Logistics_Orders[[#This Row],[Client_Charge]]-Logistics_Orders[[#This Row],[Cost]]</f>
        <v>1500</v>
      </c>
      <c r="H535" t="s">
        <v>190</v>
      </c>
    </row>
    <row r="536" spans="1:8" x14ac:dyDescent="0.25">
      <c r="A536">
        <v>110</v>
      </c>
      <c r="B536" t="s">
        <v>177</v>
      </c>
      <c r="C536" cm="1">
        <f t="array" ref="C536">_xlfn.XLOOKUP(Logistics_Orders[[#This Row],[Logistics_ID]],Logistics_Catalog[[#All],[Logistics_ID]],Logistics_Catalog[[#All],[Base_Quantity]],0,0)</f>
        <v>300</v>
      </c>
      <c r="D536" cm="1">
        <f t="array" ref="D536">IF(Logistics_Orders[[#This Row],[Item]]="Chairs &amp; Tables",CEILING(_xlfn.XLOOKUP(Logistics_Orders[[#This Row],[Event_No]],Event_Master[[#All],[Event_No]],Event_Master[[#All],[Guest_Count]],,0)/Logistics_Orders[[#This Row],[Base_Quantity]],1),1)</f>
        <v>3</v>
      </c>
      <c r="E536" cm="1">
        <f t="array" ref="E536">Logistics_Orders[[#This Row],[Quantity_Ordered]]*_xlfn.XLOOKUP(Logistics_Orders[[#This Row],[Logistics_ID]],Logistics_Catalog[[#All],[Logistics_ID]],Logistics_Catalog[[#All],[Cost]],0,0)</f>
        <v>45000</v>
      </c>
      <c r="F536" cm="1">
        <f t="array" ref="F536">Logistics_Orders[[#This Row],[Quantity_Ordered]]*_xlfn.XLOOKUP(Logistics_Orders[[#This Row],[Logistics_ID]],Logistics_Catalog[[#All],[Logistics_ID]],Logistics_Catalog[[#All],[Client_Charge]],0,0)</f>
        <v>54000</v>
      </c>
      <c r="G536">
        <f>Logistics_Orders[[#This Row],[Client_Charge]]-Logistics_Orders[[#This Row],[Cost]]</f>
        <v>9000</v>
      </c>
      <c r="H536" t="s">
        <v>181</v>
      </c>
    </row>
    <row r="537" spans="1:8" x14ac:dyDescent="0.25">
      <c r="A537">
        <v>110</v>
      </c>
      <c r="B537" t="s">
        <v>182</v>
      </c>
      <c r="C537" cm="1">
        <f t="array" ref="C537">_xlfn.XLOOKUP(Logistics_Orders[[#This Row],[Logistics_ID]],Logistics_Catalog[[#All],[Logistics_ID]],Logistics_Catalog[[#All],[Base_Quantity]],0,0)</f>
        <v>1</v>
      </c>
      <c r="D537" cm="1">
        <f t="array" ref="D537">IF(Logistics_Orders[[#This Row],[Item]]="Chairs &amp; Tables",CEILING(_xlfn.XLOOKUP(Logistics_Orders[[#This Row],[Event_No]],Event_Master[[#All],[Event_No]],Event_Master[[#All],[Guest_Count]],,0)/Logistics_Orders[[#This Row],[Base_Quantity]],1),1)</f>
        <v>1</v>
      </c>
      <c r="E537" cm="1">
        <f t="array" ref="E537">Logistics_Orders[[#This Row],[Quantity_Ordered]]*_xlfn.XLOOKUP(Logistics_Orders[[#This Row],[Logistics_ID]],Logistics_Catalog[[#All],[Logistics_ID]],Logistics_Catalog[[#All],[Cost]],0,0)</f>
        <v>12000</v>
      </c>
      <c r="F537" cm="1">
        <f t="array" ref="F537">Logistics_Orders[[#This Row],[Quantity_Ordered]]*_xlfn.XLOOKUP(Logistics_Orders[[#This Row],[Logistics_ID]],Logistics_Catalog[[#All],[Logistics_ID]],Logistics_Catalog[[#All],[Client_Charge]],0,0)</f>
        <v>14500</v>
      </c>
      <c r="G537">
        <f>Logistics_Orders[[#This Row],[Client_Charge]]-Logistics_Orders[[#This Row],[Cost]]</f>
        <v>2500</v>
      </c>
      <c r="H537" t="s">
        <v>186</v>
      </c>
    </row>
    <row r="538" spans="1:8" x14ac:dyDescent="0.25">
      <c r="A538">
        <v>110</v>
      </c>
      <c r="B538" t="s">
        <v>191</v>
      </c>
      <c r="C538" cm="1">
        <f t="array" ref="C538">_xlfn.XLOOKUP(Logistics_Orders[[#This Row],[Logistics_ID]],Logistics_Catalog[[#All],[Logistics_ID]],Logistics_Catalog[[#All],[Base_Quantity]],0,0)</f>
        <v>5</v>
      </c>
      <c r="D538" cm="1">
        <f t="array" ref="D538">IF(Logistics_Orders[[#This Row],[Item]]="Chairs &amp; Tables",CEILING(_xlfn.XLOOKUP(Logistics_Orders[[#This Row],[Event_No]],Event_Master[[#All],[Event_No]],Event_Master[[#All],[Guest_Count]],,0)/Logistics_Orders[[#This Row],[Base_Quantity]],1),1)</f>
        <v>1</v>
      </c>
      <c r="E538" cm="1">
        <f t="array" ref="E538">Logistics_Orders[[#This Row],[Quantity_Ordered]]*_xlfn.XLOOKUP(Logistics_Orders[[#This Row],[Logistics_ID]],Logistics_Catalog[[#All],[Logistics_ID]],Logistics_Catalog[[#All],[Cost]],0,0)</f>
        <v>3000</v>
      </c>
      <c r="F538" cm="1">
        <f t="array" ref="F538">Logistics_Orders[[#This Row],[Quantity_Ordered]]*_xlfn.XLOOKUP(Logistics_Orders[[#This Row],[Logistics_ID]],Logistics_Catalog[[#All],[Logistics_ID]],Logistics_Catalog[[#All],[Client_Charge]],0,0)</f>
        <v>3600</v>
      </c>
      <c r="G538">
        <f>Logistics_Orders[[#This Row],[Client_Charge]]-Logistics_Orders[[#This Row],[Cost]]</f>
        <v>600</v>
      </c>
      <c r="H538" t="s">
        <v>194</v>
      </c>
    </row>
    <row r="539" spans="1:8" x14ac:dyDescent="0.25">
      <c r="A539">
        <v>110</v>
      </c>
      <c r="B539" t="s">
        <v>195</v>
      </c>
      <c r="C539" cm="1">
        <f t="array" ref="C539">_xlfn.XLOOKUP(Logistics_Orders[[#This Row],[Logistics_ID]],Logistics_Catalog[[#All],[Logistics_ID]],Logistics_Catalog[[#All],[Base_Quantity]],0,0)</f>
        <v>10</v>
      </c>
      <c r="D539" cm="1">
        <f t="array" ref="D539">IF(Logistics_Orders[[#This Row],[Item]]="Chairs &amp; Tables",CEILING(_xlfn.XLOOKUP(Logistics_Orders[[#This Row],[Event_No]],Event_Master[[#All],[Event_No]],Event_Master[[#All],[Guest_Count]],,0)/Logistics_Orders[[#This Row],[Base_Quantity]],1),1)</f>
        <v>1</v>
      </c>
      <c r="E539" cm="1">
        <f t="array" ref="E539">Logistics_Orders[[#This Row],[Quantity_Ordered]]*_xlfn.XLOOKUP(Logistics_Orders[[#This Row],[Logistics_ID]],Logistics_Catalog[[#All],[Logistics_ID]],Logistics_Catalog[[#All],[Cost]],0,0)</f>
        <v>6000</v>
      </c>
      <c r="F539" cm="1">
        <f t="array" ref="F539">Logistics_Orders[[#This Row],[Quantity_Ordered]]*_xlfn.XLOOKUP(Logistics_Orders[[#This Row],[Logistics_ID]],Logistics_Catalog[[#All],[Logistics_ID]],Logistics_Catalog[[#All],[Client_Charge]],0,0)</f>
        <v>7200</v>
      </c>
      <c r="G539">
        <f>Logistics_Orders[[#This Row],[Client_Charge]]-Logistics_Orders[[#This Row],[Cost]]</f>
        <v>1200</v>
      </c>
      <c r="H539" t="s">
        <v>198</v>
      </c>
    </row>
    <row r="540" spans="1:8" x14ac:dyDescent="0.25">
      <c r="A540">
        <v>110</v>
      </c>
      <c r="B540" t="s">
        <v>187</v>
      </c>
      <c r="C540" cm="1">
        <f t="array" ref="C540">_xlfn.XLOOKUP(Logistics_Orders[[#This Row],[Logistics_ID]],Logistics_Catalog[[#All],[Logistics_ID]],Logistics_Catalog[[#All],[Base_Quantity]],0,0)</f>
        <v>1</v>
      </c>
      <c r="D540" cm="1">
        <f t="array" ref="D540">IF(Logistics_Orders[[#This Row],[Item]]="Chairs &amp; Tables",CEILING(_xlfn.XLOOKUP(Logistics_Orders[[#This Row],[Event_No]],Event_Master[[#All],[Event_No]],Event_Master[[#All],[Guest_Count]],,0)/Logistics_Orders[[#This Row],[Base_Quantity]],1),1)</f>
        <v>1</v>
      </c>
      <c r="E540" cm="1">
        <f t="array" ref="E540">Logistics_Orders[[#This Row],[Quantity_Ordered]]*_xlfn.XLOOKUP(Logistics_Orders[[#This Row],[Logistics_ID]],Logistics_Catalog[[#All],[Logistics_ID]],Logistics_Catalog[[#All],[Cost]],0,0)</f>
        <v>8000</v>
      </c>
      <c r="F540" cm="1">
        <f t="array" ref="F540">Logistics_Orders[[#This Row],[Quantity_Ordered]]*_xlfn.XLOOKUP(Logistics_Orders[[#This Row],[Logistics_ID]],Logistics_Catalog[[#All],[Logistics_ID]],Logistics_Catalog[[#All],[Client_Charge]],0,0)</f>
        <v>9500</v>
      </c>
      <c r="G540">
        <f>Logistics_Orders[[#This Row],[Client_Charge]]-Logistics_Orders[[#This Row],[Cost]]</f>
        <v>1500</v>
      </c>
      <c r="H540" t="s">
        <v>190</v>
      </c>
    </row>
    <row r="541" spans="1:8" x14ac:dyDescent="0.25">
      <c r="A541">
        <v>111</v>
      </c>
      <c r="B541" t="s">
        <v>177</v>
      </c>
      <c r="C541" cm="1">
        <f t="array" ref="C541">_xlfn.XLOOKUP(Logistics_Orders[[#This Row],[Logistics_ID]],Logistics_Catalog[[#All],[Logistics_ID]],Logistics_Catalog[[#All],[Base_Quantity]],0,0)</f>
        <v>300</v>
      </c>
      <c r="D541" cm="1">
        <f t="array" ref="D541">IF(Logistics_Orders[[#This Row],[Item]]="Chairs &amp; Tables",CEILING(_xlfn.XLOOKUP(Logistics_Orders[[#This Row],[Event_No]],Event_Master[[#All],[Event_No]],Event_Master[[#All],[Guest_Count]],,0)/Logistics_Orders[[#This Row],[Base_Quantity]],1),1)</f>
        <v>1</v>
      </c>
      <c r="E541" cm="1">
        <f t="array" ref="E541">Logistics_Orders[[#This Row],[Quantity_Ordered]]*_xlfn.XLOOKUP(Logistics_Orders[[#This Row],[Logistics_ID]],Logistics_Catalog[[#All],[Logistics_ID]],Logistics_Catalog[[#All],[Cost]],0,0)</f>
        <v>15000</v>
      </c>
      <c r="F541" cm="1">
        <f t="array" ref="F541">Logistics_Orders[[#This Row],[Quantity_Ordered]]*_xlfn.XLOOKUP(Logistics_Orders[[#This Row],[Logistics_ID]],Logistics_Catalog[[#All],[Logistics_ID]],Logistics_Catalog[[#All],[Client_Charge]],0,0)</f>
        <v>18000</v>
      </c>
      <c r="G541">
        <f>Logistics_Orders[[#This Row],[Client_Charge]]-Logistics_Orders[[#This Row],[Cost]]</f>
        <v>3000</v>
      </c>
      <c r="H541" t="s">
        <v>181</v>
      </c>
    </row>
    <row r="542" spans="1:8" x14ac:dyDescent="0.25">
      <c r="A542">
        <v>111</v>
      </c>
      <c r="B542" t="s">
        <v>182</v>
      </c>
      <c r="C542" cm="1">
        <f t="array" ref="C542">_xlfn.XLOOKUP(Logistics_Orders[[#This Row],[Logistics_ID]],Logistics_Catalog[[#All],[Logistics_ID]],Logistics_Catalog[[#All],[Base_Quantity]],0,0)</f>
        <v>1</v>
      </c>
      <c r="D542" cm="1">
        <f t="array" ref="D542">IF(Logistics_Orders[[#This Row],[Item]]="Chairs &amp; Tables",CEILING(_xlfn.XLOOKUP(Logistics_Orders[[#This Row],[Event_No]],Event_Master[[#All],[Event_No]],Event_Master[[#All],[Guest_Count]],,0)/Logistics_Orders[[#This Row],[Base_Quantity]],1),1)</f>
        <v>1</v>
      </c>
      <c r="E542" cm="1">
        <f t="array" ref="E542">Logistics_Orders[[#This Row],[Quantity_Ordered]]*_xlfn.XLOOKUP(Logistics_Orders[[#This Row],[Logistics_ID]],Logistics_Catalog[[#All],[Logistics_ID]],Logistics_Catalog[[#All],[Cost]],0,0)</f>
        <v>12000</v>
      </c>
      <c r="F542" cm="1">
        <f t="array" ref="F542">Logistics_Orders[[#This Row],[Quantity_Ordered]]*_xlfn.XLOOKUP(Logistics_Orders[[#This Row],[Logistics_ID]],Logistics_Catalog[[#All],[Logistics_ID]],Logistics_Catalog[[#All],[Client_Charge]],0,0)</f>
        <v>14500</v>
      </c>
      <c r="G542">
        <f>Logistics_Orders[[#This Row],[Client_Charge]]-Logistics_Orders[[#This Row],[Cost]]</f>
        <v>2500</v>
      </c>
      <c r="H542" t="s">
        <v>186</v>
      </c>
    </row>
    <row r="543" spans="1:8" x14ac:dyDescent="0.25">
      <c r="A543">
        <v>111</v>
      </c>
      <c r="B543" t="s">
        <v>191</v>
      </c>
      <c r="C543" cm="1">
        <f t="array" ref="C543">_xlfn.XLOOKUP(Logistics_Orders[[#This Row],[Logistics_ID]],Logistics_Catalog[[#All],[Logistics_ID]],Logistics_Catalog[[#All],[Base_Quantity]],0,0)</f>
        <v>5</v>
      </c>
      <c r="D543" cm="1">
        <f t="array" ref="D543">IF(Logistics_Orders[[#This Row],[Item]]="Chairs &amp; Tables",CEILING(_xlfn.XLOOKUP(Logistics_Orders[[#This Row],[Event_No]],Event_Master[[#All],[Event_No]],Event_Master[[#All],[Guest_Count]],,0)/Logistics_Orders[[#This Row],[Base_Quantity]],1),1)</f>
        <v>1</v>
      </c>
      <c r="E543" cm="1">
        <f t="array" ref="E543">Logistics_Orders[[#This Row],[Quantity_Ordered]]*_xlfn.XLOOKUP(Logistics_Orders[[#This Row],[Logistics_ID]],Logistics_Catalog[[#All],[Logistics_ID]],Logistics_Catalog[[#All],[Cost]],0,0)</f>
        <v>3000</v>
      </c>
      <c r="F543" cm="1">
        <f t="array" ref="F543">Logistics_Orders[[#This Row],[Quantity_Ordered]]*_xlfn.XLOOKUP(Logistics_Orders[[#This Row],[Logistics_ID]],Logistics_Catalog[[#All],[Logistics_ID]],Logistics_Catalog[[#All],[Client_Charge]],0,0)</f>
        <v>3600</v>
      </c>
      <c r="G543">
        <f>Logistics_Orders[[#This Row],[Client_Charge]]-Logistics_Orders[[#This Row],[Cost]]</f>
        <v>600</v>
      </c>
      <c r="H543" t="s">
        <v>194</v>
      </c>
    </row>
    <row r="544" spans="1:8" x14ac:dyDescent="0.25">
      <c r="A544">
        <v>111</v>
      </c>
      <c r="B544" t="s">
        <v>195</v>
      </c>
      <c r="C544" cm="1">
        <f t="array" ref="C544">_xlfn.XLOOKUP(Logistics_Orders[[#This Row],[Logistics_ID]],Logistics_Catalog[[#All],[Logistics_ID]],Logistics_Catalog[[#All],[Base_Quantity]],0,0)</f>
        <v>10</v>
      </c>
      <c r="D544" cm="1">
        <f t="array" ref="D544">IF(Logistics_Orders[[#This Row],[Item]]="Chairs &amp; Tables",CEILING(_xlfn.XLOOKUP(Logistics_Orders[[#This Row],[Event_No]],Event_Master[[#All],[Event_No]],Event_Master[[#All],[Guest_Count]],,0)/Logistics_Orders[[#This Row],[Base_Quantity]],1),1)</f>
        <v>1</v>
      </c>
      <c r="E544" cm="1">
        <f t="array" ref="E544">Logistics_Orders[[#This Row],[Quantity_Ordered]]*_xlfn.XLOOKUP(Logistics_Orders[[#This Row],[Logistics_ID]],Logistics_Catalog[[#All],[Logistics_ID]],Logistics_Catalog[[#All],[Cost]],0,0)</f>
        <v>6000</v>
      </c>
      <c r="F544" cm="1">
        <f t="array" ref="F544">Logistics_Orders[[#This Row],[Quantity_Ordered]]*_xlfn.XLOOKUP(Logistics_Orders[[#This Row],[Logistics_ID]],Logistics_Catalog[[#All],[Logistics_ID]],Logistics_Catalog[[#All],[Client_Charge]],0,0)</f>
        <v>7200</v>
      </c>
      <c r="G544">
        <f>Logistics_Orders[[#This Row],[Client_Charge]]-Logistics_Orders[[#This Row],[Cost]]</f>
        <v>1200</v>
      </c>
      <c r="H544" t="s">
        <v>198</v>
      </c>
    </row>
    <row r="545" spans="1:8" x14ac:dyDescent="0.25">
      <c r="A545">
        <v>111</v>
      </c>
      <c r="B545" t="s">
        <v>187</v>
      </c>
      <c r="C545" cm="1">
        <f t="array" ref="C545">_xlfn.XLOOKUP(Logistics_Orders[[#This Row],[Logistics_ID]],Logistics_Catalog[[#All],[Logistics_ID]],Logistics_Catalog[[#All],[Base_Quantity]],0,0)</f>
        <v>1</v>
      </c>
      <c r="D545" cm="1">
        <f t="array" ref="D545">IF(Logistics_Orders[[#This Row],[Item]]="Chairs &amp; Tables",CEILING(_xlfn.XLOOKUP(Logistics_Orders[[#This Row],[Event_No]],Event_Master[[#All],[Event_No]],Event_Master[[#All],[Guest_Count]],,0)/Logistics_Orders[[#This Row],[Base_Quantity]],1),1)</f>
        <v>1</v>
      </c>
      <c r="E545" cm="1">
        <f t="array" ref="E545">Logistics_Orders[[#This Row],[Quantity_Ordered]]*_xlfn.XLOOKUP(Logistics_Orders[[#This Row],[Logistics_ID]],Logistics_Catalog[[#All],[Logistics_ID]],Logistics_Catalog[[#All],[Cost]],0,0)</f>
        <v>8000</v>
      </c>
      <c r="F545" cm="1">
        <f t="array" ref="F545">Logistics_Orders[[#This Row],[Quantity_Ordered]]*_xlfn.XLOOKUP(Logistics_Orders[[#This Row],[Logistics_ID]],Logistics_Catalog[[#All],[Logistics_ID]],Logistics_Catalog[[#All],[Client_Charge]],0,0)</f>
        <v>9500</v>
      </c>
      <c r="G545">
        <f>Logistics_Orders[[#This Row],[Client_Charge]]-Logistics_Orders[[#This Row],[Cost]]</f>
        <v>1500</v>
      </c>
      <c r="H545" t="s">
        <v>190</v>
      </c>
    </row>
    <row r="546" spans="1:8" x14ac:dyDescent="0.25">
      <c r="A546">
        <v>112</v>
      </c>
      <c r="B546" t="s">
        <v>177</v>
      </c>
      <c r="C546" cm="1">
        <f t="array" ref="C546">_xlfn.XLOOKUP(Logistics_Orders[[#This Row],[Logistics_ID]],Logistics_Catalog[[#All],[Logistics_ID]],Logistics_Catalog[[#All],[Base_Quantity]],0,0)</f>
        <v>300</v>
      </c>
      <c r="D546" cm="1">
        <f t="array" ref="D546">IF(Logistics_Orders[[#This Row],[Item]]="Chairs &amp; Tables",CEILING(_xlfn.XLOOKUP(Logistics_Orders[[#This Row],[Event_No]],Event_Master[[#All],[Event_No]],Event_Master[[#All],[Guest_Count]],,0)/Logistics_Orders[[#This Row],[Base_Quantity]],1),1)</f>
        <v>1</v>
      </c>
      <c r="E546" cm="1">
        <f t="array" ref="E546">Logistics_Orders[[#This Row],[Quantity_Ordered]]*_xlfn.XLOOKUP(Logistics_Orders[[#This Row],[Logistics_ID]],Logistics_Catalog[[#All],[Logistics_ID]],Logistics_Catalog[[#All],[Cost]],0,0)</f>
        <v>15000</v>
      </c>
      <c r="F546" cm="1">
        <f t="array" ref="F546">Logistics_Orders[[#This Row],[Quantity_Ordered]]*_xlfn.XLOOKUP(Logistics_Orders[[#This Row],[Logistics_ID]],Logistics_Catalog[[#All],[Logistics_ID]],Logistics_Catalog[[#All],[Client_Charge]],0,0)</f>
        <v>18000</v>
      </c>
      <c r="G546">
        <f>Logistics_Orders[[#This Row],[Client_Charge]]-Logistics_Orders[[#This Row],[Cost]]</f>
        <v>3000</v>
      </c>
      <c r="H546" t="s">
        <v>181</v>
      </c>
    </row>
    <row r="547" spans="1:8" x14ac:dyDescent="0.25">
      <c r="A547">
        <v>112</v>
      </c>
      <c r="B547" t="s">
        <v>182</v>
      </c>
      <c r="C547" cm="1">
        <f t="array" ref="C547">_xlfn.XLOOKUP(Logistics_Orders[[#This Row],[Logistics_ID]],Logistics_Catalog[[#All],[Logistics_ID]],Logistics_Catalog[[#All],[Base_Quantity]],0,0)</f>
        <v>1</v>
      </c>
      <c r="D547" cm="1">
        <f t="array" ref="D547">IF(Logistics_Orders[[#This Row],[Item]]="Chairs &amp; Tables",CEILING(_xlfn.XLOOKUP(Logistics_Orders[[#This Row],[Event_No]],Event_Master[[#All],[Event_No]],Event_Master[[#All],[Guest_Count]],,0)/Logistics_Orders[[#This Row],[Base_Quantity]],1),1)</f>
        <v>1</v>
      </c>
      <c r="E547" cm="1">
        <f t="array" ref="E547">Logistics_Orders[[#This Row],[Quantity_Ordered]]*_xlfn.XLOOKUP(Logistics_Orders[[#This Row],[Logistics_ID]],Logistics_Catalog[[#All],[Logistics_ID]],Logistics_Catalog[[#All],[Cost]],0,0)</f>
        <v>12000</v>
      </c>
      <c r="F547" cm="1">
        <f t="array" ref="F547">Logistics_Orders[[#This Row],[Quantity_Ordered]]*_xlfn.XLOOKUP(Logistics_Orders[[#This Row],[Logistics_ID]],Logistics_Catalog[[#All],[Logistics_ID]],Logistics_Catalog[[#All],[Client_Charge]],0,0)</f>
        <v>14500</v>
      </c>
      <c r="G547">
        <f>Logistics_Orders[[#This Row],[Client_Charge]]-Logistics_Orders[[#This Row],[Cost]]</f>
        <v>2500</v>
      </c>
      <c r="H547" t="s">
        <v>186</v>
      </c>
    </row>
    <row r="548" spans="1:8" x14ac:dyDescent="0.25">
      <c r="A548">
        <v>112</v>
      </c>
      <c r="B548" t="s">
        <v>191</v>
      </c>
      <c r="C548" cm="1">
        <f t="array" ref="C548">_xlfn.XLOOKUP(Logistics_Orders[[#This Row],[Logistics_ID]],Logistics_Catalog[[#All],[Logistics_ID]],Logistics_Catalog[[#All],[Base_Quantity]],0,0)</f>
        <v>5</v>
      </c>
      <c r="D548" cm="1">
        <f t="array" ref="D548">IF(Logistics_Orders[[#This Row],[Item]]="Chairs &amp; Tables",CEILING(_xlfn.XLOOKUP(Logistics_Orders[[#This Row],[Event_No]],Event_Master[[#All],[Event_No]],Event_Master[[#All],[Guest_Count]],,0)/Logistics_Orders[[#This Row],[Base_Quantity]],1),1)</f>
        <v>1</v>
      </c>
      <c r="E548" cm="1">
        <f t="array" ref="E548">Logistics_Orders[[#This Row],[Quantity_Ordered]]*_xlfn.XLOOKUP(Logistics_Orders[[#This Row],[Logistics_ID]],Logistics_Catalog[[#All],[Logistics_ID]],Logistics_Catalog[[#All],[Cost]],0,0)</f>
        <v>3000</v>
      </c>
      <c r="F548" cm="1">
        <f t="array" ref="F548">Logistics_Orders[[#This Row],[Quantity_Ordered]]*_xlfn.XLOOKUP(Logistics_Orders[[#This Row],[Logistics_ID]],Logistics_Catalog[[#All],[Logistics_ID]],Logistics_Catalog[[#All],[Client_Charge]],0,0)</f>
        <v>3600</v>
      </c>
      <c r="G548">
        <f>Logistics_Orders[[#This Row],[Client_Charge]]-Logistics_Orders[[#This Row],[Cost]]</f>
        <v>600</v>
      </c>
      <c r="H548" t="s">
        <v>194</v>
      </c>
    </row>
    <row r="549" spans="1:8" x14ac:dyDescent="0.25">
      <c r="A549">
        <v>112</v>
      </c>
      <c r="B549" t="s">
        <v>195</v>
      </c>
      <c r="C549" cm="1">
        <f t="array" ref="C549">_xlfn.XLOOKUP(Logistics_Orders[[#This Row],[Logistics_ID]],Logistics_Catalog[[#All],[Logistics_ID]],Logistics_Catalog[[#All],[Base_Quantity]],0,0)</f>
        <v>10</v>
      </c>
      <c r="D549" cm="1">
        <f t="array" ref="D549">IF(Logistics_Orders[[#This Row],[Item]]="Chairs &amp; Tables",CEILING(_xlfn.XLOOKUP(Logistics_Orders[[#This Row],[Event_No]],Event_Master[[#All],[Event_No]],Event_Master[[#All],[Guest_Count]],,0)/Logistics_Orders[[#This Row],[Base_Quantity]],1),1)</f>
        <v>1</v>
      </c>
      <c r="E549" cm="1">
        <f t="array" ref="E549">Logistics_Orders[[#This Row],[Quantity_Ordered]]*_xlfn.XLOOKUP(Logistics_Orders[[#This Row],[Logistics_ID]],Logistics_Catalog[[#All],[Logistics_ID]],Logistics_Catalog[[#All],[Cost]],0,0)</f>
        <v>6000</v>
      </c>
      <c r="F549" cm="1">
        <f t="array" ref="F549">Logistics_Orders[[#This Row],[Quantity_Ordered]]*_xlfn.XLOOKUP(Logistics_Orders[[#This Row],[Logistics_ID]],Logistics_Catalog[[#All],[Logistics_ID]],Logistics_Catalog[[#All],[Client_Charge]],0,0)</f>
        <v>7200</v>
      </c>
      <c r="G549">
        <f>Logistics_Orders[[#This Row],[Client_Charge]]-Logistics_Orders[[#This Row],[Cost]]</f>
        <v>1200</v>
      </c>
      <c r="H549" t="s">
        <v>198</v>
      </c>
    </row>
    <row r="550" spans="1:8" x14ac:dyDescent="0.25">
      <c r="A550">
        <v>112</v>
      </c>
      <c r="B550" t="s">
        <v>187</v>
      </c>
      <c r="C550" cm="1">
        <f t="array" ref="C550">_xlfn.XLOOKUP(Logistics_Orders[[#This Row],[Logistics_ID]],Logistics_Catalog[[#All],[Logistics_ID]],Logistics_Catalog[[#All],[Base_Quantity]],0,0)</f>
        <v>1</v>
      </c>
      <c r="D550" cm="1">
        <f t="array" ref="D550">IF(Logistics_Orders[[#This Row],[Item]]="Chairs &amp; Tables",CEILING(_xlfn.XLOOKUP(Logistics_Orders[[#This Row],[Event_No]],Event_Master[[#All],[Event_No]],Event_Master[[#All],[Guest_Count]],,0)/Logistics_Orders[[#This Row],[Base_Quantity]],1),1)</f>
        <v>1</v>
      </c>
      <c r="E550" cm="1">
        <f t="array" ref="E550">Logistics_Orders[[#This Row],[Quantity_Ordered]]*_xlfn.XLOOKUP(Logistics_Orders[[#This Row],[Logistics_ID]],Logistics_Catalog[[#All],[Logistics_ID]],Logistics_Catalog[[#All],[Cost]],0,0)</f>
        <v>8000</v>
      </c>
      <c r="F550" cm="1">
        <f t="array" ref="F550">Logistics_Orders[[#This Row],[Quantity_Ordered]]*_xlfn.XLOOKUP(Logistics_Orders[[#This Row],[Logistics_ID]],Logistics_Catalog[[#All],[Logistics_ID]],Logistics_Catalog[[#All],[Client_Charge]],0,0)</f>
        <v>9500</v>
      </c>
      <c r="G550">
        <f>Logistics_Orders[[#This Row],[Client_Charge]]-Logistics_Orders[[#This Row],[Cost]]</f>
        <v>1500</v>
      </c>
      <c r="H550" t="s">
        <v>190</v>
      </c>
    </row>
    <row r="551" spans="1:8" x14ac:dyDescent="0.25">
      <c r="A551">
        <v>113</v>
      </c>
      <c r="B551" t="s">
        <v>177</v>
      </c>
      <c r="C551" cm="1">
        <f t="array" ref="C551">_xlfn.XLOOKUP(Logistics_Orders[[#This Row],[Logistics_ID]],Logistics_Catalog[[#All],[Logistics_ID]],Logistics_Catalog[[#All],[Base_Quantity]],0,0)</f>
        <v>300</v>
      </c>
      <c r="D551" cm="1">
        <f t="array" ref="D551">IF(Logistics_Orders[[#This Row],[Item]]="Chairs &amp; Tables",CEILING(_xlfn.XLOOKUP(Logistics_Orders[[#This Row],[Event_No]],Event_Master[[#All],[Event_No]],Event_Master[[#All],[Guest_Count]],,0)/Logistics_Orders[[#This Row],[Base_Quantity]],1),1)</f>
        <v>3</v>
      </c>
      <c r="E551" cm="1">
        <f t="array" ref="E551">Logistics_Orders[[#This Row],[Quantity_Ordered]]*_xlfn.XLOOKUP(Logistics_Orders[[#This Row],[Logistics_ID]],Logistics_Catalog[[#All],[Logistics_ID]],Logistics_Catalog[[#All],[Cost]],0,0)</f>
        <v>45000</v>
      </c>
      <c r="F551" cm="1">
        <f t="array" ref="F551">Logistics_Orders[[#This Row],[Quantity_Ordered]]*_xlfn.XLOOKUP(Logistics_Orders[[#This Row],[Logistics_ID]],Logistics_Catalog[[#All],[Logistics_ID]],Logistics_Catalog[[#All],[Client_Charge]],0,0)</f>
        <v>54000</v>
      </c>
      <c r="G551">
        <f>Logistics_Orders[[#This Row],[Client_Charge]]-Logistics_Orders[[#This Row],[Cost]]</f>
        <v>9000</v>
      </c>
      <c r="H551" t="s">
        <v>181</v>
      </c>
    </row>
    <row r="552" spans="1:8" x14ac:dyDescent="0.25">
      <c r="A552">
        <v>113</v>
      </c>
      <c r="B552" t="s">
        <v>182</v>
      </c>
      <c r="C552" cm="1">
        <f t="array" ref="C552">_xlfn.XLOOKUP(Logistics_Orders[[#This Row],[Logistics_ID]],Logistics_Catalog[[#All],[Logistics_ID]],Logistics_Catalog[[#All],[Base_Quantity]],0,0)</f>
        <v>1</v>
      </c>
      <c r="D552" cm="1">
        <f t="array" ref="D552">IF(Logistics_Orders[[#This Row],[Item]]="Chairs &amp; Tables",CEILING(_xlfn.XLOOKUP(Logistics_Orders[[#This Row],[Event_No]],Event_Master[[#All],[Event_No]],Event_Master[[#All],[Guest_Count]],,0)/Logistics_Orders[[#This Row],[Base_Quantity]],1),1)</f>
        <v>1</v>
      </c>
      <c r="E552" cm="1">
        <f t="array" ref="E552">Logistics_Orders[[#This Row],[Quantity_Ordered]]*_xlfn.XLOOKUP(Logistics_Orders[[#This Row],[Logistics_ID]],Logistics_Catalog[[#All],[Logistics_ID]],Logistics_Catalog[[#All],[Cost]],0,0)</f>
        <v>12000</v>
      </c>
      <c r="F552" cm="1">
        <f t="array" ref="F552">Logistics_Orders[[#This Row],[Quantity_Ordered]]*_xlfn.XLOOKUP(Logistics_Orders[[#This Row],[Logistics_ID]],Logistics_Catalog[[#All],[Logistics_ID]],Logistics_Catalog[[#All],[Client_Charge]],0,0)</f>
        <v>14500</v>
      </c>
      <c r="G552">
        <f>Logistics_Orders[[#This Row],[Client_Charge]]-Logistics_Orders[[#This Row],[Cost]]</f>
        <v>2500</v>
      </c>
      <c r="H552" t="s">
        <v>186</v>
      </c>
    </row>
    <row r="553" spans="1:8" x14ac:dyDescent="0.25">
      <c r="A553">
        <v>113</v>
      </c>
      <c r="B553" t="s">
        <v>191</v>
      </c>
      <c r="C553" cm="1">
        <f t="array" ref="C553">_xlfn.XLOOKUP(Logistics_Orders[[#This Row],[Logistics_ID]],Logistics_Catalog[[#All],[Logistics_ID]],Logistics_Catalog[[#All],[Base_Quantity]],0,0)</f>
        <v>5</v>
      </c>
      <c r="D553" cm="1">
        <f t="array" ref="D553">IF(Logistics_Orders[[#This Row],[Item]]="Chairs &amp; Tables",CEILING(_xlfn.XLOOKUP(Logistics_Orders[[#This Row],[Event_No]],Event_Master[[#All],[Event_No]],Event_Master[[#All],[Guest_Count]],,0)/Logistics_Orders[[#This Row],[Base_Quantity]],1),1)</f>
        <v>1</v>
      </c>
      <c r="E553" cm="1">
        <f t="array" ref="E553">Logistics_Orders[[#This Row],[Quantity_Ordered]]*_xlfn.XLOOKUP(Logistics_Orders[[#This Row],[Logistics_ID]],Logistics_Catalog[[#All],[Logistics_ID]],Logistics_Catalog[[#All],[Cost]],0,0)</f>
        <v>3000</v>
      </c>
      <c r="F553" cm="1">
        <f t="array" ref="F553">Logistics_Orders[[#This Row],[Quantity_Ordered]]*_xlfn.XLOOKUP(Logistics_Orders[[#This Row],[Logistics_ID]],Logistics_Catalog[[#All],[Logistics_ID]],Logistics_Catalog[[#All],[Client_Charge]],0,0)</f>
        <v>3600</v>
      </c>
      <c r="G553">
        <f>Logistics_Orders[[#This Row],[Client_Charge]]-Logistics_Orders[[#This Row],[Cost]]</f>
        <v>600</v>
      </c>
      <c r="H553" t="s">
        <v>194</v>
      </c>
    </row>
    <row r="554" spans="1:8" x14ac:dyDescent="0.25">
      <c r="A554">
        <v>113</v>
      </c>
      <c r="B554" t="s">
        <v>195</v>
      </c>
      <c r="C554" cm="1">
        <f t="array" ref="C554">_xlfn.XLOOKUP(Logistics_Orders[[#This Row],[Logistics_ID]],Logistics_Catalog[[#All],[Logistics_ID]],Logistics_Catalog[[#All],[Base_Quantity]],0,0)</f>
        <v>10</v>
      </c>
      <c r="D554" cm="1">
        <f t="array" ref="D554">IF(Logistics_Orders[[#This Row],[Item]]="Chairs &amp; Tables",CEILING(_xlfn.XLOOKUP(Logistics_Orders[[#This Row],[Event_No]],Event_Master[[#All],[Event_No]],Event_Master[[#All],[Guest_Count]],,0)/Logistics_Orders[[#This Row],[Base_Quantity]],1),1)</f>
        <v>1</v>
      </c>
      <c r="E554" cm="1">
        <f t="array" ref="E554">Logistics_Orders[[#This Row],[Quantity_Ordered]]*_xlfn.XLOOKUP(Logistics_Orders[[#This Row],[Logistics_ID]],Logistics_Catalog[[#All],[Logistics_ID]],Logistics_Catalog[[#All],[Cost]],0,0)</f>
        <v>6000</v>
      </c>
      <c r="F554" cm="1">
        <f t="array" ref="F554">Logistics_Orders[[#This Row],[Quantity_Ordered]]*_xlfn.XLOOKUP(Logistics_Orders[[#This Row],[Logistics_ID]],Logistics_Catalog[[#All],[Logistics_ID]],Logistics_Catalog[[#All],[Client_Charge]],0,0)</f>
        <v>7200</v>
      </c>
      <c r="G554">
        <f>Logistics_Orders[[#This Row],[Client_Charge]]-Logistics_Orders[[#This Row],[Cost]]</f>
        <v>1200</v>
      </c>
      <c r="H554" t="s">
        <v>198</v>
      </c>
    </row>
    <row r="555" spans="1:8" x14ac:dyDescent="0.25">
      <c r="A555">
        <v>113</v>
      </c>
      <c r="B555" t="s">
        <v>187</v>
      </c>
      <c r="C555" cm="1">
        <f t="array" ref="C555">_xlfn.XLOOKUP(Logistics_Orders[[#This Row],[Logistics_ID]],Logistics_Catalog[[#All],[Logistics_ID]],Logistics_Catalog[[#All],[Base_Quantity]],0,0)</f>
        <v>1</v>
      </c>
      <c r="D555" cm="1">
        <f t="array" ref="D555">IF(Logistics_Orders[[#This Row],[Item]]="Chairs &amp; Tables",CEILING(_xlfn.XLOOKUP(Logistics_Orders[[#This Row],[Event_No]],Event_Master[[#All],[Event_No]],Event_Master[[#All],[Guest_Count]],,0)/Logistics_Orders[[#This Row],[Base_Quantity]],1),1)</f>
        <v>1</v>
      </c>
      <c r="E555" cm="1">
        <f t="array" ref="E555">Logistics_Orders[[#This Row],[Quantity_Ordered]]*_xlfn.XLOOKUP(Logistics_Orders[[#This Row],[Logistics_ID]],Logistics_Catalog[[#All],[Logistics_ID]],Logistics_Catalog[[#All],[Cost]],0,0)</f>
        <v>8000</v>
      </c>
      <c r="F555" cm="1">
        <f t="array" ref="F555">Logistics_Orders[[#This Row],[Quantity_Ordered]]*_xlfn.XLOOKUP(Logistics_Orders[[#This Row],[Logistics_ID]],Logistics_Catalog[[#All],[Logistics_ID]],Logistics_Catalog[[#All],[Client_Charge]],0,0)</f>
        <v>9500</v>
      </c>
      <c r="G555">
        <f>Logistics_Orders[[#This Row],[Client_Charge]]-Logistics_Orders[[#This Row],[Cost]]</f>
        <v>1500</v>
      </c>
      <c r="H555" t="s">
        <v>190</v>
      </c>
    </row>
    <row r="556" spans="1:8" x14ac:dyDescent="0.25">
      <c r="A556">
        <v>114</v>
      </c>
      <c r="B556" t="s">
        <v>177</v>
      </c>
      <c r="C556" cm="1">
        <f t="array" ref="C556">_xlfn.XLOOKUP(Logistics_Orders[[#This Row],[Logistics_ID]],Logistics_Catalog[[#All],[Logistics_ID]],Logistics_Catalog[[#All],[Base_Quantity]],0,0)</f>
        <v>300</v>
      </c>
      <c r="D556" cm="1">
        <f t="array" ref="D556">IF(Logistics_Orders[[#This Row],[Item]]="Chairs &amp; Tables",CEILING(_xlfn.XLOOKUP(Logistics_Orders[[#This Row],[Event_No]],Event_Master[[#All],[Event_No]],Event_Master[[#All],[Guest_Count]],,0)/Logistics_Orders[[#This Row],[Base_Quantity]],1),1)</f>
        <v>1</v>
      </c>
      <c r="E556" cm="1">
        <f t="array" ref="E556">Logistics_Orders[[#This Row],[Quantity_Ordered]]*_xlfn.XLOOKUP(Logistics_Orders[[#This Row],[Logistics_ID]],Logistics_Catalog[[#All],[Logistics_ID]],Logistics_Catalog[[#All],[Cost]],0,0)</f>
        <v>15000</v>
      </c>
      <c r="F556" cm="1">
        <f t="array" ref="F556">Logistics_Orders[[#This Row],[Quantity_Ordered]]*_xlfn.XLOOKUP(Logistics_Orders[[#This Row],[Logistics_ID]],Logistics_Catalog[[#All],[Logistics_ID]],Logistics_Catalog[[#All],[Client_Charge]],0,0)</f>
        <v>18000</v>
      </c>
      <c r="G556">
        <f>Logistics_Orders[[#This Row],[Client_Charge]]-Logistics_Orders[[#This Row],[Cost]]</f>
        <v>3000</v>
      </c>
      <c r="H556" t="s">
        <v>181</v>
      </c>
    </row>
    <row r="557" spans="1:8" x14ac:dyDescent="0.25">
      <c r="A557">
        <v>114</v>
      </c>
      <c r="B557" t="s">
        <v>182</v>
      </c>
      <c r="C557" cm="1">
        <f t="array" ref="C557">_xlfn.XLOOKUP(Logistics_Orders[[#This Row],[Logistics_ID]],Logistics_Catalog[[#All],[Logistics_ID]],Logistics_Catalog[[#All],[Base_Quantity]],0,0)</f>
        <v>1</v>
      </c>
      <c r="D557" cm="1">
        <f t="array" ref="D557">IF(Logistics_Orders[[#This Row],[Item]]="Chairs &amp; Tables",CEILING(_xlfn.XLOOKUP(Logistics_Orders[[#This Row],[Event_No]],Event_Master[[#All],[Event_No]],Event_Master[[#All],[Guest_Count]],,0)/Logistics_Orders[[#This Row],[Base_Quantity]],1),1)</f>
        <v>1</v>
      </c>
      <c r="E557" cm="1">
        <f t="array" ref="E557">Logistics_Orders[[#This Row],[Quantity_Ordered]]*_xlfn.XLOOKUP(Logistics_Orders[[#This Row],[Logistics_ID]],Logistics_Catalog[[#All],[Logistics_ID]],Logistics_Catalog[[#All],[Cost]],0,0)</f>
        <v>12000</v>
      </c>
      <c r="F557" cm="1">
        <f t="array" ref="F557">Logistics_Orders[[#This Row],[Quantity_Ordered]]*_xlfn.XLOOKUP(Logistics_Orders[[#This Row],[Logistics_ID]],Logistics_Catalog[[#All],[Logistics_ID]],Logistics_Catalog[[#All],[Client_Charge]],0,0)</f>
        <v>14500</v>
      </c>
      <c r="G557">
        <f>Logistics_Orders[[#This Row],[Client_Charge]]-Logistics_Orders[[#This Row],[Cost]]</f>
        <v>2500</v>
      </c>
      <c r="H557" t="s">
        <v>186</v>
      </c>
    </row>
    <row r="558" spans="1:8" x14ac:dyDescent="0.25">
      <c r="A558">
        <v>114</v>
      </c>
      <c r="B558" t="s">
        <v>191</v>
      </c>
      <c r="C558" cm="1">
        <f t="array" ref="C558">_xlfn.XLOOKUP(Logistics_Orders[[#This Row],[Logistics_ID]],Logistics_Catalog[[#All],[Logistics_ID]],Logistics_Catalog[[#All],[Base_Quantity]],0,0)</f>
        <v>5</v>
      </c>
      <c r="D558" cm="1">
        <f t="array" ref="D558">IF(Logistics_Orders[[#This Row],[Item]]="Chairs &amp; Tables",CEILING(_xlfn.XLOOKUP(Logistics_Orders[[#This Row],[Event_No]],Event_Master[[#All],[Event_No]],Event_Master[[#All],[Guest_Count]],,0)/Logistics_Orders[[#This Row],[Base_Quantity]],1),1)</f>
        <v>1</v>
      </c>
      <c r="E558" cm="1">
        <f t="array" ref="E558">Logistics_Orders[[#This Row],[Quantity_Ordered]]*_xlfn.XLOOKUP(Logistics_Orders[[#This Row],[Logistics_ID]],Logistics_Catalog[[#All],[Logistics_ID]],Logistics_Catalog[[#All],[Cost]],0,0)</f>
        <v>3000</v>
      </c>
      <c r="F558" cm="1">
        <f t="array" ref="F558">Logistics_Orders[[#This Row],[Quantity_Ordered]]*_xlfn.XLOOKUP(Logistics_Orders[[#This Row],[Logistics_ID]],Logistics_Catalog[[#All],[Logistics_ID]],Logistics_Catalog[[#All],[Client_Charge]],0,0)</f>
        <v>3600</v>
      </c>
      <c r="G558">
        <f>Logistics_Orders[[#This Row],[Client_Charge]]-Logistics_Orders[[#This Row],[Cost]]</f>
        <v>600</v>
      </c>
      <c r="H558" t="s">
        <v>194</v>
      </c>
    </row>
    <row r="559" spans="1:8" x14ac:dyDescent="0.25">
      <c r="A559">
        <v>114</v>
      </c>
      <c r="B559" t="s">
        <v>195</v>
      </c>
      <c r="C559" cm="1">
        <f t="array" ref="C559">_xlfn.XLOOKUP(Logistics_Orders[[#This Row],[Logistics_ID]],Logistics_Catalog[[#All],[Logistics_ID]],Logistics_Catalog[[#All],[Base_Quantity]],0,0)</f>
        <v>10</v>
      </c>
      <c r="D559" cm="1">
        <f t="array" ref="D559">IF(Logistics_Orders[[#This Row],[Item]]="Chairs &amp; Tables",CEILING(_xlfn.XLOOKUP(Logistics_Orders[[#This Row],[Event_No]],Event_Master[[#All],[Event_No]],Event_Master[[#All],[Guest_Count]],,0)/Logistics_Orders[[#This Row],[Base_Quantity]],1),1)</f>
        <v>1</v>
      </c>
      <c r="E559" cm="1">
        <f t="array" ref="E559">Logistics_Orders[[#This Row],[Quantity_Ordered]]*_xlfn.XLOOKUP(Logistics_Orders[[#This Row],[Logistics_ID]],Logistics_Catalog[[#All],[Logistics_ID]],Logistics_Catalog[[#All],[Cost]],0,0)</f>
        <v>6000</v>
      </c>
      <c r="F559" cm="1">
        <f t="array" ref="F559">Logistics_Orders[[#This Row],[Quantity_Ordered]]*_xlfn.XLOOKUP(Logistics_Orders[[#This Row],[Logistics_ID]],Logistics_Catalog[[#All],[Logistics_ID]],Logistics_Catalog[[#All],[Client_Charge]],0,0)</f>
        <v>7200</v>
      </c>
      <c r="G559">
        <f>Logistics_Orders[[#This Row],[Client_Charge]]-Logistics_Orders[[#This Row],[Cost]]</f>
        <v>1200</v>
      </c>
      <c r="H559" t="s">
        <v>198</v>
      </c>
    </row>
    <row r="560" spans="1:8" x14ac:dyDescent="0.25">
      <c r="A560">
        <v>114</v>
      </c>
      <c r="B560" t="s">
        <v>187</v>
      </c>
      <c r="C560" cm="1">
        <f t="array" ref="C560">_xlfn.XLOOKUP(Logistics_Orders[[#This Row],[Logistics_ID]],Logistics_Catalog[[#All],[Logistics_ID]],Logistics_Catalog[[#All],[Base_Quantity]],0,0)</f>
        <v>1</v>
      </c>
      <c r="D560" cm="1">
        <f t="array" ref="D560">IF(Logistics_Orders[[#This Row],[Item]]="Chairs &amp; Tables",CEILING(_xlfn.XLOOKUP(Logistics_Orders[[#This Row],[Event_No]],Event_Master[[#All],[Event_No]],Event_Master[[#All],[Guest_Count]],,0)/Logistics_Orders[[#This Row],[Base_Quantity]],1),1)</f>
        <v>1</v>
      </c>
      <c r="E560" cm="1">
        <f t="array" ref="E560">Logistics_Orders[[#This Row],[Quantity_Ordered]]*_xlfn.XLOOKUP(Logistics_Orders[[#This Row],[Logistics_ID]],Logistics_Catalog[[#All],[Logistics_ID]],Logistics_Catalog[[#All],[Cost]],0,0)</f>
        <v>8000</v>
      </c>
      <c r="F560" cm="1">
        <f t="array" ref="F560">Logistics_Orders[[#This Row],[Quantity_Ordered]]*_xlfn.XLOOKUP(Logistics_Orders[[#This Row],[Logistics_ID]],Logistics_Catalog[[#All],[Logistics_ID]],Logistics_Catalog[[#All],[Client_Charge]],0,0)</f>
        <v>9500</v>
      </c>
      <c r="G560">
        <f>Logistics_Orders[[#This Row],[Client_Charge]]-Logistics_Orders[[#This Row],[Cost]]</f>
        <v>1500</v>
      </c>
      <c r="H560" t="s">
        <v>190</v>
      </c>
    </row>
    <row r="561" spans="1:8" x14ac:dyDescent="0.25">
      <c r="A561">
        <v>115</v>
      </c>
      <c r="B561" t="s">
        <v>177</v>
      </c>
      <c r="C561" cm="1">
        <f t="array" ref="C561">_xlfn.XLOOKUP(Logistics_Orders[[#This Row],[Logistics_ID]],Logistics_Catalog[[#All],[Logistics_ID]],Logistics_Catalog[[#All],[Base_Quantity]],0,0)</f>
        <v>300</v>
      </c>
      <c r="D561" cm="1">
        <f t="array" ref="D561">IF(Logistics_Orders[[#This Row],[Item]]="Chairs &amp; Tables",CEILING(_xlfn.XLOOKUP(Logistics_Orders[[#This Row],[Event_No]],Event_Master[[#All],[Event_No]],Event_Master[[#All],[Guest_Count]],,0)/Logistics_Orders[[#This Row],[Base_Quantity]],1),1)</f>
        <v>1</v>
      </c>
      <c r="E561" cm="1">
        <f t="array" ref="E561">Logistics_Orders[[#This Row],[Quantity_Ordered]]*_xlfn.XLOOKUP(Logistics_Orders[[#This Row],[Logistics_ID]],Logistics_Catalog[[#All],[Logistics_ID]],Logistics_Catalog[[#All],[Cost]],0,0)</f>
        <v>15000</v>
      </c>
      <c r="F561" cm="1">
        <f t="array" ref="F561">Logistics_Orders[[#This Row],[Quantity_Ordered]]*_xlfn.XLOOKUP(Logistics_Orders[[#This Row],[Logistics_ID]],Logistics_Catalog[[#All],[Logistics_ID]],Logistics_Catalog[[#All],[Client_Charge]],0,0)</f>
        <v>18000</v>
      </c>
      <c r="G561">
        <f>Logistics_Orders[[#This Row],[Client_Charge]]-Logistics_Orders[[#This Row],[Cost]]</f>
        <v>3000</v>
      </c>
      <c r="H561" t="s">
        <v>181</v>
      </c>
    </row>
    <row r="562" spans="1:8" x14ac:dyDescent="0.25">
      <c r="A562">
        <v>115</v>
      </c>
      <c r="B562" t="s">
        <v>182</v>
      </c>
      <c r="C562" cm="1">
        <f t="array" ref="C562">_xlfn.XLOOKUP(Logistics_Orders[[#This Row],[Logistics_ID]],Logistics_Catalog[[#All],[Logistics_ID]],Logistics_Catalog[[#All],[Base_Quantity]],0,0)</f>
        <v>1</v>
      </c>
      <c r="D562" cm="1">
        <f t="array" ref="D562">IF(Logistics_Orders[[#This Row],[Item]]="Chairs &amp; Tables",CEILING(_xlfn.XLOOKUP(Logistics_Orders[[#This Row],[Event_No]],Event_Master[[#All],[Event_No]],Event_Master[[#All],[Guest_Count]],,0)/Logistics_Orders[[#This Row],[Base_Quantity]],1),1)</f>
        <v>1</v>
      </c>
      <c r="E562" cm="1">
        <f t="array" ref="E562">Logistics_Orders[[#This Row],[Quantity_Ordered]]*_xlfn.XLOOKUP(Logistics_Orders[[#This Row],[Logistics_ID]],Logistics_Catalog[[#All],[Logistics_ID]],Logistics_Catalog[[#All],[Cost]],0,0)</f>
        <v>12000</v>
      </c>
      <c r="F562" cm="1">
        <f t="array" ref="F562">Logistics_Orders[[#This Row],[Quantity_Ordered]]*_xlfn.XLOOKUP(Logistics_Orders[[#This Row],[Logistics_ID]],Logistics_Catalog[[#All],[Logistics_ID]],Logistics_Catalog[[#All],[Client_Charge]],0,0)</f>
        <v>14500</v>
      </c>
      <c r="G562">
        <f>Logistics_Orders[[#This Row],[Client_Charge]]-Logistics_Orders[[#This Row],[Cost]]</f>
        <v>2500</v>
      </c>
      <c r="H562" t="s">
        <v>186</v>
      </c>
    </row>
    <row r="563" spans="1:8" x14ac:dyDescent="0.25">
      <c r="A563">
        <v>115</v>
      </c>
      <c r="B563" t="s">
        <v>191</v>
      </c>
      <c r="C563" cm="1">
        <f t="array" ref="C563">_xlfn.XLOOKUP(Logistics_Orders[[#This Row],[Logistics_ID]],Logistics_Catalog[[#All],[Logistics_ID]],Logistics_Catalog[[#All],[Base_Quantity]],0,0)</f>
        <v>5</v>
      </c>
      <c r="D563" cm="1">
        <f t="array" ref="D563">IF(Logistics_Orders[[#This Row],[Item]]="Chairs &amp; Tables",CEILING(_xlfn.XLOOKUP(Logistics_Orders[[#This Row],[Event_No]],Event_Master[[#All],[Event_No]],Event_Master[[#All],[Guest_Count]],,0)/Logistics_Orders[[#This Row],[Base_Quantity]],1),1)</f>
        <v>1</v>
      </c>
      <c r="E563" cm="1">
        <f t="array" ref="E563">Logistics_Orders[[#This Row],[Quantity_Ordered]]*_xlfn.XLOOKUP(Logistics_Orders[[#This Row],[Logistics_ID]],Logistics_Catalog[[#All],[Logistics_ID]],Logistics_Catalog[[#All],[Cost]],0,0)</f>
        <v>3000</v>
      </c>
      <c r="F563" cm="1">
        <f t="array" ref="F563">Logistics_Orders[[#This Row],[Quantity_Ordered]]*_xlfn.XLOOKUP(Logistics_Orders[[#This Row],[Logistics_ID]],Logistics_Catalog[[#All],[Logistics_ID]],Logistics_Catalog[[#All],[Client_Charge]],0,0)</f>
        <v>3600</v>
      </c>
      <c r="G563">
        <f>Logistics_Orders[[#This Row],[Client_Charge]]-Logistics_Orders[[#This Row],[Cost]]</f>
        <v>600</v>
      </c>
      <c r="H563" t="s">
        <v>194</v>
      </c>
    </row>
    <row r="564" spans="1:8" x14ac:dyDescent="0.25">
      <c r="A564">
        <v>115</v>
      </c>
      <c r="B564" t="s">
        <v>195</v>
      </c>
      <c r="C564" cm="1">
        <f t="array" ref="C564">_xlfn.XLOOKUP(Logistics_Orders[[#This Row],[Logistics_ID]],Logistics_Catalog[[#All],[Logistics_ID]],Logistics_Catalog[[#All],[Base_Quantity]],0,0)</f>
        <v>10</v>
      </c>
      <c r="D564" cm="1">
        <f t="array" ref="D564">IF(Logistics_Orders[[#This Row],[Item]]="Chairs &amp; Tables",CEILING(_xlfn.XLOOKUP(Logistics_Orders[[#This Row],[Event_No]],Event_Master[[#All],[Event_No]],Event_Master[[#All],[Guest_Count]],,0)/Logistics_Orders[[#This Row],[Base_Quantity]],1),1)</f>
        <v>1</v>
      </c>
      <c r="E564" cm="1">
        <f t="array" ref="E564">Logistics_Orders[[#This Row],[Quantity_Ordered]]*_xlfn.XLOOKUP(Logistics_Orders[[#This Row],[Logistics_ID]],Logistics_Catalog[[#All],[Logistics_ID]],Logistics_Catalog[[#All],[Cost]],0,0)</f>
        <v>6000</v>
      </c>
      <c r="F564" cm="1">
        <f t="array" ref="F564">Logistics_Orders[[#This Row],[Quantity_Ordered]]*_xlfn.XLOOKUP(Logistics_Orders[[#This Row],[Logistics_ID]],Logistics_Catalog[[#All],[Logistics_ID]],Logistics_Catalog[[#All],[Client_Charge]],0,0)</f>
        <v>7200</v>
      </c>
      <c r="G564">
        <f>Logistics_Orders[[#This Row],[Client_Charge]]-Logistics_Orders[[#This Row],[Cost]]</f>
        <v>1200</v>
      </c>
      <c r="H564" t="s">
        <v>198</v>
      </c>
    </row>
    <row r="565" spans="1:8" x14ac:dyDescent="0.25">
      <c r="A565">
        <v>115</v>
      </c>
      <c r="B565" t="s">
        <v>187</v>
      </c>
      <c r="C565" cm="1">
        <f t="array" ref="C565">_xlfn.XLOOKUP(Logistics_Orders[[#This Row],[Logistics_ID]],Logistics_Catalog[[#All],[Logistics_ID]],Logistics_Catalog[[#All],[Base_Quantity]],0,0)</f>
        <v>1</v>
      </c>
      <c r="D565" cm="1">
        <f t="array" ref="D565">IF(Logistics_Orders[[#This Row],[Item]]="Chairs &amp; Tables",CEILING(_xlfn.XLOOKUP(Logistics_Orders[[#This Row],[Event_No]],Event_Master[[#All],[Event_No]],Event_Master[[#All],[Guest_Count]],,0)/Logistics_Orders[[#This Row],[Base_Quantity]],1),1)</f>
        <v>1</v>
      </c>
      <c r="E565" cm="1">
        <f t="array" ref="E565">Logistics_Orders[[#This Row],[Quantity_Ordered]]*_xlfn.XLOOKUP(Logistics_Orders[[#This Row],[Logistics_ID]],Logistics_Catalog[[#All],[Logistics_ID]],Logistics_Catalog[[#All],[Cost]],0,0)</f>
        <v>8000</v>
      </c>
      <c r="F565" cm="1">
        <f t="array" ref="F565">Logistics_Orders[[#This Row],[Quantity_Ordered]]*_xlfn.XLOOKUP(Logistics_Orders[[#This Row],[Logistics_ID]],Logistics_Catalog[[#All],[Logistics_ID]],Logistics_Catalog[[#All],[Client_Charge]],0,0)</f>
        <v>9500</v>
      </c>
      <c r="G565">
        <f>Logistics_Orders[[#This Row],[Client_Charge]]-Logistics_Orders[[#This Row],[Cost]]</f>
        <v>1500</v>
      </c>
      <c r="H565" t="s">
        <v>190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8305A-AA71-4290-993A-60D1B509FC23}">
  <dimension ref="A1:H6"/>
  <sheetViews>
    <sheetView workbookViewId="0">
      <selection sqref="A1:XFD1048576"/>
    </sheetView>
  </sheetViews>
  <sheetFormatPr defaultRowHeight="15" x14ac:dyDescent="0.25"/>
  <cols>
    <col min="1" max="1" width="12" bestFit="1" customWidth="1"/>
    <col min="2" max="2" width="31.42578125" bestFit="1" customWidth="1"/>
    <col min="3" max="3" width="11" bestFit="1" customWidth="1"/>
    <col min="4" max="4" width="10.7109375" bestFit="1" customWidth="1"/>
    <col min="5" max="5" width="8.42578125" bestFit="1" customWidth="1"/>
    <col min="6" max="6" width="13.85546875" bestFit="1" customWidth="1"/>
    <col min="7" max="7" width="15.85546875" bestFit="1" customWidth="1"/>
    <col min="8" max="8" width="8.28515625" bestFit="1" customWidth="1"/>
  </cols>
  <sheetData>
    <row r="1" spans="1:8" x14ac:dyDescent="0.25">
      <c r="A1" t="s">
        <v>200</v>
      </c>
      <c r="B1" t="s">
        <v>201</v>
      </c>
      <c r="C1" t="s">
        <v>202</v>
      </c>
      <c r="D1" t="s">
        <v>203</v>
      </c>
      <c r="E1" t="s">
        <v>204</v>
      </c>
      <c r="F1" t="s">
        <v>205</v>
      </c>
      <c r="G1" t="s">
        <v>140</v>
      </c>
      <c r="H1" t="s">
        <v>135</v>
      </c>
    </row>
    <row r="2" spans="1:8" x14ac:dyDescent="0.25">
      <c r="A2" t="s">
        <v>206</v>
      </c>
      <c r="B2" t="s">
        <v>207</v>
      </c>
      <c r="C2" t="s">
        <v>208</v>
      </c>
      <c r="D2">
        <v>500</v>
      </c>
      <c r="E2" t="s">
        <v>209</v>
      </c>
      <c r="F2">
        <v>60000</v>
      </c>
      <c r="G2">
        <v>70000</v>
      </c>
      <c r="H2">
        <v>10000</v>
      </c>
    </row>
    <row r="3" spans="1:8" x14ac:dyDescent="0.25">
      <c r="A3" t="s">
        <v>210</v>
      </c>
      <c r="B3" t="s">
        <v>211</v>
      </c>
      <c r="C3" t="s">
        <v>212</v>
      </c>
      <c r="D3">
        <v>800</v>
      </c>
      <c r="E3" t="s">
        <v>213</v>
      </c>
      <c r="F3">
        <v>120000</v>
      </c>
      <c r="G3">
        <v>138000</v>
      </c>
      <c r="H3">
        <v>18000</v>
      </c>
    </row>
    <row r="4" spans="1:8" x14ac:dyDescent="0.25">
      <c r="A4" t="s">
        <v>214</v>
      </c>
      <c r="B4" t="s">
        <v>215</v>
      </c>
      <c r="C4" t="s">
        <v>216</v>
      </c>
      <c r="D4">
        <v>1000</v>
      </c>
      <c r="E4" t="s">
        <v>209</v>
      </c>
      <c r="F4">
        <v>150000</v>
      </c>
      <c r="G4">
        <v>175000</v>
      </c>
      <c r="H4">
        <v>25000</v>
      </c>
    </row>
    <row r="5" spans="1:8" x14ac:dyDescent="0.25">
      <c r="A5" t="s">
        <v>217</v>
      </c>
      <c r="B5" t="s">
        <v>218</v>
      </c>
      <c r="C5" t="s">
        <v>219</v>
      </c>
      <c r="D5">
        <v>300</v>
      </c>
      <c r="E5" t="s">
        <v>209</v>
      </c>
      <c r="F5">
        <v>40000</v>
      </c>
      <c r="G5">
        <v>48000</v>
      </c>
      <c r="H5">
        <v>8000</v>
      </c>
    </row>
    <row r="6" spans="1:8" x14ac:dyDescent="0.25">
      <c r="A6" t="s">
        <v>220</v>
      </c>
      <c r="B6" t="s">
        <v>221</v>
      </c>
      <c r="C6" t="s">
        <v>222</v>
      </c>
      <c r="D6">
        <v>2000</v>
      </c>
      <c r="E6" t="s">
        <v>213</v>
      </c>
      <c r="F6">
        <v>200000</v>
      </c>
      <c r="G6">
        <v>230000</v>
      </c>
      <c r="H6">
        <v>30000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DDC28-A552-4F5A-A274-FAE82739495B}">
  <dimension ref="A1:G116"/>
  <sheetViews>
    <sheetView workbookViewId="0">
      <selection activeCell="D4" sqref="D4"/>
    </sheetView>
  </sheetViews>
  <sheetFormatPr defaultRowHeight="15" x14ac:dyDescent="0.25"/>
  <cols>
    <col min="1" max="1" width="11.85546875" bestFit="1" customWidth="1"/>
    <col min="2" max="2" width="31.42578125" bestFit="1" customWidth="1"/>
    <col min="3" max="3" width="12" bestFit="1" customWidth="1"/>
    <col min="4" max="4" width="17" bestFit="1" customWidth="1"/>
    <col min="5" max="5" width="13.85546875" bestFit="1" customWidth="1"/>
    <col min="6" max="6" width="15.85546875" bestFit="1" customWidth="1"/>
    <col min="7" max="7" width="8.28515625" bestFit="1" customWidth="1"/>
  </cols>
  <sheetData>
    <row r="1" spans="1:7" x14ac:dyDescent="0.25">
      <c r="A1" t="s">
        <v>131</v>
      </c>
      <c r="B1" t="s">
        <v>201</v>
      </c>
      <c r="C1" t="s">
        <v>200</v>
      </c>
      <c r="D1" t="s">
        <v>202</v>
      </c>
      <c r="E1" t="s">
        <v>205</v>
      </c>
      <c r="F1" t="s">
        <v>140</v>
      </c>
      <c r="G1" t="s">
        <v>135</v>
      </c>
    </row>
    <row r="2" spans="1:7" x14ac:dyDescent="0.25">
      <c r="A2">
        <v>1</v>
      </c>
      <c r="B2" t="s">
        <v>207</v>
      </c>
      <c r="C2" t="s">
        <v>206</v>
      </c>
      <c r="D2" t="s">
        <v>208</v>
      </c>
      <c r="E2">
        <v>60000</v>
      </c>
      <c r="F2">
        <v>70000</v>
      </c>
      <c r="G2">
        <v>10000</v>
      </c>
    </row>
    <row r="3" spans="1:7" x14ac:dyDescent="0.25">
      <c r="A3">
        <v>2</v>
      </c>
      <c r="B3" t="s">
        <v>215</v>
      </c>
      <c r="C3" t="s">
        <v>214</v>
      </c>
      <c r="D3" t="s">
        <v>216</v>
      </c>
      <c r="E3">
        <v>150000</v>
      </c>
      <c r="F3">
        <v>175000</v>
      </c>
      <c r="G3">
        <v>25000</v>
      </c>
    </row>
    <row r="4" spans="1:7" x14ac:dyDescent="0.25">
      <c r="A4">
        <v>3</v>
      </c>
      <c r="B4" t="s">
        <v>223</v>
      </c>
      <c r="C4" t="s">
        <v>168</v>
      </c>
      <c r="D4" t="str">
        <f>Venue_Orders[[#This Row],[Venue_Name]]</f>
        <v>Private Residence</v>
      </c>
      <c r="E4">
        <v>0</v>
      </c>
      <c r="F4">
        <v>0</v>
      </c>
      <c r="G4">
        <v>0</v>
      </c>
    </row>
    <row r="5" spans="1:7" x14ac:dyDescent="0.25">
      <c r="A5">
        <v>4</v>
      </c>
      <c r="B5" t="s">
        <v>223</v>
      </c>
      <c r="C5" t="s">
        <v>168</v>
      </c>
      <c r="D5" t="str">
        <f>Venue_Orders[[#This Row],[Venue_Name]]</f>
        <v>Private Residence</v>
      </c>
      <c r="E5">
        <v>0</v>
      </c>
      <c r="F5">
        <v>0</v>
      </c>
      <c r="G5">
        <v>0</v>
      </c>
    </row>
    <row r="6" spans="1:7" x14ac:dyDescent="0.25">
      <c r="A6">
        <v>5</v>
      </c>
      <c r="B6" t="s">
        <v>223</v>
      </c>
      <c r="C6" t="s">
        <v>168</v>
      </c>
      <c r="D6" t="str">
        <f>Venue_Orders[[#This Row],[Venue_Name]]</f>
        <v>Private Residence</v>
      </c>
      <c r="E6">
        <v>0</v>
      </c>
      <c r="F6">
        <v>0</v>
      </c>
      <c r="G6">
        <v>0</v>
      </c>
    </row>
    <row r="7" spans="1:7" x14ac:dyDescent="0.25">
      <c r="A7">
        <v>6</v>
      </c>
      <c r="B7" t="s">
        <v>223</v>
      </c>
      <c r="C7" t="s">
        <v>168</v>
      </c>
      <c r="D7" t="str">
        <f>Venue_Orders[[#This Row],[Venue_Name]]</f>
        <v>Private Residence</v>
      </c>
      <c r="E7">
        <v>0</v>
      </c>
      <c r="F7">
        <v>0</v>
      </c>
      <c r="G7">
        <v>0</v>
      </c>
    </row>
    <row r="8" spans="1:7" x14ac:dyDescent="0.25">
      <c r="A8">
        <v>7</v>
      </c>
      <c r="B8" t="s">
        <v>207</v>
      </c>
      <c r="C8" t="s">
        <v>206</v>
      </c>
      <c r="D8" t="s">
        <v>208</v>
      </c>
      <c r="E8">
        <v>60000</v>
      </c>
      <c r="F8">
        <v>70000</v>
      </c>
      <c r="G8">
        <v>10000</v>
      </c>
    </row>
    <row r="9" spans="1:7" x14ac:dyDescent="0.25">
      <c r="A9">
        <v>8</v>
      </c>
      <c r="B9" t="s">
        <v>215</v>
      </c>
      <c r="C9" t="s">
        <v>214</v>
      </c>
      <c r="D9" t="s">
        <v>216</v>
      </c>
      <c r="E9">
        <v>150000</v>
      </c>
      <c r="F9">
        <v>175000</v>
      </c>
      <c r="G9">
        <v>25000</v>
      </c>
    </row>
    <row r="10" spans="1:7" x14ac:dyDescent="0.25">
      <c r="A10">
        <v>9</v>
      </c>
      <c r="B10" t="s">
        <v>223</v>
      </c>
      <c r="C10" t="s">
        <v>168</v>
      </c>
      <c r="D10" t="str">
        <f>Venue_Orders[[#This Row],[Venue_Name]]</f>
        <v>Private Residence</v>
      </c>
      <c r="E10">
        <v>0</v>
      </c>
      <c r="F10">
        <v>0</v>
      </c>
      <c r="G10">
        <v>0</v>
      </c>
    </row>
    <row r="11" spans="1:7" x14ac:dyDescent="0.25">
      <c r="A11">
        <v>10</v>
      </c>
      <c r="B11" t="s">
        <v>223</v>
      </c>
      <c r="C11" t="s">
        <v>168</v>
      </c>
      <c r="D11" t="str">
        <f>Venue_Orders[[#This Row],[Venue_Name]]</f>
        <v>Private Residence</v>
      </c>
      <c r="E11">
        <v>0</v>
      </c>
      <c r="F11">
        <v>0</v>
      </c>
      <c r="G11">
        <v>0</v>
      </c>
    </row>
    <row r="12" spans="1:7" x14ac:dyDescent="0.25">
      <c r="A12">
        <v>11</v>
      </c>
      <c r="B12" t="s">
        <v>224</v>
      </c>
      <c r="C12" t="s">
        <v>168</v>
      </c>
      <c r="D12" t="str">
        <f>Venue_Orders[[#This Row],[Venue_Name]]</f>
        <v>Temple</v>
      </c>
      <c r="E12">
        <v>0</v>
      </c>
      <c r="F12">
        <v>0</v>
      </c>
      <c r="G12">
        <v>0</v>
      </c>
    </row>
    <row r="13" spans="1:7" x14ac:dyDescent="0.25">
      <c r="A13">
        <v>12</v>
      </c>
      <c r="B13" t="s">
        <v>215</v>
      </c>
      <c r="C13" t="s">
        <v>214</v>
      </c>
      <c r="D13" t="s">
        <v>216</v>
      </c>
      <c r="E13">
        <v>150000</v>
      </c>
      <c r="F13">
        <v>175000</v>
      </c>
      <c r="G13">
        <v>25000</v>
      </c>
    </row>
    <row r="14" spans="1:7" x14ac:dyDescent="0.25">
      <c r="A14">
        <v>13</v>
      </c>
      <c r="B14" t="s">
        <v>215</v>
      </c>
      <c r="C14" t="s">
        <v>214</v>
      </c>
      <c r="D14" t="s">
        <v>216</v>
      </c>
      <c r="E14">
        <v>150000</v>
      </c>
      <c r="F14">
        <v>175000</v>
      </c>
      <c r="G14">
        <v>25000</v>
      </c>
    </row>
    <row r="15" spans="1:7" x14ac:dyDescent="0.25">
      <c r="A15">
        <v>14</v>
      </c>
      <c r="B15" t="s">
        <v>215</v>
      </c>
      <c r="C15" t="s">
        <v>214</v>
      </c>
      <c r="D15" t="s">
        <v>216</v>
      </c>
      <c r="E15">
        <v>150000</v>
      </c>
      <c r="F15">
        <v>175000</v>
      </c>
      <c r="G15">
        <v>25000</v>
      </c>
    </row>
    <row r="16" spans="1:7" x14ac:dyDescent="0.25">
      <c r="A16">
        <v>15</v>
      </c>
      <c r="B16" t="s">
        <v>221</v>
      </c>
      <c r="C16" t="s">
        <v>220</v>
      </c>
      <c r="D16" t="s">
        <v>222</v>
      </c>
      <c r="E16">
        <v>200000</v>
      </c>
      <c r="F16">
        <v>230000</v>
      </c>
      <c r="G16">
        <v>30000</v>
      </c>
    </row>
    <row r="17" spans="1:7" x14ac:dyDescent="0.25">
      <c r="A17">
        <v>16</v>
      </c>
      <c r="B17" t="s">
        <v>221</v>
      </c>
      <c r="C17" t="s">
        <v>220</v>
      </c>
      <c r="D17" t="s">
        <v>222</v>
      </c>
      <c r="E17">
        <v>200000</v>
      </c>
      <c r="F17">
        <v>230000</v>
      </c>
      <c r="G17">
        <v>30000</v>
      </c>
    </row>
    <row r="18" spans="1:7" x14ac:dyDescent="0.25">
      <c r="A18">
        <v>17</v>
      </c>
      <c r="B18" t="s">
        <v>215</v>
      </c>
      <c r="C18" t="s">
        <v>214</v>
      </c>
      <c r="D18" t="s">
        <v>216</v>
      </c>
      <c r="E18">
        <v>150000</v>
      </c>
      <c r="F18">
        <v>175000</v>
      </c>
      <c r="G18">
        <v>25000</v>
      </c>
    </row>
    <row r="19" spans="1:7" x14ac:dyDescent="0.25">
      <c r="A19">
        <v>18</v>
      </c>
      <c r="B19" t="s">
        <v>215</v>
      </c>
      <c r="C19" t="s">
        <v>214</v>
      </c>
      <c r="D19" t="s">
        <v>216</v>
      </c>
      <c r="E19">
        <v>150000</v>
      </c>
      <c r="F19">
        <v>175000</v>
      </c>
      <c r="G19">
        <v>25000</v>
      </c>
    </row>
    <row r="20" spans="1:7" x14ac:dyDescent="0.25">
      <c r="A20">
        <v>19</v>
      </c>
      <c r="B20" t="s">
        <v>215</v>
      </c>
      <c r="C20" t="s">
        <v>214</v>
      </c>
      <c r="D20" t="s">
        <v>216</v>
      </c>
      <c r="E20">
        <v>150000</v>
      </c>
      <c r="F20">
        <v>175000</v>
      </c>
      <c r="G20">
        <v>25000</v>
      </c>
    </row>
    <row r="21" spans="1:7" x14ac:dyDescent="0.25">
      <c r="A21">
        <v>20</v>
      </c>
      <c r="B21" t="s">
        <v>215</v>
      </c>
      <c r="C21" t="s">
        <v>214</v>
      </c>
      <c r="D21" t="s">
        <v>216</v>
      </c>
      <c r="E21">
        <v>150000</v>
      </c>
      <c r="F21">
        <v>175000</v>
      </c>
      <c r="G21">
        <v>25000</v>
      </c>
    </row>
    <row r="22" spans="1:7" x14ac:dyDescent="0.25">
      <c r="A22">
        <v>21</v>
      </c>
      <c r="B22" t="s">
        <v>215</v>
      </c>
      <c r="C22" t="s">
        <v>214</v>
      </c>
      <c r="D22" t="s">
        <v>216</v>
      </c>
      <c r="E22">
        <v>150000</v>
      </c>
      <c r="F22">
        <v>175000</v>
      </c>
      <c r="G22">
        <v>25000</v>
      </c>
    </row>
    <row r="23" spans="1:7" x14ac:dyDescent="0.25">
      <c r="A23">
        <v>22</v>
      </c>
      <c r="B23" t="s">
        <v>218</v>
      </c>
      <c r="C23" t="s">
        <v>217</v>
      </c>
      <c r="D23" t="s">
        <v>219</v>
      </c>
      <c r="E23">
        <v>40000</v>
      </c>
      <c r="F23">
        <v>48000</v>
      </c>
      <c r="G23">
        <v>8000</v>
      </c>
    </row>
    <row r="24" spans="1:7" x14ac:dyDescent="0.25">
      <c r="A24">
        <v>23</v>
      </c>
      <c r="B24" t="s">
        <v>221</v>
      </c>
      <c r="C24" t="s">
        <v>220</v>
      </c>
      <c r="D24" t="s">
        <v>222</v>
      </c>
      <c r="E24">
        <v>200000</v>
      </c>
      <c r="F24">
        <v>230000</v>
      </c>
      <c r="G24">
        <v>30000</v>
      </c>
    </row>
    <row r="25" spans="1:7" x14ac:dyDescent="0.25">
      <c r="A25">
        <v>24</v>
      </c>
      <c r="B25" t="s">
        <v>221</v>
      </c>
      <c r="C25" t="s">
        <v>220</v>
      </c>
      <c r="D25" t="s">
        <v>222</v>
      </c>
      <c r="E25">
        <v>200000</v>
      </c>
      <c r="F25">
        <v>230000</v>
      </c>
      <c r="G25">
        <v>30000</v>
      </c>
    </row>
    <row r="26" spans="1:7" x14ac:dyDescent="0.25">
      <c r="A26">
        <v>25</v>
      </c>
      <c r="B26" t="s">
        <v>221</v>
      </c>
      <c r="C26" t="s">
        <v>220</v>
      </c>
      <c r="D26" t="s">
        <v>222</v>
      </c>
      <c r="E26">
        <v>200000</v>
      </c>
      <c r="F26">
        <v>230000</v>
      </c>
      <c r="G26">
        <v>30000</v>
      </c>
    </row>
    <row r="27" spans="1:7" x14ac:dyDescent="0.25">
      <c r="A27">
        <v>26</v>
      </c>
      <c r="B27" t="s">
        <v>221</v>
      </c>
      <c r="C27" t="s">
        <v>220</v>
      </c>
      <c r="D27" t="s">
        <v>222</v>
      </c>
      <c r="E27">
        <v>200000</v>
      </c>
      <c r="F27">
        <v>230000</v>
      </c>
      <c r="G27">
        <v>30000</v>
      </c>
    </row>
    <row r="28" spans="1:7" x14ac:dyDescent="0.25">
      <c r="A28">
        <v>27</v>
      </c>
      <c r="B28" t="s">
        <v>207</v>
      </c>
      <c r="C28" t="s">
        <v>206</v>
      </c>
      <c r="D28" t="s">
        <v>208</v>
      </c>
      <c r="E28">
        <v>60000</v>
      </c>
      <c r="F28">
        <v>70000</v>
      </c>
      <c r="G28">
        <v>10000</v>
      </c>
    </row>
    <row r="29" spans="1:7" x14ac:dyDescent="0.25">
      <c r="A29">
        <v>28</v>
      </c>
      <c r="B29" t="s">
        <v>221</v>
      </c>
      <c r="C29" t="s">
        <v>220</v>
      </c>
      <c r="D29" t="s">
        <v>222</v>
      </c>
      <c r="E29">
        <v>200000</v>
      </c>
      <c r="F29">
        <v>230000</v>
      </c>
      <c r="G29">
        <v>30000</v>
      </c>
    </row>
    <row r="30" spans="1:7" x14ac:dyDescent="0.25">
      <c r="A30">
        <v>29</v>
      </c>
      <c r="B30" t="s">
        <v>218</v>
      </c>
      <c r="C30" t="s">
        <v>217</v>
      </c>
      <c r="D30" t="s">
        <v>219</v>
      </c>
      <c r="E30">
        <v>40000</v>
      </c>
      <c r="F30">
        <v>48000</v>
      </c>
      <c r="G30">
        <v>8000</v>
      </c>
    </row>
    <row r="31" spans="1:7" x14ac:dyDescent="0.25">
      <c r="A31">
        <v>30</v>
      </c>
      <c r="B31" t="s">
        <v>218</v>
      </c>
      <c r="C31" t="s">
        <v>217</v>
      </c>
      <c r="D31" t="s">
        <v>219</v>
      </c>
      <c r="E31">
        <v>40000</v>
      </c>
      <c r="F31">
        <v>48000</v>
      </c>
      <c r="G31">
        <v>8000</v>
      </c>
    </row>
    <row r="32" spans="1:7" x14ac:dyDescent="0.25">
      <c r="A32">
        <v>31</v>
      </c>
      <c r="B32" t="s">
        <v>218</v>
      </c>
      <c r="C32" t="s">
        <v>217</v>
      </c>
      <c r="D32" t="s">
        <v>219</v>
      </c>
      <c r="E32">
        <v>40000</v>
      </c>
      <c r="F32">
        <v>48000</v>
      </c>
      <c r="G32">
        <v>8000</v>
      </c>
    </row>
    <row r="33" spans="1:7" x14ac:dyDescent="0.25">
      <c r="A33">
        <v>32</v>
      </c>
      <c r="B33" t="s">
        <v>215</v>
      </c>
      <c r="C33" t="s">
        <v>214</v>
      </c>
      <c r="D33" t="s">
        <v>216</v>
      </c>
      <c r="E33">
        <v>150000</v>
      </c>
      <c r="F33">
        <v>175000</v>
      </c>
      <c r="G33">
        <v>25000</v>
      </c>
    </row>
    <row r="34" spans="1:7" x14ac:dyDescent="0.25">
      <c r="A34">
        <v>33</v>
      </c>
      <c r="B34" t="s">
        <v>215</v>
      </c>
      <c r="C34" t="s">
        <v>214</v>
      </c>
      <c r="D34" t="s">
        <v>216</v>
      </c>
      <c r="E34">
        <v>150000</v>
      </c>
      <c r="F34">
        <v>175000</v>
      </c>
      <c r="G34">
        <v>25000</v>
      </c>
    </row>
    <row r="35" spans="1:7" x14ac:dyDescent="0.25">
      <c r="A35">
        <v>34</v>
      </c>
      <c r="B35" t="s">
        <v>221</v>
      </c>
      <c r="C35" t="s">
        <v>220</v>
      </c>
      <c r="D35" t="s">
        <v>222</v>
      </c>
      <c r="E35">
        <v>200000</v>
      </c>
      <c r="F35">
        <v>230000</v>
      </c>
      <c r="G35">
        <v>30000</v>
      </c>
    </row>
    <row r="36" spans="1:7" x14ac:dyDescent="0.25">
      <c r="A36">
        <v>35</v>
      </c>
      <c r="B36" t="s">
        <v>215</v>
      </c>
      <c r="C36" t="s">
        <v>214</v>
      </c>
      <c r="D36" t="s">
        <v>216</v>
      </c>
      <c r="E36">
        <v>150000</v>
      </c>
      <c r="F36">
        <v>175000</v>
      </c>
      <c r="G36">
        <v>25000</v>
      </c>
    </row>
    <row r="37" spans="1:7" x14ac:dyDescent="0.25">
      <c r="A37">
        <v>36</v>
      </c>
      <c r="B37" t="s">
        <v>221</v>
      </c>
      <c r="C37" t="s">
        <v>220</v>
      </c>
      <c r="D37" t="s">
        <v>222</v>
      </c>
      <c r="E37">
        <v>200000</v>
      </c>
      <c r="F37">
        <v>230000</v>
      </c>
      <c r="G37">
        <v>30000</v>
      </c>
    </row>
    <row r="38" spans="1:7" x14ac:dyDescent="0.25">
      <c r="A38">
        <v>37</v>
      </c>
      <c r="B38" t="s">
        <v>221</v>
      </c>
      <c r="C38" t="s">
        <v>220</v>
      </c>
      <c r="D38" t="s">
        <v>222</v>
      </c>
      <c r="E38">
        <v>200000</v>
      </c>
      <c r="F38">
        <v>230000</v>
      </c>
      <c r="G38">
        <v>30000</v>
      </c>
    </row>
    <row r="39" spans="1:7" x14ac:dyDescent="0.25">
      <c r="A39">
        <v>38</v>
      </c>
      <c r="B39" t="s">
        <v>215</v>
      </c>
      <c r="C39" t="s">
        <v>214</v>
      </c>
      <c r="D39" t="s">
        <v>216</v>
      </c>
      <c r="E39">
        <v>150000</v>
      </c>
      <c r="F39">
        <v>175000</v>
      </c>
      <c r="G39">
        <v>25000</v>
      </c>
    </row>
    <row r="40" spans="1:7" x14ac:dyDescent="0.25">
      <c r="A40">
        <v>39</v>
      </c>
      <c r="B40" t="s">
        <v>211</v>
      </c>
      <c r="C40" t="s">
        <v>210</v>
      </c>
      <c r="D40" t="s">
        <v>212</v>
      </c>
      <c r="E40">
        <v>120000</v>
      </c>
      <c r="F40">
        <v>138000</v>
      </c>
      <c r="G40">
        <v>18000</v>
      </c>
    </row>
    <row r="41" spans="1:7" x14ac:dyDescent="0.25">
      <c r="A41">
        <v>40</v>
      </c>
      <c r="B41" t="s">
        <v>221</v>
      </c>
      <c r="C41" t="s">
        <v>220</v>
      </c>
      <c r="D41" t="s">
        <v>222</v>
      </c>
      <c r="E41">
        <v>200000</v>
      </c>
      <c r="F41">
        <v>230000</v>
      </c>
      <c r="G41">
        <v>30000</v>
      </c>
    </row>
    <row r="42" spans="1:7" x14ac:dyDescent="0.25">
      <c r="A42">
        <v>41</v>
      </c>
      <c r="B42" t="s">
        <v>215</v>
      </c>
      <c r="C42" t="s">
        <v>214</v>
      </c>
      <c r="D42" t="s">
        <v>216</v>
      </c>
      <c r="E42">
        <v>150000</v>
      </c>
      <c r="F42">
        <v>175000</v>
      </c>
      <c r="G42">
        <v>25000</v>
      </c>
    </row>
    <row r="43" spans="1:7" x14ac:dyDescent="0.25">
      <c r="A43">
        <v>42</v>
      </c>
      <c r="B43" t="s">
        <v>215</v>
      </c>
      <c r="C43" t="s">
        <v>214</v>
      </c>
      <c r="D43" t="s">
        <v>216</v>
      </c>
      <c r="E43">
        <v>150000</v>
      </c>
      <c r="F43">
        <v>175000</v>
      </c>
      <c r="G43">
        <v>25000</v>
      </c>
    </row>
    <row r="44" spans="1:7" x14ac:dyDescent="0.25">
      <c r="A44">
        <v>43</v>
      </c>
      <c r="B44" t="s">
        <v>223</v>
      </c>
      <c r="C44" t="s">
        <v>168</v>
      </c>
      <c r="D44" t="str">
        <f>Venue_Orders[[#This Row],[Venue_Name]]</f>
        <v>Private Residence</v>
      </c>
      <c r="E44">
        <v>0</v>
      </c>
      <c r="F44">
        <v>0</v>
      </c>
      <c r="G44">
        <v>0</v>
      </c>
    </row>
    <row r="45" spans="1:7" x14ac:dyDescent="0.25">
      <c r="A45">
        <v>44</v>
      </c>
      <c r="B45" t="s">
        <v>223</v>
      </c>
      <c r="C45" t="s">
        <v>168</v>
      </c>
      <c r="D45" t="str">
        <f>Venue_Orders[[#This Row],[Venue_Name]]</f>
        <v>Private Residence</v>
      </c>
      <c r="E45">
        <v>0</v>
      </c>
      <c r="F45">
        <v>0</v>
      </c>
      <c r="G45">
        <v>0</v>
      </c>
    </row>
    <row r="46" spans="1:7" x14ac:dyDescent="0.25">
      <c r="A46">
        <v>45</v>
      </c>
      <c r="B46" t="s">
        <v>211</v>
      </c>
      <c r="C46" t="s">
        <v>210</v>
      </c>
      <c r="D46" t="s">
        <v>212</v>
      </c>
      <c r="E46">
        <v>120000</v>
      </c>
      <c r="F46">
        <v>138000</v>
      </c>
      <c r="G46">
        <v>18000</v>
      </c>
    </row>
    <row r="47" spans="1:7" x14ac:dyDescent="0.25">
      <c r="A47">
        <v>46</v>
      </c>
      <c r="B47" t="s">
        <v>207</v>
      </c>
      <c r="C47" t="s">
        <v>206</v>
      </c>
      <c r="D47" t="s">
        <v>208</v>
      </c>
      <c r="E47">
        <v>60000</v>
      </c>
      <c r="F47">
        <v>70000</v>
      </c>
      <c r="G47">
        <v>10000</v>
      </c>
    </row>
    <row r="48" spans="1:7" x14ac:dyDescent="0.25">
      <c r="A48">
        <v>47</v>
      </c>
      <c r="B48" t="s">
        <v>211</v>
      </c>
      <c r="C48" t="s">
        <v>210</v>
      </c>
      <c r="D48" t="s">
        <v>212</v>
      </c>
      <c r="E48">
        <v>120000</v>
      </c>
      <c r="F48">
        <v>138000</v>
      </c>
      <c r="G48">
        <v>18000</v>
      </c>
    </row>
    <row r="49" spans="1:7" x14ac:dyDescent="0.25">
      <c r="A49">
        <v>48</v>
      </c>
      <c r="B49" t="s">
        <v>215</v>
      </c>
      <c r="C49" t="s">
        <v>214</v>
      </c>
      <c r="D49" t="s">
        <v>216</v>
      </c>
      <c r="E49">
        <v>150000</v>
      </c>
      <c r="F49">
        <v>175000</v>
      </c>
      <c r="G49">
        <v>25000</v>
      </c>
    </row>
    <row r="50" spans="1:7" x14ac:dyDescent="0.25">
      <c r="A50">
        <v>49</v>
      </c>
      <c r="B50" t="s">
        <v>215</v>
      </c>
      <c r="C50" t="s">
        <v>214</v>
      </c>
      <c r="D50" t="s">
        <v>216</v>
      </c>
      <c r="E50">
        <v>150000</v>
      </c>
      <c r="F50">
        <v>175000</v>
      </c>
      <c r="G50">
        <v>25000</v>
      </c>
    </row>
    <row r="51" spans="1:7" x14ac:dyDescent="0.25">
      <c r="A51">
        <v>50</v>
      </c>
      <c r="B51" t="s">
        <v>207</v>
      </c>
      <c r="C51" t="s">
        <v>206</v>
      </c>
      <c r="D51" t="s">
        <v>208</v>
      </c>
      <c r="E51">
        <v>60000</v>
      </c>
      <c r="F51">
        <v>70000</v>
      </c>
      <c r="G51">
        <v>10000</v>
      </c>
    </row>
    <row r="52" spans="1:7" x14ac:dyDescent="0.25">
      <c r="A52">
        <v>51</v>
      </c>
      <c r="B52" t="s">
        <v>215</v>
      </c>
      <c r="C52" t="s">
        <v>214</v>
      </c>
      <c r="D52" t="s">
        <v>216</v>
      </c>
      <c r="E52">
        <v>150000</v>
      </c>
      <c r="F52">
        <v>175000</v>
      </c>
      <c r="G52">
        <v>25000</v>
      </c>
    </row>
    <row r="53" spans="1:7" x14ac:dyDescent="0.25">
      <c r="A53">
        <v>52</v>
      </c>
      <c r="B53" t="s">
        <v>215</v>
      </c>
      <c r="C53" t="s">
        <v>214</v>
      </c>
      <c r="D53" t="s">
        <v>216</v>
      </c>
      <c r="E53">
        <v>150000</v>
      </c>
      <c r="F53">
        <v>175000</v>
      </c>
      <c r="G53">
        <v>25000</v>
      </c>
    </row>
    <row r="54" spans="1:7" x14ac:dyDescent="0.25">
      <c r="A54">
        <v>53</v>
      </c>
      <c r="B54" t="s">
        <v>223</v>
      </c>
      <c r="C54" t="s">
        <v>168</v>
      </c>
      <c r="D54" t="str">
        <f>Venue_Orders[[#This Row],[Venue_Name]]</f>
        <v>Private Residence</v>
      </c>
      <c r="E54">
        <v>0</v>
      </c>
      <c r="F54">
        <v>0</v>
      </c>
      <c r="G54">
        <v>0</v>
      </c>
    </row>
    <row r="55" spans="1:7" x14ac:dyDescent="0.25">
      <c r="A55">
        <v>54</v>
      </c>
      <c r="B55" t="s">
        <v>223</v>
      </c>
      <c r="C55" t="s">
        <v>168</v>
      </c>
      <c r="D55" t="str">
        <f>Venue_Orders[[#This Row],[Venue_Name]]</f>
        <v>Private Residence</v>
      </c>
      <c r="E55">
        <v>0</v>
      </c>
      <c r="F55">
        <v>0</v>
      </c>
      <c r="G55">
        <v>0</v>
      </c>
    </row>
    <row r="56" spans="1:7" x14ac:dyDescent="0.25">
      <c r="A56">
        <v>55</v>
      </c>
      <c r="B56" t="s">
        <v>223</v>
      </c>
      <c r="C56" t="s">
        <v>168</v>
      </c>
      <c r="D56" t="str">
        <f>Venue_Orders[[#This Row],[Venue_Name]]</f>
        <v>Private Residence</v>
      </c>
      <c r="E56">
        <v>0</v>
      </c>
      <c r="F56">
        <v>0</v>
      </c>
      <c r="G56">
        <v>0</v>
      </c>
    </row>
    <row r="57" spans="1:7" x14ac:dyDescent="0.25">
      <c r="A57">
        <v>56</v>
      </c>
      <c r="B57" t="s">
        <v>223</v>
      </c>
      <c r="C57" t="s">
        <v>168</v>
      </c>
      <c r="D57" t="str">
        <f>Venue_Orders[[#This Row],[Venue_Name]]</f>
        <v>Private Residence</v>
      </c>
      <c r="E57">
        <v>0</v>
      </c>
      <c r="F57">
        <v>0</v>
      </c>
      <c r="G57">
        <v>0</v>
      </c>
    </row>
    <row r="58" spans="1:7" x14ac:dyDescent="0.25">
      <c r="A58">
        <v>57</v>
      </c>
      <c r="B58" t="s">
        <v>207</v>
      </c>
      <c r="C58" t="s">
        <v>206</v>
      </c>
      <c r="D58" t="s">
        <v>208</v>
      </c>
      <c r="E58">
        <v>60000</v>
      </c>
      <c r="F58">
        <v>70000</v>
      </c>
      <c r="G58">
        <v>10000</v>
      </c>
    </row>
    <row r="59" spans="1:7" x14ac:dyDescent="0.25">
      <c r="A59">
        <v>58</v>
      </c>
      <c r="B59" t="s">
        <v>215</v>
      </c>
      <c r="C59" t="s">
        <v>214</v>
      </c>
      <c r="D59" t="s">
        <v>216</v>
      </c>
      <c r="E59">
        <v>150000</v>
      </c>
      <c r="F59">
        <v>175000</v>
      </c>
      <c r="G59">
        <v>25000</v>
      </c>
    </row>
    <row r="60" spans="1:7" x14ac:dyDescent="0.25">
      <c r="A60">
        <v>59</v>
      </c>
      <c r="B60" t="s">
        <v>223</v>
      </c>
      <c r="C60" t="s">
        <v>168</v>
      </c>
      <c r="D60" t="str">
        <f>Venue_Orders[[#This Row],[Venue_Name]]</f>
        <v>Private Residence</v>
      </c>
      <c r="E60">
        <v>0</v>
      </c>
      <c r="F60">
        <v>0</v>
      </c>
      <c r="G60">
        <v>0</v>
      </c>
    </row>
    <row r="61" spans="1:7" x14ac:dyDescent="0.25">
      <c r="A61">
        <v>60</v>
      </c>
      <c r="B61" t="s">
        <v>223</v>
      </c>
      <c r="C61" t="s">
        <v>168</v>
      </c>
      <c r="D61" t="str">
        <f>Venue_Orders[[#This Row],[Venue_Name]]</f>
        <v>Private Residence</v>
      </c>
      <c r="E61">
        <v>0</v>
      </c>
      <c r="F61">
        <v>0</v>
      </c>
      <c r="G61">
        <v>0</v>
      </c>
    </row>
    <row r="62" spans="1:7" x14ac:dyDescent="0.25">
      <c r="A62">
        <v>61</v>
      </c>
      <c r="B62" t="s">
        <v>215</v>
      </c>
      <c r="C62" t="s">
        <v>214</v>
      </c>
      <c r="D62" t="s">
        <v>216</v>
      </c>
      <c r="E62">
        <v>150000</v>
      </c>
      <c r="F62">
        <v>175000</v>
      </c>
      <c r="G62">
        <v>25000</v>
      </c>
    </row>
    <row r="63" spans="1:7" x14ac:dyDescent="0.25">
      <c r="A63">
        <v>62</v>
      </c>
      <c r="B63" t="s">
        <v>224</v>
      </c>
      <c r="C63" t="s">
        <v>168</v>
      </c>
      <c r="D63" t="str">
        <f>Venue_Orders[[#This Row],[Venue_Name]]</f>
        <v>Temple</v>
      </c>
      <c r="E63">
        <v>0</v>
      </c>
      <c r="F63">
        <v>0</v>
      </c>
      <c r="G63">
        <v>0</v>
      </c>
    </row>
    <row r="64" spans="1:7" x14ac:dyDescent="0.25">
      <c r="A64">
        <v>63</v>
      </c>
      <c r="B64" t="s">
        <v>215</v>
      </c>
      <c r="C64" t="s">
        <v>214</v>
      </c>
      <c r="D64" t="s">
        <v>216</v>
      </c>
      <c r="E64">
        <v>150000</v>
      </c>
      <c r="F64">
        <v>175000</v>
      </c>
      <c r="G64">
        <v>25000</v>
      </c>
    </row>
    <row r="65" spans="1:7" x14ac:dyDescent="0.25">
      <c r="A65">
        <v>64</v>
      </c>
      <c r="B65" t="s">
        <v>215</v>
      </c>
      <c r="C65" t="s">
        <v>214</v>
      </c>
      <c r="D65" t="s">
        <v>216</v>
      </c>
      <c r="E65">
        <v>150000</v>
      </c>
      <c r="F65">
        <v>175000</v>
      </c>
      <c r="G65">
        <v>25000</v>
      </c>
    </row>
    <row r="66" spans="1:7" x14ac:dyDescent="0.25">
      <c r="A66">
        <v>65</v>
      </c>
      <c r="B66" t="s">
        <v>215</v>
      </c>
      <c r="C66" t="s">
        <v>214</v>
      </c>
      <c r="D66" t="s">
        <v>216</v>
      </c>
      <c r="E66">
        <v>150000</v>
      </c>
      <c r="F66">
        <v>175000</v>
      </c>
      <c r="G66">
        <v>25000</v>
      </c>
    </row>
    <row r="67" spans="1:7" x14ac:dyDescent="0.25">
      <c r="A67">
        <v>66</v>
      </c>
      <c r="B67" t="s">
        <v>221</v>
      </c>
      <c r="C67" t="s">
        <v>220</v>
      </c>
      <c r="D67" t="s">
        <v>222</v>
      </c>
      <c r="E67">
        <v>200000</v>
      </c>
      <c r="F67">
        <v>230000</v>
      </c>
      <c r="G67">
        <v>30000</v>
      </c>
    </row>
    <row r="68" spans="1:7" x14ac:dyDescent="0.25">
      <c r="A68">
        <v>67</v>
      </c>
      <c r="B68" t="s">
        <v>221</v>
      </c>
      <c r="C68" t="s">
        <v>220</v>
      </c>
      <c r="D68" t="s">
        <v>222</v>
      </c>
      <c r="E68">
        <v>200000</v>
      </c>
      <c r="F68">
        <v>230000</v>
      </c>
      <c r="G68">
        <v>30000</v>
      </c>
    </row>
    <row r="69" spans="1:7" x14ac:dyDescent="0.25">
      <c r="A69">
        <v>68</v>
      </c>
      <c r="B69" t="s">
        <v>215</v>
      </c>
      <c r="C69" t="s">
        <v>214</v>
      </c>
      <c r="D69" t="s">
        <v>216</v>
      </c>
      <c r="E69">
        <v>150000</v>
      </c>
      <c r="F69">
        <v>175000</v>
      </c>
      <c r="G69">
        <v>25000</v>
      </c>
    </row>
    <row r="70" spans="1:7" x14ac:dyDescent="0.25">
      <c r="A70">
        <v>69</v>
      </c>
      <c r="B70" t="s">
        <v>207</v>
      </c>
      <c r="C70" t="s">
        <v>206</v>
      </c>
      <c r="D70" t="s">
        <v>208</v>
      </c>
      <c r="E70">
        <v>60000</v>
      </c>
      <c r="F70">
        <v>70000</v>
      </c>
      <c r="G70">
        <v>10000</v>
      </c>
    </row>
    <row r="71" spans="1:7" x14ac:dyDescent="0.25">
      <c r="A71">
        <v>70</v>
      </c>
      <c r="B71" t="s">
        <v>215</v>
      </c>
      <c r="C71" t="s">
        <v>214</v>
      </c>
      <c r="D71" t="s">
        <v>216</v>
      </c>
      <c r="E71">
        <v>150000</v>
      </c>
      <c r="F71">
        <v>175000</v>
      </c>
      <c r="G71">
        <v>25000</v>
      </c>
    </row>
    <row r="72" spans="1:7" x14ac:dyDescent="0.25">
      <c r="A72">
        <v>71</v>
      </c>
      <c r="B72" t="s">
        <v>215</v>
      </c>
      <c r="C72" t="s">
        <v>214</v>
      </c>
      <c r="D72" t="s">
        <v>216</v>
      </c>
      <c r="E72">
        <v>150000</v>
      </c>
      <c r="F72">
        <v>175000</v>
      </c>
      <c r="G72">
        <v>25000</v>
      </c>
    </row>
    <row r="73" spans="1:7" x14ac:dyDescent="0.25">
      <c r="A73">
        <v>72</v>
      </c>
      <c r="B73" t="s">
        <v>215</v>
      </c>
      <c r="C73" t="s">
        <v>214</v>
      </c>
      <c r="D73" t="s">
        <v>216</v>
      </c>
      <c r="E73">
        <v>150000</v>
      </c>
      <c r="F73">
        <v>175000</v>
      </c>
      <c r="G73">
        <v>25000</v>
      </c>
    </row>
    <row r="74" spans="1:7" x14ac:dyDescent="0.25">
      <c r="A74">
        <v>73</v>
      </c>
      <c r="B74" t="s">
        <v>215</v>
      </c>
      <c r="C74" t="s">
        <v>214</v>
      </c>
      <c r="D74" t="s">
        <v>216</v>
      </c>
      <c r="E74">
        <v>150000</v>
      </c>
      <c r="F74">
        <v>175000</v>
      </c>
      <c r="G74">
        <v>25000</v>
      </c>
    </row>
    <row r="75" spans="1:7" x14ac:dyDescent="0.25">
      <c r="A75">
        <v>74</v>
      </c>
      <c r="B75" t="s">
        <v>215</v>
      </c>
      <c r="C75" t="s">
        <v>214</v>
      </c>
      <c r="D75" t="s">
        <v>216</v>
      </c>
      <c r="E75">
        <v>150000</v>
      </c>
      <c r="F75">
        <v>175000</v>
      </c>
      <c r="G75">
        <v>25000</v>
      </c>
    </row>
    <row r="76" spans="1:7" x14ac:dyDescent="0.25">
      <c r="A76">
        <v>75</v>
      </c>
      <c r="B76" t="s">
        <v>218</v>
      </c>
      <c r="C76" t="s">
        <v>217</v>
      </c>
      <c r="D76" t="s">
        <v>219</v>
      </c>
      <c r="E76">
        <v>40000</v>
      </c>
      <c r="F76">
        <v>48000</v>
      </c>
      <c r="G76">
        <v>8000</v>
      </c>
    </row>
    <row r="77" spans="1:7" x14ac:dyDescent="0.25">
      <c r="A77">
        <v>76</v>
      </c>
      <c r="B77" t="s">
        <v>218</v>
      </c>
      <c r="C77" t="s">
        <v>217</v>
      </c>
      <c r="D77" t="s">
        <v>219</v>
      </c>
      <c r="E77">
        <v>40000</v>
      </c>
      <c r="F77">
        <v>48000</v>
      </c>
      <c r="G77">
        <v>8000</v>
      </c>
    </row>
    <row r="78" spans="1:7" x14ac:dyDescent="0.25">
      <c r="A78">
        <v>77</v>
      </c>
      <c r="B78" t="s">
        <v>224</v>
      </c>
      <c r="C78" t="s">
        <v>168</v>
      </c>
      <c r="D78" t="str">
        <f>Venue_Orders[[#This Row],[Venue_Name]]</f>
        <v>Temple</v>
      </c>
      <c r="E78">
        <v>0</v>
      </c>
      <c r="F78">
        <v>0</v>
      </c>
      <c r="G78">
        <v>0</v>
      </c>
    </row>
    <row r="79" spans="1:7" x14ac:dyDescent="0.25">
      <c r="A79">
        <v>78</v>
      </c>
      <c r="B79" t="s">
        <v>207</v>
      </c>
      <c r="C79" t="s">
        <v>206</v>
      </c>
      <c r="D79" t="s">
        <v>208</v>
      </c>
      <c r="E79">
        <v>60000</v>
      </c>
      <c r="F79">
        <v>70000</v>
      </c>
      <c r="G79">
        <v>10000</v>
      </c>
    </row>
    <row r="80" spans="1:7" x14ac:dyDescent="0.25">
      <c r="A80">
        <v>79</v>
      </c>
      <c r="B80" t="s">
        <v>221</v>
      </c>
      <c r="C80" t="s">
        <v>220</v>
      </c>
      <c r="D80" t="s">
        <v>222</v>
      </c>
      <c r="E80">
        <v>200000</v>
      </c>
      <c r="F80">
        <v>230000</v>
      </c>
      <c r="G80">
        <v>30000</v>
      </c>
    </row>
    <row r="81" spans="1:7" x14ac:dyDescent="0.25">
      <c r="A81">
        <v>80</v>
      </c>
      <c r="B81" t="s">
        <v>221</v>
      </c>
      <c r="C81" t="s">
        <v>220</v>
      </c>
      <c r="D81" t="s">
        <v>222</v>
      </c>
      <c r="E81">
        <v>200000</v>
      </c>
      <c r="F81">
        <v>230000</v>
      </c>
      <c r="G81">
        <v>30000</v>
      </c>
    </row>
    <row r="82" spans="1:7" x14ac:dyDescent="0.25">
      <c r="A82">
        <v>81</v>
      </c>
      <c r="B82" t="s">
        <v>221</v>
      </c>
      <c r="C82" t="s">
        <v>220</v>
      </c>
      <c r="D82" t="s">
        <v>222</v>
      </c>
      <c r="E82">
        <v>200000</v>
      </c>
      <c r="F82">
        <v>230000</v>
      </c>
      <c r="G82">
        <v>30000</v>
      </c>
    </row>
    <row r="83" spans="1:7" x14ac:dyDescent="0.25">
      <c r="A83">
        <v>82</v>
      </c>
      <c r="B83" t="s">
        <v>221</v>
      </c>
      <c r="C83" t="s">
        <v>220</v>
      </c>
      <c r="D83" t="s">
        <v>222</v>
      </c>
      <c r="E83">
        <v>200000</v>
      </c>
      <c r="F83">
        <v>230000</v>
      </c>
      <c r="G83">
        <v>30000</v>
      </c>
    </row>
    <row r="84" spans="1:7" x14ac:dyDescent="0.25">
      <c r="A84">
        <v>83</v>
      </c>
      <c r="B84" t="s">
        <v>218</v>
      </c>
      <c r="C84" t="s">
        <v>217</v>
      </c>
      <c r="D84" t="s">
        <v>219</v>
      </c>
      <c r="E84">
        <v>40000</v>
      </c>
      <c r="F84">
        <v>48000</v>
      </c>
      <c r="G84">
        <v>8000</v>
      </c>
    </row>
    <row r="85" spans="1:7" x14ac:dyDescent="0.25">
      <c r="A85">
        <v>84</v>
      </c>
      <c r="B85" t="s">
        <v>218</v>
      </c>
      <c r="C85" t="s">
        <v>217</v>
      </c>
      <c r="D85" t="s">
        <v>219</v>
      </c>
      <c r="E85">
        <v>40000</v>
      </c>
      <c r="F85">
        <v>48000</v>
      </c>
      <c r="G85">
        <v>8000</v>
      </c>
    </row>
    <row r="86" spans="1:7" x14ac:dyDescent="0.25">
      <c r="A86">
        <v>85</v>
      </c>
      <c r="B86" t="s">
        <v>218</v>
      </c>
      <c r="C86" t="s">
        <v>217</v>
      </c>
      <c r="D86" t="s">
        <v>219</v>
      </c>
      <c r="E86">
        <v>40000</v>
      </c>
      <c r="F86">
        <v>48000</v>
      </c>
      <c r="G86">
        <v>8000</v>
      </c>
    </row>
    <row r="87" spans="1:7" x14ac:dyDescent="0.25">
      <c r="A87">
        <v>86</v>
      </c>
      <c r="B87" t="s">
        <v>215</v>
      </c>
      <c r="C87" t="s">
        <v>214</v>
      </c>
      <c r="D87" t="s">
        <v>216</v>
      </c>
      <c r="E87">
        <v>150000</v>
      </c>
      <c r="F87">
        <v>175000</v>
      </c>
      <c r="G87">
        <v>25000</v>
      </c>
    </row>
    <row r="88" spans="1:7" x14ac:dyDescent="0.25">
      <c r="A88">
        <v>87</v>
      </c>
      <c r="B88" t="s">
        <v>215</v>
      </c>
      <c r="C88" t="s">
        <v>214</v>
      </c>
      <c r="D88" t="s">
        <v>216</v>
      </c>
      <c r="E88">
        <v>150000</v>
      </c>
      <c r="F88">
        <v>175000</v>
      </c>
      <c r="G88">
        <v>25000</v>
      </c>
    </row>
    <row r="89" spans="1:7" x14ac:dyDescent="0.25">
      <c r="A89">
        <v>88</v>
      </c>
      <c r="B89" t="s">
        <v>221</v>
      </c>
      <c r="C89" t="s">
        <v>220</v>
      </c>
      <c r="D89" t="s">
        <v>222</v>
      </c>
      <c r="E89">
        <v>200000</v>
      </c>
      <c r="F89">
        <v>230000</v>
      </c>
      <c r="G89">
        <v>30000</v>
      </c>
    </row>
    <row r="90" spans="1:7" x14ac:dyDescent="0.25">
      <c r="A90">
        <v>89</v>
      </c>
      <c r="B90" t="s">
        <v>207</v>
      </c>
      <c r="C90" t="s">
        <v>206</v>
      </c>
      <c r="D90" t="s">
        <v>208</v>
      </c>
      <c r="E90">
        <v>60000</v>
      </c>
      <c r="F90">
        <v>70000</v>
      </c>
      <c r="G90">
        <v>10000</v>
      </c>
    </row>
    <row r="91" spans="1:7" x14ac:dyDescent="0.25">
      <c r="A91">
        <v>90</v>
      </c>
      <c r="B91" t="s">
        <v>215</v>
      </c>
      <c r="C91" t="s">
        <v>214</v>
      </c>
      <c r="D91" t="s">
        <v>216</v>
      </c>
      <c r="E91">
        <v>150000</v>
      </c>
      <c r="F91">
        <v>175000</v>
      </c>
      <c r="G91">
        <v>25000</v>
      </c>
    </row>
    <row r="92" spans="1:7" x14ac:dyDescent="0.25">
      <c r="A92">
        <v>91</v>
      </c>
      <c r="B92" t="s">
        <v>221</v>
      </c>
      <c r="C92" t="s">
        <v>220</v>
      </c>
      <c r="D92" t="s">
        <v>222</v>
      </c>
      <c r="E92">
        <v>200000</v>
      </c>
      <c r="F92">
        <v>230000</v>
      </c>
      <c r="G92">
        <v>30000</v>
      </c>
    </row>
    <row r="93" spans="1:7" x14ac:dyDescent="0.25">
      <c r="A93">
        <v>92</v>
      </c>
      <c r="B93" t="s">
        <v>215</v>
      </c>
      <c r="C93" t="s">
        <v>214</v>
      </c>
      <c r="D93" t="s">
        <v>216</v>
      </c>
      <c r="E93">
        <v>150000</v>
      </c>
      <c r="F93">
        <v>175000</v>
      </c>
      <c r="G93">
        <v>25000</v>
      </c>
    </row>
    <row r="94" spans="1:7" x14ac:dyDescent="0.25">
      <c r="A94">
        <v>93</v>
      </c>
      <c r="B94" t="s">
        <v>221</v>
      </c>
      <c r="C94" t="s">
        <v>220</v>
      </c>
      <c r="D94" t="s">
        <v>222</v>
      </c>
      <c r="E94">
        <v>200000</v>
      </c>
      <c r="F94">
        <v>230000</v>
      </c>
      <c r="G94">
        <v>30000</v>
      </c>
    </row>
    <row r="95" spans="1:7" x14ac:dyDescent="0.25">
      <c r="A95">
        <v>94</v>
      </c>
      <c r="B95" t="s">
        <v>211</v>
      </c>
      <c r="C95" t="s">
        <v>210</v>
      </c>
      <c r="D95" t="s">
        <v>212</v>
      </c>
      <c r="E95">
        <v>120000</v>
      </c>
      <c r="F95">
        <v>138000</v>
      </c>
      <c r="G95">
        <v>18000</v>
      </c>
    </row>
    <row r="96" spans="1:7" x14ac:dyDescent="0.25">
      <c r="A96">
        <v>95</v>
      </c>
      <c r="B96" t="s">
        <v>221</v>
      </c>
      <c r="C96" t="s">
        <v>220</v>
      </c>
      <c r="D96" t="s">
        <v>222</v>
      </c>
      <c r="E96">
        <v>200000</v>
      </c>
      <c r="F96">
        <v>230000</v>
      </c>
      <c r="G96">
        <v>30000</v>
      </c>
    </row>
    <row r="97" spans="1:7" x14ac:dyDescent="0.25">
      <c r="A97">
        <v>96</v>
      </c>
      <c r="B97" t="s">
        <v>215</v>
      </c>
      <c r="C97" t="s">
        <v>214</v>
      </c>
      <c r="D97" t="s">
        <v>216</v>
      </c>
      <c r="E97">
        <v>150000</v>
      </c>
      <c r="F97">
        <v>175000</v>
      </c>
      <c r="G97">
        <v>25000</v>
      </c>
    </row>
    <row r="98" spans="1:7" x14ac:dyDescent="0.25">
      <c r="A98">
        <v>97</v>
      </c>
      <c r="B98" t="s">
        <v>215</v>
      </c>
      <c r="C98" t="s">
        <v>214</v>
      </c>
      <c r="D98" t="s">
        <v>216</v>
      </c>
      <c r="E98">
        <v>150000</v>
      </c>
      <c r="F98">
        <v>175000</v>
      </c>
      <c r="G98">
        <v>25000</v>
      </c>
    </row>
    <row r="99" spans="1:7" x14ac:dyDescent="0.25">
      <c r="A99">
        <v>98</v>
      </c>
      <c r="B99" t="s">
        <v>215</v>
      </c>
      <c r="C99" t="s">
        <v>214</v>
      </c>
      <c r="D99" t="s">
        <v>216</v>
      </c>
      <c r="E99">
        <v>150000</v>
      </c>
      <c r="F99">
        <v>175000</v>
      </c>
      <c r="G99">
        <v>25000</v>
      </c>
    </row>
    <row r="100" spans="1:7" x14ac:dyDescent="0.25">
      <c r="A100">
        <v>99</v>
      </c>
      <c r="B100" t="s">
        <v>223</v>
      </c>
      <c r="C100" t="s">
        <v>168</v>
      </c>
      <c r="D100" t="str">
        <f>Venue_Orders[[#This Row],[Venue_Name]]</f>
        <v>Private Residence</v>
      </c>
      <c r="E100">
        <v>0</v>
      </c>
      <c r="F100">
        <v>0</v>
      </c>
      <c r="G100">
        <v>0</v>
      </c>
    </row>
    <row r="101" spans="1:7" x14ac:dyDescent="0.25">
      <c r="A101">
        <v>100</v>
      </c>
      <c r="B101" t="s">
        <v>223</v>
      </c>
      <c r="C101" t="s">
        <v>168</v>
      </c>
      <c r="D101" t="str">
        <f>Venue_Orders[[#This Row],[Venue_Name]]</f>
        <v>Private Residence</v>
      </c>
      <c r="E101">
        <v>0</v>
      </c>
      <c r="F101">
        <v>0</v>
      </c>
      <c r="G101">
        <v>0</v>
      </c>
    </row>
    <row r="102" spans="1:7" x14ac:dyDescent="0.25">
      <c r="A102">
        <v>101</v>
      </c>
      <c r="B102" t="s">
        <v>211</v>
      </c>
      <c r="C102" t="s">
        <v>210</v>
      </c>
      <c r="D102" t="s">
        <v>212</v>
      </c>
      <c r="E102">
        <v>120000</v>
      </c>
      <c r="F102">
        <v>138000</v>
      </c>
      <c r="G102">
        <v>18000</v>
      </c>
    </row>
    <row r="103" spans="1:7" x14ac:dyDescent="0.25">
      <c r="A103">
        <v>102</v>
      </c>
      <c r="B103" t="s">
        <v>207</v>
      </c>
      <c r="C103" t="s">
        <v>206</v>
      </c>
      <c r="D103" t="s">
        <v>208</v>
      </c>
      <c r="E103">
        <v>60000</v>
      </c>
      <c r="F103">
        <v>70000</v>
      </c>
      <c r="G103">
        <v>10000</v>
      </c>
    </row>
    <row r="104" spans="1:7" x14ac:dyDescent="0.25">
      <c r="A104">
        <v>103</v>
      </c>
      <c r="B104" t="s">
        <v>211</v>
      </c>
      <c r="C104" t="s">
        <v>210</v>
      </c>
      <c r="D104" t="s">
        <v>212</v>
      </c>
      <c r="E104">
        <v>120000</v>
      </c>
      <c r="F104">
        <v>138000</v>
      </c>
      <c r="G104">
        <v>18000</v>
      </c>
    </row>
    <row r="105" spans="1:7" x14ac:dyDescent="0.25">
      <c r="A105">
        <v>104</v>
      </c>
      <c r="B105" t="s">
        <v>215</v>
      </c>
      <c r="C105" t="s">
        <v>214</v>
      </c>
      <c r="D105" t="s">
        <v>216</v>
      </c>
      <c r="E105">
        <v>150000</v>
      </c>
      <c r="F105">
        <v>175000</v>
      </c>
      <c r="G105">
        <v>25000</v>
      </c>
    </row>
    <row r="106" spans="1:7" x14ac:dyDescent="0.25">
      <c r="A106">
        <v>105</v>
      </c>
      <c r="B106" t="s">
        <v>215</v>
      </c>
      <c r="C106" t="s">
        <v>214</v>
      </c>
      <c r="D106" t="s">
        <v>216</v>
      </c>
      <c r="E106">
        <v>150000</v>
      </c>
      <c r="F106">
        <v>175000</v>
      </c>
      <c r="G106">
        <v>25000</v>
      </c>
    </row>
    <row r="107" spans="1:7" x14ac:dyDescent="0.25">
      <c r="A107">
        <v>106</v>
      </c>
      <c r="B107" t="s">
        <v>215</v>
      </c>
      <c r="C107" t="s">
        <v>214</v>
      </c>
      <c r="D107" t="s">
        <v>216</v>
      </c>
      <c r="E107">
        <v>150000</v>
      </c>
      <c r="F107">
        <v>175000</v>
      </c>
      <c r="G107">
        <v>25000</v>
      </c>
    </row>
    <row r="108" spans="1:7" x14ac:dyDescent="0.25">
      <c r="A108">
        <v>107</v>
      </c>
      <c r="B108" t="s">
        <v>207</v>
      </c>
      <c r="C108" t="s">
        <v>206</v>
      </c>
      <c r="D108" t="s">
        <v>208</v>
      </c>
      <c r="E108">
        <v>60000</v>
      </c>
      <c r="F108">
        <v>70000</v>
      </c>
      <c r="G108">
        <v>10000</v>
      </c>
    </row>
    <row r="109" spans="1:7" x14ac:dyDescent="0.25">
      <c r="A109">
        <v>108</v>
      </c>
      <c r="B109" t="s">
        <v>215</v>
      </c>
      <c r="C109" t="s">
        <v>214</v>
      </c>
      <c r="D109" t="s">
        <v>216</v>
      </c>
      <c r="E109">
        <v>150000</v>
      </c>
      <c r="F109">
        <v>175000</v>
      </c>
      <c r="G109">
        <v>25000</v>
      </c>
    </row>
    <row r="110" spans="1:7" x14ac:dyDescent="0.25">
      <c r="A110">
        <v>109</v>
      </c>
      <c r="B110" t="s">
        <v>223</v>
      </c>
      <c r="C110" t="s">
        <v>168</v>
      </c>
      <c r="D110" t="str">
        <f>Venue_Orders[[#This Row],[Venue_Name]]</f>
        <v>Private Residence</v>
      </c>
      <c r="E110">
        <v>0</v>
      </c>
      <c r="F110">
        <v>0</v>
      </c>
      <c r="G110">
        <v>0</v>
      </c>
    </row>
    <row r="111" spans="1:7" x14ac:dyDescent="0.25">
      <c r="A111">
        <v>110</v>
      </c>
      <c r="B111" t="s">
        <v>215</v>
      </c>
      <c r="C111" t="s">
        <v>214</v>
      </c>
      <c r="D111" t="s">
        <v>216</v>
      </c>
      <c r="E111">
        <v>150000</v>
      </c>
      <c r="F111">
        <v>175000</v>
      </c>
      <c r="G111">
        <v>25000</v>
      </c>
    </row>
    <row r="112" spans="1:7" x14ac:dyDescent="0.25">
      <c r="A112">
        <v>111</v>
      </c>
      <c r="B112" t="s">
        <v>223</v>
      </c>
      <c r="C112" t="s">
        <v>168</v>
      </c>
      <c r="D112" t="str">
        <f>Venue_Orders[[#This Row],[Venue_Name]]</f>
        <v>Private Residence</v>
      </c>
      <c r="E112">
        <v>0</v>
      </c>
      <c r="F112">
        <v>0</v>
      </c>
      <c r="G112">
        <v>0</v>
      </c>
    </row>
    <row r="113" spans="1:7" x14ac:dyDescent="0.25">
      <c r="A113">
        <v>112</v>
      </c>
      <c r="B113" t="s">
        <v>223</v>
      </c>
      <c r="C113" t="s">
        <v>168</v>
      </c>
      <c r="D113" t="str">
        <f>Venue_Orders[[#This Row],[Venue_Name]]</f>
        <v>Private Residence</v>
      </c>
      <c r="E113">
        <v>0</v>
      </c>
      <c r="F113">
        <v>0</v>
      </c>
      <c r="G113">
        <v>0</v>
      </c>
    </row>
    <row r="114" spans="1:7" x14ac:dyDescent="0.25">
      <c r="A114">
        <v>113</v>
      </c>
      <c r="B114" t="s">
        <v>207</v>
      </c>
      <c r="C114" t="s">
        <v>206</v>
      </c>
      <c r="D114" t="s">
        <v>208</v>
      </c>
      <c r="E114">
        <v>60000</v>
      </c>
      <c r="F114">
        <v>70000</v>
      </c>
      <c r="G114">
        <v>10000</v>
      </c>
    </row>
    <row r="115" spans="1:7" x14ac:dyDescent="0.25">
      <c r="A115">
        <v>114</v>
      </c>
      <c r="B115" t="s">
        <v>223</v>
      </c>
      <c r="C115" t="s">
        <v>168</v>
      </c>
      <c r="D115" t="str">
        <f>Venue_Orders[[#This Row],[Venue_Name]]</f>
        <v>Private Residence</v>
      </c>
      <c r="E115">
        <v>0</v>
      </c>
      <c r="F115">
        <v>0</v>
      </c>
      <c r="G115">
        <v>0</v>
      </c>
    </row>
    <row r="116" spans="1:7" x14ac:dyDescent="0.25">
      <c r="A116">
        <v>115</v>
      </c>
      <c r="B116" t="s">
        <v>223</v>
      </c>
      <c r="C116" t="s">
        <v>168</v>
      </c>
      <c r="D116" t="str">
        <f>Venue_Orders[[#This Row],[Venue_Name]]</f>
        <v>Private Residence</v>
      </c>
      <c r="E116">
        <v>0</v>
      </c>
      <c r="F116">
        <v>0</v>
      </c>
      <c r="G116">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5E661-A806-4486-B82C-A4B466E820A7}">
  <dimension ref="A1:I6"/>
  <sheetViews>
    <sheetView workbookViewId="0">
      <selection activeCell="D3" sqref="D3"/>
    </sheetView>
  </sheetViews>
  <sheetFormatPr defaultRowHeight="15" x14ac:dyDescent="0.25"/>
  <cols>
    <col min="1" max="1" width="11.28515625" bestFit="1" customWidth="1"/>
    <col min="2" max="2" width="18.42578125" bestFit="1" customWidth="1"/>
    <col min="3" max="3" width="16.85546875" bestFit="1" customWidth="1"/>
    <col min="4" max="4" width="34.140625" bestFit="1" customWidth="1"/>
    <col min="5" max="5" width="15.42578125" bestFit="1" customWidth="1"/>
    <col min="6" max="6" width="23.28515625" bestFit="1" customWidth="1"/>
    <col min="7" max="7" width="7.140625" bestFit="1" customWidth="1"/>
    <col min="8" max="8" width="15.85546875" bestFit="1" customWidth="1"/>
    <col min="9" max="9" width="8.28515625" bestFit="1" customWidth="1"/>
  </cols>
  <sheetData>
    <row r="1" spans="1:9" x14ac:dyDescent="0.25">
      <c r="A1" t="s">
        <v>255</v>
      </c>
      <c r="B1" t="s">
        <v>256</v>
      </c>
      <c r="C1" t="s">
        <v>172</v>
      </c>
      <c r="D1" t="s">
        <v>257</v>
      </c>
      <c r="E1" t="s">
        <v>258</v>
      </c>
      <c r="F1" t="s">
        <v>175</v>
      </c>
      <c r="G1" t="s">
        <v>133</v>
      </c>
      <c r="H1" t="s">
        <v>140</v>
      </c>
      <c r="I1" t="s">
        <v>135</v>
      </c>
    </row>
    <row r="2" spans="1:9" x14ac:dyDescent="0.25">
      <c r="A2" t="s">
        <v>259</v>
      </c>
      <c r="B2" t="s">
        <v>260</v>
      </c>
      <c r="C2" t="s">
        <v>261</v>
      </c>
      <c r="D2" t="s">
        <v>262</v>
      </c>
      <c r="E2" t="s">
        <v>263</v>
      </c>
      <c r="F2" t="s">
        <v>264</v>
      </c>
      <c r="G2">
        <v>25000</v>
      </c>
      <c r="H2">
        <v>30000</v>
      </c>
      <c r="I2">
        <v>5000</v>
      </c>
    </row>
    <row r="3" spans="1:9" x14ac:dyDescent="0.25">
      <c r="A3" t="s">
        <v>265</v>
      </c>
      <c r="B3" t="s">
        <v>266</v>
      </c>
      <c r="C3" t="s">
        <v>267</v>
      </c>
      <c r="D3" t="s">
        <v>268</v>
      </c>
      <c r="E3" t="s">
        <v>269</v>
      </c>
      <c r="F3" t="s">
        <v>270</v>
      </c>
      <c r="G3">
        <v>30000</v>
      </c>
      <c r="H3">
        <v>36000</v>
      </c>
      <c r="I3">
        <v>6000</v>
      </c>
    </row>
    <row r="4" spans="1:9" x14ac:dyDescent="0.25">
      <c r="A4" t="s">
        <v>271</v>
      </c>
      <c r="B4" t="s">
        <v>272</v>
      </c>
      <c r="C4" t="s">
        <v>273</v>
      </c>
      <c r="D4" t="s">
        <v>274</v>
      </c>
      <c r="E4" t="s">
        <v>275</v>
      </c>
      <c r="F4" t="s">
        <v>276</v>
      </c>
      <c r="G4">
        <v>50000</v>
      </c>
      <c r="H4">
        <v>60000</v>
      </c>
      <c r="I4">
        <v>10000</v>
      </c>
    </row>
    <row r="5" spans="1:9" x14ac:dyDescent="0.25">
      <c r="A5" t="s">
        <v>277</v>
      </c>
      <c r="B5" t="s">
        <v>278</v>
      </c>
      <c r="C5" t="s">
        <v>279</v>
      </c>
      <c r="D5" t="s">
        <v>280</v>
      </c>
      <c r="E5" t="s">
        <v>146</v>
      </c>
      <c r="F5" t="s">
        <v>281</v>
      </c>
      <c r="G5">
        <v>20000</v>
      </c>
      <c r="H5">
        <v>24000</v>
      </c>
      <c r="I5">
        <v>4000</v>
      </c>
    </row>
    <row r="6" spans="1:9" x14ac:dyDescent="0.25">
      <c r="A6" t="s">
        <v>282</v>
      </c>
      <c r="B6" t="s">
        <v>283</v>
      </c>
      <c r="C6" t="s">
        <v>284</v>
      </c>
      <c r="D6" t="s">
        <v>285</v>
      </c>
      <c r="E6" t="s">
        <v>286</v>
      </c>
      <c r="F6" t="s">
        <v>287</v>
      </c>
      <c r="G6">
        <v>35000</v>
      </c>
      <c r="H6">
        <v>42000</v>
      </c>
      <c r="I6">
        <v>7000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6CB1F-4043-47E4-B94B-384A1AE25647}">
  <dimension ref="A1:H6"/>
  <sheetViews>
    <sheetView workbookViewId="0">
      <selection activeCell="C3" sqref="C3"/>
    </sheetView>
  </sheetViews>
  <sheetFormatPr defaultRowHeight="15" x14ac:dyDescent="0.25"/>
  <cols>
    <col min="1" max="1" width="17.5703125" bestFit="1" customWidth="1"/>
    <col min="2" max="2" width="18.5703125" bestFit="1" customWidth="1"/>
    <col min="3" max="3" width="22" bestFit="1" customWidth="1"/>
    <col min="4" max="4" width="23.28515625" bestFit="1" customWidth="1"/>
    <col min="5" max="5" width="7.140625" bestFit="1" customWidth="1"/>
    <col min="6" max="6" width="15.85546875" bestFit="1" customWidth="1"/>
    <col min="7" max="7" width="8.28515625" bestFit="1" customWidth="1"/>
    <col min="8" max="8" width="16.28515625" bestFit="1" customWidth="1"/>
  </cols>
  <sheetData>
    <row r="1" spans="1:8" x14ac:dyDescent="0.25">
      <c r="A1" t="s">
        <v>225</v>
      </c>
      <c r="B1" t="s">
        <v>226</v>
      </c>
      <c r="C1" t="s">
        <v>227</v>
      </c>
      <c r="D1" t="s">
        <v>228</v>
      </c>
      <c r="E1" t="s">
        <v>133</v>
      </c>
      <c r="F1" t="s">
        <v>140</v>
      </c>
      <c r="G1" t="s">
        <v>135</v>
      </c>
      <c r="H1" t="s">
        <v>229</v>
      </c>
    </row>
    <row r="2" spans="1:8" x14ac:dyDescent="0.25">
      <c r="A2" t="s">
        <v>230</v>
      </c>
      <c r="B2" t="s">
        <v>231</v>
      </c>
      <c r="C2" t="s">
        <v>232</v>
      </c>
      <c r="D2" t="s">
        <v>233</v>
      </c>
      <c r="E2">
        <v>30000</v>
      </c>
      <c r="F2">
        <v>36000</v>
      </c>
      <c r="G2">
        <v>6000</v>
      </c>
      <c r="H2" t="s">
        <v>234</v>
      </c>
    </row>
    <row r="3" spans="1:8" x14ac:dyDescent="0.25">
      <c r="A3" t="s">
        <v>235</v>
      </c>
      <c r="B3" t="s">
        <v>236</v>
      </c>
      <c r="C3" t="s">
        <v>237</v>
      </c>
      <c r="D3" t="s">
        <v>238</v>
      </c>
      <c r="E3">
        <v>45000</v>
      </c>
      <c r="F3">
        <v>53000</v>
      </c>
      <c r="G3">
        <v>8000</v>
      </c>
      <c r="H3" t="s">
        <v>239</v>
      </c>
    </row>
    <row r="4" spans="1:8" x14ac:dyDescent="0.25">
      <c r="A4" t="s">
        <v>240</v>
      </c>
      <c r="B4" t="s">
        <v>241</v>
      </c>
      <c r="C4" t="s">
        <v>242</v>
      </c>
      <c r="D4" t="s">
        <v>243</v>
      </c>
      <c r="E4">
        <v>20000</v>
      </c>
      <c r="F4">
        <v>24000</v>
      </c>
      <c r="G4">
        <v>4000</v>
      </c>
      <c r="H4" t="s">
        <v>244</v>
      </c>
    </row>
    <row r="5" spans="1:8" x14ac:dyDescent="0.25">
      <c r="A5" t="s">
        <v>245</v>
      </c>
      <c r="B5" t="s">
        <v>246</v>
      </c>
      <c r="C5" t="s">
        <v>247</v>
      </c>
      <c r="D5" t="s">
        <v>248</v>
      </c>
      <c r="E5">
        <v>10000</v>
      </c>
      <c r="F5">
        <v>12000</v>
      </c>
      <c r="G5">
        <v>2000</v>
      </c>
      <c r="H5" t="s">
        <v>249</v>
      </c>
    </row>
    <row r="6" spans="1:8" x14ac:dyDescent="0.25">
      <c r="A6" t="s">
        <v>250</v>
      </c>
      <c r="B6" t="s">
        <v>251</v>
      </c>
      <c r="C6" t="s">
        <v>252</v>
      </c>
      <c r="D6" t="s">
        <v>253</v>
      </c>
      <c r="E6">
        <v>25000</v>
      </c>
      <c r="F6">
        <v>30000</v>
      </c>
      <c r="G6">
        <v>5000</v>
      </c>
      <c r="H6" t="s">
        <v>254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D41D-C1CD-4C12-8DD7-B8E95DE3BC19}">
  <dimension ref="A1:F116"/>
  <sheetViews>
    <sheetView topLeftCell="A80" workbookViewId="0">
      <selection activeCell="E11" sqref="E11"/>
    </sheetView>
  </sheetViews>
  <sheetFormatPr defaultRowHeight="15" x14ac:dyDescent="0.25"/>
  <cols>
    <col min="1" max="1" width="11.85546875" bestFit="1" customWidth="1"/>
    <col min="2" max="2" width="22" bestFit="1" customWidth="1"/>
    <col min="3" max="3" width="17.5703125" bestFit="1" customWidth="1"/>
    <col min="4" max="4" width="7.140625" bestFit="1" customWidth="1"/>
    <col min="5" max="5" width="15.85546875" bestFit="1" customWidth="1"/>
    <col min="6" max="6" width="8.28515625" bestFit="1" customWidth="1"/>
  </cols>
  <sheetData>
    <row r="1" spans="1:6" x14ac:dyDescent="0.25">
      <c r="A1" t="s">
        <v>131</v>
      </c>
      <c r="B1" t="s">
        <v>227</v>
      </c>
      <c r="C1" t="s">
        <v>225</v>
      </c>
      <c r="D1" t="s">
        <v>133</v>
      </c>
      <c r="E1" t="s">
        <v>140</v>
      </c>
      <c r="F1" t="s">
        <v>135</v>
      </c>
    </row>
    <row r="2" spans="1:6" x14ac:dyDescent="0.25">
      <c r="A2">
        <v>1</v>
      </c>
      <c r="B2" t="s">
        <v>232</v>
      </c>
      <c r="C2" t="s">
        <v>230</v>
      </c>
      <c r="D2">
        <v>30000</v>
      </c>
      <c r="E2">
        <v>36000</v>
      </c>
      <c r="F2">
        <v>6000</v>
      </c>
    </row>
    <row r="3" spans="1:6" x14ac:dyDescent="0.25">
      <c r="A3">
        <v>2</v>
      </c>
      <c r="B3" t="s">
        <v>232</v>
      </c>
      <c r="C3" t="s">
        <v>230</v>
      </c>
      <c r="D3">
        <v>30000</v>
      </c>
      <c r="E3">
        <v>36000</v>
      </c>
      <c r="F3">
        <v>6000</v>
      </c>
    </row>
    <row r="4" spans="1:6" x14ac:dyDescent="0.25">
      <c r="A4">
        <v>3</v>
      </c>
      <c r="B4" t="s">
        <v>242</v>
      </c>
      <c r="C4" t="s">
        <v>240</v>
      </c>
      <c r="D4">
        <v>20000</v>
      </c>
      <c r="E4">
        <v>24000</v>
      </c>
      <c r="F4">
        <v>4000</v>
      </c>
    </row>
    <row r="5" spans="1:6" x14ac:dyDescent="0.25">
      <c r="A5">
        <v>4</v>
      </c>
      <c r="B5" t="s">
        <v>242</v>
      </c>
      <c r="C5" t="s">
        <v>240</v>
      </c>
      <c r="D5">
        <v>20000</v>
      </c>
      <c r="E5">
        <v>24000</v>
      </c>
      <c r="F5">
        <v>4000</v>
      </c>
    </row>
    <row r="6" spans="1:6" x14ac:dyDescent="0.25">
      <c r="A6">
        <v>5</v>
      </c>
      <c r="B6" t="s">
        <v>242</v>
      </c>
      <c r="C6" t="s">
        <v>240</v>
      </c>
      <c r="D6">
        <v>20000</v>
      </c>
      <c r="E6">
        <v>24000</v>
      </c>
      <c r="F6">
        <v>4000</v>
      </c>
    </row>
    <row r="7" spans="1:6" x14ac:dyDescent="0.25">
      <c r="A7">
        <v>6</v>
      </c>
      <c r="B7" t="s">
        <v>242</v>
      </c>
      <c r="C7" t="s">
        <v>240</v>
      </c>
      <c r="D7">
        <v>20000</v>
      </c>
      <c r="E7">
        <v>24000</v>
      </c>
      <c r="F7">
        <v>4000</v>
      </c>
    </row>
    <row r="8" spans="1:6" x14ac:dyDescent="0.25">
      <c r="A8">
        <v>7</v>
      </c>
      <c r="B8" t="s">
        <v>232</v>
      </c>
      <c r="C8" t="s">
        <v>230</v>
      </c>
      <c r="D8">
        <v>30000</v>
      </c>
      <c r="E8">
        <v>36000</v>
      </c>
      <c r="F8">
        <v>6000</v>
      </c>
    </row>
    <row r="9" spans="1:6" x14ac:dyDescent="0.25">
      <c r="A9">
        <v>8</v>
      </c>
      <c r="B9" t="s">
        <v>232</v>
      </c>
      <c r="C9" t="s">
        <v>230</v>
      </c>
      <c r="D9">
        <v>30000</v>
      </c>
      <c r="E9">
        <v>36000</v>
      </c>
      <c r="F9">
        <v>6000</v>
      </c>
    </row>
    <row r="10" spans="1:6" x14ac:dyDescent="0.25">
      <c r="A10">
        <v>9</v>
      </c>
      <c r="B10" t="s">
        <v>242</v>
      </c>
      <c r="C10" t="s">
        <v>240</v>
      </c>
      <c r="D10">
        <v>20000</v>
      </c>
      <c r="E10">
        <v>24000</v>
      </c>
      <c r="F10">
        <v>4000</v>
      </c>
    </row>
    <row r="11" spans="1:6" x14ac:dyDescent="0.25">
      <c r="A11">
        <v>10</v>
      </c>
      <c r="B11" t="s">
        <v>242</v>
      </c>
      <c r="C11" t="s">
        <v>240</v>
      </c>
      <c r="D11">
        <v>20000</v>
      </c>
      <c r="E11">
        <v>24000</v>
      </c>
      <c r="F11">
        <v>4000</v>
      </c>
    </row>
    <row r="12" spans="1:6" x14ac:dyDescent="0.25">
      <c r="A12">
        <v>11</v>
      </c>
      <c r="B12" t="s">
        <v>247</v>
      </c>
      <c r="C12" t="s">
        <v>245</v>
      </c>
      <c r="D12">
        <v>10000</v>
      </c>
      <c r="E12">
        <v>12000</v>
      </c>
      <c r="F12">
        <v>2000</v>
      </c>
    </row>
    <row r="13" spans="1:6" x14ac:dyDescent="0.25">
      <c r="A13">
        <v>12</v>
      </c>
      <c r="B13" t="s">
        <v>237</v>
      </c>
      <c r="C13" t="s">
        <v>235</v>
      </c>
      <c r="D13">
        <v>45000</v>
      </c>
      <c r="E13">
        <v>53000</v>
      </c>
      <c r="F13">
        <v>8000</v>
      </c>
    </row>
    <row r="14" spans="1:6" x14ac:dyDescent="0.25">
      <c r="A14">
        <v>13</v>
      </c>
      <c r="B14" t="s">
        <v>237</v>
      </c>
      <c r="C14" t="s">
        <v>235</v>
      </c>
      <c r="D14">
        <v>45000</v>
      </c>
      <c r="E14">
        <v>53000</v>
      </c>
      <c r="F14">
        <v>8000</v>
      </c>
    </row>
    <row r="15" spans="1:6" x14ac:dyDescent="0.25">
      <c r="A15">
        <v>14</v>
      </c>
      <c r="B15" t="s">
        <v>237</v>
      </c>
      <c r="C15" t="s">
        <v>235</v>
      </c>
      <c r="D15">
        <v>45000</v>
      </c>
      <c r="E15">
        <v>53000</v>
      </c>
      <c r="F15">
        <v>8000</v>
      </c>
    </row>
    <row r="16" spans="1:6" x14ac:dyDescent="0.25">
      <c r="A16">
        <v>15</v>
      </c>
      <c r="B16" t="s">
        <v>237</v>
      </c>
      <c r="C16" t="s">
        <v>235</v>
      </c>
      <c r="D16">
        <v>45000</v>
      </c>
      <c r="E16">
        <v>53000</v>
      </c>
      <c r="F16">
        <v>8000</v>
      </c>
    </row>
    <row r="17" spans="1:6" x14ac:dyDescent="0.25">
      <c r="A17">
        <v>16</v>
      </c>
      <c r="B17" t="s">
        <v>237</v>
      </c>
      <c r="C17" t="s">
        <v>235</v>
      </c>
      <c r="D17">
        <v>45000</v>
      </c>
      <c r="E17">
        <v>53000</v>
      </c>
      <c r="F17">
        <v>8000</v>
      </c>
    </row>
    <row r="18" spans="1:6" x14ac:dyDescent="0.25">
      <c r="A18">
        <v>17</v>
      </c>
      <c r="B18" t="s">
        <v>237</v>
      </c>
      <c r="C18" t="s">
        <v>235</v>
      </c>
      <c r="D18">
        <v>45000</v>
      </c>
      <c r="E18">
        <v>53000</v>
      </c>
      <c r="F18">
        <v>8000</v>
      </c>
    </row>
    <row r="19" spans="1:6" x14ac:dyDescent="0.25">
      <c r="A19">
        <v>18</v>
      </c>
      <c r="B19" t="s">
        <v>242</v>
      </c>
      <c r="C19" t="s">
        <v>240</v>
      </c>
      <c r="D19">
        <v>20000</v>
      </c>
      <c r="E19">
        <v>24000</v>
      </c>
      <c r="F19">
        <v>4000</v>
      </c>
    </row>
    <row r="20" spans="1:6" x14ac:dyDescent="0.25">
      <c r="A20">
        <v>19</v>
      </c>
      <c r="B20" t="s">
        <v>242</v>
      </c>
      <c r="C20" t="s">
        <v>240</v>
      </c>
      <c r="D20">
        <v>20000</v>
      </c>
      <c r="E20">
        <v>24000</v>
      </c>
      <c r="F20">
        <v>4000</v>
      </c>
    </row>
    <row r="21" spans="1:6" x14ac:dyDescent="0.25">
      <c r="A21">
        <v>20</v>
      </c>
      <c r="B21" t="s">
        <v>242</v>
      </c>
      <c r="C21" t="s">
        <v>240</v>
      </c>
      <c r="D21">
        <v>20000</v>
      </c>
      <c r="E21">
        <v>24000</v>
      </c>
      <c r="F21">
        <v>4000</v>
      </c>
    </row>
    <row r="22" spans="1:6" x14ac:dyDescent="0.25">
      <c r="A22">
        <v>21</v>
      </c>
      <c r="B22" t="s">
        <v>237</v>
      </c>
      <c r="C22" t="s">
        <v>235</v>
      </c>
      <c r="D22">
        <v>45000</v>
      </c>
      <c r="E22">
        <v>53000</v>
      </c>
      <c r="F22">
        <v>8000</v>
      </c>
    </row>
    <row r="23" spans="1:6" x14ac:dyDescent="0.25">
      <c r="A23">
        <v>22</v>
      </c>
      <c r="B23" t="s">
        <v>247</v>
      </c>
      <c r="C23" t="s">
        <v>245</v>
      </c>
      <c r="D23">
        <v>10000</v>
      </c>
      <c r="E23">
        <v>12000</v>
      </c>
      <c r="F23">
        <v>2000</v>
      </c>
    </row>
    <row r="24" spans="1:6" x14ac:dyDescent="0.25">
      <c r="A24">
        <v>23</v>
      </c>
      <c r="B24" t="s">
        <v>237</v>
      </c>
      <c r="C24" t="s">
        <v>235</v>
      </c>
      <c r="D24">
        <v>45000</v>
      </c>
      <c r="E24">
        <v>53000</v>
      </c>
      <c r="F24">
        <v>8000</v>
      </c>
    </row>
    <row r="25" spans="1:6" x14ac:dyDescent="0.25">
      <c r="A25">
        <v>24</v>
      </c>
      <c r="B25" t="s">
        <v>237</v>
      </c>
      <c r="C25" t="s">
        <v>235</v>
      </c>
      <c r="D25">
        <v>45000</v>
      </c>
      <c r="E25">
        <v>53000</v>
      </c>
      <c r="F25">
        <v>8000</v>
      </c>
    </row>
    <row r="26" spans="1:6" x14ac:dyDescent="0.25">
      <c r="A26">
        <v>25</v>
      </c>
      <c r="B26" t="s">
        <v>237</v>
      </c>
      <c r="C26" t="s">
        <v>235</v>
      </c>
      <c r="D26">
        <v>45000</v>
      </c>
      <c r="E26">
        <v>53000</v>
      </c>
      <c r="F26">
        <v>8000</v>
      </c>
    </row>
    <row r="27" spans="1:6" x14ac:dyDescent="0.25">
      <c r="A27">
        <v>26</v>
      </c>
      <c r="B27" t="s">
        <v>237</v>
      </c>
      <c r="C27" t="s">
        <v>235</v>
      </c>
      <c r="D27">
        <v>45000</v>
      </c>
      <c r="E27">
        <v>53000</v>
      </c>
      <c r="F27">
        <v>8000</v>
      </c>
    </row>
    <row r="28" spans="1:6" x14ac:dyDescent="0.25">
      <c r="A28">
        <v>27</v>
      </c>
      <c r="B28" t="s">
        <v>237</v>
      </c>
      <c r="C28" t="s">
        <v>235</v>
      </c>
      <c r="D28">
        <v>45000</v>
      </c>
      <c r="E28">
        <v>53000</v>
      </c>
      <c r="F28">
        <v>8000</v>
      </c>
    </row>
    <row r="29" spans="1:6" x14ac:dyDescent="0.25">
      <c r="A29">
        <v>28</v>
      </c>
      <c r="B29" t="s">
        <v>237</v>
      </c>
      <c r="C29" t="s">
        <v>235</v>
      </c>
      <c r="D29">
        <v>45000</v>
      </c>
      <c r="E29">
        <v>53000</v>
      </c>
      <c r="F29">
        <v>8000</v>
      </c>
    </row>
    <row r="30" spans="1:6" x14ac:dyDescent="0.25">
      <c r="A30">
        <v>29</v>
      </c>
      <c r="B30" t="s">
        <v>242</v>
      </c>
      <c r="C30" t="s">
        <v>240</v>
      </c>
      <c r="D30">
        <v>20000</v>
      </c>
      <c r="E30">
        <v>24000</v>
      </c>
      <c r="F30">
        <v>4000</v>
      </c>
    </row>
    <row r="31" spans="1:6" x14ac:dyDescent="0.25">
      <c r="A31">
        <v>30</v>
      </c>
      <c r="B31" t="s">
        <v>232</v>
      </c>
      <c r="C31" t="s">
        <v>230</v>
      </c>
      <c r="D31">
        <v>30000</v>
      </c>
      <c r="E31">
        <v>36000</v>
      </c>
      <c r="F31">
        <v>6000</v>
      </c>
    </row>
    <row r="32" spans="1:6" x14ac:dyDescent="0.25">
      <c r="A32">
        <v>31</v>
      </c>
      <c r="B32" t="s">
        <v>242</v>
      </c>
      <c r="C32" t="s">
        <v>240</v>
      </c>
      <c r="D32">
        <v>20000</v>
      </c>
      <c r="E32">
        <v>24000</v>
      </c>
      <c r="F32">
        <v>4000</v>
      </c>
    </row>
    <row r="33" spans="1:6" x14ac:dyDescent="0.25">
      <c r="A33">
        <v>32</v>
      </c>
      <c r="B33" t="s">
        <v>247</v>
      </c>
      <c r="C33" t="s">
        <v>245</v>
      </c>
      <c r="D33">
        <v>10000</v>
      </c>
      <c r="E33">
        <v>12000</v>
      </c>
      <c r="F33">
        <v>2000</v>
      </c>
    </row>
    <row r="34" spans="1:6" x14ac:dyDescent="0.25">
      <c r="A34">
        <v>33</v>
      </c>
      <c r="B34" t="s">
        <v>247</v>
      </c>
      <c r="C34" t="s">
        <v>245</v>
      </c>
      <c r="D34">
        <v>10000</v>
      </c>
      <c r="E34">
        <v>12000</v>
      </c>
      <c r="F34">
        <v>2000</v>
      </c>
    </row>
    <row r="35" spans="1:6" x14ac:dyDescent="0.25">
      <c r="A35">
        <v>34</v>
      </c>
      <c r="B35" t="s">
        <v>247</v>
      </c>
      <c r="C35" t="s">
        <v>245</v>
      </c>
      <c r="D35">
        <v>10000</v>
      </c>
      <c r="E35">
        <v>12000</v>
      </c>
      <c r="F35">
        <v>2000</v>
      </c>
    </row>
    <row r="36" spans="1:6" x14ac:dyDescent="0.25">
      <c r="A36">
        <v>35</v>
      </c>
      <c r="B36" t="s">
        <v>247</v>
      </c>
      <c r="C36" t="s">
        <v>245</v>
      </c>
      <c r="D36">
        <v>10000</v>
      </c>
      <c r="E36">
        <v>12000</v>
      </c>
      <c r="F36">
        <v>2000</v>
      </c>
    </row>
    <row r="37" spans="1:6" x14ac:dyDescent="0.25">
      <c r="A37">
        <v>36</v>
      </c>
      <c r="B37" t="s">
        <v>237</v>
      </c>
      <c r="C37" t="s">
        <v>235</v>
      </c>
      <c r="D37">
        <v>45000</v>
      </c>
      <c r="E37">
        <v>53000</v>
      </c>
      <c r="F37">
        <v>8000</v>
      </c>
    </row>
    <row r="38" spans="1:6" x14ac:dyDescent="0.25">
      <c r="A38">
        <v>37</v>
      </c>
      <c r="B38" t="s">
        <v>237</v>
      </c>
      <c r="C38" t="s">
        <v>235</v>
      </c>
      <c r="D38">
        <v>45000</v>
      </c>
      <c r="E38">
        <v>53000</v>
      </c>
      <c r="F38">
        <v>8000</v>
      </c>
    </row>
    <row r="39" spans="1:6" x14ac:dyDescent="0.25">
      <c r="A39">
        <v>38</v>
      </c>
      <c r="B39" t="s">
        <v>232</v>
      </c>
      <c r="C39" t="s">
        <v>230</v>
      </c>
      <c r="D39">
        <v>30000</v>
      </c>
      <c r="E39">
        <v>36000</v>
      </c>
      <c r="F39">
        <v>6000</v>
      </c>
    </row>
    <row r="40" spans="1:6" x14ac:dyDescent="0.25">
      <c r="A40">
        <v>39</v>
      </c>
      <c r="B40" t="s">
        <v>237</v>
      </c>
      <c r="C40" t="s">
        <v>235</v>
      </c>
      <c r="D40">
        <v>45000</v>
      </c>
      <c r="E40">
        <v>53000</v>
      </c>
      <c r="F40">
        <v>8000</v>
      </c>
    </row>
    <row r="41" spans="1:6" x14ac:dyDescent="0.25">
      <c r="A41">
        <v>40</v>
      </c>
      <c r="B41" t="s">
        <v>237</v>
      </c>
      <c r="C41" t="s">
        <v>235</v>
      </c>
      <c r="D41">
        <v>45000</v>
      </c>
      <c r="E41">
        <v>53000</v>
      </c>
      <c r="F41">
        <v>8000</v>
      </c>
    </row>
    <row r="42" spans="1:6" x14ac:dyDescent="0.25">
      <c r="A42">
        <v>41</v>
      </c>
      <c r="B42" t="s">
        <v>237</v>
      </c>
      <c r="C42" t="s">
        <v>235</v>
      </c>
      <c r="D42">
        <v>45000</v>
      </c>
      <c r="E42">
        <v>53000</v>
      </c>
      <c r="F42">
        <v>8000</v>
      </c>
    </row>
    <row r="43" spans="1:6" x14ac:dyDescent="0.25">
      <c r="A43">
        <v>42</v>
      </c>
      <c r="B43" t="s">
        <v>247</v>
      </c>
      <c r="C43" t="s">
        <v>245</v>
      </c>
      <c r="D43">
        <v>10000</v>
      </c>
      <c r="E43">
        <v>12000</v>
      </c>
      <c r="F43">
        <v>2000</v>
      </c>
    </row>
    <row r="44" spans="1:6" x14ac:dyDescent="0.25">
      <c r="A44">
        <v>43</v>
      </c>
      <c r="B44" t="s">
        <v>252</v>
      </c>
      <c r="C44" t="s">
        <v>250</v>
      </c>
      <c r="D44">
        <v>25000</v>
      </c>
      <c r="E44">
        <v>30000</v>
      </c>
      <c r="F44">
        <v>5000</v>
      </c>
    </row>
    <row r="45" spans="1:6" x14ac:dyDescent="0.25">
      <c r="A45">
        <v>44</v>
      </c>
      <c r="B45" t="s">
        <v>252</v>
      </c>
      <c r="C45" t="s">
        <v>250</v>
      </c>
      <c r="D45">
        <v>25000</v>
      </c>
      <c r="E45">
        <v>30000</v>
      </c>
      <c r="F45">
        <v>5000</v>
      </c>
    </row>
    <row r="46" spans="1:6" x14ac:dyDescent="0.25">
      <c r="A46">
        <v>45</v>
      </c>
      <c r="B46" t="s">
        <v>237</v>
      </c>
      <c r="C46" t="s">
        <v>235</v>
      </c>
      <c r="D46">
        <v>45000</v>
      </c>
      <c r="E46">
        <v>53000</v>
      </c>
      <c r="F46">
        <v>8000</v>
      </c>
    </row>
    <row r="47" spans="1:6" x14ac:dyDescent="0.25">
      <c r="A47">
        <v>46</v>
      </c>
      <c r="B47" t="s">
        <v>237</v>
      </c>
      <c r="C47" t="s">
        <v>235</v>
      </c>
      <c r="D47">
        <v>45000</v>
      </c>
      <c r="E47">
        <v>53000</v>
      </c>
      <c r="F47">
        <v>8000</v>
      </c>
    </row>
    <row r="48" spans="1:6" x14ac:dyDescent="0.25">
      <c r="A48">
        <v>47</v>
      </c>
      <c r="B48" t="s">
        <v>237</v>
      </c>
      <c r="C48" t="s">
        <v>235</v>
      </c>
      <c r="D48">
        <v>45000</v>
      </c>
      <c r="E48">
        <v>53000</v>
      </c>
      <c r="F48">
        <v>8000</v>
      </c>
    </row>
    <row r="49" spans="1:6" x14ac:dyDescent="0.25">
      <c r="A49">
        <v>48</v>
      </c>
      <c r="B49" t="s">
        <v>242</v>
      </c>
      <c r="C49" t="s">
        <v>240</v>
      </c>
      <c r="D49">
        <v>20000</v>
      </c>
      <c r="E49">
        <v>24000</v>
      </c>
      <c r="F49">
        <v>4000</v>
      </c>
    </row>
    <row r="50" spans="1:6" x14ac:dyDescent="0.25">
      <c r="A50">
        <v>49</v>
      </c>
      <c r="B50" t="s">
        <v>237</v>
      </c>
      <c r="C50" t="s">
        <v>235</v>
      </c>
      <c r="D50">
        <v>45000</v>
      </c>
      <c r="E50">
        <v>53000</v>
      </c>
      <c r="F50">
        <v>8000</v>
      </c>
    </row>
    <row r="51" spans="1:6" x14ac:dyDescent="0.25">
      <c r="A51">
        <v>50</v>
      </c>
      <c r="B51" t="s">
        <v>232</v>
      </c>
      <c r="C51" t="s">
        <v>230</v>
      </c>
      <c r="D51">
        <v>30000</v>
      </c>
      <c r="E51">
        <v>36000</v>
      </c>
      <c r="F51">
        <v>6000</v>
      </c>
    </row>
    <row r="52" spans="1:6" x14ac:dyDescent="0.25">
      <c r="A52">
        <v>51</v>
      </c>
      <c r="B52" t="s">
        <v>232</v>
      </c>
      <c r="C52" t="s">
        <v>230</v>
      </c>
      <c r="D52">
        <v>30000</v>
      </c>
      <c r="E52">
        <v>36000</v>
      </c>
      <c r="F52">
        <v>6000</v>
      </c>
    </row>
    <row r="53" spans="1:6" x14ac:dyDescent="0.25">
      <c r="A53">
        <v>52</v>
      </c>
      <c r="B53" t="s">
        <v>237</v>
      </c>
      <c r="C53" t="s">
        <v>235</v>
      </c>
      <c r="D53">
        <v>45000</v>
      </c>
      <c r="E53">
        <v>53000</v>
      </c>
      <c r="F53">
        <v>8000</v>
      </c>
    </row>
    <row r="54" spans="1:6" x14ac:dyDescent="0.25">
      <c r="A54">
        <v>53</v>
      </c>
      <c r="B54" t="s">
        <v>242</v>
      </c>
      <c r="C54" t="s">
        <v>240</v>
      </c>
      <c r="D54">
        <v>20000</v>
      </c>
      <c r="E54">
        <v>24000</v>
      </c>
      <c r="F54">
        <v>4000</v>
      </c>
    </row>
    <row r="55" spans="1:6" x14ac:dyDescent="0.25">
      <c r="A55">
        <v>54</v>
      </c>
      <c r="B55" t="s">
        <v>242</v>
      </c>
      <c r="C55" t="s">
        <v>240</v>
      </c>
      <c r="D55">
        <v>20000</v>
      </c>
      <c r="E55">
        <v>24000</v>
      </c>
      <c r="F55">
        <v>4000</v>
      </c>
    </row>
    <row r="56" spans="1:6" x14ac:dyDescent="0.25">
      <c r="A56">
        <v>55</v>
      </c>
      <c r="B56" t="s">
        <v>242</v>
      </c>
      <c r="C56" t="s">
        <v>240</v>
      </c>
      <c r="D56">
        <v>20000</v>
      </c>
      <c r="E56">
        <v>24000</v>
      </c>
      <c r="F56">
        <v>4000</v>
      </c>
    </row>
    <row r="57" spans="1:6" x14ac:dyDescent="0.25">
      <c r="A57">
        <v>56</v>
      </c>
      <c r="B57" t="s">
        <v>242</v>
      </c>
      <c r="C57" t="s">
        <v>240</v>
      </c>
      <c r="D57">
        <v>20000</v>
      </c>
      <c r="E57">
        <v>24000</v>
      </c>
      <c r="F57">
        <v>4000</v>
      </c>
    </row>
    <row r="58" spans="1:6" x14ac:dyDescent="0.25">
      <c r="A58">
        <v>57</v>
      </c>
      <c r="B58" t="s">
        <v>232</v>
      </c>
      <c r="C58" t="s">
        <v>230</v>
      </c>
      <c r="D58">
        <v>30000</v>
      </c>
      <c r="E58">
        <v>36000</v>
      </c>
      <c r="F58">
        <v>6000</v>
      </c>
    </row>
    <row r="59" spans="1:6" x14ac:dyDescent="0.25">
      <c r="A59">
        <v>58</v>
      </c>
      <c r="B59" t="s">
        <v>232</v>
      </c>
      <c r="C59" t="s">
        <v>230</v>
      </c>
      <c r="D59">
        <v>30000</v>
      </c>
      <c r="E59">
        <v>36000</v>
      </c>
      <c r="F59">
        <v>6000</v>
      </c>
    </row>
    <row r="60" spans="1:6" x14ac:dyDescent="0.25">
      <c r="A60">
        <v>59</v>
      </c>
      <c r="B60" t="s">
        <v>242</v>
      </c>
      <c r="C60" t="s">
        <v>240</v>
      </c>
      <c r="D60">
        <v>20000</v>
      </c>
      <c r="E60">
        <v>24000</v>
      </c>
      <c r="F60">
        <v>4000</v>
      </c>
    </row>
    <row r="61" spans="1:6" x14ac:dyDescent="0.25">
      <c r="A61">
        <v>60</v>
      </c>
      <c r="B61" t="s">
        <v>242</v>
      </c>
      <c r="C61" t="s">
        <v>240</v>
      </c>
      <c r="D61">
        <v>20000</v>
      </c>
      <c r="E61">
        <v>24000</v>
      </c>
      <c r="F61">
        <v>4000</v>
      </c>
    </row>
    <row r="62" spans="1:6" x14ac:dyDescent="0.25">
      <c r="A62">
        <v>61</v>
      </c>
      <c r="B62" t="s">
        <v>242</v>
      </c>
      <c r="C62" t="s">
        <v>240</v>
      </c>
      <c r="D62">
        <v>20000</v>
      </c>
      <c r="E62">
        <v>24000</v>
      </c>
      <c r="F62">
        <v>4000</v>
      </c>
    </row>
    <row r="63" spans="1:6" x14ac:dyDescent="0.25">
      <c r="A63">
        <v>62</v>
      </c>
      <c r="B63" t="s">
        <v>247</v>
      </c>
      <c r="C63" t="s">
        <v>245</v>
      </c>
      <c r="D63">
        <v>10000</v>
      </c>
      <c r="E63">
        <v>12000</v>
      </c>
      <c r="F63">
        <v>2000</v>
      </c>
    </row>
    <row r="64" spans="1:6" x14ac:dyDescent="0.25">
      <c r="A64">
        <v>63</v>
      </c>
      <c r="B64" t="s">
        <v>237</v>
      </c>
      <c r="C64" t="s">
        <v>235</v>
      </c>
      <c r="D64">
        <v>45000</v>
      </c>
      <c r="E64">
        <v>53000</v>
      </c>
      <c r="F64">
        <v>8000</v>
      </c>
    </row>
    <row r="65" spans="1:6" x14ac:dyDescent="0.25">
      <c r="A65">
        <v>64</v>
      </c>
      <c r="B65" t="s">
        <v>237</v>
      </c>
      <c r="C65" t="s">
        <v>235</v>
      </c>
      <c r="D65">
        <v>45000</v>
      </c>
      <c r="E65">
        <v>53000</v>
      </c>
      <c r="F65">
        <v>8000</v>
      </c>
    </row>
    <row r="66" spans="1:6" x14ac:dyDescent="0.25">
      <c r="A66">
        <v>65</v>
      </c>
      <c r="B66" t="s">
        <v>237</v>
      </c>
      <c r="C66" t="s">
        <v>235</v>
      </c>
      <c r="D66">
        <v>45000</v>
      </c>
      <c r="E66">
        <v>53000</v>
      </c>
      <c r="F66">
        <v>8000</v>
      </c>
    </row>
    <row r="67" spans="1:6" x14ac:dyDescent="0.25">
      <c r="A67">
        <v>66</v>
      </c>
      <c r="B67" t="s">
        <v>237</v>
      </c>
      <c r="C67" t="s">
        <v>235</v>
      </c>
      <c r="D67">
        <v>45000</v>
      </c>
      <c r="E67">
        <v>53000</v>
      </c>
      <c r="F67">
        <v>8000</v>
      </c>
    </row>
    <row r="68" spans="1:6" x14ac:dyDescent="0.25">
      <c r="A68">
        <v>67</v>
      </c>
      <c r="B68" t="s">
        <v>237</v>
      </c>
      <c r="C68" t="s">
        <v>235</v>
      </c>
      <c r="D68">
        <v>45000</v>
      </c>
      <c r="E68">
        <v>53000</v>
      </c>
      <c r="F68">
        <v>8000</v>
      </c>
    </row>
    <row r="69" spans="1:6" x14ac:dyDescent="0.25">
      <c r="A69">
        <v>68</v>
      </c>
      <c r="B69" t="s">
        <v>237</v>
      </c>
      <c r="C69" t="s">
        <v>235</v>
      </c>
      <c r="D69">
        <v>45000</v>
      </c>
      <c r="E69">
        <v>53000</v>
      </c>
      <c r="F69">
        <v>8000</v>
      </c>
    </row>
    <row r="70" spans="1:6" x14ac:dyDescent="0.25">
      <c r="A70">
        <v>69</v>
      </c>
      <c r="B70" t="s">
        <v>237</v>
      </c>
      <c r="C70" t="s">
        <v>235</v>
      </c>
      <c r="D70">
        <v>45000</v>
      </c>
      <c r="E70">
        <v>53000</v>
      </c>
      <c r="F70">
        <v>8000</v>
      </c>
    </row>
    <row r="71" spans="1:6" x14ac:dyDescent="0.25">
      <c r="A71">
        <v>70</v>
      </c>
      <c r="B71" t="s">
        <v>242</v>
      </c>
      <c r="C71" t="s">
        <v>240</v>
      </c>
      <c r="D71">
        <v>20000</v>
      </c>
      <c r="E71">
        <v>24000</v>
      </c>
      <c r="F71">
        <v>4000</v>
      </c>
    </row>
    <row r="72" spans="1:6" x14ac:dyDescent="0.25">
      <c r="A72">
        <v>71</v>
      </c>
      <c r="B72" t="s">
        <v>242</v>
      </c>
      <c r="C72" t="s">
        <v>240</v>
      </c>
      <c r="D72">
        <v>20000</v>
      </c>
      <c r="E72">
        <v>24000</v>
      </c>
      <c r="F72">
        <v>4000</v>
      </c>
    </row>
    <row r="73" spans="1:6" x14ac:dyDescent="0.25">
      <c r="A73">
        <v>72</v>
      </c>
      <c r="B73" t="s">
        <v>242</v>
      </c>
      <c r="C73" t="s">
        <v>240</v>
      </c>
      <c r="D73">
        <v>20000</v>
      </c>
      <c r="E73">
        <v>24000</v>
      </c>
      <c r="F73">
        <v>4000</v>
      </c>
    </row>
    <row r="74" spans="1:6" x14ac:dyDescent="0.25">
      <c r="A74">
        <v>73</v>
      </c>
      <c r="B74" t="s">
        <v>242</v>
      </c>
      <c r="C74" t="s">
        <v>240</v>
      </c>
      <c r="D74">
        <v>20000</v>
      </c>
      <c r="E74">
        <v>24000</v>
      </c>
      <c r="F74">
        <v>4000</v>
      </c>
    </row>
    <row r="75" spans="1:6" x14ac:dyDescent="0.25">
      <c r="A75">
        <v>74</v>
      </c>
      <c r="B75" t="s">
        <v>237</v>
      </c>
      <c r="C75" t="s">
        <v>235</v>
      </c>
      <c r="D75">
        <v>45000</v>
      </c>
      <c r="E75">
        <v>53000</v>
      </c>
      <c r="F75">
        <v>8000</v>
      </c>
    </row>
    <row r="76" spans="1:6" x14ac:dyDescent="0.25">
      <c r="A76">
        <v>75</v>
      </c>
      <c r="B76" t="s">
        <v>247</v>
      </c>
      <c r="C76" t="s">
        <v>245</v>
      </c>
      <c r="D76">
        <v>10000</v>
      </c>
      <c r="E76">
        <v>12000</v>
      </c>
      <c r="F76">
        <v>2000</v>
      </c>
    </row>
    <row r="77" spans="1:6" x14ac:dyDescent="0.25">
      <c r="A77">
        <v>76</v>
      </c>
      <c r="B77" t="s">
        <v>237</v>
      </c>
      <c r="C77" t="s">
        <v>235</v>
      </c>
      <c r="D77">
        <v>45000</v>
      </c>
      <c r="E77">
        <v>53000</v>
      </c>
      <c r="F77">
        <v>8000</v>
      </c>
    </row>
    <row r="78" spans="1:6" x14ac:dyDescent="0.25">
      <c r="A78">
        <v>77</v>
      </c>
      <c r="B78" t="s">
        <v>247</v>
      </c>
      <c r="C78" t="s">
        <v>245</v>
      </c>
      <c r="D78">
        <v>10000</v>
      </c>
      <c r="E78">
        <v>12000</v>
      </c>
      <c r="F78">
        <v>2000</v>
      </c>
    </row>
    <row r="79" spans="1:6" x14ac:dyDescent="0.25">
      <c r="A79">
        <v>78</v>
      </c>
      <c r="B79" t="s">
        <v>237</v>
      </c>
      <c r="C79" t="s">
        <v>235</v>
      </c>
      <c r="D79">
        <v>45000</v>
      </c>
      <c r="E79">
        <v>53000</v>
      </c>
      <c r="F79">
        <v>8000</v>
      </c>
    </row>
    <row r="80" spans="1:6" x14ac:dyDescent="0.25">
      <c r="A80">
        <v>79</v>
      </c>
      <c r="B80" t="s">
        <v>237</v>
      </c>
      <c r="C80" t="s">
        <v>235</v>
      </c>
      <c r="D80">
        <v>45000</v>
      </c>
      <c r="E80">
        <v>53000</v>
      </c>
      <c r="F80">
        <v>8000</v>
      </c>
    </row>
    <row r="81" spans="1:6" x14ac:dyDescent="0.25">
      <c r="A81">
        <v>80</v>
      </c>
      <c r="B81" t="s">
        <v>237</v>
      </c>
      <c r="C81" t="s">
        <v>235</v>
      </c>
      <c r="D81">
        <v>45000</v>
      </c>
      <c r="E81">
        <v>53000</v>
      </c>
      <c r="F81">
        <v>8000</v>
      </c>
    </row>
    <row r="82" spans="1:6" x14ac:dyDescent="0.25">
      <c r="A82">
        <v>81</v>
      </c>
      <c r="B82" t="s">
        <v>237</v>
      </c>
      <c r="C82" t="s">
        <v>235</v>
      </c>
      <c r="D82">
        <v>45000</v>
      </c>
      <c r="E82">
        <v>53000</v>
      </c>
      <c r="F82">
        <v>8000</v>
      </c>
    </row>
    <row r="83" spans="1:6" x14ac:dyDescent="0.25">
      <c r="A83">
        <v>82</v>
      </c>
      <c r="B83" t="s">
        <v>237</v>
      </c>
      <c r="C83" t="s">
        <v>235</v>
      </c>
      <c r="D83">
        <v>45000</v>
      </c>
      <c r="E83">
        <v>53000</v>
      </c>
      <c r="F83">
        <v>8000</v>
      </c>
    </row>
    <row r="84" spans="1:6" x14ac:dyDescent="0.25">
      <c r="A84">
        <v>83</v>
      </c>
      <c r="B84" t="s">
        <v>242</v>
      </c>
      <c r="C84" t="s">
        <v>240</v>
      </c>
      <c r="D84">
        <v>20000</v>
      </c>
      <c r="E84">
        <v>24000</v>
      </c>
      <c r="F84">
        <v>4000</v>
      </c>
    </row>
    <row r="85" spans="1:6" x14ac:dyDescent="0.25">
      <c r="A85">
        <v>84</v>
      </c>
      <c r="B85" t="s">
        <v>232</v>
      </c>
      <c r="C85" t="s">
        <v>230</v>
      </c>
      <c r="D85">
        <v>30000</v>
      </c>
      <c r="E85">
        <v>36000</v>
      </c>
      <c r="F85">
        <v>6000</v>
      </c>
    </row>
    <row r="86" spans="1:6" x14ac:dyDescent="0.25">
      <c r="A86">
        <v>85</v>
      </c>
      <c r="B86" t="s">
        <v>242</v>
      </c>
      <c r="C86" t="s">
        <v>240</v>
      </c>
      <c r="D86">
        <v>20000</v>
      </c>
      <c r="E86">
        <v>24000</v>
      </c>
      <c r="F86">
        <v>4000</v>
      </c>
    </row>
    <row r="87" spans="1:6" x14ac:dyDescent="0.25">
      <c r="A87">
        <v>86</v>
      </c>
      <c r="B87" t="s">
        <v>247</v>
      </c>
      <c r="C87" t="s">
        <v>245</v>
      </c>
      <c r="D87">
        <v>10000</v>
      </c>
      <c r="E87">
        <v>12000</v>
      </c>
      <c r="F87">
        <v>2000</v>
      </c>
    </row>
    <row r="88" spans="1:6" x14ac:dyDescent="0.25">
      <c r="A88">
        <v>87</v>
      </c>
      <c r="B88" t="s">
        <v>247</v>
      </c>
      <c r="C88" t="s">
        <v>245</v>
      </c>
      <c r="D88">
        <v>10000</v>
      </c>
      <c r="E88">
        <v>12000</v>
      </c>
      <c r="F88">
        <v>2000</v>
      </c>
    </row>
    <row r="89" spans="1:6" x14ac:dyDescent="0.25">
      <c r="A89">
        <v>88</v>
      </c>
      <c r="B89" t="s">
        <v>247</v>
      </c>
      <c r="C89" t="s">
        <v>245</v>
      </c>
      <c r="D89">
        <v>10000</v>
      </c>
      <c r="E89">
        <v>12000</v>
      </c>
      <c r="F89">
        <v>2000</v>
      </c>
    </row>
    <row r="90" spans="1:6" x14ac:dyDescent="0.25">
      <c r="A90">
        <v>89</v>
      </c>
      <c r="B90" t="s">
        <v>247</v>
      </c>
      <c r="C90" t="s">
        <v>245</v>
      </c>
      <c r="D90">
        <v>10000</v>
      </c>
      <c r="E90">
        <v>12000</v>
      </c>
      <c r="F90">
        <v>2000</v>
      </c>
    </row>
    <row r="91" spans="1:6" x14ac:dyDescent="0.25">
      <c r="A91">
        <v>90</v>
      </c>
      <c r="B91" t="s">
        <v>247</v>
      </c>
      <c r="C91" t="s">
        <v>245</v>
      </c>
      <c r="D91">
        <v>10000</v>
      </c>
      <c r="E91">
        <v>12000</v>
      </c>
      <c r="F91">
        <v>2000</v>
      </c>
    </row>
    <row r="92" spans="1:6" x14ac:dyDescent="0.25">
      <c r="A92">
        <v>91</v>
      </c>
      <c r="B92" t="s">
        <v>237</v>
      </c>
      <c r="C92" t="s">
        <v>235</v>
      </c>
      <c r="D92">
        <v>45000</v>
      </c>
      <c r="E92">
        <v>53000</v>
      </c>
      <c r="F92">
        <v>8000</v>
      </c>
    </row>
    <row r="93" spans="1:6" x14ac:dyDescent="0.25">
      <c r="A93">
        <v>92</v>
      </c>
      <c r="B93" t="s">
        <v>237</v>
      </c>
      <c r="C93" t="s">
        <v>235</v>
      </c>
      <c r="D93">
        <v>45000</v>
      </c>
      <c r="E93">
        <v>53000</v>
      </c>
      <c r="F93">
        <v>8000</v>
      </c>
    </row>
    <row r="94" spans="1:6" x14ac:dyDescent="0.25">
      <c r="A94">
        <v>93</v>
      </c>
      <c r="B94" t="s">
        <v>237</v>
      </c>
      <c r="C94" t="s">
        <v>235</v>
      </c>
      <c r="D94">
        <v>45000</v>
      </c>
      <c r="E94">
        <v>53000</v>
      </c>
      <c r="F94">
        <v>8000</v>
      </c>
    </row>
    <row r="95" spans="1:6" x14ac:dyDescent="0.25">
      <c r="A95">
        <v>94</v>
      </c>
      <c r="B95" t="s">
        <v>237</v>
      </c>
      <c r="C95" t="s">
        <v>235</v>
      </c>
      <c r="D95">
        <v>45000</v>
      </c>
      <c r="E95">
        <v>53000</v>
      </c>
      <c r="F95">
        <v>8000</v>
      </c>
    </row>
    <row r="96" spans="1:6" x14ac:dyDescent="0.25">
      <c r="A96">
        <v>95</v>
      </c>
      <c r="B96" t="s">
        <v>237</v>
      </c>
      <c r="C96" t="s">
        <v>235</v>
      </c>
      <c r="D96">
        <v>45000</v>
      </c>
      <c r="E96">
        <v>53000</v>
      </c>
      <c r="F96">
        <v>8000</v>
      </c>
    </row>
    <row r="97" spans="1:6" x14ac:dyDescent="0.25">
      <c r="A97">
        <v>96</v>
      </c>
      <c r="B97" t="s">
        <v>237</v>
      </c>
      <c r="C97" t="s">
        <v>235</v>
      </c>
      <c r="D97">
        <v>45000</v>
      </c>
      <c r="E97">
        <v>53000</v>
      </c>
      <c r="F97">
        <v>8000</v>
      </c>
    </row>
    <row r="98" spans="1:6" x14ac:dyDescent="0.25">
      <c r="A98">
        <v>97</v>
      </c>
      <c r="B98" t="s">
        <v>247</v>
      </c>
      <c r="C98" t="s">
        <v>245</v>
      </c>
      <c r="D98">
        <v>10000</v>
      </c>
      <c r="E98">
        <v>12000</v>
      </c>
      <c r="F98">
        <v>2000</v>
      </c>
    </row>
    <row r="99" spans="1:6" x14ac:dyDescent="0.25">
      <c r="A99">
        <v>98</v>
      </c>
      <c r="B99" t="s">
        <v>247</v>
      </c>
      <c r="C99" t="s">
        <v>245</v>
      </c>
      <c r="D99">
        <v>10000</v>
      </c>
      <c r="E99">
        <v>12000</v>
      </c>
      <c r="F99">
        <v>2000</v>
      </c>
    </row>
    <row r="100" spans="1:6" x14ac:dyDescent="0.25">
      <c r="A100">
        <v>99</v>
      </c>
      <c r="B100" t="s">
        <v>252</v>
      </c>
      <c r="C100" t="s">
        <v>250</v>
      </c>
      <c r="D100">
        <v>25000</v>
      </c>
      <c r="E100">
        <v>30000</v>
      </c>
      <c r="F100">
        <v>5000</v>
      </c>
    </row>
    <row r="101" spans="1:6" x14ac:dyDescent="0.25">
      <c r="A101">
        <v>100</v>
      </c>
      <c r="B101" t="s">
        <v>252</v>
      </c>
      <c r="C101" t="s">
        <v>250</v>
      </c>
      <c r="D101">
        <v>25000</v>
      </c>
      <c r="E101">
        <v>30000</v>
      </c>
      <c r="F101">
        <v>5000</v>
      </c>
    </row>
    <row r="102" spans="1:6" x14ac:dyDescent="0.25">
      <c r="A102">
        <v>101</v>
      </c>
      <c r="B102" t="s">
        <v>237</v>
      </c>
      <c r="C102" t="s">
        <v>235</v>
      </c>
      <c r="D102">
        <v>45000</v>
      </c>
      <c r="E102">
        <v>53000</v>
      </c>
      <c r="F102">
        <v>8000</v>
      </c>
    </row>
    <row r="103" spans="1:6" x14ac:dyDescent="0.25">
      <c r="A103">
        <v>102</v>
      </c>
      <c r="B103" t="s">
        <v>237</v>
      </c>
      <c r="C103" t="s">
        <v>235</v>
      </c>
      <c r="D103">
        <v>45000</v>
      </c>
      <c r="E103">
        <v>53000</v>
      </c>
      <c r="F103">
        <v>8000</v>
      </c>
    </row>
    <row r="104" spans="1:6" x14ac:dyDescent="0.25">
      <c r="A104">
        <v>103</v>
      </c>
      <c r="B104" t="s">
        <v>237</v>
      </c>
      <c r="C104" t="s">
        <v>235</v>
      </c>
      <c r="D104">
        <v>45000</v>
      </c>
      <c r="E104">
        <v>53000</v>
      </c>
      <c r="F104">
        <v>8000</v>
      </c>
    </row>
    <row r="105" spans="1:6" x14ac:dyDescent="0.25">
      <c r="A105">
        <v>104</v>
      </c>
      <c r="B105" t="s">
        <v>242</v>
      </c>
      <c r="C105" t="s">
        <v>240</v>
      </c>
      <c r="D105">
        <v>20000</v>
      </c>
      <c r="E105">
        <v>24000</v>
      </c>
      <c r="F105">
        <v>4000</v>
      </c>
    </row>
    <row r="106" spans="1:6" x14ac:dyDescent="0.25">
      <c r="A106">
        <v>105</v>
      </c>
      <c r="B106" t="s">
        <v>242</v>
      </c>
      <c r="C106" t="s">
        <v>240</v>
      </c>
      <c r="D106">
        <v>20000</v>
      </c>
      <c r="E106">
        <v>24000</v>
      </c>
      <c r="F106">
        <v>4000</v>
      </c>
    </row>
    <row r="107" spans="1:6" x14ac:dyDescent="0.25">
      <c r="A107">
        <v>106</v>
      </c>
      <c r="B107" t="s">
        <v>237</v>
      </c>
      <c r="C107" t="s">
        <v>235</v>
      </c>
      <c r="D107">
        <v>45000</v>
      </c>
      <c r="E107">
        <v>53000</v>
      </c>
      <c r="F107">
        <v>8000</v>
      </c>
    </row>
    <row r="108" spans="1:6" x14ac:dyDescent="0.25">
      <c r="A108">
        <v>107</v>
      </c>
      <c r="B108" t="s">
        <v>232</v>
      </c>
      <c r="C108" t="s">
        <v>230</v>
      </c>
      <c r="D108">
        <v>30000</v>
      </c>
      <c r="E108">
        <v>36000</v>
      </c>
      <c r="F108">
        <v>6000</v>
      </c>
    </row>
    <row r="109" spans="1:6" x14ac:dyDescent="0.25">
      <c r="A109">
        <v>108</v>
      </c>
      <c r="B109" t="s">
        <v>232</v>
      </c>
      <c r="C109" t="s">
        <v>230</v>
      </c>
      <c r="D109">
        <v>30000</v>
      </c>
      <c r="E109">
        <v>36000</v>
      </c>
      <c r="F109">
        <v>6000</v>
      </c>
    </row>
    <row r="110" spans="1:6" x14ac:dyDescent="0.25">
      <c r="A110">
        <v>109</v>
      </c>
      <c r="B110" t="s">
        <v>242</v>
      </c>
      <c r="C110" t="s">
        <v>240</v>
      </c>
      <c r="D110">
        <v>20000</v>
      </c>
      <c r="E110">
        <v>24000</v>
      </c>
      <c r="F110">
        <v>4000</v>
      </c>
    </row>
    <row r="111" spans="1:6" x14ac:dyDescent="0.25">
      <c r="A111">
        <v>110</v>
      </c>
      <c r="B111" t="s">
        <v>242</v>
      </c>
      <c r="C111" t="s">
        <v>240</v>
      </c>
      <c r="D111">
        <v>20000</v>
      </c>
      <c r="E111">
        <v>24000</v>
      </c>
      <c r="F111">
        <v>4000</v>
      </c>
    </row>
    <row r="112" spans="1:6" x14ac:dyDescent="0.25">
      <c r="A112">
        <v>111</v>
      </c>
      <c r="B112" t="s">
        <v>242</v>
      </c>
      <c r="C112" t="s">
        <v>240</v>
      </c>
      <c r="D112">
        <v>20000</v>
      </c>
      <c r="E112">
        <v>24000</v>
      </c>
      <c r="F112">
        <v>4000</v>
      </c>
    </row>
    <row r="113" spans="1:6" x14ac:dyDescent="0.25">
      <c r="A113">
        <v>112</v>
      </c>
      <c r="B113" t="s">
        <v>242</v>
      </c>
      <c r="C113" t="s">
        <v>240</v>
      </c>
      <c r="D113">
        <v>20000</v>
      </c>
      <c r="E113">
        <v>24000</v>
      </c>
      <c r="F113">
        <v>4000</v>
      </c>
    </row>
    <row r="114" spans="1:6" x14ac:dyDescent="0.25">
      <c r="A114">
        <v>113</v>
      </c>
      <c r="B114" t="s">
        <v>242</v>
      </c>
      <c r="C114" t="s">
        <v>240</v>
      </c>
      <c r="D114">
        <v>20000</v>
      </c>
      <c r="E114">
        <v>24000</v>
      </c>
      <c r="F114">
        <v>4000</v>
      </c>
    </row>
    <row r="115" spans="1:6" x14ac:dyDescent="0.25">
      <c r="A115">
        <v>114</v>
      </c>
      <c r="B115" t="s">
        <v>242</v>
      </c>
      <c r="C115" t="s">
        <v>240</v>
      </c>
      <c r="D115">
        <v>20000</v>
      </c>
      <c r="E115">
        <v>24000</v>
      </c>
      <c r="F115">
        <v>4000</v>
      </c>
    </row>
    <row r="116" spans="1:6" x14ac:dyDescent="0.25">
      <c r="A116">
        <v>115</v>
      </c>
      <c r="B116" t="s">
        <v>232</v>
      </c>
      <c r="C116" t="s">
        <v>230</v>
      </c>
      <c r="D116">
        <v>30000</v>
      </c>
      <c r="E116">
        <v>36000</v>
      </c>
      <c r="F116">
        <v>6000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0BD73-3BD4-4102-8983-4E0845217D64}">
  <dimension ref="A1:F116"/>
  <sheetViews>
    <sheetView workbookViewId="0">
      <selection activeCell="C7" sqref="C7"/>
    </sheetView>
  </sheetViews>
  <sheetFormatPr defaultRowHeight="15" x14ac:dyDescent="0.25"/>
  <cols>
    <col min="1" max="1" width="11.85546875" bestFit="1" customWidth="1"/>
    <col min="2" max="2" width="18.42578125" bestFit="1" customWidth="1"/>
    <col min="3" max="3" width="11.28515625" bestFit="1" customWidth="1"/>
    <col min="4" max="4" width="7.140625" bestFit="1" customWidth="1"/>
    <col min="5" max="5" width="15.85546875" bestFit="1" customWidth="1"/>
    <col min="6" max="6" width="8.28515625" bestFit="1" customWidth="1"/>
  </cols>
  <sheetData>
    <row r="1" spans="1:6" x14ac:dyDescent="0.25">
      <c r="A1" t="s">
        <v>131</v>
      </c>
      <c r="B1" t="s">
        <v>288</v>
      </c>
      <c r="C1" t="s">
        <v>255</v>
      </c>
      <c r="D1" t="s">
        <v>133</v>
      </c>
      <c r="E1" t="s">
        <v>140</v>
      </c>
      <c r="F1" t="s">
        <v>135</v>
      </c>
    </row>
    <row r="2" spans="1:6" x14ac:dyDescent="0.25">
      <c r="A2">
        <v>1</v>
      </c>
      <c r="B2" t="s">
        <v>260</v>
      </c>
      <c r="C2" t="s">
        <v>259</v>
      </c>
      <c r="D2">
        <v>25000</v>
      </c>
      <c r="E2">
        <v>30000</v>
      </c>
      <c r="F2">
        <v>5000</v>
      </c>
    </row>
    <row r="3" spans="1:6" x14ac:dyDescent="0.25">
      <c r="A3">
        <v>2</v>
      </c>
      <c r="B3" t="s">
        <v>260</v>
      </c>
      <c r="C3" t="s">
        <v>259</v>
      </c>
      <c r="D3">
        <v>25000</v>
      </c>
      <c r="E3">
        <v>30000</v>
      </c>
      <c r="F3">
        <v>5000</v>
      </c>
    </row>
    <row r="4" spans="1:6" x14ac:dyDescent="0.25">
      <c r="A4">
        <v>3</v>
      </c>
      <c r="B4" t="s">
        <v>278</v>
      </c>
      <c r="C4" t="s">
        <v>277</v>
      </c>
      <c r="D4">
        <v>20000</v>
      </c>
      <c r="E4">
        <v>24000</v>
      </c>
      <c r="F4">
        <v>4000</v>
      </c>
    </row>
    <row r="5" spans="1:6" x14ac:dyDescent="0.25">
      <c r="A5">
        <v>4</v>
      </c>
      <c r="B5" t="s">
        <v>278</v>
      </c>
      <c r="C5" t="s">
        <v>277</v>
      </c>
      <c r="D5">
        <v>20000</v>
      </c>
      <c r="E5">
        <v>24000</v>
      </c>
      <c r="F5">
        <v>4000</v>
      </c>
    </row>
    <row r="6" spans="1:6" x14ac:dyDescent="0.25">
      <c r="A6">
        <v>5</v>
      </c>
      <c r="B6" t="s">
        <v>278</v>
      </c>
      <c r="C6" t="s">
        <v>277</v>
      </c>
      <c r="D6">
        <v>20000</v>
      </c>
      <c r="E6">
        <v>24000</v>
      </c>
      <c r="F6">
        <v>4000</v>
      </c>
    </row>
    <row r="7" spans="1:6" x14ac:dyDescent="0.25">
      <c r="A7">
        <v>6</v>
      </c>
      <c r="B7" t="s">
        <v>278</v>
      </c>
      <c r="C7" t="s">
        <v>277</v>
      </c>
      <c r="D7">
        <v>20000</v>
      </c>
      <c r="E7">
        <v>24000</v>
      </c>
      <c r="F7">
        <v>4000</v>
      </c>
    </row>
    <row r="8" spans="1:6" x14ac:dyDescent="0.25">
      <c r="A8">
        <v>7</v>
      </c>
      <c r="B8" t="s">
        <v>260</v>
      </c>
      <c r="C8" t="s">
        <v>259</v>
      </c>
      <c r="D8">
        <v>25000</v>
      </c>
      <c r="E8">
        <v>30000</v>
      </c>
      <c r="F8">
        <v>5000</v>
      </c>
    </row>
    <row r="9" spans="1:6" x14ac:dyDescent="0.25">
      <c r="A9">
        <v>8</v>
      </c>
      <c r="B9" t="s">
        <v>272</v>
      </c>
      <c r="C9" t="s">
        <v>271</v>
      </c>
      <c r="D9">
        <v>50000</v>
      </c>
      <c r="E9">
        <v>60000</v>
      </c>
      <c r="F9">
        <v>10000</v>
      </c>
    </row>
    <row r="10" spans="1:6" x14ac:dyDescent="0.25">
      <c r="A10">
        <v>9</v>
      </c>
      <c r="B10" t="s">
        <v>278</v>
      </c>
      <c r="C10" t="s">
        <v>277</v>
      </c>
      <c r="D10">
        <v>20000</v>
      </c>
      <c r="E10">
        <v>24000</v>
      </c>
      <c r="F10">
        <v>4000</v>
      </c>
    </row>
    <row r="11" spans="1:6" x14ac:dyDescent="0.25">
      <c r="A11">
        <v>10</v>
      </c>
      <c r="B11" t="s">
        <v>278</v>
      </c>
      <c r="C11" t="s">
        <v>277</v>
      </c>
      <c r="D11">
        <v>20000</v>
      </c>
      <c r="E11">
        <v>24000</v>
      </c>
      <c r="F11">
        <v>4000</v>
      </c>
    </row>
    <row r="12" spans="1:6" x14ac:dyDescent="0.25">
      <c r="A12">
        <v>11</v>
      </c>
      <c r="B12" t="s">
        <v>266</v>
      </c>
      <c r="C12" t="s">
        <v>265</v>
      </c>
      <c r="D12">
        <v>30000</v>
      </c>
      <c r="E12">
        <v>36000</v>
      </c>
      <c r="F12">
        <v>6000</v>
      </c>
    </row>
    <row r="13" spans="1:6" x14ac:dyDescent="0.25">
      <c r="A13">
        <v>12</v>
      </c>
      <c r="B13" t="s">
        <v>283</v>
      </c>
      <c r="C13" t="s">
        <v>282</v>
      </c>
      <c r="D13">
        <v>35000</v>
      </c>
      <c r="E13">
        <v>42000</v>
      </c>
      <c r="F13">
        <v>7000</v>
      </c>
    </row>
    <row r="14" spans="1:6" x14ac:dyDescent="0.25">
      <c r="A14">
        <v>13</v>
      </c>
      <c r="B14" t="s">
        <v>283</v>
      </c>
      <c r="C14" t="s">
        <v>282</v>
      </c>
      <c r="D14">
        <v>35000</v>
      </c>
      <c r="E14">
        <v>42000</v>
      </c>
      <c r="F14">
        <v>7000</v>
      </c>
    </row>
    <row r="15" spans="1:6" x14ac:dyDescent="0.25">
      <c r="A15">
        <v>14</v>
      </c>
      <c r="B15" t="s">
        <v>283</v>
      </c>
      <c r="C15" t="s">
        <v>282</v>
      </c>
      <c r="D15">
        <v>35000</v>
      </c>
      <c r="E15">
        <v>42000</v>
      </c>
      <c r="F15">
        <v>7000</v>
      </c>
    </row>
    <row r="16" spans="1:6" x14ac:dyDescent="0.25">
      <c r="A16">
        <v>15</v>
      </c>
      <c r="B16" t="s">
        <v>283</v>
      </c>
      <c r="C16" t="s">
        <v>282</v>
      </c>
      <c r="D16">
        <v>35000</v>
      </c>
      <c r="E16">
        <v>42000</v>
      </c>
      <c r="F16">
        <v>7000</v>
      </c>
    </row>
    <row r="17" spans="1:6" x14ac:dyDescent="0.25">
      <c r="A17">
        <v>16</v>
      </c>
      <c r="B17" t="s">
        <v>283</v>
      </c>
      <c r="C17" t="s">
        <v>282</v>
      </c>
      <c r="D17">
        <v>35000</v>
      </c>
      <c r="E17">
        <v>42000</v>
      </c>
      <c r="F17">
        <v>7000</v>
      </c>
    </row>
    <row r="18" spans="1:6" x14ac:dyDescent="0.25">
      <c r="A18">
        <v>17</v>
      </c>
      <c r="B18" t="s">
        <v>283</v>
      </c>
      <c r="C18" t="s">
        <v>282</v>
      </c>
      <c r="D18">
        <v>35000</v>
      </c>
      <c r="E18">
        <v>42000</v>
      </c>
      <c r="F18">
        <v>7000</v>
      </c>
    </row>
    <row r="19" spans="1:6" x14ac:dyDescent="0.25">
      <c r="A19">
        <v>18</v>
      </c>
      <c r="B19" t="s">
        <v>283</v>
      </c>
      <c r="C19" t="s">
        <v>282</v>
      </c>
      <c r="D19">
        <v>35000</v>
      </c>
      <c r="E19">
        <v>42000</v>
      </c>
      <c r="F19">
        <v>7000</v>
      </c>
    </row>
    <row r="20" spans="1:6" x14ac:dyDescent="0.25">
      <c r="A20">
        <v>19</v>
      </c>
      <c r="B20" t="s">
        <v>283</v>
      </c>
      <c r="C20" t="s">
        <v>282</v>
      </c>
      <c r="D20">
        <v>35000</v>
      </c>
      <c r="E20">
        <v>42000</v>
      </c>
      <c r="F20">
        <v>7000</v>
      </c>
    </row>
    <row r="21" spans="1:6" x14ac:dyDescent="0.25">
      <c r="A21">
        <v>20</v>
      </c>
      <c r="B21" t="s">
        <v>283</v>
      </c>
      <c r="C21" t="s">
        <v>282</v>
      </c>
      <c r="D21">
        <v>35000</v>
      </c>
      <c r="E21">
        <v>42000</v>
      </c>
      <c r="F21">
        <v>7000</v>
      </c>
    </row>
    <row r="22" spans="1:6" x14ac:dyDescent="0.25">
      <c r="A22">
        <v>21</v>
      </c>
      <c r="B22" t="s">
        <v>283</v>
      </c>
      <c r="C22" t="s">
        <v>282</v>
      </c>
      <c r="D22">
        <v>35000</v>
      </c>
      <c r="E22">
        <v>42000</v>
      </c>
      <c r="F22">
        <v>7000</v>
      </c>
    </row>
    <row r="23" spans="1:6" x14ac:dyDescent="0.25">
      <c r="A23">
        <v>22</v>
      </c>
      <c r="B23" t="s">
        <v>266</v>
      </c>
      <c r="C23" t="s">
        <v>265</v>
      </c>
      <c r="D23">
        <v>30000</v>
      </c>
      <c r="E23">
        <v>36000</v>
      </c>
      <c r="F23">
        <v>6000</v>
      </c>
    </row>
    <row r="24" spans="1:6" x14ac:dyDescent="0.25">
      <c r="A24">
        <v>23</v>
      </c>
      <c r="B24" t="s">
        <v>266</v>
      </c>
      <c r="C24" t="s">
        <v>265</v>
      </c>
      <c r="D24">
        <v>30000</v>
      </c>
      <c r="E24">
        <v>36000</v>
      </c>
      <c r="F24">
        <v>6000</v>
      </c>
    </row>
    <row r="25" spans="1:6" x14ac:dyDescent="0.25">
      <c r="A25">
        <v>24</v>
      </c>
      <c r="B25" t="s">
        <v>266</v>
      </c>
      <c r="C25" t="s">
        <v>265</v>
      </c>
      <c r="D25">
        <v>30000</v>
      </c>
      <c r="E25">
        <v>36000</v>
      </c>
      <c r="F25">
        <v>6000</v>
      </c>
    </row>
    <row r="26" spans="1:6" x14ac:dyDescent="0.25">
      <c r="A26">
        <v>25</v>
      </c>
      <c r="B26" t="s">
        <v>266</v>
      </c>
      <c r="C26" t="s">
        <v>265</v>
      </c>
      <c r="D26">
        <v>30000</v>
      </c>
      <c r="E26">
        <v>36000</v>
      </c>
      <c r="F26">
        <v>6000</v>
      </c>
    </row>
    <row r="27" spans="1:6" x14ac:dyDescent="0.25">
      <c r="A27">
        <v>26</v>
      </c>
      <c r="B27" t="s">
        <v>266</v>
      </c>
      <c r="C27" t="s">
        <v>265</v>
      </c>
      <c r="D27">
        <v>30000</v>
      </c>
      <c r="E27">
        <v>36000</v>
      </c>
      <c r="F27">
        <v>6000</v>
      </c>
    </row>
    <row r="28" spans="1:6" x14ac:dyDescent="0.25">
      <c r="A28">
        <v>27</v>
      </c>
      <c r="B28" t="s">
        <v>260</v>
      </c>
      <c r="C28" t="s">
        <v>259</v>
      </c>
      <c r="D28">
        <v>25000</v>
      </c>
      <c r="E28">
        <v>30000</v>
      </c>
      <c r="F28">
        <v>5000</v>
      </c>
    </row>
    <row r="29" spans="1:6" x14ac:dyDescent="0.25">
      <c r="A29">
        <v>28</v>
      </c>
      <c r="B29" t="s">
        <v>266</v>
      </c>
      <c r="C29" t="s">
        <v>265</v>
      </c>
      <c r="D29">
        <v>30000</v>
      </c>
      <c r="E29">
        <v>36000</v>
      </c>
      <c r="F29">
        <v>6000</v>
      </c>
    </row>
    <row r="30" spans="1:6" x14ac:dyDescent="0.25">
      <c r="A30">
        <v>29</v>
      </c>
      <c r="B30" t="s">
        <v>266</v>
      </c>
      <c r="C30" t="s">
        <v>265</v>
      </c>
      <c r="D30">
        <v>30000</v>
      </c>
      <c r="E30">
        <v>36000</v>
      </c>
      <c r="F30">
        <v>6000</v>
      </c>
    </row>
    <row r="31" spans="1:6" x14ac:dyDescent="0.25">
      <c r="A31">
        <v>30</v>
      </c>
      <c r="B31" t="s">
        <v>260</v>
      </c>
      <c r="C31" t="s">
        <v>259</v>
      </c>
      <c r="D31">
        <v>25000</v>
      </c>
      <c r="E31">
        <v>30000</v>
      </c>
      <c r="F31">
        <v>5000</v>
      </c>
    </row>
    <row r="32" spans="1:6" x14ac:dyDescent="0.25">
      <c r="A32">
        <v>31</v>
      </c>
      <c r="B32" t="s">
        <v>266</v>
      </c>
      <c r="C32" t="s">
        <v>265</v>
      </c>
      <c r="D32">
        <v>30000</v>
      </c>
      <c r="E32">
        <v>36000</v>
      </c>
      <c r="F32">
        <v>6000</v>
      </c>
    </row>
    <row r="33" spans="1:6" x14ac:dyDescent="0.25">
      <c r="A33">
        <v>32</v>
      </c>
      <c r="B33" t="s">
        <v>283</v>
      </c>
      <c r="C33" t="s">
        <v>282</v>
      </c>
      <c r="D33">
        <v>35000</v>
      </c>
      <c r="E33">
        <v>42000</v>
      </c>
      <c r="F33">
        <v>7000</v>
      </c>
    </row>
    <row r="34" spans="1:6" x14ac:dyDescent="0.25">
      <c r="A34">
        <v>33</v>
      </c>
      <c r="B34" t="s">
        <v>283</v>
      </c>
      <c r="C34" t="s">
        <v>282</v>
      </c>
      <c r="D34">
        <v>35000</v>
      </c>
      <c r="E34">
        <v>42000</v>
      </c>
      <c r="F34">
        <v>7000</v>
      </c>
    </row>
    <row r="35" spans="1:6" x14ac:dyDescent="0.25">
      <c r="A35">
        <v>34</v>
      </c>
      <c r="B35" t="s">
        <v>283</v>
      </c>
      <c r="C35" t="s">
        <v>282</v>
      </c>
      <c r="D35">
        <v>35000</v>
      </c>
      <c r="E35">
        <v>42000</v>
      </c>
      <c r="F35">
        <v>7000</v>
      </c>
    </row>
    <row r="36" spans="1:6" x14ac:dyDescent="0.25">
      <c r="A36">
        <v>35</v>
      </c>
      <c r="B36" t="s">
        <v>283</v>
      </c>
      <c r="C36" t="s">
        <v>282</v>
      </c>
      <c r="D36">
        <v>35000</v>
      </c>
      <c r="E36">
        <v>42000</v>
      </c>
      <c r="F36">
        <v>7000</v>
      </c>
    </row>
    <row r="37" spans="1:6" x14ac:dyDescent="0.25">
      <c r="A37">
        <v>36</v>
      </c>
      <c r="B37" t="s">
        <v>283</v>
      </c>
      <c r="C37" t="s">
        <v>282</v>
      </c>
      <c r="D37">
        <v>35000</v>
      </c>
      <c r="E37">
        <v>42000</v>
      </c>
      <c r="F37">
        <v>7000</v>
      </c>
    </row>
    <row r="38" spans="1:6" x14ac:dyDescent="0.25">
      <c r="A38">
        <v>37</v>
      </c>
      <c r="B38" t="s">
        <v>283</v>
      </c>
      <c r="C38" t="s">
        <v>282</v>
      </c>
      <c r="D38">
        <v>35000</v>
      </c>
      <c r="E38">
        <v>42000</v>
      </c>
      <c r="F38">
        <v>7000</v>
      </c>
    </row>
    <row r="39" spans="1:6" x14ac:dyDescent="0.25">
      <c r="A39">
        <v>38</v>
      </c>
      <c r="B39" t="s">
        <v>260</v>
      </c>
      <c r="C39" t="s">
        <v>259</v>
      </c>
      <c r="D39">
        <v>25000</v>
      </c>
      <c r="E39">
        <v>30000</v>
      </c>
      <c r="F39">
        <v>5000</v>
      </c>
    </row>
    <row r="40" spans="1:6" x14ac:dyDescent="0.25">
      <c r="A40">
        <v>39</v>
      </c>
      <c r="B40" t="s">
        <v>272</v>
      </c>
      <c r="C40" t="s">
        <v>271</v>
      </c>
      <c r="D40">
        <v>50000</v>
      </c>
      <c r="E40">
        <v>60000</v>
      </c>
      <c r="F40">
        <v>10000</v>
      </c>
    </row>
    <row r="41" spans="1:6" x14ac:dyDescent="0.25">
      <c r="A41">
        <v>40</v>
      </c>
      <c r="B41" t="s">
        <v>266</v>
      </c>
      <c r="C41" t="s">
        <v>265</v>
      </c>
      <c r="D41">
        <v>30000</v>
      </c>
      <c r="E41">
        <v>36000</v>
      </c>
      <c r="F41">
        <v>6000</v>
      </c>
    </row>
    <row r="42" spans="1:6" x14ac:dyDescent="0.25">
      <c r="A42">
        <v>41</v>
      </c>
      <c r="B42" t="s">
        <v>283</v>
      </c>
      <c r="C42" t="s">
        <v>282</v>
      </c>
      <c r="D42">
        <v>35000</v>
      </c>
      <c r="E42">
        <v>42000</v>
      </c>
      <c r="F42">
        <v>7000</v>
      </c>
    </row>
    <row r="43" spans="1:6" x14ac:dyDescent="0.25">
      <c r="A43">
        <v>42</v>
      </c>
      <c r="B43" t="s">
        <v>283</v>
      </c>
      <c r="C43" t="s">
        <v>282</v>
      </c>
      <c r="D43">
        <v>35000</v>
      </c>
      <c r="E43">
        <v>42000</v>
      </c>
      <c r="F43">
        <v>7000</v>
      </c>
    </row>
    <row r="44" spans="1:6" x14ac:dyDescent="0.25">
      <c r="A44">
        <v>43</v>
      </c>
      <c r="B44" t="s">
        <v>283</v>
      </c>
      <c r="C44" t="s">
        <v>282</v>
      </c>
      <c r="D44">
        <v>35000</v>
      </c>
      <c r="E44">
        <v>42000</v>
      </c>
      <c r="F44">
        <v>7000</v>
      </c>
    </row>
    <row r="45" spans="1:6" x14ac:dyDescent="0.25">
      <c r="A45">
        <v>44</v>
      </c>
      <c r="B45" t="s">
        <v>283</v>
      </c>
      <c r="C45" t="s">
        <v>282</v>
      </c>
      <c r="D45">
        <v>35000</v>
      </c>
      <c r="E45">
        <v>42000</v>
      </c>
      <c r="F45">
        <v>7000</v>
      </c>
    </row>
    <row r="46" spans="1:6" x14ac:dyDescent="0.25">
      <c r="A46">
        <v>45</v>
      </c>
      <c r="B46" t="s">
        <v>278</v>
      </c>
      <c r="C46" t="s">
        <v>277</v>
      </c>
      <c r="D46">
        <v>20000</v>
      </c>
      <c r="E46">
        <v>24000</v>
      </c>
      <c r="F46">
        <v>4000</v>
      </c>
    </row>
    <row r="47" spans="1:6" x14ac:dyDescent="0.25">
      <c r="A47">
        <v>46</v>
      </c>
      <c r="B47" t="s">
        <v>260</v>
      </c>
      <c r="C47" t="s">
        <v>259</v>
      </c>
      <c r="D47">
        <v>25000</v>
      </c>
      <c r="E47">
        <v>30000</v>
      </c>
      <c r="F47">
        <v>5000</v>
      </c>
    </row>
    <row r="48" spans="1:6" x14ac:dyDescent="0.25">
      <c r="A48">
        <v>47</v>
      </c>
      <c r="B48" t="s">
        <v>283</v>
      </c>
      <c r="C48" t="s">
        <v>282</v>
      </c>
      <c r="D48">
        <v>35000</v>
      </c>
      <c r="E48">
        <v>42000</v>
      </c>
      <c r="F48">
        <v>7000</v>
      </c>
    </row>
    <row r="49" spans="1:6" x14ac:dyDescent="0.25">
      <c r="A49">
        <v>48</v>
      </c>
      <c r="B49" t="s">
        <v>283</v>
      </c>
      <c r="C49" t="s">
        <v>282</v>
      </c>
      <c r="D49">
        <v>35000</v>
      </c>
      <c r="E49">
        <v>42000</v>
      </c>
      <c r="F49">
        <v>7000</v>
      </c>
    </row>
    <row r="50" spans="1:6" x14ac:dyDescent="0.25">
      <c r="A50">
        <v>49</v>
      </c>
      <c r="B50" t="s">
        <v>283</v>
      </c>
      <c r="C50" t="s">
        <v>282</v>
      </c>
      <c r="D50">
        <v>35000</v>
      </c>
      <c r="E50">
        <v>42000</v>
      </c>
      <c r="F50">
        <v>7000</v>
      </c>
    </row>
    <row r="51" spans="1:6" x14ac:dyDescent="0.25">
      <c r="A51">
        <v>50</v>
      </c>
      <c r="B51" t="s">
        <v>260</v>
      </c>
      <c r="C51" t="s">
        <v>259</v>
      </c>
      <c r="D51">
        <v>25000</v>
      </c>
      <c r="E51">
        <v>30000</v>
      </c>
      <c r="F51">
        <v>5000</v>
      </c>
    </row>
    <row r="52" spans="1:6" x14ac:dyDescent="0.25">
      <c r="A52">
        <v>51</v>
      </c>
      <c r="B52" t="s">
        <v>260</v>
      </c>
      <c r="C52" t="s">
        <v>259</v>
      </c>
      <c r="D52">
        <v>25000</v>
      </c>
      <c r="E52">
        <v>30000</v>
      </c>
      <c r="F52">
        <v>5000</v>
      </c>
    </row>
    <row r="53" spans="1:6" x14ac:dyDescent="0.25">
      <c r="A53">
        <v>52</v>
      </c>
      <c r="B53" t="s">
        <v>260</v>
      </c>
      <c r="C53" t="s">
        <v>259</v>
      </c>
      <c r="D53">
        <v>25000</v>
      </c>
      <c r="E53">
        <v>30000</v>
      </c>
      <c r="F53">
        <v>5000</v>
      </c>
    </row>
    <row r="54" spans="1:6" x14ac:dyDescent="0.25">
      <c r="A54">
        <v>53</v>
      </c>
      <c r="B54" t="s">
        <v>278</v>
      </c>
      <c r="C54" t="s">
        <v>277</v>
      </c>
      <c r="D54">
        <v>20000</v>
      </c>
      <c r="E54">
        <v>24000</v>
      </c>
      <c r="F54">
        <v>4000</v>
      </c>
    </row>
    <row r="55" spans="1:6" x14ac:dyDescent="0.25">
      <c r="A55">
        <v>54</v>
      </c>
      <c r="B55" t="s">
        <v>278</v>
      </c>
      <c r="C55" t="s">
        <v>277</v>
      </c>
      <c r="D55">
        <v>20000</v>
      </c>
      <c r="E55">
        <v>24000</v>
      </c>
      <c r="F55">
        <v>4000</v>
      </c>
    </row>
    <row r="56" spans="1:6" x14ac:dyDescent="0.25">
      <c r="A56">
        <v>55</v>
      </c>
      <c r="B56" t="s">
        <v>278</v>
      </c>
      <c r="C56" t="s">
        <v>277</v>
      </c>
      <c r="D56">
        <v>20000</v>
      </c>
      <c r="E56">
        <v>24000</v>
      </c>
      <c r="F56">
        <v>4000</v>
      </c>
    </row>
    <row r="57" spans="1:6" x14ac:dyDescent="0.25">
      <c r="A57">
        <v>56</v>
      </c>
      <c r="B57" t="s">
        <v>278</v>
      </c>
      <c r="C57" t="s">
        <v>277</v>
      </c>
      <c r="D57">
        <v>20000</v>
      </c>
      <c r="E57">
        <v>24000</v>
      </c>
      <c r="F57">
        <v>4000</v>
      </c>
    </row>
    <row r="58" spans="1:6" x14ac:dyDescent="0.25">
      <c r="A58">
        <v>57</v>
      </c>
      <c r="B58" t="s">
        <v>260</v>
      </c>
      <c r="C58" t="s">
        <v>259</v>
      </c>
      <c r="D58">
        <v>25000</v>
      </c>
      <c r="E58">
        <v>30000</v>
      </c>
      <c r="F58">
        <v>5000</v>
      </c>
    </row>
    <row r="59" spans="1:6" x14ac:dyDescent="0.25">
      <c r="A59">
        <v>58</v>
      </c>
      <c r="B59" t="s">
        <v>272</v>
      </c>
      <c r="C59" t="s">
        <v>271</v>
      </c>
      <c r="D59">
        <v>50000</v>
      </c>
      <c r="E59">
        <v>60000</v>
      </c>
      <c r="F59">
        <v>10000</v>
      </c>
    </row>
    <row r="60" spans="1:6" x14ac:dyDescent="0.25">
      <c r="A60">
        <v>59</v>
      </c>
      <c r="B60" t="s">
        <v>278</v>
      </c>
      <c r="C60" t="s">
        <v>277</v>
      </c>
      <c r="D60">
        <v>20000</v>
      </c>
      <c r="E60">
        <v>24000</v>
      </c>
      <c r="F60">
        <v>4000</v>
      </c>
    </row>
    <row r="61" spans="1:6" x14ac:dyDescent="0.25">
      <c r="A61">
        <v>60</v>
      </c>
      <c r="B61" t="s">
        <v>278</v>
      </c>
      <c r="C61" t="s">
        <v>277</v>
      </c>
      <c r="D61">
        <v>20000</v>
      </c>
      <c r="E61">
        <v>24000</v>
      </c>
      <c r="F61">
        <v>4000</v>
      </c>
    </row>
    <row r="62" spans="1:6" x14ac:dyDescent="0.25">
      <c r="A62">
        <v>61</v>
      </c>
      <c r="B62" t="s">
        <v>260</v>
      </c>
      <c r="C62" t="s">
        <v>259</v>
      </c>
      <c r="D62">
        <v>25000</v>
      </c>
      <c r="E62">
        <v>30000</v>
      </c>
      <c r="F62">
        <v>5000</v>
      </c>
    </row>
    <row r="63" spans="1:6" x14ac:dyDescent="0.25">
      <c r="A63">
        <v>62</v>
      </c>
      <c r="B63" t="s">
        <v>266</v>
      </c>
      <c r="C63" t="s">
        <v>265</v>
      </c>
      <c r="D63">
        <v>30000</v>
      </c>
      <c r="E63">
        <v>36000</v>
      </c>
      <c r="F63">
        <v>6000</v>
      </c>
    </row>
    <row r="64" spans="1:6" x14ac:dyDescent="0.25">
      <c r="A64">
        <v>63</v>
      </c>
      <c r="B64" t="s">
        <v>283</v>
      </c>
      <c r="C64" t="s">
        <v>282</v>
      </c>
      <c r="D64">
        <v>35000</v>
      </c>
      <c r="E64">
        <v>42000</v>
      </c>
      <c r="F64">
        <v>7000</v>
      </c>
    </row>
    <row r="65" spans="1:6" x14ac:dyDescent="0.25">
      <c r="A65">
        <v>64</v>
      </c>
      <c r="B65" t="s">
        <v>283</v>
      </c>
      <c r="C65" t="s">
        <v>282</v>
      </c>
      <c r="D65">
        <v>35000</v>
      </c>
      <c r="E65">
        <v>42000</v>
      </c>
      <c r="F65">
        <v>7000</v>
      </c>
    </row>
    <row r="66" spans="1:6" x14ac:dyDescent="0.25">
      <c r="A66">
        <v>65</v>
      </c>
      <c r="B66" t="s">
        <v>283</v>
      </c>
      <c r="C66" t="s">
        <v>282</v>
      </c>
      <c r="D66">
        <v>35000</v>
      </c>
      <c r="E66">
        <v>42000</v>
      </c>
      <c r="F66">
        <v>7000</v>
      </c>
    </row>
    <row r="67" spans="1:6" x14ac:dyDescent="0.25">
      <c r="A67">
        <v>66</v>
      </c>
      <c r="B67" t="s">
        <v>283</v>
      </c>
      <c r="C67" t="s">
        <v>282</v>
      </c>
      <c r="D67">
        <v>35000</v>
      </c>
      <c r="E67">
        <v>42000</v>
      </c>
      <c r="F67">
        <v>7000</v>
      </c>
    </row>
    <row r="68" spans="1:6" x14ac:dyDescent="0.25">
      <c r="A68">
        <v>67</v>
      </c>
      <c r="B68" t="s">
        <v>283</v>
      </c>
      <c r="C68" t="s">
        <v>282</v>
      </c>
      <c r="D68">
        <v>35000</v>
      </c>
      <c r="E68">
        <v>42000</v>
      </c>
      <c r="F68">
        <v>7000</v>
      </c>
    </row>
    <row r="69" spans="1:6" x14ac:dyDescent="0.25">
      <c r="A69">
        <v>68</v>
      </c>
      <c r="B69" t="s">
        <v>283</v>
      </c>
      <c r="C69" t="s">
        <v>282</v>
      </c>
      <c r="D69">
        <v>35000</v>
      </c>
      <c r="E69">
        <v>42000</v>
      </c>
      <c r="F69">
        <v>7000</v>
      </c>
    </row>
    <row r="70" spans="1:6" x14ac:dyDescent="0.25">
      <c r="A70">
        <v>69</v>
      </c>
      <c r="B70" t="s">
        <v>260</v>
      </c>
      <c r="C70" t="s">
        <v>259</v>
      </c>
      <c r="D70">
        <v>25000</v>
      </c>
      <c r="E70">
        <v>30000</v>
      </c>
      <c r="F70">
        <v>5000</v>
      </c>
    </row>
    <row r="71" spans="1:6" x14ac:dyDescent="0.25">
      <c r="A71">
        <v>70</v>
      </c>
      <c r="B71" t="s">
        <v>283</v>
      </c>
      <c r="C71" t="s">
        <v>282</v>
      </c>
      <c r="D71">
        <v>35000</v>
      </c>
      <c r="E71">
        <v>42000</v>
      </c>
      <c r="F71">
        <v>7000</v>
      </c>
    </row>
    <row r="72" spans="1:6" x14ac:dyDescent="0.25">
      <c r="A72">
        <v>71</v>
      </c>
      <c r="B72" t="s">
        <v>283</v>
      </c>
      <c r="C72" t="s">
        <v>282</v>
      </c>
      <c r="D72">
        <v>35000</v>
      </c>
      <c r="E72">
        <v>42000</v>
      </c>
      <c r="F72">
        <v>7000</v>
      </c>
    </row>
    <row r="73" spans="1:6" x14ac:dyDescent="0.25">
      <c r="A73">
        <v>72</v>
      </c>
      <c r="B73" t="s">
        <v>283</v>
      </c>
      <c r="C73" t="s">
        <v>282</v>
      </c>
      <c r="D73">
        <v>35000</v>
      </c>
      <c r="E73">
        <v>42000</v>
      </c>
      <c r="F73">
        <v>7000</v>
      </c>
    </row>
    <row r="74" spans="1:6" x14ac:dyDescent="0.25">
      <c r="A74">
        <v>73</v>
      </c>
      <c r="B74" t="s">
        <v>260</v>
      </c>
      <c r="C74" t="s">
        <v>259</v>
      </c>
      <c r="D74">
        <v>25000</v>
      </c>
      <c r="E74">
        <v>30000</v>
      </c>
      <c r="F74">
        <v>5000</v>
      </c>
    </row>
    <row r="75" spans="1:6" x14ac:dyDescent="0.25">
      <c r="A75">
        <v>74</v>
      </c>
      <c r="B75" t="s">
        <v>283</v>
      </c>
      <c r="C75" t="s">
        <v>282</v>
      </c>
      <c r="D75">
        <v>35000</v>
      </c>
      <c r="E75">
        <v>42000</v>
      </c>
      <c r="F75">
        <v>7000</v>
      </c>
    </row>
    <row r="76" spans="1:6" x14ac:dyDescent="0.25">
      <c r="A76">
        <v>75</v>
      </c>
      <c r="B76" t="s">
        <v>283</v>
      </c>
      <c r="C76" t="s">
        <v>282</v>
      </c>
      <c r="D76">
        <v>35000</v>
      </c>
      <c r="E76">
        <v>42000</v>
      </c>
      <c r="F76">
        <v>7000</v>
      </c>
    </row>
    <row r="77" spans="1:6" x14ac:dyDescent="0.25">
      <c r="A77">
        <v>76</v>
      </c>
      <c r="B77" t="s">
        <v>266</v>
      </c>
      <c r="C77" t="s">
        <v>265</v>
      </c>
      <c r="D77">
        <v>30000</v>
      </c>
      <c r="E77">
        <v>36000</v>
      </c>
      <c r="F77">
        <v>6000</v>
      </c>
    </row>
    <row r="78" spans="1:6" x14ac:dyDescent="0.25">
      <c r="A78">
        <v>77</v>
      </c>
      <c r="B78" t="s">
        <v>266</v>
      </c>
      <c r="C78" t="s">
        <v>265</v>
      </c>
      <c r="D78">
        <v>30000</v>
      </c>
      <c r="E78">
        <v>36000</v>
      </c>
      <c r="F78">
        <v>6000</v>
      </c>
    </row>
    <row r="79" spans="1:6" x14ac:dyDescent="0.25">
      <c r="A79">
        <v>78</v>
      </c>
      <c r="B79" t="s">
        <v>260</v>
      </c>
      <c r="C79" t="s">
        <v>259</v>
      </c>
      <c r="D79">
        <v>25000</v>
      </c>
      <c r="E79">
        <v>30000</v>
      </c>
      <c r="F79">
        <v>5000</v>
      </c>
    </row>
    <row r="80" spans="1:6" x14ac:dyDescent="0.25">
      <c r="A80">
        <v>79</v>
      </c>
      <c r="B80" t="s">
        <v>283</v>
      </c>
      <c r="C80" t="s">
        <v>282</v>
      </c>
      <c r="D80">
        <v>35000</v>
      </c>
      <c r="E80">
        <v>42000</v>
      </c>
      <c r="F80">
        <v>7000</v>
      </c>
    </row>
    <row r="81" spans="1:6" x14ac:dyDescent="0.25">
      <c r="A81">
        <v>80</v>
      </c>
      <c r="B81" t="s">
        <v>283</v>
      </c>
      <c r="C81" t="s">
        <v>282</v>
      </c>
      <c r="D81">
        <v>35000</v>
      </c>
      <c r="E81">
        <v>42000</v>
      </c>
      <c r="F81">
        <v>7000</v>
      </c>
    </row>
    <row r="82" spans="1:6" x14ac:dyDescent="0.25">
      <c r="A82">
        <v>81</v>
      </c>
      <c r="B82" t="s">
        <v>266</v>
      </c>
      <c r="C82" t="s">
        <v>265</v>
      </c>
      <c r="D82">
        <v>30000</v>
      </c>
      <c r="E82">
        <v>36000</v>
      </c>
      <c r="F82">
        <v>6000</v>
      </c>
    </row>
    <row r="83" spans="1:6" x14ac:dyDescent="0.25">
      <c r="A83">
        <v>82</v>
      </c>
      <c r="B83" t="s">
        <v>266</v>
      </c>
      <c r="C83" t="s">
        <v>265</v>
      </c>
      <c r="D83">
        <v>30000</v>
      </c>
      <c r="E83">
        <v>36000</v>
      </c>
      <c r="F83">
        <v>6000</v>
      </c>
    </row>
    <row r="84" spans="1:6" x14ac:dyDescent="0.25">
      <c r="A84">
        <v>83</v>
      </c>
      <c r="B84" t="s">
        <v>266</v>
      </c>
      <c r="C84" t="s">
        <v>265</v>
      </c>
      <c r="D84">
        <v>30000</v>
      </c>
      <c r="E84">
        <v>36000</v>
      </c>
      <c r="F84">
        <v>6000</v>
      </c>
    </row>
    <row r="85" spans="1:6" x14ac:dyDescent="0.25">
      <c r="A85">
        <v>84</v>
      </c>
      <c r="B85" t="s">
        <v>260</v>
      </c>
      <c r="C85" t="s">
        <v>259</v>
      </c>
      <c r="D85">
        <v>25000</v>
      </c>
      <c r="E85">
        <v>30000</v>
      </c>
      <c r="F85">
        <v>5000</v>
      </c>
    </row>
    <row r="86" spans="1:6" x14ac:dyDescent="0.25">
      <c r="A86">
        <v>85</v>
      </c>
      <c r="B86" t="s">
        <v>266</v>
      </c>
      <c r="C86" t="s">
        <v>265</v>
      </c>
      <c r="D86">
        <v>30000</v>
      </c>
      <c r="E86">
        <v>36000</v>
      </c>
      <c r="F86">
        <v>6000</v>
      </c>
    </row>
    <row r="87" spans="1:6" x14ac:dyDescent="0.25">
      <c r="A87">
        <v>86</v>
      </c>
      <c r="B87" t="s">
        <v>283</v>
      </c>
      <c r="C87" t="s">
        <v>282</v>
      </c>
      <c r="D87">
        <v>35000</v>
      </c>
      <c r="E87">
        <v>42000</v>
      </c>
      <c r="F87">
        <v>7000</v>
      </c>
    </row>
    <row r="88" spans="1:6" x14ac:dyDescent="0.25">
      <c r="A88">
        <v>87</v>
      </c>
      <c r="B88" t="s">
        <v>283</v>
      </c>
      <c r="C88" t="s">
        <v>282</v>
      </c>
      <c r="D88">
        <v>35000</v>
      </c>
      <c r="E88">
        <v>42000</v>
      </c>
      <c r="F88">
        <v>7000</v>
      </c>
    </row>
    <row r="89" spans="1:6" x14ac:dyDescent="0.25">
      <c r="A89">
        <v>88</v>
      </c>
      <c r="B89" t="s">
        <v>283</v>
      </c>
      <c r="C89" t="s">
        <v>282</v>
      </c>
      <c r="D89">
        <v>35000</v>
      </c>
      <c r="E89">
        <v>42000</v>
      </c>
      <c r="F89">
        <v>7000</v>
      </c>
    </row>
    <row r="90" spans="1:6" x14ac:dyDescent="0.25">
      <c r="A90">
        <v>89</v>
      </c>
      <c r="B90" t="s">
        <v>260</v>
      </c>
      <c r="C90" t="s">
        <v>259</v>
      </c>
      <c r="D90">
        <v>25000</v>
      </c>
      <c r="E90">
        <v>30000</v>
      </c>
      <c r="F90">
        <v>5000</v>
      </c>
    </row>
    <row r="91" spans="1:6" x14ac:dyDescent="0.25">
      <c r="A91">
        <v>90</v>
      </c>
      <c r="B91" t="s">
        <v>283</v>
      </c>
      <c r="C91" t="s">
        <v>282</v>
      </c>
      <c r="D91">
        <v>35000</v>
      </c>
      <c r="E91">
        <v>42000</v>
      </c>
      <c r="F91">
        <v>7000</v>
      </c>
    </row>
    <row r="92" spans="1:6" x14ac:dyDescent="0.25">
      <c r="A92">
        <v>91</v>
      </c>
      <c r="B92" t="s">
        <v>283</v>
      </c>
      <c r="C92" t="s">
        <v>282</v>
      </c>
      <c r="D92">
        <v>35000</v>
      </c>
      <c r="E92">
        <v>42000</v>
      </c>
      <c r="F92">
        <v>7000</v>
      </c>
    </row>
    <row r="93" spans="1:6" x14ac:dyDescent="0.25">
      <c r="A93">
        <v>92</v>
      </c>
      <c r="B93" t="s">
        <v>260</v>
      </c>
      <c r="C93" t="s">
        <v>259</v>
      </c>
      <c r="D93">
        <v>25000</v>
      </c>
      <c r="E93">
        <v>30000</v>
      </c>
      <c r="F93">
        <v>5000</v>
      </c>
    </row>
    <row r="94" spans="1:6" x14ac:dyDescent="0.25">
      <c r="A94">
        <v>93</v>
      </c>
      <c r="B94" t="s">
        <v>283</v>
      </c>
      <c r="C94" t="s">
        <v>282</v>
      </c>
      <c r="D94">
        <v>35000</v>
      </c>
      <c r="E94">
        <v>42000</v>
      </c>
      <c r="F94">
        <v>7000</v>
      </c>
    </row>
    <row r="95" spans="1:6" x14ac:dyDescent="0.25">
      <c r="A95">
        <v>94</v>
      </c>
      <c r="B95" t="s">
        <v>272</v>
      </c>
      <c r="C95" t="s">
        <v>271</v>
      </c>
      <c r="D95">
        <v>50000</v>
      </c>
      <c r="E95">
        <v>60000</v>
      </c>
      <c r="F95">
        <v>10000</v>
      </c>
    </row>
    <row r="96" spans="1:6" x14ac:dyDescent="0.25">
      <c r="A96">
        <v>95</v>
      </c>
      <c r="B96" t="s">
        <v>266</v>
      </c>
      <c r="C96" t="s">
        <v>265</v>
      </c>
      <c r="D96">
        <v>30000</v>
      </c>
      <c r="E96">
        <v>36000</v>
      </c>
      <c r="F96">
        <v>6000</v>
      </c>
    </row>
    <row r="97" spans="1:6" x14ac:dyDescent="0.25">
      <c r="A97">
        <v>96</v>
      </c>
      <c r="B97" t="s">
        <v>283</v>
      </c>
      <c r="C97" t="s">
        <v>282</v>
      </c>
      <c r="D97">
        <v>35000</v>
      </c>
      <c r="E97">
        <v>42000</v>
      </c>
      <c r="F97">
        <v>7000</v>
      </c>
    </row>
    <row r="98" spans="1:6" x14ac:dyDescent="0.25">
      <c r="A98">
        <v>97</v>
      </c>
      <c r="B98" t="s">
        <v>283</v>
      </c>
      <c r="C98" t="s">
        <v>282</v>
      </c>
      <c r="D98">
        <v>35000</v>
      </c>
      <c r="E98">
        <v>42000</v>
      </c>
      <c r="F98">
        <v>7000</v>
      </c>
    </row>
    <row r="99" spans="1:6" x14ac:dyDescent="0.25">
      <c r="A99">
        <v>98</v>
      </c>
      <c r="B99" t="s">
        <v>260</v>
      </c>
      <c r="C99" t="s">
        <v>259</v>
      </c>
      <c r="D99">
        <v>25000</v>
      </c>
      <c r="E99">
        <v>30000</v>
      </c>
      <c r="F99">
        <v>5000</v>
      </c>
    </row>
    <row r="100" spans="1:6" x14ac:dyDescent="0.25">
      <c r="A100">
        <v>99</v>
      </c>
      <c r="B100" t="s">
        <v>283</v>
      </c>
      <c r="C100" t="s">
        <v>282</v>
      </c>
      <c r="D100">
        <v>35000</v>
      </c>
      <c r="E100">
        <v>42000</v>
      </c>
      <c r="F100">
        <v>7000</v>
      </c>
    </row>
    <row r="101" spans="1:6" x14ac:dyDescent="0.25">
      <c r="A101">
        <v>100</v>
      </c>
      <c r="B101" t="s">
        <v>283</v>
      </c>
      <c r="C101" t="s">
        <v>282</v>
      </c>
      <c r="D101">
        <v>35000</v>
      </c>
      <c r="E101">
        <v>42000</v>
      </c>
      <c r="F101">
        <v>7000</v>
      </c>
    </row>
    <row r="102" spans="1:6" x14ac:dyDescent="0.25">
      <c r="A102">
        <v>101</v>
      </c>
      <c r="B102" t="s">
        <v>278</v>
      </c>
      <c r="C102" t="s">
        <v>277</v>
      </c>
      <c r="D102">
        <v>20000</v>
      </c>
      <c r="E102">
        <v>24000</v>
      </c>
      <c r="F102">
        <v>4000</v>
      </c>
    </row>
    <row r="103" spans="1:6" x14ac:dyDescent="0.25">
      <c r="A103">
        <v>102</v>
      </c>
      <c r="B103" t="s">
        <v>260</v>
      </c>
      <c r="C103" t="s">
        <v>259</v>
      </c>
      <c r="D103">
        <v>25000</v>
      </c>
      <c r="E103">
        <v>30000</v>
      </c>
      <c r="F103">
        <v>5000</v>
      </c>
    </row>
    <row r="104" spans="1:6" x14ac:dyDescent="0.25">
      <c r="A104">
        <v>103</v>
      </c>
      <c r="B104" t="s">
        <v>283</v>
      </c>
      <c r="C104" t="s">
        <v>282</v>
      </c>
      <c r="D104">
        <v>35000</v>
      </c>
      <c r="E104">
        <v>42000</v>
      </c>
      <c r="F104">
        <v>7000</v>
      </c>
    </row>
    <row r="105" spans="1:6" x14ac:dyDescent="0.25">
      <c r="A105">
        <v>104</v>
      </c>
      <c r="B105" t="s">
        <v>283</v>
      </c>
      <c r="C105" t="s">
        <v>282</v>
      </c>
      <c r="D105">
        <v>35000</v>
      </c>
      <c r="E105">
        <v>42000</v>
      </c>
      <c r="F105">
        <v>7000</v>
      </c>
    </row>
    <row r="106" spans="1:6" x14ac:dyDescent="0.25">
      <c r="A106">
        <v>105</v>
      </c>
      <c r="B106" t="s">
        <v>260</v>
      </c>
      <c r="C106" t="s">
        <v>259</v>
      </c>
      <c r="D106">
        <v>25000</v>
      </c>
      <c r="E106">
        <v>30000</v>
      </c>
      <c r="F106">
        <v>5000</v>
      </c>
    </row>
    <row r="107" spans="1:6" x14ac:dyDescent="0.25">
      <c r="A107">
        <v>106</v>
      </c>
      <c r="B107" t="s">
        <v>283</v>
      </c>
      <c r="C107" t="s">
        <v>282</v>
      </c>
      <c r="D107">
        <v>35000</v>
      </c>
      <c r="E107">
        <v>42000</v>
      </c>
      <c r="F107">
        <v>7000</v>
      </c>
    </row>
    <row r="108" spans="1:6" x14ac:dyDescent="0.25">
      <c r="A108">
        <v>107</v>
      </c>
      <c r="B108" t="s">
        <v>260</v>
      </c>
      <c r="C108" t="s">
        <v>259</v>
      </c>
      <c r="D108">
        <v>25000</v>
      </c>
      <c r="E108">
        <v>30000</v>
      </c>
      <c r="F108">
        <v>5000</v>
      </c>
    </row>
    <row r="109" spans="1:6" x14ac:dyDescent="0.25">
      <c r="A109">
        <v>108</v>
      </c>
      <c r="B109" t="s">
        <v>260</v>
      </c>
      <c r="C109" t="s">
        <v>259</v>
      </c>
      <c r="D109">
        <v>25000</v>
      </c>
      <c r="E109">
        <v>30000</v>
      </c>
      <c r="F109">
        <v>5000</v>
      </c>
    </row>
    <row r="110" spans="1:6" x14ac:dyDescent="0.25">
      <c r="A110">
        <v>109</v>
      </c>
      <c r="B110" t="s">
        <v>278</v>
      </c>
      <c r="C110" t="s">
        <v>277</v>
      </c>
      <c r="D110">
        <v>20000</v>
      </c>
      <c r="E110">
        <v>24000</v>
      </c>
      <c r="F110">
        <v>4000</v>
      </c>
    </row>
    <row r="111" spans="1:6" x14ac:dyDescent="0.25">
      <c r="A111">
        <v>110</v>
      </c>
      <c r="B111" t="s">
        <v>260</v>
      </c>
      <c r="C111" t="s">
        <v>259</v>
      </c>
      <c r="D111">
        <v>25000</v>
      </c>
      <c r="E111">
        <v>30000</v>
      </c>
      <c r="F111">
        <v>5000</v>
      </c>
    </row>
    <row r="112" spans="1:6" x14ac:dyDescent="0.25">
      <c r="A112">
        <v>111</v>
      </c>
      <c r="B112" t="s">
        <v>278</v>
      </c>
      <c r="C112" t="s">
        <v>277</v>
      </c>
      <c r="D112">
        <v>20000</v>
      </c>
      <c r="E112">
        <v>24000</v>
      </c>
      <c r="F112">
        <v>4000</v>
      </c>
    </row>
    <row r="113" spans="1:6" x14ac:dyDescent="0.25">
      <c r="A113">
        <v>112</v>
      </c>
      <c r="B113" t="s">
        <v>278</v>
      </c>
      <c r="C113" t="s">
        <v>277</v>
      </c>
      <c r="D113">
        <v>20000</v>
      </c>
      <c r="E113">
        <v>24000</v>
      </c>
      <c r="F113">
        <v>4000</v>
      </c>
    </row>
    <row r="114" spans="1:6" x14ac:dyDescent="0.25">
      <c r="A114">
        <v>113</v>
      </c>
      <c r="B114" t="s">
        <v>260</v>
      </c>
      <c r="C114" t="s">
        <v>259</v>
      </c>
      <c r="D114">
        <v>25000</v>
      </c>
      <c r="E114">
        <v>30000</v>
      </c>
      <c r="F114">
        <v>5000</v>
      </c>
    </row>
    <row r="115" spans="1:6" x14ac:dyDescent="0.25">
      <c r="A115">
        <v>114</v>
      </c>
      <c r="B115" t="s">
        <v>278</v>
      </c>
      <c r="C115" t="s">
        <v>277</v>
      </c>
      <c r="D115">
        <v>20000</v>
      </c>
      <c r="E115">
        <v>24000</v>
      </c>
      <c r="F115">
        <v>4000</v>
      </c>
    </row>
    <row r="116" spans="1:6" x14ac:dyDescent="0.25">
      <c r="A116">
        <v>115</v>
      </c>
      <c r="B116" t="s">
        <v>260</v>
      </c>
      <c r="C116" t="s">
        <v>259</v>
      </c>
      <c r="D116">
        <v>25000</v>
      </c>
      <c r="E116">
        <v>30000</v>
      </c>
      <c r="F116">
        <v>5000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D9BBC-DD6D-47ED-AC1C-A70479EEF29B}">
  <dimension ref="A1:C48"/>
  <sheetViews>
    <sheetView topLeftCell="A12" workbookViewId="0">
      <selection activeCell="C1" sqref="C1"/>
    </sheetView>
  </sheetViews>
  <sheetFormatPr defaultRowHeight="15" x14ac:dyDescent="0.25"/>
  <cols>
    <col min="1" max="1" width="12" bestFit="1" customWidth="1"/>
    <col min="2" max="2" width="17.85546875" bestFit="1" customWidth="1"/>
    <col min="3" max="3" width="29" bestFit="1" customWidth="1"/>
  </cols>
  <sheetData>
    <row r="1" spans="1:3" ht="15.75" x14ac:dyDescent="0.25">
      <c r="A1" s="1" t="s">
        <v>289</v>
      </c>
      <c r="B1" s="2" t="s">
        <v>1</v>
      </c>
      <c r="C1" s="3" t="s">
        <v>290</v>
      </c>
    </row>
    <row r="2" spans="1:3" x14ac:dyDescent="0.25">
      <c r="A2" s="4" t="s">
        <v>291</v>
      </c>
      <c r="B2" s="5" t="s">
        <v>292</v>
      </c>
      <c r="C2" s="6" t="s">
        <v>293</v>
      </c>
    </row>
    <row r="3" spans="1:3" x14ac:dyDescent="0.25">
      <c r="A3" s="4" t="s">
        <v>294</v>
      </c>
      <c r="B3" s="5" t="s">
        <v>292</v>
      </c>
      <c r="C3" s="6" t="s">
        <v>295</v>
      </c>
    </row>
    <row r="4" spans="1:3" x14ac:dyDescent="0.25">
      <c r="A4" s="4" t="s">
        <v>296</v>
      </c>
      <c r="B4" s="5" t="s">
        <v>292</v>
      </c>
      <c r="C4" s="6" t="s">
        <v>297</v>
      </c>
    </row>
    <row r="5" spans="1:3" x14ac:dyDescent="0.25">
      <c r="A5" s="4" t="s">
        <v>298</v>
      </c>
      <c r="B5" s="5" t="s">
        <v>292</v>
      </c>
      <c r="C5" s="6" t="s">
        <v>299</v>
      </c>
    </row>
    <row r="6" spans="1:3" x14ac:dyDescent="0.25">
      <c r="A6" s="4" t="s">
        <v>300</v>
      </c>
      <c r="B6" s="5" t="s">
        <v>292</v>
      </c>
      <c r="C6" s="6" t="s">
        <v>301</v>
      </c>
    </row>
    <row r="7" spans="1:3" x14ac:dyDescent="0.25">
      <c r="A7" s="4" t="s">
        <v>302</v>
      </c>
      <c r="B7" s="5" t="s">
        <v>292</v>
      </c>
      <c r="C7" s="6" t="s">
        <v>303</v>
      </c>
    </row>
    <row r="8" spans="1:3" x14ac:dyDescent="0.25">
      <c r="A8" s="4" t="s">
        <v>304</v>
      </c>
      <c r="B8" s="5" t="s">
        <v>292</v>
      </c>
      <c r="C8" s="6" t="s">
        <v>305</v>
      </c>
    </row>
    <row r="9" spans="1:3" x14ac:dyDescent="0.25">
      <c r="A9" s="4" t="s">
        <v>306</v>
      </c>
      <c r="B9" s="5" t="s">
        <v>292</v>
      </c>
      <c r="C9" s="6" t="s">
        <v>307</v>
      </c>
    </row>
    <row r="10" spans="1:3" x14ac:dyDescent="0.25">
      <c r="A10" s="4" t="s">
        <v>308</v>
      </c>
      <c r="B10" s="5" t="s">
        <v>292</v>
      </c>
      <c r="C10" s="6" t="s">
        <v>309</v>
      </c>
    </row>
    <row r="11" spans="1:3" x14ac:dyDescent="0.25">
      <c r="A11" s="4" t="s">
        <v>310</v>
      </c>
      <c r="B11" s="5" t="s">
        <v>292</v>
      </c>
      <c r="C11" s="6" t="s">
        <v>311</v>
      </c>
    </row>
    <row r="12" spans="1:3" x14ac:dyDescent="0.25">
      <c r="A12" s="4" t="s">
        <v>312</v>
      </c>
      <c r="B12" s="5" t="s">
        <v>292</v>
      </c>
      <c r="C12" s="6" t="s">
        <v>313</v>
      </c>
    </row>
    <row r="13" spans="1:3" x14ac:dyDescent="0.25">
      <c r="A13" s="4" t="s">
        <v>314</v>
      </c>
      <c r="B13" s="5" t="s">
        <v>315</v>
      </c>
      <c r="C13" s="6" t="s">
        <v>316</v>
      </c>
    </row>
    <row r="14" spans="1:3" x14ac:dyDescent="0.25">
      <c r="A14" s="4" t="s">
        <v>317</v>
      </c>
      <c r="B14" s="5" t="s">
        <v>315</v>
      </c>
      <c r="C14" s="6" t="s">
        <v>318</v>
      </c>
    </row>
    <row r="15" spans="1:3" x14ac:dyDescent="0.25">
      <c r="A15" s="4" t="s">
        <v>319</v>
      </c>
      <c r="B15" s="5" t="s">
        <v>315</v>
      </c>
      <c r="C15" s="6" t="s">
        <v>320</v>
      </c>
    </row>
    <row r="16" spans="1:3" x14ac:dyDescent="0.25">
      <c r="A16" s="4" t="s">
        <v>321</v>
      </c>
      <c r="B16" s="5" t="s">
        <v>315</v>
      </c>
      <c r="C16" s="6" t="s">
        <v>322</v>
      </c>
    </row>
    <row r="17" spans="1:3" x14ac:dyDescent="0.25">
      <c r="A17" s="4" t="s">
        <v>323</v>
      </c>
      <c r="B17" s="5" t="s">
        <v>315</v>
      </c>
      <c r="C17" s="6" t="s">
        <v>324</v>
      </c>
    </row>
    <row r="18" spans="1:3" x14ac:dyDescent="0.25">
      <c r="A18" s="4" t="s">
        <v>325</v>
      </c>
      <c r="B18" s="5" t="s">
        <v>315</v>
      </c>
      <c r="C18" s="6" t="s">
        <v>326</v>
      </c>
    </row>
    <row r="19" spans="1:3" x14ac:dyDescent="0.25">
      <c r="A19" s="4" t="s">
        <v>327</v>
      </c>
      <c r="B19" s="5" t="s">
        <v>315</v>
      </c>
      <c r="C19" s="6" t="s">
        <v>328</v>
      </c>
    </row>
    <row r="20" spans="1:3" x14ac:dyDescent="0.25">
      <c r="A20" s="4" t="s">
        <v>329</v>
      </c>
      <c r="B20" s="5" t="s">
        <v>315</v>
      </c>
      <c r="C20" s="6" t="s">
        <v>330</v>
      </c>
    </row>
    <row r="21" spans="1:3" x14ac:dyDescent="0.25">
      <c r="A21" s="4" t="s">
        <v>331</v>
      </c>
      <c r="B21" s="5" t="s">
        <v>315</v>
      </c>
      <c r="C21" s="6" t="s">
        <v>332</v>
      </c>
    </row>
    <row r="22" spans="1:3" x14ac:dyDescent="0.25">
      <c r="A22" s="4" t="s">
        <v>333</v>
      </c>
      <c r="B22" s="5" t="s">
        <v>315</v>
      </c>
      <c r="C22" s="6" t="s">
        <v>334</v>
      </c>
    </row>
    <row r="23" spans="1:3" x14ac:dyDescent="0.25">
      <c r="A23" s="4" t="s">
        <v>335</v>
      </c>
      <c r="B23" s="5" t="s">
        <v>315</v>
      </c>
      <c r="C23" s="6" t="s">
        <v>336</v>
      </c>
    </row>
    <row r="24" spans="1:3" x14ac:dyDescent="0.25">
      <c r="A24" s="4" t="s">
        <v>337</v>
      </c>
      <c r="B24" s="5" t="s">
        <v>338</v>
      </c>
      <c r="C24" s="6" t="s">
        <v>339</v>
      </c>
    </row>
    <row r="25" spans="1:3" x14ac:dyDescent="0.25">
      <c r="A25" s="4" t="s">
        <v>340</v>
      </c>
      <c r="B25" s="5" t="s">
        <v>338</v>
      </c>
      <c r="C25" s="6" t="s">
        <v>341</v>
      </c>
    </row>
    <row r="26" spans="1:3" x14ac:dyDescent="0.25">
      <c r="A26" s="4" t="s">
        <v>342</v>
      </c>
      <c r="B26" s="5" t="s">
        <v>338</v>
      </c>
      <c r="C26" s="6" t="s">
        <v>343</v>
      </c>
    </row>
    <row r="27" spans="1:3" x14ac:dyDescent="0.25">
      <c r="A27" s="4" t="s">
        <v>344</v>
      </c>
      <c r="B27" s="5" t="s">
        <v>338</v>
      </c>
      <c r="C27" s="6" t="s">
        <v>345</v>
      </c>
    </row>
    <row r="28" spans="1:3" x14ac:dyDescent="0.25">
      <c r="A28" s="4" t="s">
        <v>346</v>
      </c>
      <c r="B28" s="5" t="s">
        <v>338</v>
      </c>
      <c r="C28" s="6" t="s">
        <v>347</v>
      </c>
    </row>
    <row r="29" spans="1:3" x14ac:dyDescent="0.25">
      <c r="A29" s="4" t="s">
        <v>348</v>
      </c>
      <c r="B29" s="5" t="s">
        <v>338</v>
      </c>
      <c r="C29" s="6" t="s">
        <v>349</v>
      </c>
    </row>
    <row r="30" spans="1:3" x14ac:dyDescent="0.25">
      <c r="A30" s="4" t="s">
        <v>350</v>
      </c>
      <c r="B30" s="5" t="s">
        <v>338</v>
      </c>
      <c r="C30" s="6" t="s">
        <v>351</v>
      </c>
    </row>
    <row r="31" spans="1:3" x14ac:dyDescent="0.25">
      <c r="A31" s="4" t="s">
        <v>352</v>
      </c>
      <c r="B31" s="5" t="s">
        <v>338</v>
      </c>
      <c r="C31" s="6" t="s">
        <v>353</v>
      </c>
    </row>
    <row r="32" spans="1:3" x14ac:dyDescent="0.25">
      <c r="A32" s="4" t="s">
        <v>354</v>
      </c>
      <c r="B32" s="5" t="s">
        <v>338</v>
      </c>
      <c r="C32" s="6" t="s">
        <v>355</v>
      </c>
    </row>
    <row r="33" spans="1:3" x14ac:dyDescent="0.25">
      <c r="A33" s="4" t="s">
        <v>356</v>
      </c>
      <c r="B33" s="5" t="s">
        <v>357</v>
      </c>
      <c r="C33" s="6" t="s">
        <v>358</v>
      </c>
    </row>
    <row r="34" spans="1:3" x14ac:dyDescent="0.25">
      <c r="A34" s="4" t="s">
        <v>359</v>
      </c>
      <c r="B34" s="5" t="s">
        <v>357</v>
      </c>
      <c r="C34" s="6" t="s">
        <v>360</v>
      </c>
    </row>
    <row r="35" spans="1:3" x14ac:dyDescent="0.25">
      <c r="A35" s="4" t="s">
        <v>361</v>
      </c>
      <c r="B35" s="5" t="s">
        <v>357</v>
      </c>
      <c r="C35" s="6" t="s">
        <v>362</v>
      </c>
    </row>
    <row r="36" spans="1:3" x14ac:dyDescent="0.25">
      <c r="A36" s="4" t="s">
        <v>363</v>
      </c>
      <c r="B36" s="5" t="s">
        <v>357</v>
      </c>
      <c r="C36" s="6" t="s">
        <v>364</v>
      </c>
    </row>
    <row r="37" spans="1:3" x14ac:dyDescent="0.25">
      <c r="A37" s="4" t="s">
        <v>365</v>
      </c>
      <c r="B37" s="5" t="s">
        <v>357</v>
      </c>
      <c r="C37" s="6" t="s">
        <v>366</v>
      </c>
    </row>
    <row r="38" spans="1:3" x14ac:dyDescent="0.25">
      <c r="A38" s="4" t="s">
        <v>367</v>
      </c>
      <c r="B38" s="5" t="s">
        <v>357</v>
      </c>
      <c r="C38" s="6" t="s">
        <v>368</v>
      </c>
    </row>
    <row r="39" spans="1:3" x14ac:dyDescent="0.25">
      <c r="A39" s="4" t="s">
        <v>369</v>
      </c>
      <c r="B39" s="5" t="s">
        <v>357</v>
      </c>
      <c r="C39" s="6" t="s">
        <v>370</v>
      </c>
    </row>
    <row r="40" spans="1:3" x14ac:dyDescent="0.25">
      <c r="A40" s="4" t="s">
        <v>371</v>
      </c>
      <c r="B40" s="5" t="s">
        <v>357</v>
      </c>
      <c r="C40" s="6" t="s">
        <v>372</v>
      </c>
    </row>
    <row r="41" spans="1:3" x14ac:dyDescent="0.25">
      <c r="A41" s="4" t="s">
        <v>373</v>
      </c>
      <c r="B41" s="5" t="s">
        <v>357</v>
      </c>
      <c r="C41" s="6" t="s">
        <v>374</v>
      </c>
    </row>
    <row r="42" spans="1:3" x14ac:dyDescent="0.25">
      <c r="A42" s="4" t="s">
        <v>375</v>
      </c>
      <c r="B42" s="5" t="s">
        <v>357</v>
      </c>
      <c r="C42" s="6" t="s">
        <v>376</v>
      </c>
    </row>
    <row r="43" spans="1:3" x14ac:dyDescent="0.25">
      <c r="A43" s="4" t="s">
        <v>377</v>
      </c>
      <c r="B43" s="5" t="s">
        <v>378</v>
      </c>
      <c r="C43" s="6" t="s">
        <v>379</v>
      </c>
    </row>
    <row r="44" spans="1:3" x14ac:dyDescent="0.25">
      <c r="A44" s="4" t="s">
        <v>380</v>
      </c>
      <c r="B44" s="5" t="s">
        <v>378</v>
      </c>
      <c r="C44" s="6" t="s">
        <v>381</v>
      </c>
    </row>
    <row r="45" spans="1:3" x14ac:dyDescent="0.25">
      <c r="A45" s="4" t="s">
        <v>382</v>
      </c>
      <c r="B45" s="5" t="s">
        <v>378</v>
      </c>
      <c r="C45" s="6" t="s">
        <v>383</v>
      </c>
    </row>
    <row r="46" spans="1:3" x14ac:dyDescent="0.25">
      <c r="A46" s="4" t="s">
        <v>384</v>
      </c>
      <c r="B46" s="5" t="s">
        <v>378</v>
      </c>
      <c r="C46" s="6" t="s">
        <v>385</v>
      </c>
    </row>
    <row r="47" spans="1:3" x14ac:dyDescent="0.25">
      <c r="A47" s="4" t="s">
        <v>386</v>
      </c>
      <c r="B47" s="5" t="s">
        <v>378</v>
      </c>
      <c r="C47" s="6" t="s">
        <v>387</v>
      </c>
    </row>
    <row r="48" spans="1:3" x14ac:dyDescent="0.25">
      <c r="A48" s="7" t="s">
        <v>388</v>
      </c>
      <c r="B48" s="8" t="s">
        <v>378</v>
      </c>
      <c r="C48" s="9" t="s">
        <v>389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707B8-3E44-46BE-AFD3-A164364F3C9A}">
  <dimension ref="A1:AD116"/>
  <sheetViews>
    <sheetView topLeftCell="X1" workbookViewId="0">
      <selection activeCell="AJ10" sqref="AJ10"/>
    </sheetView>
  </sheetViews>
  <sheetFormatPr defaultRowHeight="15" x14ac:dyDescent="0.25"/>
  <cols>
    <col min="1" max="1" width="14.140625" bestFit="1" customWidth="1"/>
    <col min="2" max="2" width="14.140625" customWidth="1"/>
    <col min="3" max="3" width="29" bestFit="1" customWidth="1"/>
    <col min="4" max="4" width="17.85546875" bestFit="1" customWidth="1"/>
    <col min="5" max="5" width="17.140625" bestFit="1" customWidth="1"/>
    <col min="6" max="6" width="16.28515625" bestFit="1" customWidth="1"/>
    <col min="7" max="7" width="15.7109375" bestFit="1" customWidth="1"/>
    <col min="8" max="8" width="31.42578125" bestFit="1" customWidth="1"/>
    <col min="9" max="9" width="31.42578125" customWidth="1"/>
    <col min="10" max="10" width="27" bestFit="1" customWidth="1"/>
    <col min="11" max="11" width="24.28515625" bestFit="1" customWidth="1"/>
    <col min="12" max="12" width="30.28515625" bestFit="1" customWidth="1"/>
    <col min="13" max="13" width="32.5703125" bestFit="1" customWidth="1"/>
    <col min="14" max="14" width="24" bestFit="1" customWidth="1"/>
    <col min="15" max="15" width="24" customWidth="1"/>
    <col min="16" max="16" width="34.28515625" bestFit="1" customWidth="1"/>
    <col min="17" max="17" width="18.42578125" bestFit="1" customWidth="1"/>
    <col min="18" max="18" width="18.42578125" customWidth="1"/>
    <col min="19" max="19" width="26.28515625" bestFit="1" customWidth="1"/>
    <col min="20" max="20" width="76" bestFit="1" customWidth="1"/>
    <col min="21" max="21" width="76" customWidth="1"/>
    <col min="22" max="22" width="28.5703125" bestFit="1" customWidth="1"/>
    <col min="23" max="23" width="255.7109375" bestFit="1" customWidth="1"/>
    <col min="24" max="24" width="25.42578125" customWidth="1"/>
    <col min="25" max="25" width="25.42578125" bestFit="1" customWidth="1"/>
    <col min="26" max="26" width="26.5703125" bestFit="1" customWidth="1"/>
    <col min="27" max="27" width="18.28515625" bestFit="1" customWidth="1"/>
    <col min="28" max="28" width="26.5703125" bestFit="1" customWidth="1"/>
    <col min="29" max="29" width="14.7109375" bestFit="1" customWidth="1"/>
    <col min="30" max="30" width="26.5703125" customWidth="1"/>
    <col min="31" max="31" width="17.28515625" bestFit="1" customWidth="1"/>
    <col min="32" max="32" width="14.7109375" bestFit="1" customWidth="1"/>
  </cols>
  <sheetData>
    <row r="1" spans="1:30" x14ac:dyDescent="0.25">
      <c r="A1" s="10" t="s">
        <v>131</v>
      </c>
      <c r="B1" s="10" t="s">
        <v>289</v>
      </c>
      <c r="C1" s="10" t="s">
        <v>390</v>
      </c>
      <c r="D1" s="10" t="s">
        <v>1</v>
      </c>
      <c r="E1" s="10" t="s">
        <v>391</v>
      </c>
      <c r="F1" s="10" t="s">
        <v>392</v>
      </c>
      <c r="G1" s="10" t="s">
        <v>393</v>
      </c>
      <c r="H1" s="10" t="s">
        <v>201</v>
      </c>
      <c r="I1" s="10" t="s">
        <v>394</v>
      </c>
      <c r="J1" s="10" t="s">
        <v>463</v>
      </c>
      <c r="K1" s="10" t="s">
        <v>227</v>
      </c>
      <c r="L1" s="10" t="s">
        <v>395</v>
      </c>
      <c r="M1" s="10" t="s">
        <v>464</v>
      </c>
      <c r="N1" s="10" t="s">
        <v>166</v>
      </c>
      <c r="O1" s="10" t="s">
        <v>396</v>
      </c>
      <c r="P1" s="10" t="s">
        <v>465</v>
      </c>
      <c r="Q1" s="10" t="s">
        <v>288</v>
      </c>
      <c r="R1" s="10" t="s">
        <v>397</v>
      </c>
      <c r="S1" s="10" t="s">
        <v>466</v>
      </c>
      <c r="T1" s="10" t="s">
        <v>398</v>
      </c>
      <c r="U1" s="10" t="s">
        <v>399</v>
      </c>
      <c r="V1" s="10" t="s">
        <v>467</v>
      </c>
      <c r="W1" s="10" t="s">
        <v>400</v>
      </c>
      <c r="X1" s="10" t="s">
        <v>401</v>
      </c>
      <c r="Y1" s="10" t="s">
        <v>468</v>
      </c>
      <c r="Z1" s="10" t="s">
        <v>469</v>
      </c>
      <c r="AA1" s="10" t="s">
        <v>462</v>
      </c>
      <c r="AB1" s="10" t="s">
        <v>402</v>
      </c>
      <c r="AC1" s="10" t="s">
        <v>403</v>
      </c>
      <c r="AD1" s="10" t="s">
        <v>461</v>
      </c>
    </row>
    <row r="2" spans="1:30" x14ac:dyDescent="0.25">
      <c r="A2" s="10">
        <v>1</v>
      </c>
      <c r="B2" s="10" t="str" cm="1">
        <f t="array" ref="B2">_xlfn.XLOOKUP(Event_Master[[#This Row],[Event_Type]],Event_Catalog[[#All],[Event_Name]],Event_Catalog[[#All],[Event_ID]],,0)</f>
        <v>E001</v>
      </c>
      <c r="C2" s="10" t="s">
        <v>293</v>
      </c>
      <c r="D2" s="10" t="s">
        <v>292</v>
      </c>
      <c r="E2" s="10">
        <v>850</v>
      </c>
      <c r="F2" s="10" t="s">
        <v>404</v>
      </c>
      <c r="G2" s="11">
        <v>44944</v>
      </c>
      <c r="H2" s="10" t="s">
        <v>207</v>
      </c>
      <c r="I2" s="10" cm="1">
        <f t="array" ref="I2">_xlfn.XLOOKUP(Event_Master[[#This Row],[Event_No]],Venue_Orders[[#All],[Event_No]],Venue_Orders[[#All],[Rental_Cost]],0,0)</f>
        <v>60000</v>
      </c>
      <c r="J2" s="10" cm="1">
        <f t="array" ref="J2">_xlfn.XLOOKUP(Event_Master[[#This Row],[Event_No]],Venue_Orders[[#All],[Event_No]],Venue_Orders[[#All],[Client_Charge]],,0)</f>
        <v>70000</v>
      </c>
      <c r="K2" s="10" t="s">
        <v>232</v>
      </c>
      <c r="L2" s="10" cm="1">
        <f t="array" ref="L2">_xlfn.XLOOKUP(Event_Master[[#This Row],[Event_No]],Photography_Orders[[#All],[Event_No]],Photography_Orders[[#All],[Cost]],,0)</f>
        <v>30000</v>
      </c>
      <c r="M2" s="10" cm="1">
        <f t="array" ref="M2">_xlfn.XLOOKUP(Event_Master[[#This Row],[Event_No]],Photography_Orders[[#All],[Event_No]],Photography_Orders[[#All],[Client_Charge]],,0)</f>
        <v>36000</v>
      </c>
      <c r="N2" s="10" t="s">
        <v>153</v>
      </c>
      <c r="O2" s="10" cm="1">
        <f t="array" ref="O2">_xlfn.XLOOKUP(Event_Master[[#This Row],[Event_No]],Entertainment_Orders[[#All],[Event_No]],Entertainment_Orders[[#All],[Cost]],,0)</f>
        <v>15000</v>
      </c>
      <c r="P2" s="10" cm="1">
        <f t="array" ref="P2">_xlfn.XLOOKUP(Event_Master[[#This Row],[Event_No]],Entertainment_Orders[[#All],[Event_No]],Entertainment_Orders[[#All],[Client_Charge]],,0)</f>
        <v>18000</v>
      </c>
      <c r="Q2" s="10" t="s">
        <v>260</v>
      </c>
      <c r="R2" s="10" cm="1">
        <f t="array" ref="R2">_xlfn.XLOOKUP(Event_Master[[#This Row],[Event_No]],Decor_Orders[[#All],[Event_No]],Decor_Orders[[#All],[Cost]],,0)</f>
        <v>25000</v>
      </c>
      <c r="S2" s="10" cm="1">
        <f t="array" ref="S2">_xlfn.XLOOKUP(Event_Master[[#This Row],[Event_No]],Decor_Orders[[#All],[Event_No]],Decor_Orders[[#All],[Client_Charge]],,0)</f>
        <v>30000</v>
      </c>
      <c r="T2" s="10" t="s">
        <v>405</v>
      </c>
      <c r="U2" s="10">
        <f>SUMIFS(Logistics_Orders[[#All],[Cost]],Logistics_Orders[[#All],[Event_No]],Event_Master[[#This Row],[Event_No]])</f>
        <v>74000</v>
      </c>
      <c r="V2" s="10">
        <f>SUMIFS(Logistics_Orders[[#All],[Client_Charge]],Logistics_Orders[[#All],[Event_No]],Event_Master[[#This Row],[Event_No]])</f>
        <v>88800</v>
      </c>
      <c r="W2" s="10" t="s">
        <v>406</v>
      </c>
      <c r="X2" s="10">
        <f>SUMIFS(Food_Orders[[#All],[Cost]],Food_Orders[[#All],[Event_No]],Event_Master[[#This Row],[Event_No]])</f>
        <v>1398250</v>
      </c>
      <c r="Y2" s="10">
        <f>SUMIFS(Food_Orders[[#All],[Client_Price]],Food_Orders[[#All],[Event_No]],Event_Master[[#This Row],[Event_No]])</f>
        <v>1677900</v>
      </c>
      <c r="Z2" s="10">
        <f>Event_Master[[#This Row],[Venue_Cost]]+Event_Master[[#This Row],[Photography_Cost]]+Event_Master[[#This Row],[Entertainment_Cost]]+Event_Master[[#This Row],[Decor_Cost]]+Event_Master[[#This Row],[Logistics_Cost]]+Event_Master[[#This Row],[Food_Cost]]</f>
        <v>1602250</v>
      </c>
      <c r="AA2" s="10">
        <f>Event_Master[[#This Row],[Venue_Charge]]+Event_Master[[#This Row],[Photography_Charge]]+Event_Master[[#This Row],[Entertainment_Charge]]+Event_Master[[#This Row],[Decor_Charge]]+Event_Master[[#This Row],[Logistics_Charge]]+Event_Master[[#This Row],[Food_Charge]]</f>
        <v>1920700</v>
      </c>
      <c r="AB2" s="10">
        <v>30000</v>
      </c>
      <c r="AC2" s="10">
        <f>Event_Master[[#This Row],[Client_Budget]]+Event_Master[[#This Row],[Planner_Remuneration]]</f>
        <v>1950700</v>
      </c>
      <c r="AD2" s="10">
        <v>5</v>
      </c>
    </row>
    <row r="3" spans="1:30" x14ac:dyDescent="0.25">
      <c r="A3" s="10">
        <v>2</v>
      </c>
      <c r="B3" s="10" t="str" cm="1">
        <f t="array" ref="B3">_xlfn.XLOOKUP(Event_Master[[#This Row],[Event_Type]],Event_Catalog[[#All],[Event_Name]],Event_Catalog[[#All],[Event_ID]],,0)</f>
        <v>E002</v>
      </c>
      <c r="C3" s="10" t="s">
        <v>295</v>
      </c>
      <c r="D3" s="10" t="s">
        <v>292</v>
      </c>
      <c r="E3" s="10">
        <v>400</v>
      </c>
      <c r="F3" s="10" t="s">
        <v>407</v>
      </c>
      <c r="G3" s="11">
        <v>44962</v>
      </c>
      <c r="H3" s="10" t="s">
        <v>215</v>
      </c>
      <c r="I3" s="10" cm="1">
        <f t="array" ref="I3">_xlfn.XLOOKUP(Event_Master[[#This Row],[Event_No]],Venue_Orders[[#All],[Event_No]],Venue_Orders[[#All],[Rental_Cost]],0,0)</f>
        <v>150000</v>
      </c>
      <c r="J3" s="10" cm="1">
        <f t="array" ref="J3">_xlfn.XLOOKUP(Event_Master[[#This Row],[Event_No]],Venue_Orders[[#All],[Event_No]],Venue_Orders[[#All],[Client_Charge]],,0)</f>
        <v>175000</v>
      </c>
      <c r="K3" s="10" t="s">
        <v>232</v>
      </c>
      <c r="L3" s="10" cm="1">
        <f t="array" ref="L3">_xlfn.XLOOKUP(Event_Master[[#This Row],[Event_No]],Photography_Orders[[#All],[Event_No]],Photography_Orders[[#All],[Cost]],,0)</f>
        <v>30000</v>
      </c>
      <c r="M3" s="10" cm="1">
        <f t="array" ref="M3">_xlfn.XLOOKUP(Event_Master[[#This Row],[Event_No]],Photography_Orders[[#All],[Event_No]],Photography_Orders[[#All],[Client_Charge]],,0)</f>
        <v>36000</v>
      </c>
      <c r="N3" s="10" t="s">
        <v>153</v>
      </c>
      <c r="O3" s="10" cm="1">
        <f t="array" ref="O3">_xlfn.XLOOKUP(Event_Master[[#This Row],[Event_No]],Entertainment_Orders[[#All],[Event_No]],Entertainment_Orders[[#All],[Cost]],,0)</f>
        <v>15000</v>
      </c>
      <c r="P3" s="10" cm="1">
        <f t="array" ref="P3">_xlfn.XLOOKUP(Event_Master[[#This Row],[Event_No]],Entertainment_Orders[[#All],[Event_No]],Entertainment_Orders[[#All],[Client_Charge]],,0)</f>
        <v>18000</v>
      </c>
      <c r="Q3" s="10" t="s">
        <v>260</v>
      </c>
      <c r="R3" s="10" cm="1">
        <f t="array" ref="R3">_xlfn.XLOOKUP(Event_Master[[#This Row],[Event_No]],Decor_Orders[[#All],[Event_No]],Decor_Orders[[#All],[Cost]],,0)</f>
        <v>25000</v>
      </c>
      <c r="S3" s="10" cm="1">
        <f t="array" ref="S3">_xlfn.XLOOKUP(Event_Master[[#This Row],[Event_No]],Decor_Orders[[#All],[Event_No]],Decor_Orders[[#All],[Client_Charge]],,0)</f>
        <v>30000</v>
      </c>
      <c r="T3" s="10" t="s">
        <v>405</v>
      </c>
      <c r="U3" s="10">
        <f>SUMIFS(Logistics_Orders[[#All],[Cost]],Logistics_Orders[[#All],[Event_No]],Event_Master[[#This Row],[Event_No]])</f>
        <v>59000</v>
      </c>
      <c r="V3" s="10">
        <f>SUMIFS(Logistics_Orders[[#All],[Client_Charge]],Logistics_Orders[[#All],[Event_No]],Event_Master[[#This Row],[Event_No]])</f>
        <v>70800</v>
      </c>
      <c r="W3" s="10" t="s">
        <v>408</v>
      </c>
      <c r="X3" s="10">
        <f>SUMIFS(Food_Orders[[#All],[Cost]],Food_Orders[[#All],[Event_No]],Event_Master[[#This Row],[Event_No]])</f>
        <v>446000</v>
      </c>
      <c r="Y3" s="10">
        <f>SUMIFS(Food_Orders[[#All],[Client_Price]],Food_Orders[[#All],[Event_No]],Event_Master[[#This Row],[Event_No]])</f>
        <v>535200</v>
      </c>
      <c r="Z3" s="10">
        <f>Event_Master[[#This Row],[Venue_Cost]]+Event_Master[[#This Row],[Photography_Cost]]+Event_Master[[#This Row],[Entertainment_Cost]]+Event_Master[[#This Row],[Decor_Cost]]+Event_Master[[#This Row],[Logistics_Cost]]+Event_Master[[#This Row],[Food_Cost]]</f>
        <v>725000</v>
      </c>
      <c r="AA3" s="10">
        <f>Event_Master[[#This Row],[Venue_Charge]]+Event_Master[[#This Row],[Photography_Charge]]+Event_Master[[#This Row],[Entertainment_Charge]]+Event_Master[[#This Row],[Decor_Charge]]+Event_Master[[#This Row],[Logistics_Charge]]+Event_Master[[#This Row],[Food_Charge]]</f>
        <v>865000</v>
      </c>
      <c r="AB3" s="10">
        <v>12000</v>
      </c>
      <c r="AC3" s="10">
        <f>Event_Master[[#This Row],[Client_Budget]]+Event_Master[[#This Row],[Planner_Remuneration]]</f>
        <v>877000</v>
      </c>
      <c r="AD3" s="10">
        <v>3</v>
      </c>
    </row>
    <row r="4" spans="1:30" x14ac:dyDescent="0.25">
      <c r="A4" s="10">
        <v>3</v>
      </c>
      <c r="B4" s="10" t="str" cm="1">
        <f t="array" ref="B4">_xlfn.XLOOKUP(Event_Master[[#This Row],[Event_Type]],Event_Catalog[[#All],[Event_Name]],Event_Catalog[[#All],[Event_ID]],,0)</f>
        <v>E003</v>
      </c>
      <c r="C4" s="10" t="s">
        <v>297</v>
      </c>
      <c r="D4" s="10" t="s">
        <v>292</v>
      </c>
      <c r="E4" s="10">
        <v>180</v>
      </c>
      <c r="F4" s="10" t="s">
        <v>409</v>
      </c>
      <c r="G4" s="11">
        <v>44997</v>
      </c>
      <c r="H4" s="10" t="s">
        <v>223</v>
      </c>
      <c r="I4" s="10" cm="1">
        <f t="array" ref="I4">_xlfn.XLOOKUP(Event_Master[[#This Row],[Event_No]],Venue_Orders[[#All],[Event_No]],Venue_Orders[[#All],[Rental_Cost]],0,0)</f>
        <v>0</v>
      </c>
      <c r="J4" s="10" cm="1">
        <f t="array" ref="J4">_xlfn.XLOOKUP(Event_Master[[#This Row],[Event_No]],Venue_Orders[[#All],[Event_No]],Venue_Orders[[#All],[Client_Charge]],,0)</f>
        <v>0</v>
      </c>
      <c r="K4" s="10" t="s">
        <v>242</v>
      </c>
      <c r="L4" s="10" cm="1">
        <f t="array" ref="L4">_xlfn.XLOOKUP(Event_Master[[#This Row],[Event_No]],Photography_Orders[[#All],[Event_No]],Photography_Orders[[#All],[Cost]],,0)</f>
        <v>20000</v>
      </c>
      <c r="M4" s="10" cm="1">
        <f t="array" ref="M4">_xlfn.XLOOKUP(Event_Master[[#This Row],[Event_No]],Photography_Orders[[#All],[Event_No]],Photography_Orders[[#All],[Client_Charge]],,0)</f>
        <v>24000</v>
      </c>
      <c r="N4" s="10" t="s">
        <v>167</v>
      </c>
      <c r="O4" s="10" cm="1">
        <f t="array" ref="O4">_xlfn.XLOOKUP(Event_Master[[#This Row],[Event_No]],Entertainment_Orders[[#All],[Event_No]],Entertainment_Orders[[#All],[Cost]],,0)</f>
        <v>0</v>
      </c>
      <c r="P4" s="10" cm="1">
        <f t="array" ref="P4">_xlfn.XLOOKUP(Event_Master[[#This Row],[Event_No]],Entertainment_Orders[[#All],[Event_No]],Entertainment_Orders[[#All],[Client_Charge]],,0)</f>
        <v>0</v>
      </c>
      <c r="Q4" s="10" t="s">
        <v>278</v>
      </c>
      <c r="R4" s="10" cm="1">
        <f t="array" ref="R4">_xlfn.XLOOKUP(Event_Master[[#This Row],[Event_No]],Decor_Orders[[#All],[Event_No]],Decor_Orders[[#All],[Cost]],,0)</f>
        <v>20000</v>
      </c>
      <c r="S4" s="10" cm="1">
        <f t="array" ref="S4">_xlfn.XLOOKUP(Event_Master[[#This Row],[Event_No]],Decor_Orders[[#All],[Event_No]],Decor_Orders[[#All],[Client_Charge]],,0)</f>
        <v>24000</v>
      </c>
      <c r="T4" s="10" t="s">
        <v>405</v>
      </c>
      <c r="U4" s="10">
        <f>SUMIFS(Logistics_Orders[[#All],[Cost]],Logistics_Orders[[#All],[Event_No]],Event_Master[[#This Row],[Event_No]])</f>
        <v>44000</v>
      </c>
      <c r="V4" s="10">
        <f>SUMIFS(Logistics_Orders[[#All],[Client_Charge]],Logistics_Orders[[#All],[Event_No]],Event_Master[[#This Row],[Event_No]])</f>
        <v>52800</v>
      </c>
      <c r="W4" s="10" t="s">
        <v>410</v>
      </c>
      <c r="X4" s="10">
        <f>SUMIFS(Food_Orders[[#All],[Cost]],Food_Orders[[#All],[Event_No]],Event_Master[[#This Row],[Event_No]])</f>
        <v>81900</v>
      </c>
      <c r="Y4" s="10">
        <f>SUMIFS(Food_Orders[[#All],[Client_Price]],Food_Orders[[#All],[Event_No]],Event_Master[[#This Row],[Event_No]])</f>
        <v>98280</v>
      </c>
      <c r="Z4" s="10">
        <f>Event_Master[[#This Row],[Venue_Cost]]+Event_Master[[#This Row],[Photography_Cost]]+Event_Master[[#This Row],[Entertainment_Cost]]+Event_Master[[#This Row],[Decor_Cost]]+Event_Master[[#This Row],[Logistics_Cost]]+Event_Master[[#This Row],[Food_Cost]]</f>
        <v>165900</v>
      </c>
      <c r="AA4" s="10">
        <f>Event_Master[[#This Row],[Venue_Charge]]+Event_Master[[#This Row],[Photography_Charge]]+Event_Master[[#This Row],[Entertainment_Charge]]+Event_Master[[#This Row],[Decor_Charge]]+Event_Master[[#This Row],[Logistics_Charge]]+Event_Master[[#This Row],[Food_Charge]]</f>
        <v>199080</v>
      </c>
      <c r="AB4" s="10">
        <v>5000</v>
      </c>
      <c r="AC4" s="10">
        <f>Event_Master[[#This Row],[Client_Budget]]+Event_Master[[#This Row],[Planner_Remuneration]]</f>
        <v>204080</v>
      </c>
      <c r="AD4" s="10">
        <v>4</v>
      </c>
    </row>
    <row r="5" spans="1:30" x14ac:dyDescent="0.25">
      <c r="A5" s="10">
        <v>4</v>
      </c>
      <c r="B5" s="10" t="str" cm="1">
        <f t="array" ref="B5">_xlfn.XLOOKUP(Event_Master[[#This Row],[Event_Type]],Event_Catalog[[#All],[Event_Name]],Event_Catalog[[#All],[Event_ID]],,0)</f>
        <v>E004</v>
      </c>
      <c r="C5" s="10" t="s">
        <v>299</v>
      </c>
      <c r="D5" s="10" t="s">
        <v>292</v>
      </c>
      <c r="E5" s="10">
        <v>220</v>
      </c>
      <c r="F5" s="10" t="s">
        <v>407</v>
      </c>
      <c r="G5" s="11">
        <v>45025</v>
      </c>
      <c r="H5" s="10" t="s">
        <v>223</v>
      </c>
      <c r="I5" s="10" cm="1">
        <f t="array" ref="I5">_xlfn.XLOOKUP(Event_Master[[#This Row],[Event_No]],Venue_Orders[[#All],[Event_No]],Venue_Orders[[#All],[Rental_Cost]],0,0)</f>
        <v>0</v>
      </c>
      <c r="J5" s="10" cm="1">
        <f t="array" ref="J5">_xlfn.XLOOKUP(Event_Master[[#This Row],[Event_No]],Venue_Orders[[#All],[Event_No]],Venue_Orders[[#All],[Client_Charge]],,0)</f>
        <v>0</v>
      </c>
      <c r="K5" s="10" t="s">
        <v>242</v>
      </c>
      <c r="L5" s="10" cm="1">
        <f t="array" ref="L5">_xlfn.XLOOKUP(Event_Master[[#This Row],[Event_No]],Photography_Orders[[#All],[Event_No]],Photography_Orders[[#All],[Cost]],,0)</f>
        <v>20000</v>
      </c>
      <c r="M5" s="10" cm="1">
        <f t="array" ref="M5">_xlfn.XLOOKUP(Event_Master[[#This Row],[Event_No]],Photography_Orders[[#All],[Event_No]],Photography_Orders[[#All],[Client_Charge]],,0)</f>
        <v>24000</v>
      </c>
      <c r="N5" s="10" t="s">
        <v>167</v>
      </c>
      <c r="O5" s="10" cm="1">
        <f t="array" ref="O5">_xlfn.XLOOKUP(Event_Master[[#This Row],[Event_No]],Entertainment_Orders[[#All],[Event_No]],Entertainment_Orders[[#All],[Cost]],,0)</f>
        <v>0</v>
      </c>
      <c r="P5" s="10" cm="1">
        <f t="array" ref="P5">_xlfn.XLOOKUP(Event_Master[[#This Row],[Event_No]],Entertainment_Orders[[#All],[Event_No]],Entertainment_Orders[[#All],[Client_Charge]],,0)</f>
        <v>0</v>
      </c>
      <c r="Q5" s="10" t="s">
        <v>278</v>
      </c>
      <c r="R5" s="10" cm="1">
        <f t="array" ref="R5">_xlfn.XLOOKUP(Event_Master[[#This Row],[Event_No]],Decor_Orders[[#All],[Event_No]],Decor_Orders[[#All],[Cost]],,0)</f>
        <v>20000</v>
      </c>
      <c r="S5" s="10" cm="1">
        <f t="array" ref="S5">_xlfn.XLOOKUP(Event_Master[[#This Row],[Event_No]],Decor_Orders[[#All],[Event_No]],Decor_Orders[[#All],[Client_Charge]],,0)</f>
        <v>24000</v>
      </c>
      <c r="T5" s="10" t="s">
        <v>405</v>
      </c>
      <c r="U5" s="10">
        <f>SUMIFS(Logistics_Orders[[#All],[Cost]],Logistics_Orders[[#All],[Event_No]],Event_Master[[#This Row],[Event_No]])</f>
        <v>44000</v>
      </c>
      <c r="V5" s="10">
        <f>SUMIFS(Logistics_Orders[[#All],[Client_Charge]],Logistics_Orders[[#All],[Event_No]],Event_Master[[#This Row],[Event_No]])</f>
        <v>52800</v>
      </c>
      <c r="W5" s="10" t="s">
        <v>411</v>
      </c>
      <c r="X5" s="10">
        <f>SUMIFS(Food_Orders[[#All],[Cost]],Food_Orders[[#All],[Event_No]],Event_Master[[#This Row],[Event_No]])</f>
        <v>189200</v>
      </c>
      <c r="Y5" s="10">
        <f>SUMIFS(Food_Orders[[#All],[Client_Price]],Food_Orders[[#All],[Event_No]],Event_Master[[#This Row],[Event_No]])</f>
        <v>227040</v>
      </c>
      <c r="Z5" s="10">
        <f>Event_Master[[#This Row],[Venue_Cost]]+Event_Master[[#This Row],[Photography_Cost]]+Event_Master[[#This Row],[Entertainment_Cost]]+Event_Master[[#This Row],[Decor_Cost]]+Event_Master[[#This Row],[Logistics_Cost]]+Event_Master[[#This Row],[Food_Cost]]</f>
        <v>273200</v>
      </c>
      <c r="AA5" s="10">
        <f>Event_Master[[#This Row],[Venue_Charge]]+Event_Master[[#This Row],[Photography_Charge]]+Event_Master[[#This Row],[Entertainment_Charge]]+Event_Master[[#This Row],[Decor_Charge]]+Event_Master[[#This Row],[Logistics_Charge]]+Event_Master[[#This Row],[Food_Charge]]</f>
        <v>327840</v>
      </c>
      <c r="AB5" s="10">
        <v>12000</v>
      </c>
      <c r="AC5" s="10">
        <f>Event_Master[[#This Row],[Client_Budget]]+Event_Master[[#This Row],[Planner_Remuneration]]</f>
        <v>339840</v>
      </c>
      <c r="AD5" s="10">
        <v>3</v>
      </c>
    </row>
    <row r="6" spans="1:30" x14ac:dyDescent="0.25">
      <c r="A6" s="10">
        <v>5</v>
      </c>
      <c r="B6" s="10" t="str" cm="1">
        <f t="array" ref="B6">_xlfn.XLOOKUP(Event_Master[[#This Row],[Event_Type]],Event_Catalog[[#All],[Event_Name]],Event_Catalog[[#All],[Event_ID]],,0)</f>
        <v>E005</v>
      </c>
      <c r="C6" s="10" t="s">
        <v>301</v>
      </c>
      <c r="D6" s="10" t="s">
        <v>292</v>
      </c>
      <c r="E6" s="10">
        <v>150</v>
      </c>
      <c r="F6" s="10" t="s">
        <v>409</v>
      </c>
      <c r="G6" s="11">
        <v>45060</v>
      </c>
      <c r="H6" s="10" t="s">
        <v>223</v>
      </c>
      <c r="I6" s="10" cm="1">
        <f t="array" ref="I6">_xlfn.XLOOKUP(Event_Master[[#This Row],[Event_No]],Venue_Orders[[#All],[Event_No]],Venue_Orders[[#All],[Rental_Cost]],0,0)</f>
        <v>0</v>
      </c>
      <c r="J6" s="10" cm="1">
        <f t="array" ref="J6">_xlfn.XLOOKUP(Event_Master[[#This Row],[Event_No]],Venue_Orders[[#All],[Event_No]],Venue_Orders[[#All],[Client_Charge]],,0)</f>
        <v>0</v>
      </c>
      <c r="K6" s="10" t="s">
        <v>242</v>
      </c>
      <c r="L6" s="10" cm="1">
        <f t="array" ref="L6">_xlfn.XLOOKUP(Event_Master[[#This Row],[Event_No]],Photography_Orders[[#All],[Event_No]],Photography_Orders[[#All],[Cost]],,0)</f>
        <v>20000</v>
      </c>
      <c r="M6" s="10" cm="1">
        <f t="array" ref="M6">_xlfn.XLOOKUP(Event_Master[[#This Row],[Event_No]],Photography_Orders[[#All],[Event_No]],Photography_Orders[[#All],[Client_Charge]],,0)</f>
        <v>24000</v>
      </c>
      <c r="N6" s="10" t="s">
        <v>167</v>
      </c>
      <c r="O6" s="10" cm="1">
        <f t="array" ref="O6">_xlfn.XLOOKUP(Event_Master[[#This Row],[Event_No]],Entertainment_Orders[[#All],[Event_No]],Entertainment_Orders[[#All],[Cost]],,0)</f>
        <v>0</v>
      </c>
      <c r="P6" s="10" cm="1">
        <f t="array" ref="P6">_xlfn.XLOOKUP(Event_Master[[#This Row],[Event_No]],Entertainment_Orders[[#All],[Event_No]],Entertainment_Orders[[#All],[Client_Charge]],,0)</f>
        <v>0</v>
      </c>
      <c r="Q6" s="10" t="s">
        <v>278</v>
      </c>
      <c r="R6" s="10" cm="1">
        <f t="array" ref="R6">_xlfn.XLOOKUP(Event_Master[[#This Row],[Event_No]],Decor_Orders[[#All],[Event_No]],Decor_Orders[[#All],[Cost]],,0)</f>
        <v>20000</v>
      </c>
      <c r="S6" s="10" cm="1">
        <f t="array" ref="S6">_xlfn.XLOOKUP(Event_Master[[#This Row],[Event_No]],Decor_Orders[[#All],[Event_No]],Decor_Orders[[#All],[Client_Charge]],,0)</f>
        <v>24000</v>
      </c>
      <c r="T6" s="10" t="s">
        <v>405</v>
      </c>
      <c r="U6" s="10">
        <f>SUMIFS(Logistics_Orders[[#All],[Cost]],Logistics_Orders[[#All],[Event_No]],Event_Master[[#This Row],[Event_No]])</f>
        <v>44000</v>
      </c>
      <c r="V6" s="10">
        <f>SUMIFS(Logistics_Orders[[#All],[Client_Charge]],Logistics_Orders[[#All],[Event_No]],Event_Master[[#This Row],[Event_No]])</f>
        <v>52800</v>
      </c>
      <c r="W6" s="10" t="s">
        <v>411</v>
      </c>
      <c r="X6" s="10">
        <f>SUMIFS(Food_Orders[[#All],[Cost]],Food_Orders[[#All],[Event_No]],Event_Master[[#This Row],[Event_No]])</f>
        <v>129000</v>
      </c>
      <c r="Y6" s="10">
        <f>SUMIFS(Food_Orders[[#All],[Client_Price]],Food_Orders[[#All],[Event_No]],Event_Master[[#This Row],[Event_No]])</f>
        <v>154800</v>
      </c>
      <c r="Z6" s="10">
        <f>Event_Master[[#This Row],[Venue_Cost]]+Event_Master[[#This Row],[Photography_Cost]]+Event_Master[[#This Row],[Entertainment_Cost]]+Event_Master[[#This Row],[Decor_Cost]]+Event_Master[[#This Row],[Logistics_Cost]]+Event_Master[[#This Row],[Food_Cost]]</f>
        <v>213000</v>
      </c>
      <c r="AA6" s="10">
        <f>Event_Master[[#This Row],[Venue_Charge]]+Event_Master[[#This Row],[Photography_Charge]]+Event_Master[[#This Row],[Entertainment_Charge]]+Event_Master[[#This Row],[Decor_Charge]]+Event_Master[[#This Row],[Logistics_Charge]]+Event_Master[[#This Row],[Food_Charge]]</f>
        <v>255600</v>
      </c>
      <c r="AB6" s="10">
        <v>5000</v>
      </c>
      <c r="AC6" s="10">
        <f>Event_Master[[#This Row],[Client_Budget]]+Event_Master[[#This Row],[Planner_Remuneration]]</f>
        <v>260600</v>
      </c>
      <c r="AD6" s="10">
        <v>5</v>
      </c>
    </row>
    <row r="7" spans="1:30" x14ac:dyDescent="0.25">
      <c r="A7" s="10">
        <v>6</v>
      </c>
      <c r="B7" s="10" t="str" cm="1">
        <f t="array" ref="B7">_xlfn.XLOOKUP(Event_Master[[#This Row],[Event_Type]],Event_Catalog[[#All],[Event_Name]],Event_Catalog[[#All],[Event_ID]],,0)</f>
        <v>E006</v>
      </c>
      <c r="C7" s="10" t="s">
        <v>303</v>
      </c>
      <c r="D7" s="10" t="s">
        <v>292</v>
      </c>
      <c r="E7" s="10">
        <v>130</v>
      </c>
      <c r="F7" s="10" t="s">
        <v>409</v>
      </c>
      <c r="G7" s="11">
        <v>45095</v>
      </c>
      <c r="H7" s="10" t="s">
        <v>223</v>
      </c>
      <c r="I7" s="10" cm="1">
        <f t="array" ref="I7">_xlfn.XLOOKUP(Event_Master[[#This Row],[Event_No]],Venue_Orders[[#All],[Event_No]],Venue_Orders[[#All],[Rental_Cost]],0,0)</f>
        <v>0</v>
      </c>
      <c r="J7" s="10" cm="1">
        <f t="array" ref="J7">_xlfn.XLOOKUP(Event_Master[[#This Row],[Event_No]],Venue_Orders[[#All],[Event_No]],Venue_Orders[[#All],[Client_Charge]],,0)</f>
        <v>0</v>
      </c>
      <c r="K7" s="10" t="s">
        <v>242</v>
      </c>
      <c r="L7" s="10" cm="1">
        <f t="array" ref="L7">_xlfn.XLOOKUP(Event_Master[[#This Row],[Event_No]],Photography_Orders[[#All],[Event_No]],Photography_Orders[[#All],[Cost]],,0)</f>
        <v>20000</v>
      </c>
      <c r="M7" s="10" cm="1">
        <f t="array" ref="M7">_xlfn.XLOOKUP(Event_Master[[#This Row],[Event_No]],Photography_Orders[[#All],[Event_No]],Photography_Orders[[#All],[Client_Charge]],,0)</f>
        <v>24000</v>
      </c>
      <c r="N7" s="10" t="s">
        <v>167</v>
      </c>
      <c r="O7" s="10" cm="1">
        <f t="array" ref="O7">_xlfn.XLOOKUP(Event_Master[[#This Row],[Event_No]],Entertainment_Orders[[#All],[Event_No]],Entertainment_Orders[[#All],[Cost]],,0)</f>
        <v>0</v>
      </c>
      <c r="P7" s="10" cm="1">
        <f t="array" ref="P7">_xlfn.XLOOKUP(Event_Master[[#This Row],[Event_No]],Entertainment_Orders[[#All],[Event_No]],Entertainment_Orders[[#All],[Client_Charge]],,0)</f>
        <v>0</v>
      </c>
      <c r="Q7" s="10" t="s">
        <v>278</v>
      </c>
      <c r="R7" s="10" cm="1">
        <f t="array" ref="R7">_xlfn.XLOOKUP(Event_Master[[#This Row],[Event_No]],Decor_Orders[[#All],[Event_No]],Decor_Orders[[#All],[Cost]],,0)</f>
        <v>20000</v>
      </c>
      <c r="S7" s="10" cm="1">
        <f t="array" ref="S7">_xlfn.XLOOKUP(Event_Master[[#This Row],[Event_No]],Decor_Orders[[#All],[Event_No]],Decor_Orders[[#All],[Client_Charge]],,0)</f>
        <v>24000</v>
      </c>
      <c r="T7" s="10" t="s">
        <v>405</v>
      </c>
      <c r="U7" s="10">
        <f>SUMIFS(Logistics_Orders[[#All],[Cost]],Logistics_Orders[[#All],[Event_No]],Event_Master[[#This Row],[Event_No]])</f>
        <v>44000</v>
      </c>
      <c r="V7" s="10">
        <f>SUMIFS(Logistics_Orders[[#All],[Client_Charge]],Logistics_Orders[[#All],[Event_No]],Event_Master[[#This Row],[Event_No]])</f>
        <v>52800</v>
      </c>
      <c r="W7" s="10" t="s">
        <v>412</v>
      </c>
      <c r="X7" s="10">
        <f>SUMIFS(Food_Orders[[#All],[Cost]],Food_Orders[[#All],[Event_No]],Event_Master[[#This Row],[Event_No]])</f>
        <v>91650</v>
      </c>
      <c r="Y7" s="10">
        <f>SUMIFS(Food_Orders[[#All],[Client_Price]],Food_Orders[[#All],[Event_No]],Event_Master[[#This Row],[Event_No]])</f>
        <v>109980</v>
      </c>
      <c r="Z7" s="10">
        <f>Event_Master[[#This Row],[Venue_Cost]]+Event_Master[[#This Row],[Photography_Cost]]+Event_Master[[#This Row],[Entertainment_Cost]]+Event_Master[[#This Row],[Decor_Cost]]+Event_Master[[#This Row],[Logistics_Cost]]+Event_Master[[#This Row],[Food_Cost]]</f>
        <v>175650</v>
      </c>
      <c r="AA7" s="10">
        <f>Event_Master[[#This Row],[Venue_Charge]]+Event_Master[[#This Row],[Photography_Charge]]+Event_Master[[#This Row],[Entertainment_Charge]]+Event_Master[[#This Row],[Decor_Charge]]+Event_Master[[#This Row],[Logistics_Charge]]+Event_Master[[#This Row],[Food_Charge]]</f>
        <v>210780</v>
      </c>
      <c r="AB7" s="10">
        <v>5000</v>
      </c>
      <c r="AC7" s="10">
        <f>Event_Master[[#This Row],[Client_Budget]]+Event_Master[[#This Row],[Planner_Remuneration]]</f>
        <v>215780</v>
      </c>
      <c r="AD7" s="10">
        <v>4</v>
      </c>
    </row>
    <row r="8" spans="1:30" x14ac:dyDescent="0.25">
      <c r="A8" s="10">
        <v>7</v>
      </c>
      <c r="B8" s="10" t="str" cm="1">
        <f t="array" ref="B8">_xlfn.XLOOKUP(Event_Master[[#This Row],[Event_Type]],Event_Catalog[[#All],[Event_Name]],Event_Catalog[[#All],[Event_ID]],,0)</f>
        <v>E007</v>
      </c>
      <c r="C8" s="10" t="s">
        <v>305</v>
      </c>
      <c r="D8" s="10" t="s">
        <v>292</v>
      </c>
      <c r="E8" s="10">
        <v>250</v>
      </c>
      <c r="F8" s="10" t="s">
        <v>407</v>
      </c>
      <c r="G8" s="11">
        <v>45129</v>
      </c>
      <c r="H8" s="10" t="s">
        <v>207</v>
      </c>
      <c r="I8" s="10" cm="1">
        <f t="array" ref="I8">_xlfn.XLOOKUP(Event_Master[[#This Row],[Event_No]],Venue_Orders[[#All],[Event_No]],Venue_Orders[[#All],[Rental_Cost]],0,0)</f>
        <v>60000</v>
      </c>
      <c r="J8" s="10" cm="1">
        <f t="array" ref="J8">_xlfn.XLOOKUP(Event_Master[[#This Row],[Event_No]],Venue_Orders[[#All],[Event_No]],Venue_Orders[[#All],[Client_Charge]],,0)</f>
        <v>70000</v>
      </c>
      <c r="K8" s="10" t="s">
        <v>232</v>
      </c>
      <c r="L8" s="10" cm="1">
        <f t="array" ref="L8">_xlfn.XLOOKUP(Event_Master[[#This Row],[Event_No]],Photography_Orders[[#All],[Event_No]],Photography_Orders[[#All],[Cost]],,0)</f>
        <v>30000</v>
      </c>
      <c r="M8" s="10" cm="1">
        <f t="array" ref="M8">_xlfn.XLOOKUP(Event_Master[[#This Row],[Event_No]],Photography_Orders[[#All],[Event_No]],Photography_Orders[[#All],[Client_Charge]],,0)</f>
        <v>36000</v>
      </c>
      <c r="N8" s="10" t="s">
        <v>169</v>
      </c>
      <c r="O8" s="10" cm="1">
        <f t="array" ref="O8">_xlfn.XLOOKUP(Event_Master[[#This Row],[Event_No]],Entertainment_Orders[[#All],[Event_No]],Entertainment_Orders[[#All],[Cost]],,0)</f>
        <v>0</v>
      </c>
      <c r="P8" s="10" cm="1">
        <f t="array" ref="P8">_xlfn.XLOOKUP(Event_Master[[#This Row],[Event_No]],Entertainment_Orders[[#All],[Event_No]],Entertainment_Orders[[#All],[Client_Charge]],,0)</f>
        <v>0</v>
      </c>
      <c r="Q8" s="10" t="s">
        <v>260</v>
      </c>
      <c r="R8" s="10" cm="1">
        <f t="array" ref="R8">_xlfn.XLOOKUP(Event_Master[[#This Row],[Event_No]],Decor_Orders[[#All],[Event_No]],Decor_Orders[[#All],[Cost]],,0)</f>
        <v>25000</v>
      </c>
      <c r="S8" s="10" cm="1">
        <f t="array" ref="S8">_xlfn.XLOOKUP(Event_Master[[#This Row],[Event_No]],Decor_Orders[[#All],[Event_No]],Decor_Orders[[#All],[Client_Charge]],,0)</f>
        <v>30000</v>
      </c>
      <c r="T8" s="10" t="s">
        <v>413</v>
      </c>
      <c r="U8" s="10">
        <f>SUMIFS(Logistics_Orders[[#All],[Cost]],Logistics_Orders[[#All],[Event_No]],Event_Master[[#This Row],[Event_No]])</f>
        <v>36000</v>
      </c>
      <c r="V8" s="10">
        <f>SUMIFS(Logistics_Orders[[#All],[Client_Charge]],Logistics_Orders[[#All],[Event_No]],Event_Master[[#This Row],[Event_No]])</f>
        <v>43300</v>
      </c>
      <c r="W8" s="10" t="s">
        <v>414</v>
      </c>
      <c r="X8" s="10">
        <f>SUMIFS(Food_Orders[[#All],[Cost]],Food_Orders[[#All],[Event_No]],Event_Master[[#This Row],[Event_No]])</f>
        <v>265000</v>
      </c>
      <c r="Y8" s="10">
        <f>SUMIFS(Food_Orders[[#All],[Client_Price]],Food_Orders[[#All],[Event_No]],Event_Master[[#This Row],[Event_No]])</f>
        <v>318000</v>
      </c>
      <c r="Z8" s="10">
        <f>Event_Master[[#This Row],[Venue_Cost]]+Event_Master[[#This Row],[Photography_Cost]]+Event_Master[[#This Row],[Entertainment_Cost]]+Event_Master[[#This Row],[Decor_Cost]]+Event_Master[[#This Row],[Logistics_Cost]]+Event_Master[[#This Row],[Food_Cost]]</f>
        <v>416000</v>
      </c>
      <c r="AA8" s="10">
        <f>Event_Master[[#This Row],[Venue_Charge]]+Event_Master[[#This Row],[Photography_Charge]]+Event_Master[[#This Row],[Entertainment_Charge]]+Event_Master[[#This Row],[Decor_Charge]]+Event_Master[[#This Row],[Logistics_Charge]]+Event_Master[[#This Row],[Food_Charge]]</f>
        <v>497300</v>
      </c>
      <c r="AB8" s="10">
        <v>12000</v>
      </c>
      <c r="AC8" s="10">
        <f>Event_Master[[#This Row],[Client_Budget]]+Event_Master[[#This Row],[Planner_Remuneration]]</f>
        <v>509300</v>
      </c>
      <c r="AD8" s="10">
        <v>3</v>
      </c>
    </row>
    <row r="9" spans="1:30" x14ac:dyDescent="0.25">
      <c r="A9" s="10">
        <v>8</v>
      </c>
      <c r="B9" s="10" t="str" cm="1">
        <f t="array" ref="B9">_xlfn.XLOOKUP(Event_Master[[#This Row],[Event_Type]],Event_Catalog[[#All],[Event_Name]],Event_Catalog[[#All],[Event_ID]],,0)</f>
        <v>E008</v>
      </c>
      <c r="C9" s="10" t="s">
        <v>307</v>
      </c>
      <c r="D9" s="10" t="s">
        <v>292</v>
      </c>
      <c r="E9" s="10">
        <v>300</v>
      </c>
      <c r="F9" s="10" t="s">
        <v>407</v>
      </c>
      <c r="G9" s="11">
        <v>45165</v>
      </c>
      <c r="H9" s="10" t="s">
        <v>215</v>
      </c>
      <c r="I9" s="10" cm="1">
        <f t="array" ref="I9">_xlfn.XLOOKUP(Event_Master[[#This Row],[Event_No]],Venue_Orders[[#All],[Event_No]],Venue_Orders[[#All],[Rental_Cost]],0,0)</f>
        <v>150000</v>
      </c>
      <c r="J9" s="10" cm="1">
        <f t="array" ref="J9">_xlfn.XLOOKUP(Event_Master[[#This Row],[Event_No]],Venue_Orders[[#All],[Event_No]],Venue_Orders[[#All],[Client_Charge]],,0)</f>
        <v>175000</v>
      </c>
      <c r="K9" s="10" t="s">
        <v>232</v>
      </c>
      <c r="L9" s="10" cm="1">
        <f t="array" ref="L9">_xlfn.XLOOKUP(Event_Master[[#This Row],[Event_No]],Photography_Orders[[#All],[Event_No]],Photography_Orders[[#All],[Cost]],,0)</f>
        <v>30000</v>
      </c>
      <c r="M9" s="10" cm="1">
        <f t="array" ref="M9">_xlfn.XLOOKUP(Event_Master[[#This Row],[Event_No]],Photography_Orders[[#All],[Event_No]],Photography_Orders[[#All],[Client_Charge]],,0)</f>
        <v>36000</v>
      </c>
      <c r="N9" s="10" t="s">
        <v>170</v>
      </c>
      <c r="O9" s="10" cm="1">
        <f t="array" ref="O9">_xlfn.XLOOKUP(Event_Master[[#This Row],[Event_No]],Entertainment_Orders[[#All],[Event_No]],Entertainment_Orders[[#All],[Cost]],,0)</f>
        <v>0</v>
      </c>
      <c r="P9" s="10" cm="1">
        <f t="array" ref="P9">_xlfn.XLOOKUP(Event_Master[[#This Row],[Event_No]],Entertainment_Orders[[#All],[Event_No]],Entertainment_Orders[[#All],[Client_Charge]],,0)</f>
        <v>0</v>
      </c>
      <c r="Q9" s="10" t="s">
        <v>272</v>
      </c>
      <c r="R9" s="10" cm="1">
        <f t="array" ref="R9">_xlfn.XLOOKUP(Event_Master[[#This Row],[Event_No]],Decor_Orders[[#All],[Event_No]],Decor_Orders[[#All],[Cost]],,0)</f>
        <v>50000</v>
      </c>
      <c r="S9" s="10" cm="1">
        <f t="array" ref="S9">_xlfn.XLOOKUP(Event_Master[[#This Row],[Event_No]],Decor_Orders[[#All],[Event_No]],Decor_Orders[[#All],[Client_Charge]],,0)</f>
        <v>60000</v>
      </c>
      <c r="T9" s="10" t="s">
        <v>415</v>
      </c>
      <c r="U9" s="10">
        <f>SUMIFS(Logistics_Orders[[#All],[Cost]],Logistics_Orders[[#All],[Event_No]],Event_Master[[#This Row],[Event_No]])</f>
        <v>32000</v>
      </c>
      <c r="V9" s="10">
        <f>SUMIFS(Logistics_Orders[[#All],[Client_Charge]],Logistics_Orders[[#All],[Event_No]],Event_Master[[#This Row],[Event_No]])</f>
        <v>38300</v>
      </c>
      <c r="W9" s="10" t="s">
        <v>416</v>
      </c>
      <c r="X9" s="10">
        <f>SUMIFS(Food_Orders[[#All],[Cost]],Food_Orders[[#All],[Event_No]],Event_Master[[#This Row],[Event_No]])</f>
        <v>340500</v>
      </c>
      <c r="Y9" s="10">
        <f>SUMIFS(Food_Orders[[#All],[Client_Price]],Food_Orders[[#All],[Event_No]],Event_Master[[#This Row],[Event_No]])</f>
        <v>408600</v>
      </c>
      <c r="Z9" s="10">
        <f>Event_Master[[#This Row],[Venue_Cost]]+Event_Master[[#This Row],[Photography_Cost]]+Event_Master[[#This Row],[Entertainment_Cost]]+Event_Master[[#This Row],[Decor_Cost]]+Event_Master[[#This Row],[Logistics_Cost]]+Event_Master[[#This Row],[Food_Cost]]</f>
        <v>602500</v>
      </c>
      <c r="AA9" s="10">
        <f>Event_Master[[#This Row],[Venue_Charge]]+Event_Master[[#This Row],[Photography_Charge]]+Event_Master[[#This Row],[Entertainment_Charge]]+Event_Master[[#This Row],[Decor_Charge]]+Event_Master[[#This Row],[Logistics_Charge]]+Event_Master[[#This Row],[Food_Charge]]</f>
        <v>717900</v>
      </c>
      <c r="AB9" s="10">
        <v>12000</v>
      </c>
      <c r="AC9" s="10">
        <f>Event_Master[[#This Row],[Client_Budget]]+Event_Master[[#This Row],[Planner_Remuneration]]</f>
        <v>729900</v>
      </c>
      <c r="AD9" s="10">
        <v>5</v>
      </c>
    </row>
    <row r="10" spans="1:30" x14ac:dyDescent="0.25">
      <c r="A10" s="10">
        <v>9</v>
      </c>
      <c r="B10" s="10" t="str" cm="1">
        <f t="array" ref="B10">_xlfn.XLOOKUP(Event_Master[[#This Row],[Event_Type]],Event_Catalog[[#All],[Event_Name]],Event_Catalog[[#All],[Event_ID]],,0)</f>
        <v>E009</v>
      </c>
      <c r="C10" s="10" t="s">
        <v>309</v>
      </c>
      <c r="D10" s="10" t="s">
        <v>292</v>
      </c>
      <c r="E10" s="10">
        <v>180</v>
      </c>
      <c r="F10" s="10" t="s">
        <v>409</v>
      </c>
      <c r="G10" s="11">
        <v>45179</v>
      </c>
      <c r="H10" s="10" t="s">
        <v>223</v>
      </c>
      <c r="I10" s="10" cm="1">
        <f t="array" ref="I10">_xlfn.XLOOKUP(Event_Master[[#This Row],[Event_No]],Venue_Orders[[#All],[Event_No]],Venue_Orders[[#All],[Rental_Cost]],0,0)</f>
        <v>0</v>
      </c>
      <c r="J10" s="10" cm="1">
        <f t="array" ref="J10">_xlfn.XLOOKUP(Event_Master[[#This Row],[Event_No]],Venue_Orders[[#All],[Event_No]],Venue_Orders[[#All],[Client_Charge]],,0)</f>
        <v>0</v>
      </c>
      <c r="K10" s="10" t="s">
        <v>242</v>
      </c>
      <c r="L10" s="10" cm="1">
        <f t="array" ref="L10">_xlfn.XLOOKUP(Event_Master[[#This Row],[Event_No]],Photography_Orders[[#All],[Event_No]],Photography_Orders[[#All],[Cost]],,0)</f>
        <v>20000</v>
      </c>
      <c r="M10" s="10" cm="1">
        <f t="array" ref="M10">_xlfn.XLOOKUP(Event_Master[[#This Row],[Event_No]],Photography_Orders[[#All],[Event_No]],Photography_Orders[[#All],[Client_Charge]],,0)</f>
        <v>24000</v>
      </c>
      <c r="N10" s="10" t="s">
        <v>167</v>
      </c>
      <c r="O10" s="10" cm="1">
        <f t="array" ref="O10">_xlfn.XLOOKUP(Event_Master[[#This Row],[Event_No]],Entertainment_Orders[[#All],[Event_No]],Entertainment_Orders[[#All],[Cost]],,0)</f>
        <v>0</v>
      </c>
      <c r="P10" s="10" cm="1">
        <f t="array" ref="P10">_xlfn.XLOOKUP(Event_Master[[#This Row],[Event_No]],Entertainment_Orders[[#All],[Event_No]],Entertainment_Orders[[#All],[Client_Charge]],,0)</f>
        <v>0</v>
      </c>
      <c r="Q10" s="10" t="s">
        <v>278</v>
      </c>
      <c r="R10" s="10" cm="1">
        <f t="array" ref="R10">_xlfn.XLOOKUP(Event_Master[[#This Row],[Event_No]],Decor_Orders[[#All],[Event_No]],Decor_Orders[[#All],[Cost]],,0)</f>
        <v>20000</v>
      </c>
      <c r="S10" s="10" cm="1">
        <f t="array" ref="S10">_xlfn.XLOOKUP(Event_Master[[#This Row],[Event_No]],Decor_Orders[[#All],[Event_No]],Decor_Orders[[#All],[Client_Charge]],,0)</f>
        <v>24000</v>
      </c>
      <c r="T10" s="10" t="s">
        <v>405</v>
      </c>
      <c r="U10" s="10">
        <f>SUMIFS(Logistics_Orders[[#All],[Cost]],Logistics_Orders[[#All],[Event_No]],Event_Master[[#This Row],[Event_No]])</f>
        <v>44000</v>
      </c>
      <c r="V10" s="10">
        <f>SUMIFS(Logistics_Orders[[#All],[Client_Charge]],Logistics_Orders[[#All],[Event_No]],Event_Master[[#This Row],[Event_No]])</f>
        <v>52800</v>
      </c>
      <c r="W10" s="10" t="s">
        <v>417</v>
      </c>
      <c r="X10" s="10">
        <f>SUMIFS(Food_Orders[[#All],[Cost]],Food_Orders[[#All],[Event_No]],Event_Master[[#This Row],[Event_No]])</f>
        <v>202500</v>
      </c>
      <c r="Y10" s="10">
        <f>SUMIFS(Food_Orders[[#All],[Client_Price]],Food_Orders[[#All],[Event_No]],Event_Master[[#This Row],[Event_No]])</f>
        <v>243000</v>
      </c>
      <c r="Z10" s="10">
        <f>Event_Master[[#This Row],[Venue_Cost]]+Event_Master[[#This Row],[Photography_Cost]]+Event_Master[[#This Row],[Entertainment_Cost]]+Event_Master[[#This Row],[Decor_Cost]]+Event_Master[[#This Row],[Logistics_Cost]]+Event_Master[[#This Row],[Food_Cost]]</f>
        <v>286500</v>
      </c>
      <c r="AA10" s="10">
        <f>Event_Master[[#This Row],[Venue_Charge]]+Event_Master[[#This Row],[Photography_Charge]]+Event_Master[[#This Row],[Entertainment_Charge]]+Event_Master[[#This Row],[Decor_Charge]]+Event_Master[[#This Row],[Logistics_Charge]]+Event_Master[[#This Row],[Food_Charge]]</f>
        <v>343800</v>
      </c>
      <c r="AB10" s="10">
        <v>5000</v>
      </c>
      <c r="AC10" s="10">
        <f>Event_Master[[#This Row],[Client_Budget]]+Event_Master[[#This Row],[Planner_Remuneration]]</f>
        <v>348800</v>
      </c>
      <c r="AD10" s="10">
        <v>3</v>
      </c>
    </row>
    <row r="11" spans="1:30" x14ac:dyDescent="0.25">
      <c r="A11" s="10">
        <v>10</v>
      </c>
      <c r="B11" s="10" t="str" cm="1">
        <f t="array" ref="B11">_xlfn.XLOOKUP(Event_Master[[#This Row],[Event_Type]],Event_Catalog[[#All],[Event_Name]],Event_Catalog[[#All],[Event_ID]],,0)</f>
        <v>E010</v>
      </c>
      <c r="C11" s="10" t="s">
        <v>311</v>
      </c>
      <c r="D11" s="10" t="s">
        <v>292</v>
      </c>
      <c r="E11" s="10">
        <v>90</v>
      </c>
      <c r="F11" s="10" t="s">
        <v>409</v>
      </c>
      <c r="G11" s="11">
        <v>45214</v>
      </c>
      <c r="H11" s="10" t="s">
        <v>223</v>
      </c>
      <c r="I11" s="10" cm="1">
        <f t="array" ref="I11">_xlfn.XLOOKUP(Event_Master[[#This Row],[Event_No]],Venue_Orders[[#All],[Event_No]],Venue_Orders[[#All],[Rental_Cost]],0,0)</f>
        <v>0</v>
      </c>
      <c r="J11" s="10" cm="1">
        <f t="array" ref="J11">_xlfn.XLOOKUP(Event_Master[[#This Row],[Event_No]],Venue_Orders[[#All],[Event_No]],Venue_Orders[[#All],[Client_Charge]],,0)</f>
        <v>0</v>
      </c>
      <c r="K11" s="10" t="s">
        <v>242</v>
      </c>
      <c r="L11" s="10" cm="1">
        <f t="array" ref="L11">_xlfn.XLOOKUP(Event_Master[[#This Row],[Event_No]],Photography_Orders[[#All],[Event_No]],Photography_Orders[[#All],[Cost]],,0)</f>
        <v>20000</v>
      </c>
      <c r="M11" s="10" cm="1">
        <f t="array" ref="M11">_xlfn.XLOOKUP(Event_Master[[#This Row],[Event_No]],Photography_Orders[[#All],[Event_No]],Photography_Orders[[#All],[Client_Charge]],,0)</f>
        <v>24000</v>
      </c>
      <c r="N11" s="10" t="s">
        <v>167</v>
      </c>
      <c r="O11" s="10" cm="1">
        <f t="array" ref="O11">_xlfn.XLOOKUP(Event_Master[[#This Row],[Event_No]],Entertainment_Orders[[#All],[Event_No]],Entertainment_Orders[[#All],[Cost]],,0)</f>
        <v>0</v>
      </c>
      <c r="P11" s="10" cm="1">
        <f t="array" ref="P11">_xlfn.XLOOKUP(Event_Master[[#This Row],[Event_No]],Entertainment_Orders[[#All],[Event_No]],Entertainment_Orders[[#All],[Client_Charge]],,0)</f>
        <v>0</v>
      </c>
      <c r="Q11" s="10" t="s">
        <v>278</v>
      </c>
      <c r="R11" s="10" cm="1">
        <f t="array" ref="R11">_xlfn.XLOOKUP(Event_Master[[#This Row],[Event_No]],Decor_Orders[[#All],[Event_No]],Decor_Orders[[#All],[Cost]],,0)</f>
        <v>20000</v>
      </c>
      <c r="S11" s="10" cm="1">
        <f t="array" ref="S11">_xlfn.XLOOKUP(Event_Master[[#This Row],[Event_No]],Decor_Orders[[#All],[Event_No]],Decor_Orders[[#All],[Client_Charge]],,0)</f>
        <v>24000</v>
      </c>
      <c r="T11" s="10" t="s">
        <v>405</v>
      </c>
      <c r="U11" s="10">
        <f>SUMIFS(Logistics_Orders[[#All],[Cost]],Logistics_Orders[[#All],[Event_No]],Event_Master[[#This Row],[Event_No]])</f>
        <v>44000</v>
      </c>
      <c r="V11" s="10">
        <f>SUMIFS(Logistics_Orders[[#All],[Client_Charge]],Logistics_Orders[[#All],[Event_No]],Event_Master[[#This Row],[Event_No]])</f>
        <v>52800</v>
      </c>
      <c r="W11" s="10" t="s">
        <v>418</v>
      </c>
      <c r="X11" s="10">
        <f>SUMIFS(Food_Orders[[#All],[Cost]],Food_Orders[[#All],[Event_No]],Event_Master[[#This Row],[Event_No]])</f>
        <v>89550</v>
      </c>
      <c r="Y11" s="10">
        <f>SUMIFS(Food_Orders[[#All],[Client_Price]],Food_Orders[[#All],[Event_No]],Event_Master[[#This Row],[Event_No]])</f>
        <v>107460</v>
      </c>
      <c r="Z11" s="10">
        <f>Event_Master[[#This Row],[Venue_Cost]]+Event_Master[[#This Row],[Photography_Cost]]+Event_Master[[#This Row],[Entertainment_Cost]]+Event_Master[[#This Row],[Decor_Cost]]+Event_Master[[#This Row],[Logistics_Cost]]+Event_Master[[#This Row],[Food_Cost]]</f>
        <v>173550</v>
      </c>
      <c r="AA11" s="10">
        <f>Event_Master[[#This Row],[Venue_Charge]]+Event_Master[[#This Row],[Photography_Charge]]+Event_Master[[#This Row],[Entertainment_Charge]]+Event_Master[[#This Row],[Decor_Charge]]+Event_Master[[#This Row],[Logistics_Charge]]+Event_Master[[#This Row],[Food_Charge]]</f>
        <v>208260</v>
      </c>
      <c r="AB11" s="10">
        <v>5000</v>
      </c>
      <c r="AC11" s="10">
        <f>Event_Master[[#This Row],[Client_Budget]]+Event_Master[[#This Row],[Planner_Remuneration]]</f>
        <v>213260</v>
      </c>
      <c r="AD11" s="10">
        <v>4</v>
      </c>
    </row>
    <row r="12" spans="1:30" x14ac:dyDescent="0.25">
      <c r="A12" s="10">
        <v>11</v>
      </c>
      <c r="B12" s="10" t="str" cm="1">
        <f t="array" ref="B12">_xlfn.XLOOKUP(Event_Master[[#This Row],[Event_Type]],Event_Catalog[[#All],[Event_Name]],Event_Catalog[[#All],[Event_ID]],,0)</f>
        <v>E011</v>
      </c>
      <c r="C12" s="10" t="s">
        <v>313</v>
      </c>
      <c r="D12" s="10" t="s">
        <v>292</v>
      </c>
      <c r="E12" s="10">
        <v>350</v>
      </c>
      <c r="F12" s="10" t="s">
        <v>407</v>
      </c>
      <c r="G12" s="11">
        <v>45235</v>
      </c>
      <c r="H12" s="10" t="s">
        <v>224</v>
      </c>
      <c r="I12" s="10" cm="1">
        <f t="array" ref="I12">_xlfn.XLOOKUP(Event_Master[[#This Row],[Event_No]],Venue_Orders[[#All],[Event_No]],Venue_Orders[[#All],[Rental_Cost]],0,0)</f>
        <v>0</v>
      </c>
      <c r="J12" s="10" cm="1">
        <f t="array" ref="J12">_xlfn.XLOOKUP(Event_Master[[#This Row],[Event_No]],Venue_Orders[[#All],[Event_No]],Venue_Orders[[#All],[Client_Charge]],,0)</f>
        <v>0</v>
      </c>
      <c r="K12" s="10" t="s">
        <v>247</v>
      </c>
      <c r="L12" s="10" cm="1">
        <f t="array" ref="L12">_xlfn.XLOOKUP(Event_Master[[#This Row],[Event_No]],Photography_Orders[[#All],[Event_No]],Photography_Orders[[#All],[Cost]],,0)</f>
        <v>10000</v>
      </c>
      <c r="M12" s="10" cm="1">
        <f t="array" ref="M12">_xlfn.XLOOKUP(Event_Master[[#This Row],[Event_No]],Photography_Orders[[#All],[Event_No]],Photography_Orders[[#All],[Client_Charge]],,0)</f>
        <v>12000</v>
      </c>
      <c r="N12" s="10" t="s">
        <v>167</v>
      </c>
      <c r="O12" s="10" cm="1">
        <f t="array" ref="O12">_xlfn.XLOOKUP(Event_Master[[#This Row],[Event_No]],Entertainment_Orders[[#All],[Event_No]],Entertainment_Orders[[#All],[Cost]],,0)</f>
        <v>0</v>
      </c>
      <c r="P12" s="10" cm="1">
        <f t="array" ref="P12">_xlfn.XLOOKUP(Event_Master[[#This Row],[Event_No]],Entertainment_Orders[[#All],[Event_No]],Entertainment_Orders[[#All],[Client_Charge]],,0)</f>
        <v>0</v>
      </c>
      <c r="Q12" s="10" t="s">
        <v>266</v>
      </c>
      <c r="R12" s="10" cm="1">
        <f t="array" ref="R12">_xlfn.XLOOKUP(Event_Master[[#This Row],[Event_No]],Decor_Orders[[#All],[Event_No]],Decor_Orders[[#All],[Cost]],,0)</f>
        <v>30000</v>
      </c>
      <c r="S12" s="10" cm="1">
        <f t="array" ref="S12">_xlfn.XLOOKUP(Event_Master[[#This Row],[Event_No]],Decor_Orders[[#All],[Event_No]],Decor_Orders[[#All],[Client_Charge]],,0)</f>
        <v>36000</v>
      </c>
      <c r="T12" s="10" t="s">
        <v>405</v>
      </c>
      <c r="U12" s="10">
        <f>SUMIFS(Logistics_Orders[[#All],[Cost]],Logistics_Orders[[#All],[Event_No]],Event_Master[[#This Row],[Event_No]])</f>
        <v>59000</v>
      </c>
      <c r="V12" s="10">
        <f>SUMIFS(Logistics_Orders[[#All],[Client_Charge]],Logistics_Orders[[#All],[Event_No]],Event_Master[[#This Row],[Event_No]])</f>
        <v>70800</v>
      </c>
      <c r="W12" s="10" t="s">
        <v>419</v>
      </c>
      <c r="X12" s="10">
        <f>SUMIFS(Food_Orders[[#All],[Cost]],Food_Orders[[#All],[Event_No]],Event_Master[[#This Row],[Event_No]])</f>
        <v>117250</v>
      </c>
      <c r="Y12" s="10">
        <f>SUMIFS(Food_Orders[[#All],[Client_Price]],Food_Orders[[#All],[Event_No]],Event_Master[[#This Row],[Event_No]])</f>
        <v>140700</v>
      </c>
      <c r="Z12" s="10">
        <f>Event_Master[[#This Row],[Venue_Cost]]+Event_Master[[#This Row],[Photography_Cost]]+Event_Master[[#This Row],[Entertainment_Cost]]+Event_Master[[#This Row],[Decor_Cost]]+Event_Master[[#This Row],[Logistics_Cost]]+Event_Master[[#This Row],[Food_Cost]]</f>
        <v>216250</v>
      </c>
      <c r="AA12" s="10">
        <f>Event_Master[[#This Row],[Venue_Charge]]+Event_Master[[#This Row],[Photography_Charge]]+Event_Master[[#This Row],[Entertainment_Charge]]+Event_Master[[#This Row],[Decor_Charge]]+Event_Master[[#This Row],[Logistics_Charge]]+Event_Master[[#This Row],[Food_Charge]]</f>
        <v>259500</v>
      </c>
      <c r="AB12" s="10">
        <v>12000</v>
      </c>
      <c r="AC12" s="10">
        <f>Event_Master[[#This Row],[Client_Budget]]+Event_Master[[#This Row],[Planner_Remuneration]]</f>
        <v>271500</v>
      </c>
      <c r="AD12" s="10">
        <v>2</v>
      </c>
    </row>
    <row r="13" spans="1:30" x14ac:dyDescent="0.25">
      <c r="A13" s="10">
        <v>12</v>
      </c>
      <c r="B13" s="10" t="str" cm="1">
        <f t="array" ref="B13">_xlfn.XLOOKUP(Event_Master[[#This Row],[Event_Type]],Event_Catalog[[#All],[Event_Name]],Event_Catalog[[#All],[Event_ID]],,0)</f>
        <v>E012</v>
      </c>
      <c r="C13" s="10" t="s">
        <v>316</v>
      </c>
      <c r="D13" s="10" t="s">
        <v>315</v>
      </c>
      <c r="E13" s="10">
        <v>500</v>
      </c>
      <c r="F13" s="10" t="s">
        <v>407</v>
      </c>
      <c r="G13" s="11">
        <v>45280</v>
      </c>
      <c r="H13" s="10" t="s">
        <v>215</v>
      </c>
      <c r="I13" s="10" cm="1">
        <f t="array" ref="I13">_xlfn.XLOOKUP(Event_Master[[#This Row],[Event_No]],Venue_Orders[[#All],[Event_No]],Venue_Orders[[#All],[Rental_Cost]],0,0)</f>
        <v>150000</v>
      </c>
      <c r="J13" s="10" cm="1">
        <f t="array" ref="J13">_xlfn.XLOOKUP(Event_Master[[#This Row],[Event_No]],Venue_Orders[[#All],[Event_No]],Venue_Orders[[#All],[Client_Charge]],,0)</f>
        <v>175000</v>
      </c>
      <c r="K13" s="10" t="s">
        <v>237</v>
      </c>
      <c r="L13" s="10" cm="1">
        <f t="array" ref="L13">_xlfn.XLOOKUP(Event_Master[[#This Row],[Event_No]],Photography_Orders[[#All],[Event_No]],Photography_Orders[[#All],[Cost]],,0)</f>
        <v>45000</v>
      </c>
      <c r="M13" s="10" cm="1">
        <f t="array" ref="M13">_xlfn.XLOOKUP(Event_Master[[#This Row],[Event_No]],Photography_Orders[[#All],[Event_No]],Photography_Orders[[#All],[Client_Charge]],,0)</f>
        <v>53000</v>
      </c>
      <c r="N13" s="10" t="s">
        <v>153</v>
      </c>
      <c r="O13" s="10" cm="1">
        <f t="array" ref="O13">_xlfn.XLOOKUP(Event_Master[[#This Row],[Event_No]],Entertainment_Orders[[#All],[Event_No]],Entertainment_Orders[[#All],[Cost]],,0)</f>
        <v>15000</v>
      </c>
      <c r="P13" s="10" cm="1">
        <f t="array" ref="P13">_xlfn.XLOOKUP(Event_Master[[#This Row],[Event_No]],Entertainment_Orders[[#All],[Event_No]],Entertainment_Orders[[#All],[Client_Charge]],,0)</f>
        <v>18000</v>
      </c>
      <c r="Q13" s="10" t="s">
        <v>283</v>
      </c>
      <c r="R13" s="10" cm="1">
        <f t="array" ref="R13">_xlfn.XLOOKUP(Event_Master[[#This Row],[Event_No]],Decor_Orders[[#All],[Event_No]],Decor_Orders[[#All],[Cost]],,0)</f>
        <v>35000</v>
      </c>
      <c r="S13" s="10" cm="1">
        <f t="array" ref="S13">_xlfn.XLOOKUP(Event_Master[[#This Row],[Event_No]],Decor_Orders[[#All],[Event_No]],Decor_Orders[[#All],[Client_Charge]],,0)</f>
        <v>42000</v>
      </c>
      <c r="T13" s="10" t="s">
        <v>405</v>
      </c>
      <c r="U13" s="10">
        <f>SUMIFS(Logistics_Orders[[#All],[Cost]],Logistics_Orders[[#All],[Event_No]],Event_Master[[#This Row],[Event_No]])</f>
        <v>59000</v>
      </c>
      <c r="V13" s="10">
        <f>SUMIFS(Logistics_Orders[[#All],[Client_Charge]],Logistics_Orders[[#All],[Event_No]],Event_Master[[#This Row],[Event_No]])</f>
        <v>70800</v>
      </c>
      <c r="W13" s="10" t="s">
        <v>420</v>
      </c>
      <c r="X13" s="10">
        <f>SUMIFS(Food_Orders[[#All],[Cost]],Food_Orders[[#All],[Event_No]],Event_Master[[#This Row],[Event_No]])</f>
        <v>485000</v>
      </c>
      <c r="Y13" s="10">
        <f>SUMIFS(Food_Orders[[#All],[Client_Price]],Food_Orders[[#All],[Event_No]],Event_Master[[#This Row],[Event_No]])</f>
        <v>582000</v>
      </c>
      <c r="Z13" s="10">
        <f>Event_Master[[#This Row],[Venue_Cost]]+Event_Master[[#This Row],[Photography_Cost]]+Event_Master[[#This Row],[Entertainment_Cost]]+Event_Master[[#This Row],[Decor_Cost]]+Event_Master[[#This Row],[Logistics_Cost]]+Event_Master[[#This Row],[Food_Cost]]</f>
        <v>789000</v>
      </c>
      <c r="AA13" s="10">
        <f>Event_Master[[#This Row],[Venue_Charge]]+Event_Master[[#This Row],[Photography_Charge]]+Event_Master[[#This Row],[Entertainment_Charge]]+Event_Master[[#This Row],[Decor_Charge]]+Event_Master[[#This Row],[Logistics_Charge]]+Event_Master[[#This Row],[Food_Charge]]</f>
        <v>940800</v>
      </c>
      <c r="AB13" s="10">
        <v>12000</v>
      </c>
      <c r="AC13" s="10">
        <f>Event_Master[[#This Row],[Client_Budget]]+Event_Master[[#This Row],[Planner_Remuneration]]</f>
        <v>952800</v>
      </c>
      <c r="AD13" s="10">
        <v>5</v>
      </c>
    </row>
    <row r="14" spans="1:30" x14ac:dyDescent="0.25">
      <c r="A14" s="10">
        <v>13</v>
      </c>
      <c r="B14" s="10" t="str" cm="1">
        <f t="array" ref="B14">_xlfn.XLOOKUP(Event_Master[[#This Row],[Event_Type]],Event_Catalog[[#All],[Event_Name]],Event_Catalog[[#All],[Event_ID]],,0)</f>
        <v>E013</v>
      </c>
      <c r="C14" s="10" t="s">
        <v>318</v>
      </c>
      <c r="D14" s="10" t="s">
        <v>315</v>
      </c>
      <c r="E14" s="10">
        <v>450</v>
      </c>
      <c r="F14" s="10" t="s">
        <v>407</v>
      </c>
      <c r="G14" s="11">
        <v>45301</v>
      </c>
      <c r="H14" s="10" t="s">
        <v>215</v>
      </c>
      <c r="I14" s="10" cm="1">
        <f t="array" ref="I14">_xlfn.XLOOKUP(Event_Master[[#This Row],[Event_No]],Venue_Orders[[#All],[Event_No]],Venue_Orders[[#All],[Rental_Cost]],0,0)</f>
        <v>150000</v>
      </c>
      <c r="J14" s="10" cm="1">
        <f t="array" ref="J14">_xlfn.XLOOKUP(Event_Master[[#This Row],[Event_No]],Venue_Orders[[#All],[Event_No]],Venue_Orders[[#All],[Client_Charge]],,0)</f>
        <v>175000</v>
      </c>
      <c r="K14" s="10" t="s">
        <v>237</v>
      </c>
      <c r="L14" s="10" cm="1">
        <f t="array" ref="L14">_xlfn.XLOOKUP(Event_Master[[#This Row],[Event_No]],Photography_Orders[[#All],[Event_No]],Photography_Orders[[#All],[Cost]],,0)</f>
        <v>45000</v>
      </c>
      <c r="M14" s="10" cm="1">
        <f t="array" ref="M14">_xlfn.XLOOKUP(Event_Master[[#This Row],[Event_No]],Photography_Orders[[#All],[Event_No]],Photography_Orders[[#All],[Client_Charge]],,0)</f>
        <v>53000</v>
      </c>
      <c r="N14" s="10" t="s">
        <v>169</v>
      </c>
      <c r="O14" s="10" cm="1">
        <f t="array" ref="O14">_xlfn.XLOOKUP(Event_Master[[#This Row],[Event_No]],Entertainment_Orders[[#All],[Event_No]],Entertainment_Orders[[#All],[Cost]],,0)</f>
        <v>0</v>
      </c>
      <c r="P14" s="10" cm="1">
        <f t="array" ref="P14">_xlfn.XLOOKUP(Event_Master[[#This Row],[Event_No]],Entertainment_Orders[[#All],[Event_No]],Entertainment_Orders[[#All],[Client_Charge]],,0)</f>
        <v>0</v>
      </c>
      <c r="Q14" s="10" t="s">
        <v>283</v>
      </c>
      <c r="R14" s="10" cm="1">
        <f t="array" ref="R14">_xlfn.XLOOKUP(Event_Master[[#This Row],[Event_No]],Decor_Orders[[#All],[Event_No]],Decor_Orders[[#All],[Cost]],,0)</f>
        <v>35000</v>
      </c>
      <c r="S14" s="10" cm="1">
        <f t="array" ref="S14">_xlfn.XLOOKUP(Event_Master[[#This Row],[Event_No]],Decor_Orders[[#All],[Event_No]],Decor_Orders[[#All],[Client_Charge]],,0)</f>
        <v>42000</v>
      </c>
      <c r="T14" s="10" t="s">
        <v>405</v>
      </c>
      <c r="U14" s="10">
        <f>SUMIFS(Logistics_Orders[[#All],[Cost]],Logistics_Orders[[#All],[Event_No]],Event_Master[[#This Row],[Event_No]])</f>
        <v>59000</v>
      </c>
      <c r="V14" s="10">
        <f>SUMIFS(Logistics_Orders[[#All],[Client_Charge]],Logistics_Orders[[#All],[Event_No]],Event_Master[[#This Row],[Event_No]])</f>
        <v>70800</v>
      </c>
      <c r="W14" s="10" t="s">
        <v>421</v>
      </c>
      <c r="X14" s="10">
        <f>SUMIFS(Food_Orders[[#All],[Cost]],Food_Orders[[#All],[Event_No]],Event_Master[[#This Row],[Event_No]])</f>
        <v>168750</v>
      </c>
      <c r="Y14" s="10">
        <f>SUMIFS(Food_Orders[[#All],[Client_Price]],Food_Orders[[#All],[Event_No]],Event_Master[[#This Row],[Event_No]])</f>
        <v>202500</v>
      </c>
      <c r="Z14" s="10">
        <f>Event_Master[[#This Row],[Venue_Cost]]+Event_Master[[#This Row],[Photography_Cost]]+Event_Master[[#This Row],[Entertainment_Cost]]+Event_Master[[#This Row],[Decor_Cost]]+Event_Master[[#This Row],[Logistics_Cost]]+Event_Master[[#This Row],[Food_Cost]]</f>
        <v>457750</v>
      </c>
      <c r="AA14" s="10">
        <f>Event_Master[[#This Row],[Venue_Charge]]+Event_Master[[#This Row],[Photography_Charge]]+Event_Master[[#This Row],[Entertainment_Charge]]+Event_Master[[#This Row],[Decor_Charge]]+Event_Master[[#This Row],[Logistics_Charge]]+Event_Master[[#This Row],[Food_Charge]]</f>
        <v>543300</v>
      </c>
      <c r="AB14" s="10">
        <v>12000</v>
      </c>
      <c r="AC14" s="10">
        <f>Event_Master[[#This Row],[Client_Budget]]+Event_Master[[#This Row],[Planner_Remuneration]]</f>
        <v>555300</v>
      </c>
      <c r="AD14" s="10">
        <v>3</v>
      </c>
    </row>
    <row r="15" spans="1:30" x14ac:dyDescent="0.25">
      <c r="A15" s="10">
        <v>14</v>
      </c>
      <c r="B15" s="10" t="str" cm="1">
        <f t="array" ref="B15">_xlfn.XLOOKUP(Event_Master[[#This Row],[Event_Type]],Event_Catalog[[#All],[Event_Name]],Event_Catalog[[#All],[Event_ID]],,0)</f>
        <v>E014</v>
      </c>
      <c r="C15" s="10" t="s">
        <v>320</v>
      </c>
      <c r="D15" s="10" t="s">
        <v>315</v>
      </c>
      <c r="E15" s="10">
        <v>600</v>
      </c>
      <c r="F15" s="10" t="s">
        <v>404</v>
      </c>
      <c r="G15" s="11">
        <v>45336</v>
      </c>
      <c r="H15" s="10" t="s">
        <v>215</v>
      </c>
      <c r="I15" s="10" cm="1">
        <f t="array" ref="I15">_xlfn.XLOOKUP(Event_Master[[#This Row],[Event_No]],Venue_Orders[[#All],[Event_No]],Venue_Orders[[#All],[Rental_Cost]],0,0)</f>
        <v>150000</v>
      </c>
      <c r="J15" s="10" cm="1">
        <f t="array" ref="J15">_xlfn.XLOOKUP(Event_Master[[#This Row],[Event_No]],Venue_Orders[[#All],[Event_No]],Venue_Orders[[#All],[Client_Charge]],,0)</f>
        <v>175000</v>
      </c>
      <c r="K15" s="10" t="s">
        <v>237</v>
      </c>
      <c r="L15" s="10" cm="1">
        <f t="array" ref="L15">_xlfn.XLOOKUP(Event_Master[[#This Row],[Event_No]],Photography_Orders[[#All],[Event_No]],Photography_Orders[[#All],[Cost]],,0)</f>
        <v>45000</v>
      </c>
      <c r="M15" s="10" cm="1">
        <f t="array" ref="M15">_xlfn.XLOOKUP(Event_Master[[#This Row],[Event_No]],Photography_Orders[[#All],[Event_No]],Photography_Orders[[#All],[Client_Charge]],,0)</f>
        <v>53000</v>
      </c>
      <c r="N15" s="10" t="s">
        <v>153</v>
      </c>
      <c r="O15" s="10" cm="1">
        <f t="array" ref="O15">_xlfn.XLOOKUP(Event_Master[[#This Row],[Event_No]],Entertainment_Orders[[#All],[Event_No]],Entertainment_Orders[[#All],[Cost]],,0)</f>
        <v>15000</v>
      </c>
      <c r="P15" s="10" cm="1">
        <f t="array" ref="P15">_xlfn.XLOOKUP(Event_Master[[#This Row],[Event_No]],Entertainment_Orders[[#All],[Event_No]],Entertainment_Orders[[#All],[Client_Charge]],,0)</f>
        <v>18000</v>
      </c>
      <c r="Q15" s="10" t="s">
        <v>283</v>
      </c>
      <c r="R15" s="10" cm="1">
        <f t="array" ref="R15">_xlfn.XLOOKUP(Event_Master[[#This Row],[Event_No]],Decor_Orders[[#All],[Event_No]],Decor_Orders[[#All],[Cost]],,0)</f>
        <v>35000</v>
      </c>
      <c r="S15" s="10" cm="1">
        <f t="array" ref="S15">_xlfn.XLOOKUP(Event_Master[[#This Row],[Event_No]],Decor_Orders[[#All],[Event_No]],Decor_Orders[[#All],[Client_Charge]],,0)</f>
        <v>42000</v>
      </c>
      <c r="T15" s="10" t="s">
        <v>405</v>
      </c>
      <c r="U15" s="10">
        <f>SUMIFS(Logistics_Orders[[#All],[Cost]],Logistics_Orders[[#All],[Event_No]],Event_Master[[#This Row],[Event_No]])</f>
        <v>59000</v>
      </c>
      <c r="V15" s="10">
        <f>SUMIFS(Logistics_Orders[[#All],[Client_Charge]],Logistics_Orders[[#All],[Event_No]],Event_Master[[#This Row],[Event_No]])</f>
        <v>70800</v>
      </c>
      <c r="W15" s="10" t="s">
        <v>420</v>
      </c>
      <c r="X15" s="10">
        <f>SUMIFS(Food_Orders[[#All],[Cost]],Food_Orders[[#All],[Event_No]],Event_Master[[#This Row],[Event_No]])</f>
        <v>582000</v>
      </c>
      <c r="Y15" s="10">
        <f>SUMIFS(Food_Orders[[#All],[Client_Price]],Food_Orders[[#All],[Event_No]],Event_Master[[#This Row],[Event_No]])</f>
        <v>698400</v>
      </c>
      <c r="Z15" s="10">
        <f>Event_Master[[#This Row],[Venue_Cost]]+Event_Master[[#This Row],[Photography_Cost]]+Event_Master[[#This Row],[Entertainment_Cost]]+Event_Master[[#This Row],[Decor_Cost]]+Event_Master[[#This Row],[Logistics_Cost]]+Event_Master[[#This Row],[Food_Cost]]</f>
        <v>886000</v>
      </c>
      <c r="AA15" s="10">
        <f>Event_Master[[#This Row],[Venue_Charge]]+Event_Master[[#This Row],[Photography_Charge]]+Event_Master[[#This Row],[Entertainment_Charge]]+Event_Master[[#This Row],[Decor_Charge]]+Event_Master[[#This Row],[Logistics_Charge]]+Event_Master[[#This Row],[Food_Charge]]</f>
        <v>1057200</v>
      </c>
      <c r="AB15" s="10">
        <v>30000</v>
      </c>
      <c r="AC15" s="10">
        <f>Event_Master[[#This Row],[Client_Budget]]+Event_Master[[#This Row],[Planner_Remuneration]]</f>
        <v>1087200</v>
      </c>
      <c r="AD15" s="10">
        <v>4</v>
      </c>
    </row>
    <row r="16" spans="1:30" x14ac:dyDescent="0.25">
      <c r="A16" s="10">
        <v>15</v>
      </c>
      <c r="B16" s="10" t="str" cm="1">
        <f t="array" ref="B16">_xlfn.XLOOKUP(Event_Master[[#This Row],[Event_Type]],Event_Catalog[[#All],[Event_Name]],Event_Catalog[[#All],[Event_ID]],,0)</f>
        <v>E015</v>
      </c>
      <c r="C16" s="10" t="s">
        <v>322</v>
      </c>
      <c r="D16" s="10" t="s">
        <v>315</v>
      </c>
      <c r="E16" s="10">
        <v>800</v>
      </c>
      <c r="F16" s="10" t="s">
        <v>404</v>
      </c>
      <c r="G16" s="11">
        <v>45356</v>
      </c>
      <c r="H16" s="10" t="s">
        <v>221</v>
      </c>
      <c r="I16" s="10" cm="1">
        <f t="array" ref="I16">_xlfn.XLOOKUP(Event_Master[[#This Row],[Event_No]],Venue_Orders[[#All],[Event_No]],Venue_Orders[[#All],[Rental_Cost]],0,0)</f>
        <v>200000</v>
      </c>
      <c r="J16" s="10" cm="1">
        <f t="array" ref="J16">_xlfn.XLOOKUP(Event_Master[[#This Row],[Event_No]],Venue_Orders[[#All],[Event_No]],Venue_Orders[[#All],[Client_Charge]],,0)</f>
        <v>230000</v>
      </c>
      <c r="K16" s="10" t="s">
        <v>237</v>
      </c>
      <c r="L16" s="10" cm="1">
        <f t="array" ref="L16">_xlfn.XLOOKUP(Event_Master[[#This Row],[Event_No]],Photography_Orders[[#All],[Event_No]],Photography_Orders[[#All],[Cost]],,0)</f>
        <v>45000</v>
      </c>
      <c r="M16" s="10" cm="1">
        <f t="array" ref="M16">_xlfn.XLOOKUP(Event_Master[[#This Row],[Event_No]],Photography_Orders[[#All],[Event_No]],Photography_Orders[[#All],[Client_Charge]],,0)</f>
        <v>53000</v>
      </c>
      <c r="N16" s="10" t="s">
        <v>143</v>
      </c>
      <c r="O16" s="10" cm="1">
        <f t="array" ref="O16">_xlfn.XLOOKUP(Event_Master[[#This Row],[Event_No]],Entertainment_Orders[[#All],[Event_No]],Entertainment_Orders[[#All],[Cost]],,0)</f>
        <v>8000</v>
      </c>
      <c r="P16" s="10" cm="1">
        <f t="array" ref="P16">_xlfn.XLOOKUP(Event_Master[[#This Row],[Event_No]],Entertainment_Orders[[#All],[Event_No]],Entertainment_Orders[[#All],[Client_Charge]],,0)</f>
        <v>9500</v>
      </c>
      <c r="Q16" s="10" t="s">
        <v>283</v>
      </c>
      <c r="R16" s="10" cm="1">
        <f t="array" ref="R16">_xlfn.XLOOKUP(Event_Master[[#This Row],[Event_No]],Decor_Orders[[#All],[Event_No]],Decor_Orders[[#All],[Cost]],,0)</f>
        <v>35000</v>
      </c>
      <c r="S16" s="10" cm="1">
        <f t="array" ref="S16">_xlfn.XLOOKUP(Event_Master[[#This Row],[Event_No]],Decor_Orders[[#All],[Event_No]],Decor_Orders[[#All],[Client_Charge]],,0)</f>
        <v>42000</v>
      </c>
      <c r="T16" s="10" t="s">
        <v>405</v>
      </c>
      <c r="U16" s="10">
        <f>SUMIFS(Logistics_Orders[[#All],[Cost]],Logistics_Orders[[#All],[Event_No]],Event_Master[[#This Row],[Event_No]])</f>
        <v>74000</v>
      </c>
      <c r="V16" s="10">
        <f>SUMIFS(Logistics_Orders[[#All],[Client_Charge]],Logistics_Orders[[#All],[Event_No]],Event_Master[[#This Row],[Event_No]])</f>
        <v>88800</v>
      </c>
      <c r="W16" s="10" t="s">
        <v>422</v>
      </c>
      <c r="X16" s="10">
        <f>SUMIFS(Food_Orders[[#All],[Cost]],Food_Orders[[#All],[Event_No]],Event_Master[[#This Row],[Event_No]])</f>
        <v>200000</v>
      </c>
      <c r="Y16" s="10">
        <f>SUMIFS(Food_Orders[[#All],[Client_Price]],Food_Orders[[#All],[Event_No]],Event_Master[[#This Row],[Event_No]])</f>
        <v>240000</v>
      </c>
      <c r="Z16" s="10">
        <f>Event_Master[[#This Row],[Venue_Cost]]+Event_Master[[#This Row],[Photography_Cost]]+Event_Master[[#This Row],[Entertainment_Cost]]+Event_Master[[#This Row],[Decor_Cost]]+Event_Master[[#This Row],[Logistics_Cost]]+Event_Master[[#This Row],[Food_Cost]]</f>
        <v>562000</v>
      </c>
      <c r="AA16" s="10">
        <f>Event_Master[[#This Row],[Venue_Charge]]+Event_Master[[#This Row],[Photography_Charge]]+Event_Master[[#This Row],[Entertainment_Charge]]+Event_Master[[#This Row],[Decor_Charge]]+Event_Master[[#This Row],[Logistics_Charge]]+Event_Master[[#This Row],[Food_Charge]]</f>
        <v>663300</v>
      </c>
      <c r="AB16" s="10">
        <v>30000</v>
      </c>
      <c r="AC16" s="10">
        <f>Event_Master[[#This Row],[Client_Budget]]+Event_Master[[#This Row],[Planner_Remuneration]]</f>
        <v>693300</v>
      </c>
      <c r="AD16" s="10">
        <v>5</v>
      </c>
    </row>
    <row r="17" spans="1:30" x14ac:dyDescent="0.25">
      <c r="A17" s="10">
        <v>16</v>
      </c>
      <c r="B17" s="10" t="str" cm="1">
        <f t="array" ref="B17">_xlfn.XLOOKUP(Event_Master[[#This Row],[Event_Type]],Event_Catalog[[#All],[Event_Name]],Event_Catalog[[#All],[Event_ID]],,0)</f>
        <v>E016</v>
      </c>
      <c r="C17" s="10" t="s">
        <v>324</v>
      </c>
      <c r="D17" s="10" t="s">
        <v>315</v>
      </c>
      <c r="E17" s="10">
        <v>700</v>
      </c>
      <c r="F17" s="10" t="s">
        <v>404</v>
      </c>
      <c r="G17" s="11">
        <v>45394</v>
      </c>
      <c r="H17" s="10" t="s">
        <v>221</v>
      </c>
      <c r="I17" s="10" cm="1">
        <f t="array" ref="I17">_xlfn.XLOOKUP(Event_Master[[#This Row],[Event_No]],Venue_Orders[[#All],[Event_No]],Venue_Orders[[#All],[Rental_Cost]],0,0)</f>
        <v>200000</v>
      </c>
      <c r="J17" s="10" cm="1">
        <f t="array" ref="J17">_xlfn.XLOOKUP(Event_Master[[#This Row],[Event_No]],Venue_Orders[[#All],[Event_No]],Venue_Orders[[#All],[Client_Charge]],,0)</f>
        <v>230000</v>
      </c>
      <c r="K17" s="10" t="s">
        <v>237</v>
      </c>
      <c r="L17" s="10" cm="1">
        <f t="array" ref="L17">_xlfn.XLOOKUP(Event_Master[[#This Row],[Event_No]],Photography_Orders[[#All],[Event_No]],Photography_Orders[[#All],[Cost]],,0)</f>
        <v>45000</v>
      </c>
      <c r="M17" s="10" cm="1">
        <f t="array" ref="M17">_xlfn.XLOOKUP(Event_Master[[#This Row],[Event_No]],Photography_Orders[[#All],[Event_No]],Photography_Orders[[#All],[Client_Charge]],,0)</f>
        <v>53000</v>
      </c>
      <c r="N17" s="10" t="s">
        <v>143</v>
      </c>
      <c r="O17" s="10" cm="1">
        <f t="array" ref="O17">_xlfn.XLOOKUP(Event_Master[[#This Row],[Event_No]],Entertainment_Orders[[#All],[Event_No]],Entertainment_Orders[[#All],[Cost]],,0)</f>
        <v>8000</v>
      </c>
      <c r="P17" s="10" cm="1">
        <f t="array" ref="P17">_xlfn.XLOOKUP(Event_Master[[#This Row],[Event_No]],Entertainment_Orders[[#All],[Event_No]],Entertainment_Orders[[#All],[Client_Charge]],,0)</f>
        <v>9500</v>
      </c>
      <c r="Q17" s="10" t="s">
        <v>283</v>
      </c>
      <c r="R17" s="10" cm="1">
        <f t="array" ref="R17">_xlfn.XLOOKUP(Event_Master[[#This Row],[Event_No]],Decor_Orders[[#All],[Event_No]],Decor_Orders[[#All],[Cost]],,0)</f>
        <v>35000</v>
      </c>
      <c r="S17" s="10" cm="1">
        <f t="array" ref="S17">_xlfn.XLOOKUP(Event_Master[[#This Row],[Event_No]],Decor_Orders[[#All],[Event_No]],Decor_Orders[[#All],[Client_Charge]],,0)</f>
        <v>42000</v>
      </c>
      <c r="T17" s="10" t="s">
        <v>405</v>
      </c>
      <c r="U17" s="10">
        <f>SUMIFS(Logistics_Orders[[#All],[Cost]],Logistics_Orders[[#All],[Event_No]],Event_Master[[#This Row],[Event_No]])</f>
        <v>74000</v>
      </c>
      <c r="V17" s="10">
        <f>SUMIFS(Logistics_Orders[[#All],[Client_Charge]],Logistics_Orders[[#All],[Event_No]],Event_Master[[#This Row],[Event_No]])</f>
        <v>88800</v>
      </c>
      <c r="W17" s="10" t="s">
        <v>422</v>
      </c>
      <c r="X17" s="10">
        <f>SUMIFS(Food_Orders[[#All],[Cost]],Food_Orders[[#All],[Event_No]],Event_Master[[#This Row],[Event_No]])</f>
        <v>175000</v>
      </c>
      <c r="Y17" s="10">
        <f>SUMIFS(Food_Orders[[#All],[Client_Price]],Food_Orders[[#All],[Event_No]],Event_Master[[#This Row],[Event_No]])</f>
        <v>210000</v>
      </c>
      <c r="Z17" s="10">
        <f>Event_Master[[#This Row],[Venue_Cost]]+Event_Master[[#This Row],[Photography_Cost]]+Event_Master[[#This Row],[Entertainment_Cost]]+Event_Master[[#This Row],[Decor_Cost]]+Event_Master[[#This Row],[Logistics_Cost]]+Event_Master[[#This Row],[Food_Cost]]</f>
        <v>537000</v>
      </c>
      <c r="AA17" s="10">
        <f>Event_Master[[#This Row],[Venue_Charge]]+Event_Master[[#This Row],[Photography_Charge]]+Event_Master[[#This Row],[Entertainment_Charge]]+Event_Master[[#This Row],[Decor_Charge]]+Event_Master[[#This Row],[Logistics_Charge]]+Event_Master[[#This Row],[Food_Charge]]</f>
        <v>633300</v>
      </c>
      <c r="AB17" s="10">
        <v>30000</v>
      </c>
      <c r="AC17" s="10">
        <f>Event_Master[[#This Row],[Client_Budget]]+Event_Master[[#This Row],[Planner_Remuneration]]</f>
        <v>663300</v>
      </c>
      <c r="AD17" s="10">
        <v>5</v>
      </c>
    </row>
    <row r="18" spans="1:30" x14ac:dyDescent="0.25">
      <c r="A18" s="10">
        <v>17</v>
      </c>
      <c r="B18" s="10" t="str" cm="1">
        <f t="array" ref="B18">_xlfn.XLOOKUP(Event_Master[[#This Row],[Event_Type]],Event_Catalog[[#All],[Event_Name]],Event_Catalog[[#All],[Event_ID]],,0)</f>
        <v>E017</v>
      </c>
      <c r="C18" s="10" t="s">
        <v>326</v>
      </c>
      <c r="D18" s="10" t="s">
        <v>315</v>
      </c>
      <c r="E18" s="10">
        <v>650</v>
      </c>
      <c r="F18" s="10" t="s">
        <v>404</v>
      </c>
      <c r="G18" s="11">
        <v>45420</v>
      </c>
      <c r="H18" s="10" t="s">
        <v>215</v>
      </c>
      <c r="I18" s="10" cm="1">
        <f t="array" ref="I18">_xlfn.XLOOKUP(Event_Master[[#This Row],[Event_No]],Venue_Orders[[#All],[Event_No]],Venue_Orders[[#All],[Rental_Cost]],0,0)</f>
        <v>150000</v>
      </c>
      <c r="J18" s="10" cm="1">
        <f t="array" ref="J18">_xlfn.XLOOKUP(Event_Master[[#This Row],[Event_No]],Venue_Orders[[#All],[Event_No]],Venue_Orders[[#All],[Client_Charge]],,0)</f>
        <v>175000</v>
      </c>
      <c r="K18" s="10" t="s">
        <v>237</v>
      </c>
      <c r="L18" s="10" cm="1">
        <f t="array" ref="L18">_xlfn.XLOOKUP(Event_Master[[#This Row],[Event_No]],Photography_Orders[[#All],[Event_No]],Photography_Orders[[#All],[Cost]],,0)</f>
        <v>45000</v>
      </c>
      <c r="M18" s="10" cm="1">
        <f t="array" ref="M18">_xlfn.XLOOKUP(Event_Master[[#This Row],[Event_No]],Photography_Orders[[#All],[Event_No]],Photography_Orders[[#All],[Client_Charge]],,0)</f>
        <v>53000</v>
      </c>
      <c r="N18" s="10" t="s">
        <v>169</v>
      </c>
      <c r="O18" s="10" cm="1">
        <f t="array" ref="O18">_xlfn.XLOOKUP(Event_Master[[#This Row],[Event_No]],Entertainment_Orders[[#All],[Event_No]],Entertainment_Orders[[#All],[Cost]],,0)</f>
        <v>0</v>
      </c>
      <c r="P18" s="10" cm="1">
        <f t="array" ref="P18">_xlfn.XLOOKUP(Event_Master[[#This Row],[Event_No]],Entertainment_Orders[[#All],[Event_No]],Entertainment_Orders[[#All],[Client_Charge]],,0)</f>
        <v>0</v>
      </c>
      <c r="Q18" s="10" t="s">
        <v>283</v>
      </c>
      <c r="R18" s="10" cm="1">
        <f t="array" ref="R18">_xlfn.XLOOKUP(Event_Master[[#This Row],[Event_No]],Decor_Orders[[#All],[Event_No]],Decor_Orders[[#All],[Cost]],,0)</f>
        <v>35000</v>
      </c>
      <c r="S18" s="10" cm="1">
        <f t="array" ref="S18">_xlfn.XLOOKUP(Event_Master[[#This Row],[Event_No]],Decor_Orders[[#All],[Event_No]],Decor_Orders[[#All],[Client_Charge]],,0)</f>
        <v>42000</v>
      </c>
      <c r="T18" s="10" t="s">
        <v>405</v>
      </c>
      <c r="U18" s="10">
        <f>SUMIFS(Logistics_Orders[[#All],[Cost]],Logistics_Orders[[#All],[Event_No]],Event_Master[[#This Row],[Event_No]])</f>
        <v>74000</v>
      </c>
      <c r="V18" s="10">
        <f>SUMIFS(Logistics_Orders[[#All],[Client_Charge]],Logistics_Orders[[#All],[Event_No]],Event_Master[[#This Row],[Event_No]])</f>
        <v>88800</v>
      </c>
      <c r="W18" s="10" t="s">
        <v>422</v>
      </c>
      <c r="X18" s="10">
        <f>SUMIFS(Food_Orders[[#All],[Cost]],Food_Orders[[#All],[Event_No]],Event_Master[[#This Row],[Event_No]])</f>
        <v>162500</v>
      </c>
      <c r="Y18" s="10">
        <f>SUMIFS(Food_Orders[[#All],[Client_Price]],Food_Orders[[#All],[Event_No]],Event_Master[[#This Row],[Event_No]])</f>
        <v>195000</v>
      </c>
      <c r="Z18" s="10">
        <f>Event_Master[[#This Row],[Venue_Cost]]+Event_Master[[#This Row],[Photography_Cost]]+Event_Master[[#This Row],[Entertainment_Cost]]+Event_Master[[#This Row],[Decor_Cost]]+Event_Master[[#This Row],[Logistics_Cost]]+Event_Master[[#This Row],[Food_Cost]]</f>
        <v>466500</v>
      </c>
      <c r="AA18" s="10">
        <f>Event_Master[[#This Row],[Venue_Charge]]+Event_Master[[#This Row],[Photography_Charge]]+Event_Master[[#This Row],[Entertainment_Charge]]+Event_Master[[#This Row],[Decor_Charge]]+Event_Master[[#This Row],[Logistics_Charge]]+Event_Master[[#This Row],[Food_Charge]]</f>
        <v>553800</v>
      </c>
      <c r="AB18" s="10">
        <v>30000</v>
      </c>
      <c r="AC18" s="10">
        <f>Event_Master[[#This Row],[Client_Budget]]+Event_Master[[#This Row],[Planner_Remuneration]]</f>
        <v>583800</v>
      </c>
      <c r="AD18" s="10">
        <v>4</v>
      </c>
    </row>
    <row r="19" spans="1:30" x14ac:dyDescent="0.25">
      <c r="A19" s="10">
        <v>18</v>
      </c>
      <c r="B19" s="10" t="str" cm="1">
        <f t="array" ref="B19">_xlfn.XLOOKUP(Event_Master[[#This Row],[Event_Type]],Event_Catalog[[#All],[Event_Name]],Event_Catalog[[#All],[Event_ID]],,0)</f>
        <v>E018</v>
      </c>
      <c r="C19" s="10" t="s">
        <v>328</v>
      </c>
      <c r="D19" s="10" t="s">
        <v>315</v>
      </c>
      <c r="E19" s="10">
        <v>300</v>
      </c>
      <c r="F19" s="10" t="s">
        <v>407</v>
      </c>
      <c r="G19" s="11">
        <v>45465</v>
      </c>
      <c r="H19" s="10" t="s">
        <v>215</v>
      </c>
      <c r="I19" s="10" cm="1">
        <f t="array" ref="I19">_xlfn.XLOOKUP(Event_Master[[#This Row],[Event_No]],Venue_Orders[[#All],[Event_No]],Venue_Orders[[#All],[Rental_Cost]],0,0)</f>
        <v>150000</v>
      </c>
      <c r="J19" s="10" cm="1">
        <f t="array" ref="J19">_xlfn.XLOOKUP(Event_Master[[#This Row],[Event_No]],Venue_Orders[[#All],[Event_No]],Venue_Orders[[#All],[Client_Charge]],,0)</f>
        <v>175000</v>
      </c>
      <c r="K19" s="10" t="s">
        <v>242</v>
      </c>
      <c r="L19" s="10" cm="1">
        <f t="array" ref="L19">_xlfn.XLOOKUP(Event_Master[[#This Row],[Event_No]],Photography_Orders[[#All],[Event_No]],Photography_Orders[[#All],[Cost]],,0)</f>
        <v>20000</v>
      </c>
      <c r="M19" s="10" cm="1">
        <f t="array" ref="M19">_xlfn.XLOOKUP(Event_Master[[#This Row],[Event_No]],Photography_Orders[[#All],[Event_No]],Photography_Orders[[#All],[Client_Charge]],,0)</f>
        <v>24000</v>
      </c>
      <c r="N19" s="10" t="s">
        <v>167</v>
      </c>
      <c r="O19" s="10" cm="1">
        <f t="array" ref="O19">_xlfn.XLOOKUP(Event_Master[[#This Row],[Event_No]],Entertainment_Orders[[#All],[Event_No]],Entertainment_Orders[[#All],[Cost]],,0)</f>
        <v>0</v>
      </c>
      <c r="P19" s="10" cm="1">
        <f t="array" ref="P19">_xlfn.XLOOKUP(Event_Master[[#This Row],[Event_No]],Entertainment_Orders[[#All],[Event_No]],Entertainment_Orders[[#All],[Client_Charge]],,0)</f>
        <v>0</v>
      </c>
      <c r="Q19" s="10" t="s">
        <v>283</v>
      </c>
      <c r="R19" s="10" cm="1">
        <f t="array" ref="R19">_xlfn.XLOOKUP(Event_Master[[#This Row],[Event_No]],Decor_Orders[[#All],[Event_No]],Decor_Orders[[#All],[Cost]],,0)</f>
        <v>35000</v>
      </c>
      <c r="S19" s="10" cm="1">
        <f t="array" ref="S19">_xlfn.XLOOKUP(Event_Master[[#This Row],[Event_No]],Decor_Orders[[#All],[Event_No]],Decor_Orders[[#All],[Client_Charge]],,0)</f>
        <v>42000</v>
      </c>
      <c r="T19" s="10" t="s">
        <v>405</v>
      </c>
      <c r="U19" s="10">
        <f>SUMIFS(Logistics_Orders[[#All],[Cost]],Logistics_Orders[[#All],[Event_No]],Event_Master[[#This Row],[Event_No]])</f>
        <v>44000</v>
      </c>
      <c r="V19" s="10">
        <f>SUMIFS(Logistics_Orders[[#All],[Client_Charge]],Logistics_Orders[[#All],[Event_No]],Event_Master[[#This Row],[Event_No]])</f>
        <v>52800</v>
      </c>
      <c r="W19" s="10" t="s">
        <v>423</v>
      </c>
      <c r="X19" s="10">
        <f>SUMIFS(Food_Orders[[#All],[Cost]],Food_Orders[[#All],[Event_No]],Event_Master[[#This Row],[Event_No]])</f>
        <v>81000</v>
      </c>
      <c r="Y19" s="10">
        <f>SUMIFS(Food_Orders[[#All],[Client_Price]],Food_Orders[[#All],[Event_No]],Event_Master[[#This Row],[Event_No]])</f>
        <v>97200</v>
      </c>
      <c r="Z19" s="10">
        <f>Event_Master[[#This Row],[Venue_Cost]]+Event_Master[[#This Row],[Photography_Cost]]+Event_Master[[#This Row],[Entertainment_Cost]]+Event_Master[[#This Row],[Decor_Cost]]+Event_Master[[#This Row],[Logistics_Cost]]+Event_Master[[#This Row],[Food_Cost]]</f>
        <v>330000</v>
      </c>
      <c r="AA19" s="10">
        <f>Event_Master[[#This Row],[Venue_Charge]]+Event_Master[[#This Row],[Photography_Charge]]+Event_Master[[#This Row],[Entertainment_Charge]]+Event_Master[[#This Row],[Decor_Charge]]+Event_Master[[#This Row],[Logistics_Charge]]+Event_Master[[#This Row],[Food_Charge]]</f>
        <v>391000</v>
      </c>
      <c r="AB19" s="10">
        <v>12000</v>
      </c>
      <c r="AC19" s="10">
        <f>Event_Master[[#This Row],[Client_Budget]]+Event_Master[[#This Row],[Planner_Remuneration]]</f>
        <v>403000</v>
      </c>
      <c r="AD19" s="10">
        <v>3</v>
      </c>
    </row>
    <row r="20" spans="1:30" x14ac:dyDescent="0.25">
      <c r="A20" s="10">
        <v>19</v>
      </c>
      <c r="B20" s="10" t="str" cm="1">
        <f t="array" ref="B20">_xlfn.XLOOKUP(Event_Master[[#This Row],[Event_Type]],Event_Catalog[[#All],[Event_Name]],Event_Catalog[[#All],[Event_ID]],,0)</f>
        <v>E019</v>
      </c>
      <c r="C20" s="10" t="s">
        <v>330</v>
      </c>
      <c r="D20" s="10" t="s">
        <v>315</v>
      </c>
      <c r="E20" s="10">
        <v>250</v>
      </c>
      <c r="F20" s="10" t="s">
        <v>407</v>
      </c>
      <c r="G20" s="11">
        <v>45479</v>
      </c>
      <c r="H20" s="10" t="s">
        <v>215</v>
      </c>
      <c r="I20" s="10" cm="1">
        <f t="array" ref="I20">_xlfn.XLOOKUP(Event_Master[[#This Row],[Event_No]],Venue_Orders[[#All],[Event_No]],Venue_Orders[[#All],[Rental_Cost]],0,0)</f>
        <v>150000</v>
      </c>
      <c r="J20" s="10" cm="1">
        <f t="array" ref="J20">_xlfn.XLOOKUP(Event_Master[[#This Row],[Event_No]],Venue_Orders[[#All],[Event_No]],Venue_Orders[[#All],[Client_Charge]],,0)</f>
        <v>175000</v>
      </c>
      <c r="K20" s="10" t="s">
        <v>242</v>
      </c>
      <c r="L20" s="10" cm="1">
        <f t="array" ref="L20">_xlfn.XLOOKUP(Event_Master[[#This Row],[Event_No]],Photography_Orders[[#All],[Event_No]],Photography_Orders[[#All],[Cost]],,0)</f>
        <v>20000</v>
      </c>
      <c r="M20" s="10" cm="1">
        <f t="array" ref="M20">_xlfn.XLOOKUP(Event_Master[[#This Row],[Event_No]],Photography_Orders[[#All],[Event_No]],Photography_Orders[[#All],[Client_Charge]],,0)</f>
        <v>24000</v>
      </c>
      <c r="N20" s="10" t="s">
        <v>167</v>
      </c>
      <c r="O20" s="10" cm="1">
        <f t="array" ref="O20">_xlfn.XLOOKUP(Event_Master[[#This Row],[Event_No]],Entertainment_Orders[[#All],[Event_No]],Entertainment_Orders[[#All],[Cost]],,0)</f>
        <v>0</v>
      </c>
      <c r="P20" s="10" cm="1">
        <f t="array" ref="P20">_xlfn.XLOOKUP(Event_Master[[#This Row],[Event_No]],Entertainment_Orders[[#All],[Event_No]],Entertainment_Orders[[#All],[Client_Charge]],,0)</f>
        <v>0</v>
      </c>
      <c r="Q20" s="10" t="s">
        <v>283</v>
      </c>
      <c r="R20" s="10" cm="1">
        <f t="array" ref="R20">_xlfn.XLOOKUP(Event_Master[[#This Row],[Event_No]],Decor_Orders[[#All],[Event_No]],Decor_Orders[[#All],[Cost]],,0)</f>
        <v>35000</v>
      </c>
      <c r="S20" s="10" cm="1">
        <f t="array" ref="S20">_xlfn.XLOOKUP(Event_Master[[#This Row],[Event_No]],Decor_Orders[[#All],[Event_No]],Decor_Orders[[#All],[Client_Charge]],,0)</f>
        <v>42000</v>
      </c>
      <c r="T20" s="10" t="s">
        <v>405</v>
      </c>
      <c r="U20" s="10">
        <f>SUMIFS(Logistics_Orders[[#All],[Cost]],Logistics_Orders[[#All],[Event_No]],Event_Master[[#This Row],[Event_No]])</f>
        <v>44000</v>
      </c>
      <c r="V20" s="10">
        <f>SUMIFS(Logistics_Orders[[#All],[Client_Charge]],Logistics_Orders[[#All],[Event_No]],Event_Master[[#This Row],[Event_No]])</f>
        <v>52800</v>
      </c>
      <c r="W20" s="10" t="s">
        <v>424</v>
      </c>
      <c r="X20" s="10">
        <f>SUMIFS(Food_Orders[[#All],[Cost]],Food_Orders[[#All],[Event_No]],Event_Master[[#This Row],[Event_No]])</f>
        <v>87500</v>
      </c>
      <c r="Y20" s="10">
        <f>SUMIFS(Food_Orders[[#All],[Client_Price]],Food_Orders[[#All],[Event_No]],Event_Master[[#This Row],[Event_No]])</f>
        <v>105000</v>
      </c>
      <c r="Z20" s="10">
        <f>Event_Master[[#This Row],[Venue_Cost]]+Event_Master[[#This Row],[Photography_Cost]]+Event_Master[[#This Row],[Entertainment_Cost]]+Event_Master[[#This Row],[Decor_Cost]]+Event_Master[[#This Row],[Logistics_Cost]]+Event_Master[[#This Row],[Food_Cost]]</f>
        <v>336500</v>
      </c>
      <c r="AA20" s="10">
        <f>Event_Master[[#This Row],[Venue_Charge]]+Event_Master[[#This Row],[Photography_Charge]]+Event_Master[[#This Row],[Entertainment_Charge]]+Event_Master[[#This Row],[Decor_Charge]]+Event_Master[[#This Row],[Logistics_Charge]]+Event_Master[[#This Row],[Food_Charge]]</f>
        <v>398800</v>
      </c>
      <c r="AB20" s="10">
        <v>12000</v>
      </c>
      <c r="AC20" s="10">
        <f>Event_Master[[#This Row],[Client_Budget]]+Event_Master[[#This Row],[Planner_Remuneration]]</f>
        <v>410800</v>
      </c>
      <c r="AD20" s="10">
        <v>5</v>
      </c>
    </row>
    <row r="21" spans="1:30" x14ac:dyDescent="0.25">
      <c r="A21" s="10">
        <v>20</v>
      </c>
      <c r="B21" s="10" t="str" cm="1">
        <f t="array" ref="B21">_xlfn.XLOOKUP(Event_Master[[#This Row],[Event_Type]],Event_Catalog[[#All],[Event_Name]],Event_Catalog[[#All],[Event_ID]],,0)</f>
        <v>E020</v>
      </c>
      <c r="C21" s="10" t="s">
        <v>332</v>
      </c>
      <c r="D21" s="10" t="s">
        <v>315</v>
      </c>
      <c r="E21" s="10">
        <v>200</v>
      </c>
      <c r="F21" s="10" t="s">
        <v>409</v>
      </c>
      <c r="G21" s="11">
        <v>45521</v>
      </c>
      <c r="H21" s="10" t="s">
        <v>215</v>
      </c>
      <c r="I21" s="10" cm="1">
        <f t="array" ref="I21">_xlfn.XLOOKUP(Event_Master[[#This Row],[Event_No]],Venue_Orders[[#All],[Event_No]],Venue_Orders[[#All],[Rental_Cost]],0,0)</f>
        <v>150000</v>
      </c>
      <c r="J21" s="10" cm="1">
        <f t="array" ref="J21">_xlfn.XLOOKUP(Event_Master[[#This Row],[Event_No]],Venue_Orders[[#All],[Event_No]],Venue_Orders[[#All],[Client_Charge]],,0)</f>
        <v>175000</v>
      </c>
      <c r="K21" s="10" t="s">
        <v>242</v>
      </c>
      <c r="L21" s="10" cm="1">
        <f t="array" ref="L21">_xlfn.XLOOKUP(Event_Master[[#This Row],[Event_No]],Photography_Orders[[#All],[Event_No]],Photography_Orders[[#All],[Cost]],,0)</f>
        <v>20000</v>
      </c>
      <c r="M21" s="10" cm="1">
        <f t="array" ref="M21">_xlfn.XLOOKUP(Event_Master[[#This Row],[Event_No]],Photography_Orders[[#All],[Event_No]],Photography_Orders[[#All],[Client_Charge]],,0)</f>
        <v>24000</v>
      </c>
      <c r="N21" s="10" t="s">
        <v>167</v>
      </c>
      <c r="O21" s="10" cm="1">
        <f t="array" ref="O21">_xlfn.XLOOKUP(Event_Master[[#This Row],[Event_No]],Entertainment_Orders[[#All],[Event_No]],Entertainment_Orders[[#All],[Cost]],,0)</f>
        <v>0</v>
      </c>
      <c r="P21" s="10" cm="1">
        <f t="array" ref="P21">_xlfn.XLOOKUP(Event_Master[[#This Row],[Event_No]],Entertainment_Orders[[#All],[Event_No]],Entertainment_Orders[[#All],[Client_Charge]],,0)</f>
        <v>0</v>
      </c>
      <c r="Q21" s="10" t="s">
        <v>283</v>
      </c>
      <c r="R21" s="10" cm="1">
        <f t="array" ref="R21">_xlfn.XLOOKUP(Event_Master[[#This Row],[Event_No]],Decor_Orders[[#All],[Event_No]],Decor_Orders[[#All],[Cost]],,0)</f>
        <v>35000</v>
      </c>
      <c r="S21" s="10" cm="1">
        <f t="array" ref="S21">_xlfn.XLOOKUP(Event_Master[[#This Row],[Event_No]],Decor_Orders[[#All],[Event_No]],Decor_Orders[[#All],[Client_Charge]],,0)</f>
        <v>42000</v>
      </c>
      <c r="T21" s="10" t="s">
        <v>405</v>
      </c>
      <c r="U21" s="10">
        <f>SUMIFS(Logistics_Orders[[#All],[Cost]],Logistics_Orders[[#All],[Event_No]],Event_Master[[#This Row],[Event_No]])</f>
        <v>44000</v>
      </c>
      <c r="V21" s="10">
        <f>SUMIFS(Logistics_Orders[[#All],[Client_Charge]],Logistics_Orders[[#All],[Event_No]],Event_Master[[#This Row],[Event_No]])</f>
        <v>52800</v>
      </c>
      <c r="W21" s="10" t="s">
        <v>425</v>
      </c>
      <c r="X21" s="10">
        <f>SUMIFS(Food_Orders[[#All],[Cost]],Food_Orders[[#All],[Event_No]],Event_Master[[#This Row],[Event_No]])</f>
        <v>70000</v>
      </c>
      <c r="Y21" s="10">
        <f>SUMIFS(Food_Orders[[#All],[Client_Price]],Food_Orders[[#All],[Event_No]],Event_Master[[#This Row],[Event_No]])</f>
        <v>84000</v>
      </c>
      <c r="Z21" s="10">
        <f>Event_Master[[#This Row],[Venue_Cost]]+Event_Master[[#This Row],[Photography_Cost]]+Event_Master[[#This Row],[Entertainment_Cost]]+Event_Master[[#This Row],[Decor_Cost]]+Event_Master[[#This Row],[Logistics_Cost]]+Event_Master[[#This Row],[Food_Cost]]</f>
        <v>319000</v>
      </c>
      <c r="AA21" s="10">
        <f>Event_Master[[#This Row],[Venue_Charge]]+Event_Master[[#This Row],[Photography_Charge]]+Event_Master[[#This Row],[Entertainment_Charge]]+Event_Master[[#This Row],[Decor_Charge]]+Event_Master[[#This Row],[Logistics_Charge]]+Event_Master[[#This Row],[Food_Charge]]</f>
        <v>377800</v>
      </c>
      <c r="AB21" s="10">
        <v>5000</v>
      </c>
      <c r="AC21" s="10">
        <f>Event_Master[[#This Row],[Client_Budget]]+Event_Master[[#This Row],[Planner_Remuneration]]</f>
        <v>382800</v>
      </c>
      <c r="AD21" s="10">
        <v>4</v>
      </c>
    </row>
    <row r="22" spans="1:30" x14ac:dyDescent="0.25">
      <c r="A22" s="10">
        <v>21</v>
      </c>
      <c r="B22" s="10" t="str" cm="1">
        <f t="array" ref="B22">_xlfn.XLOOKUP(Event_Master[[#This Row],[Event_Type]],Event_Catalog[[#All],[Event_Name]],Event_Catalog[[#All],[Event_ID]],,0)</f>
        <v>E021</v>
      </c>
      <c r="C22" s="10" t="s">
        <v>334</v>
      </c>
      <c r="D22" s="10" t="s">
        <v>315</v>
      </c>
      <c r="E22" s="10">
        <v>550</v>
      </c>
      <c r="F22" s="10" t="s">
        <v>404</v>
      </c>
      <c r="G22" s="11">
        <v>45549</v>
      </c>
      <c r="H22" s="10" t="s">
        <v>215</v>
      </c>
      <c r="I22" s="10" cm="1">
        <f t="array" ref="I22">_xlfn.XLOOKUP(Event_Master[[#This Row],[Event_No]],Venue_Orders[[#All],[Event_No]],Venue_Orders[[#All],[Rental_Cost]],0,0)</f>
        <v>150000</v>
      </c>
      <c r="J22" s="10" cm="1">
        <f t="array" ref="J22">_xlfn.XLOOKUP(Event_Master[[#This Row],[Event_No]],Venue_Orders[[#All],[Event_No]],Venue_Orders[[#All],[Client_Charge]],,0)</f>
        <v>175000</v>
      </c>
      <c r="K22" s="10" t="s">
        <v>237</v>
      </c>
      <c r="L22" s="10" cm="1">
        <f t="array" ref="L22">_xlfn.XLOOKUP(Event_Master[[#This Row],[Event_No]],Photography_Orders[[#All],[Event_No]],Photography_Orders[[#All],[Cost]],,0)</f>
        <v>45000</v>
      </c>
      <c r="M22" s="10" cm="1">
        <f t="array" ref="M22">_xlfn.XLOOKUP(Event_Master[[#This Row],[Event_No]],Photography_Orders[[#All],[Event_No]],Photography_Orders[[#All],[Client_Charge]],,0)</f>
        <v>53000</v>
      </c>
      <c r="N22" s="10" t="s">
        <v>153</v>
      </c>
      <c r="O22" s="10" cm="1">
        <f t="array" ref="O22">_xlfn.XLOOKUP(Event_Master[[#This Row],[Event_No]],Entertainment_Orders[[#All],[Event_No]],Entertainment_Orders[[#All],[Cost]],,0)</f>
        <v>15000</v>
      </c>
      <c r="P22" s="10" cm="1">
        <f t="array" ref="P22">_xlfn.XLOOKUP(Event_Master[[#This Row],[Event_No]],Entertainment_Orders[[#All],[Event_No]],Entertainment_Orders[[#All],[Client_Charge]],,0)</f>
        <v>18000</v>
      </c>
      <c r="Q22" s="10" t="s">
        <v>283</v>
      </c>
      <c r="R22" s="10" cm="1">
        <f t="array" ref="R22">_xlfn.XLOOKUP(Event_Master[[#This Row],[Event_No]],Decor_Orders[[#All],[Event_No]],Decor_Orders[[#All],[Cost]],,0)</f>
        <v>35000</v>
      </c>
      <c r="S22" s="10" cm="1">
        <f t="array" ref="S22">_xlfn.XLOOKUP(Event_Master[[#This Row],[Event_No]],Decor_Orders[[#All],[Event_No]],Decor_Orders[[#All],[Client_Charge]],,0)</f>
        <v>42000</v>
      </c>
      <c r="T22" s="10" t="s">
        <v>405</v>
      </c>
      <c r="U22" s="10">
        <f>SUMIFS(Logistics_Orders[[#All],[Cost]],Logistics_Orders[[#All],[Event_No]],Event_Master[[#This Row],[Event_No]])</f>
        <v>59000</v>
      </c>
      <c r="V22" s="10">
        <f>SUMIFS(Logistics_Orders[[#All],[Client_Charge]],Logistics_Orders[[#All],[Event_No]],Event_Master[[#This Row],[Event_No]])</f>
        <v>70800</v>
      </c>
      <c r="W22" s="10" t="s">
        <v>420</v>
      </c>
      <c r="X22" s="10">
        <f>SUMIFS(Food_Orders[[#All],[Cost]],Food_Orders[[#All],[Event_No]],Event_Master[[#This Row],[Event_No]])</f>
        <v>533500</v>
      </c>
      <c r="Y22" s="10">
        <f>SUMIFS(Food_Orders[[#All],[Client_Price]],Food_Orders[[#All],[Event_No]],Event_Master[[#This Row],[Event_No]])</f>
        <v>640200</v>
      </c>
      <c r="Z22" s="10">
        <f>Event_Master[[#This Row],[Venue_Cost]]+Event_Master[[#This Row],[Photography_Cost]]+Event_Master[[#This Row],[Entertainment_Cost]]+Event_Master[[#This Row],[Decor_Cost]]+Event_Master[[#This Row],[Logistics_Cost]]+Event_Master[[#This Row],[Food_Cost]]</f>
        <v>837500</v>
      </c>
      <c r="AA22" s="10">
        <f>Event_Master[[#This Row],[Venue_Charge]]+Event_Master[[#This Row],[Photography_Charge]]+Event_Master[[#This Row],[Entertainment_Charge]]+Event_Master[[#This Row],[Decor_Charge]]+Event_Master[[#This Row],[Logistics_Charge]]+Event_Master[[#This Row],[Food_Charge]]</f>
        <v>999000</v>
      </c>
      <c r="AB22" s="10">
        <v>30000</v>
      </c>
      <c r="AC22" s="10">
        <f>Event_Master[[#This Row],[Client_Budget]]+Event_Master[[#This Row],[Planner_Remuneration]]</f>
        <v>1029000</v>
      </c>
      <c r="AD22" s="10">
        <v>5</v>
      </c>
    </row>
    <row r="23" spans="1:30" x14ac:dyDescent="0.25">
      <c r="A23" s="10">
        <v>22</v>
      </c>
      <c r="B23" s="10" t="str" cm="1">
        <f t="array" ref="B23">_xlfn.XLOOKUP(Event_Master[[#This Row],[Event_Type]],Event_Catalog[[#All],[Event_Name]],Event_Catalog[[#All],[Event_ID]],,0)</f>
        <v>E022</v>
      </c>
      <c r="C23" s="10" t="s">
        <v>336</v>
      </c>
      <c r="D23" s="10" t="s">
        <v>315</v>
      </c>
      <c r="E23" s="10">
        <v>350</v>
      </c>
      <c r="F23" s="10" t="s">
        <v>407</v>
      </c>
      <c r="G23" s="11">
        <v>45570</v>
      </c>
      <c r="H23" s="10" t="s">
        <v>218</v>
      </c>
      <c r="I23" s="10" cm="1">
        <f t="array" ref="I23">_xlfn.XLOOKUP(Event_Master[[#This Row],[Event_No]],Venue_Orders[[#All],[Event_No]],Venue_Orders[[#All],[Rental_Cost]],0,0)</f>
        <v>40000</v>
      </c>
      <c r="J23" s="10" cm="1">
        <f t="array" ref="J23">_xlfn.XLOOKUP(Event_Master[[#This Row],[Event_No]],Venue_Orders[[#All],[Event_No]],Venue_Orders[[#All],[Client_Charge]],,0)</f>
        <v>48000</v>
      </c>
      <c r="K23" s="10" t="s">
        <v>247</v>
      </c>
      <c r="L23" s="10" cm="1">
        <f t="array" ref="L23">_xlfn.XLOOKUP(Event_Master[[#This Row],[Event_No]],Photography_Orders[[#All],[Event_No]],Photography_Orders[[#All],[Cost]],,0)</f>
        <v>10000</v>
      </c>
      <c r="M23" s="10" cm="1">
        <f t="array" ref="M23">_xlfn.XLOOKUP(Event_Master[[#This Row],[Event_No]],Photography_Orders[[#All],[Event_No]],Photography_Orders[[#All],[Client_Charge]],,0)</f>
        <v>12000</v>
      </c>
      <c r="N23" s="10" t="s">
        <v>169</v>
      </c>
      <c r="O23" s="10" cm="1">
        <f t="array" ref="O23">_xlfn.XLOOKUP(Event_Master[[#This Row],[Event_No]],Entertainment_Orders[[#All],[Event_No]],Entertainment_Orders[[#All],[Cost]],,0)</f>
        <v>0</v>
      </c>
      <c r="P23" s="10" cm="1">
        <f t="array" ref="P23">_xlfn.XLOOKUP(Event_Master[[#This Row],[Event_No]],Entertainment_Orders[[#All],[Event_No]],Entertainment_Orders[[#All],[Client_Charge]],,0)</f>
        <v>0</v>
      </c>
      <c r="Q23" s="10" t="s">
        <v>266</v>
      </c>
      <c r="R23" s="10" cm="1">
        <f t="array" ref="R23">_xlfn.XLOOKUP(Event_Master[[#This Row],[Event_No]],Decor_Orders[[#All],[Event_No]],Decor_Orders[[#All],[Cost]],,0)</f>
        <v>30000</v>
      </c>
      <c r="S23" s="10" cm="1">
        <f t="array" ref="S23">_xlfn.XLOOKUP(Event_Master[[#This Row],[Event_No]],Decor_Orders[[#All],[Event_No]],Decor_Orders[[#All],[Client_Charge]],,0)</f>
        <v>36000</v>
      </c>
      <c r="T23" s="10" t="s">
        <v>405</v>
      </c>
      <c r="U23" s="10">
        <f>SUMIFS(Logistics_Orders[[#All],[Cost]],Logistics_Orders[[#All],[Event_No]],Event_Master[[#This Row],[Event_No]])</f>
        <v>59000</v>
      </c>
      <c r="V23" s="10">
        <f>SUMIFS(Logistics_Orders[[#All],[Client_Charge]],Logistics_Orders[[#All],[Event_No]],Event_Master[[#This Row],[Event_No]])</f>
        <v>70800</v>
      </c>
      <c r="W23" s="10" t="s">
        <v>422</v>
      </c>
      <c r="X23" s="10">
        <f>SUMIFS(Food_Orders[[#All],[Cost]],Food_Orders[[#All],[Event_No]],Event_Master[[#This Row],[Event_No]])</f>
        <v>87500</v>
      </c>
      <c r="Y23" s="10">
        <f>SUMIFS(Food_Orders[[#All],[Client_Price]],Food_Orders[[#All],[Event_No]],Event_Master[[#This Row],[Event_No]])</f>
        <v>105000</v>
      </c>
      <c r="Z23" s="10">
        <f>Event_Master[[#This Row],[Venue_Cost]]+Event_Master[[#This Row],[Photography_Cost]]+Event_Master[[#This Row],[Entertainment_Cost]]+Event_Master[[#This Row],[Decor_Cost]]+Event_Master[[#This Row],[Logistics_Cost]]+Event_Master[[#This Row],[Food_Cost]]</f>
        <v>226500</v>
      </c>
      <c r="AA23" s="10">
        <f>Event_Master[[#This Row],[Venue_Charge]]+Event_Master[[#This Row],[Photography_Charge]]+Event_Master[[#This Row],[Entertainment_Charge]]+Event_Master[[#This Row],[Decor_Charge]]+Event_Master[[#This Row],[Logistics_Charge]]+Event_Master[[#This Row],[Food_Charge]]</f>
        <v>271800</v>
      </c>
      <c r="AB23" s="10">
        <v>12000</v>
      </c>
      <c r="AC23" s="10">
        <f>Event_Master[[#This Row],[Client_Budget]]+Event_Master[[#This Row],[Planner_Remuneration]]</f>
        <v>283800</v>
      </c>
      <c r="AD23" s="10">
        <v>3</v>
      </c>
    </row>
    <row r="24" spans="1:30" x14ac:dyDescent="0.25">
      <c r="A24" s="10">
        <v>23</v>
      </c>
      <c r="B24" s="10" t="str" cm="1">
        <f t="array" ref="B24">_xlfn.XLOOKUP(Event_Master[[#This Row],[Event_Type]],Event_Catalog[[#All],[Event_Name]],Event_Catalog[[#All],[Event_ID]],,0)</f>
        <v>E023</v>
      </c>
      <c r="C24" s="10" t="s">
        <v>339</v>
      </c>
      <c r="D24" s="10" t="s">
        <v>338</v>
      </c>
      <c r="E24" s="10">
        <v>900</v>
      </c>
      <c r="F24" s="10" t="s">
        <v>404</v>
      </c>
      <c r="G24" s="11">
        <v>45576</v>
      </c>
      <c r="H24" s="10" t="s">
        <v>221</v>
      </c>
      <c r="I24" s="10" cm="1">
        <f t="array" ref="I24">_xlfn.XLOOKUP(Event_Master[[#This Row],[Event_No]],Venue_Orders[[#All],[Event_No]],Venue_Orders[[#All],[Rental_Cost]],0,0)</f>
        <v>200000</v>
      </c>
      <c r="J24" s="10" cm="1">
        <f t="array" ref="J24">_xlfn.XLOOKUP(Event_Master[[#This Row],[Event_No]],Venue_Orders[[#All],[Event_No]],Venue_Orders[[#All],[Client_Charge]],,0)</f>
        <v>230000</v>
      </c>
      <c r="K24" s="10" t="s">
        <v>237</v>
      </c>
      <c r="L24" s="10" cm="1">
        <f t="array" ref="L24">_xlfn.XLOOKUP(Event_Master[[#This Row],[Event_No]],Photography_Orders[[#All],[Event_No]],Photography_Orders[[#All],[Cost]],,0)</f>
        <v>45000</v>
      </c>
      <c r="M24" s="10" cm="1">
        <f t="array" ref="M24">_xlfn.XLOOKUP(Event_Master[[#This Row],[Event_No]],Photography_Orders[[#All],[Event_No]],Photography_Orders[[#All],[Client_Charge]],,0)</f>
        <v>53000</v>
      </c>
      <c r="N24" s="10" t="s">
        <v>143</v>
      </c>
      <c r="O24" s="10" cm="1">
        <f t="array" ref="O24">_xlfn.XLOOKUP(Event_Master[[#This Row],[Event_No]],Entertainment_Orders[[#All],[Event_No]],Entertainment_Orders[[#All],[Cost]],,0)</f>
        <v>8000</v>
      </c>
      <c r="P24" s="10" cm="1">
        <f t="array" ref="P24">_xlfn.XLOOKUP(Event_Master[[#This Row],[Event_No]],Entertainment_Orders[[#All],[Event_No]],Entertainment_Orders[[#All],[Client_Charge]],,0)</f>
        <v>9500</v>
      </c>
      <c r="Q24" s="10" t="s">
        <v>266</v>
      </c>
      <c r="R24" s="10" cm="1">
        <f t="array" ref="R24">_xlfn.XLOOKUP(Event_Master[[#This Row],[Event_No]],Decor_Orders[[#All],[Event_No]],Decor_Orders[[#All],[Cost]],,0)</f>
        <v>30000</v>
      </c>
      <c r="S24" s="10" cm="1">
        <f t="array" ref="S24">_xlfn.XLOOKUP(Event_Master[[#This Row],[Event_No]],Decor_Orders[[#All],[Event_No]],Decor_Orders[[#All],[Client_Charge]],,0)</f>
        <v>36000</v>
      </c>
      <c r="T24" s="10" t="s">
        <v>405</v>
      </c>
      <c r="U24" s="10">
        <f>SUMIFS(Logistics_Orders[[#All],[Cost]],Logistics_Orders[[#All],[Event_No]],Event_Master[[#This Row],[Event_No]])</f>
        <v>74000</v>
      </c>
      <c r="V24" s="10">
        <f>SUMIFS(Logistics_Orders[[#All],[Client_Charge]],Logistics_Orders[[#All],[Event_No]],Event_Master[[#This Row],[Event_No]])</f>
        <v>88800</v>
      </c>
      <c r="W24" s="10" t="s">
        <v>419</v>
      </c>
      <c r="X24" s="10">
        <f>SUMIFS(Food_Orders[[#All],[Cost]],Food_Orders[[#All],[Event_No]],Event_Master[[#This Row],[Event_No]])</f>
        <v>301500</v>
      </c>
      <c r="Y24" s="10">
        <f>SUMIFS(Food_Orders[[#All],[Client_Price]],Food_Orders[[#All],[Event_No]],Event_Master[[#This Row],[Event_No]])</f>
        <v>361800</v>
      </c>
      <c r="Z24" s="10">
        <f>Event_Master[[#This Row],[Venue_Cost]]+Event_Master[[#This Row],[Photography_Cost]]+Event_Master[[#This Row],[Entertainment_Cost]]+Event_Master[[#This Row],[Decor_Cost]]+Event_Master[[#This Row],[Logistics_Cost]]+Event_Master[[#This Row],[Food_Cost]]</f>
        <v>658500</v>
      </c>
      <c r="AA24" s="10">
        <f>Event_Master[[#This Row],[Venue_Charge]]+Event_Master[[#This Row],[Photography_Charge]]+Event_Master[[#This Row],[Entertainment_Charge]]+Event_Master[[#This Row],[Decor_Charge]]+Event_Master[[#This Row],[Logistics_Charge]]+Event_Master[[#This Row],[Food_Charge]]</f>
        <v>779100</v>
      </c>
      <c r="AB24" s="10">
        <v>30000</v>
      </c>
      <c r="AC24" s="10">
        <f>Event_Master[[#This Row],[Client_Budget]]+Event_Master[[#This Row],[Planner_Remuneration]]</f>
        <v>809100</v>
      </c>
      <c r="AD24" s="10">
        <v>4</v>
      </c>
    </row>
    <row r="25" spans="1:30" x14ac:dyDescent="0.25">
      <c r="A25" s="10">
        <v>24</v>
      </c>
      <c r="B25" s="10" t="str" cm="1">
        <f t="array" ref="B25">_xlfn.XLOOKUP(Event_Master[[#This Row],[Event_Type]],Event_Catalog[[#All],[Event_Name]],Event_Catalog[[#All],[Event_ID]],,0)</f>
        <v>E025</v>
      </c>
      <c r="C25" s="10" t="s">
        <v>343</v>
      </c>
      <c r="D25" s="10" t="s">
        <v>338</v>
      </c>
      <c r="E25" s="10">
        <v>1500</v>
      </c>
      <c r="F25" s="10" t="s">
        <v>404</v>
      </c>
      <c r="G25" s="11">
        <v>45553</v>
      </c>
      <c r="H25" s="10" t="s">
        <v>221</v>
      </c>
      <c r="I25" s="10" cm="1">
        <f t="array" ref="I25">_xlfn.XLOOKUP(Event_Master[[#This Row],[Event_No]],Venue_Orders[[#All],[Event_No]],Venue_Orders[[#All],[Rental_Cost]],0,0)</f>
        <v>200000</v>
      </c>
      <c r="J25" s="10" cm="1">
        <f t="array" ref="J25">_xlfn.XLOOKUP(Event_Master[[#This Row],[Event_No]],Venue_Orders[[#All],[Event_No]],Venue_Orders[[#All],[Client_Charge]],,0)</f>
        <v>230000</v>
      </c>
      <c r="K25" s="10" t="s">
        <v>237</v>
      </c>
      <c r="L25" s="10" cm="1">
        <f t="array" ref="L25">_xlfn.XLOOKUP(Event_Master[[#This Row],[Event_No]],Photography_Orders[[#All],[Event_No]],Photography_Orders[[#All],[Cost]],,0)</f>
        <v>45000</v>
      </c>
      <c r="M25" s="10" cm="1">
        <f t="array" ref="M25">_xlfn.XLOOKUP(Event_Master[[#This Row],[Event_No]],Photography_Orders[[#All],[Event_No]],Photography_Orders[[#All],[Client_Charge]],,0)</f>
        <v>53000</v>
      </c>
      <c r="N25" s="10" t="s">
        <v>153</v>
      </c>
      <c r="O25" s="10" cm="1">
        <f t="array" ref="O25">_xlfn.XLOOKUP(Event_Master[[#This Row],[Event_No]],Entertainment_Orders[[#All],[Event_No]],Entertainment_Orders[[#All],[Cost]],,0)</f>
        <v>15000</v>
      </c>
      <c r="P25" s="10" cm="1">
        <f t="array" ref="P25">_xlfn.XLOOKUP(Event_Master[[#This Row],[Event_No]],Entertainment_Orders[[#All],[Event_No]],Entertainment_Orders[[#All],[Client_Charge]],,0)</f>
        <v>18000</v>
      </c>
      <c r="Q25" s="10" t="s">
        <v>266</v>
      </c>
      <c r="R25" s="10" cm="1">
        <f t="array" ref="R25">_xlfn.XLOOKUP(Event_Master[[#This Row],[Event_No]],Decor_Orders[[#All],[Event_No]],Decor_Orders[[#All],[Cost]],,0)</f>
        <v>30000</v>
      </c>
      <c r="S25" s="10" cm="1">
        <f t="array" ref="S25">_xlfn.XLOOKUP(Event_Master[[#This Row],[Event_No]],Decor_Orders[[#All],[Event_No]],Decor_Orders[[#All],[Client_Charge]],,0)</f>
        <v>36000</v>
      </c>
      <c r="T25" s="10" t="s">
        <v>405</v>
      </c>
      <c r="U25" s="10">
        <f>SUMIFS(Logistics_Orders[[#All],[Cost]],Logistics_Orders[[#All],[Event_No]],Event_Master[[#This Row],[Event_No]])</f>
        <v>104000</v>
      </c>
      <c r="V25" s="10">
        <f>SUMIFS(Logistics_Orders[[#All],[Client_Charge]],Logistics_Orders[[#All],[Event_No]],Event_Master[[#This Row],[Event_No]])</f>
        <v>124800</v>
      </c>
      <c r="W25" s="10" t="s">
        <v>426</v>
      </c>
      <c r="X25" s="10">
        <f>SUMIFS(Food_Orders[[#All],[Cost]],Food_Orders[[#All],[Event_No]],Event_Master[[#This Row],[Event_No]])</f>
        <v>1132500</v>
      </c>
      <c r="Y25" s="10">
        <f>SUMIFS(Food_Orders[[#All],[Client_Price]],Food_Orders[[#All],[Event_No]],Event_Master[[#This Row],[Event_No]])</f>
        <v>1359000</v>
      </c>
      <c r="Z25" s="10">
        <f>Event_Master[[#This Row],[Venue_Cost]]+Event_Master[[#This Row],[Photography_Cost]]+Event_Master[[#This Row],[Entertainment_Cost]]+Event_Master[[#This Row],[Decor_Cost]]+Event_Master[[#This Row],[Logistics_Cost]]+Event_Master[[#This Row],[Food_Cost]]</f>
        <v>1526500</v>
      </c>
      <c r="AA25" s="10">
        <f>Event_Master[[#This Row],[Venue_Charge]]+Event_Master[[#This Row],[Photography_Charge]]+Event_Master[[#This Row],[Entertainment_Charge]]+Event_Master[[#This Row],[Decor_Charge]]+Event_Master[[#This Row],[Logistics_Charge]]+Event_Master[[#This Row],[Food_Charge]]</f>
        <v>1820800</v>
      </c>
      <c r="AB25" s="10">
        <v>30000</v>
      </c>
      <c r="AC25" s="10">
        <f>Event_Master[[#This Row],[Client_Budget]]+Event_Master[[#This Row],[Planner_Remuneration]]</f>
        <v>1850800</v>
      </c>
      <c r="AD25" s="10">
        <v>5</v>
      </c>
    </row>
    <row r="26" spans="1:30" x14ac:dyDescent="0.25">
      <c r="A26" s="10">
        <v>25</v>
      </c>
      <c r="B26" s="10" t="str" cm="1">
        <f t="array" ref="B26">_xlfn.XLOOKUP(Event_Master[[#This Row],[Event_Type]],Event_Catalog[[#All],[Event_Name]],Event_Catalog[[#All],[Event_ID]],,0)</f>
        <v>E026</v>
      </c>
      <c r="C26" s="10" t="s">
        <v>345</v>
      </c>
      <c r="D26" s="10" t="s">
        <v>338</v>
      </c>
      <c r="E26" s="10">
        <v>1000</v>
      </c>
      <c r="F26" s="10" t="s">
        <v>404</v>
      </c>
      <c r="G26" s="11">
        <v>45568</v>
      </c>
      <c r="H26" s="10" t="s">
        <v>221</v>
      </c>
      <c r="I26" s="10" cm="1">
        <f t="array" ref="I26">_xlfn.XLOOKUP(Event_Master[[#This Row],[Event_No]],Venue_Orders[[#All],[Event_No]],Venue_Orders[[#All],[Rental_Cost]],0,0)</f>
        <v>200000</v>
      </c>
      <c r="J26" s="10" cm="1">
        <f t="array" ref="J26">_xlfn.XLOOKUP(Event_Master[[#This Row],[Event_No]],Venue_Orders[[#All],[Event_No]],Venue_Orders[[#All],[Client_Charge]],,0)</f>
        <v>230000</v>
      </c>
      <c r="K26" s="10" t="s">
        <v>237</v>
      </c>
      <c r="L26" s="10" cm="1">
        <f t="array" ref="L26">_xlfn.XLOOKUP(Event_Master[[#This Row],[Event_No]],Photography_Orders[[#All],[Event_No]],Photography_Orders[[#All],[Cost]],,0)</f>
        <v>45000</v>
      </c>
      <c r="M26" s="10" cm="1">
        <f t="array" ref="M26">_xlfn.XLOOKUP(Event_Master[[#This Row],[Event_No]],Photography_Orders[[#All],[Event_No]],Photography_Orders[[#All],[Client_Charge]],,0)</f>
        <v>53000</v>
      </c>
      <c r="N26" s="10" t="s">
        <v>153</v>
      </c>
      <c r="O26" s="10" cm="1">
        <f t="array" ref="O26">_xlfn.XLOOKUP(Event_Master[[#This Row],[Event_No]],Entertainment_Orders[[#All],[Event_No]],Entertainment_Orders[[#All],[Cost]],,0)</f>
        <v>15000</v>
      </c>
      <c r="P26" s="10" cm="1">
        <f t="array" ref="P26">_xlfn.XLOOKUP(Event_Master[[#This Row],[Event_No]],Entertainment_Orders[[#All],[Event_No]],Entertainment_Orders[[#All],[Client_Charge]],,0)</f>
        <v>18000</v>
      </c>
      <c r="Q26" s="10" t="s">
        <v>266</v>
      </c>
      <c r="R26" s="10" cm="1">
        <f t="array" ref="R26">_xlfn.XLOOKUP(Event_Master[[#This Row],[Event_No]],Decor_Orders[[#All],[Event_No]],Decor_Orders[[#All],[Cost]],,0)</f>
        <v>30000</v>
      </c>
      <c r="S26" s="10" cm="1">
        <f t="array" ref="S26">_xlfn.XLOOKUP(Event_Master[[#This Row],[Event_No]],Decor_Orders[[#All],[Event_No]],Decor_Orders[[#All],[Client_Charge]],,0)</f>
        <v>36000</v>
      </c>
      <c r="T26" s="10" t="s">
        <v>405</v>
      </c>
      <c r="U26" s="10">
        <f>SUMIFS(Logistics_Orders[[#All],[Cost]],Logistics_Orders[[#All],[Event_No]],Event_Master[[#This Row],[Event_No]])</f>
        <v>89000</v>
      </c>
      <c r="V26" s="10">
        <f>SUMIFS(Logistics_Orders[[#All],[Client_Charge]],Logistics_Orders[[#All],[Event_No]],Event_Master[[#This Row],[Event_No]])</f>
        <v>106800</v>
      </c>
      <c r="W26" s="10" t="s">
        <v>427</v>
      </c>
      <c r="X26" s="10">
        <f>SUMIFS(Food_Orders[[#All],[Cost]],Food_Orders[[#All],[Event_No]],Event_Master[[#This Row],[Event_No]])</f>
        <v>385000</v>
      </c>
      <c r="Y26" s="10">
        <f>SUMIFS(Food_Orders[[#All],[Client_Price]],Food_Orders[[#All],[Event_No]],Event_Master[[#This Row],[Event_No]])</f>
        <v>462000</v>
      </c>
      <c r="Z26" s="10">
        <f>Event_Master[[#This Row],[Venue_Cost]]+Event_Master[[#This Row],[Photography_Cost]]+Event_Master[[#This Row],[Entertainment_Cost]]+Event_Master[[#This Row],[Decor_Cost]]+Event_Master[[#This Row],[Logistics_Cost]]+Event_Master[[#This Row],[Food_Cost]]</f>
        <v>764000</v>
      </c>
      <c r="AA26" s="10">
        <f>Event_Master[[#This Row],[Venue_Charge]]+Event_Master[[#This Row],[Photography_Charge]]+Event_Master[[#This Row],[Entertainment_Charge]]+Event_Master[[#This Row],[Decor_Charge]]+Event_Master[[#This Row],[Logistics_Charge]]+Event_Master[[#This Row],[Food_Charge]]</f>
        <v>905800</v>
      </c>
      <c r="AB26" s="10">
        <v>30000</v>
      </c>
      <c r="AC26" s="10">
        <f>Event_Master[[#This Row],[Client_Budget]]+Event_Master[[#This Row],[Planner_Remuneration]]</f>
        <v>935800</v>
      </c>
      <c r="AD26" s="10">
        <v>3</v>
      </c>
    </row>
    <row r="27" spans="1:30" x14ac:dyDescent="0.25">
      <c r="A27" s="10">
        <v>26</v>
      </c>
      <c r="B27" s="10" t="str" cm="1">
        <f t="array" ref="B27">_xlfn.XLOOKUP(Event_Master[[#This Row],[Event_Type]],Event_Catalog[[#All],[Event_Name]],Event_Catalog[[#All],[Event_ID]],,0)</f>
        <v>E027</v>
      </c>
      <c r="C27" s="10" t="s">
        <v>347</v>
      </c>
      <c r="D27" s="10" t="s">
        <v>338</v>
      </c>
      <c r="E27" s="10">
        <v>1200</v>
      </c>
      <c r="F27" s="10" t="s">
        <v>404</v>
      </c>
      <c r="G27" s="11">
        <v>45242</v>
      </c>
      <c r="H27" s="10" t="s">
        <v>221</v>
      </c>
      <c r="I27" s="10" cm="1">
        <f t="array" ref="I27">_xlfn.XLOOKUP(Event_Master[[#This Row],[Event_No]],Venue_Orders[[#All],[Event_No]],Venue_Orders[[#All],[Rental_Cost]],0,0)</f>
        <v>200000</v>
      </c>
      <c r="J27" s="10" cm="1">
        <f t="array" ref="J27">_xlfn.XLOOKUP(Event_Master[[#This Row],[Event_No]],Venue_Orders[[#All],[Event_No]],Venue_Orders[[#All],[Client_Charge]],,0)</f>
        <v>230000</v>
      </c>
      <c r="K27" s="10" t="s">
        <v>237</v>
      </c>
      <c r="L27" s="10" cm="1">
        <f t="array" ref="L27">_xlfn.XLOOKUP(Event_Master[[#This Row],[Event_No]],Photography_Orders[[#All],[Event_No]],Photography_Orders[[#All],[Cost]],,0)</f>
        <v>45000</v>
      </c>
      <c r="M27" s="10" cm="1">
        <f t="array" ref="M27">_xlfn.XLOOKUP(Event_Master[[#This Row],[Event_No]],Photography_Orders[[#All],[Event_No]],Photography_Orders[[#All],[Client_Charge]],,0)</f>
        <v>53000</v>
      </c>
      <c r="N27" s="10" t="s">
        <v>143</v>
      </c>
      <c r="O27" s="10" cm="1">
        <f t="array" ref="O27">_xlfn.XLOOKUP(Event_Master[[#This Row],[Event_No]],Entertainment_Orders[[#All],[Event_No]],Entertainment_Orders[[#All],[Cost]],,0)</f>
        <v>8000</v>
      </c>
      <c r="P27" s="10" cm="1">
        <f t="array" ref="P27">_xlfn.XLOOKUP(Event_Master[[#This Row],[Event_No]],Entertainment_Orders[[#All],[Event_No]],Entertainment_Orders[[#All],[Client_Charge]],,0)</f>
        <v>9500</v>
      </c>
      <c r="Q27" s="10" t="s">
        <v>266</v>
      </c>
      <c r="R27" s="10" cm="1">
        <f t="array" ref="R27">_xlfn.XLOOKUP(Event_Master[[#This Row],[Event_No]],Decor_Orders[[#All],[Event_No]],Decor_Orders[[#All],[Cost]],,0)</f>
        <v>30000</v>
      </c>
      <c r="S27" s="10" cm="1">
        <f t="array" ref="S27">_xlfn.XLOOKUP(Event_Master[[#This Row],[Event_No]],Decor_Orders[[#All],[Event_No]],Decor_Orders[[#All],[Client_Charge]],,0)</f>
        <v>36000</v>
      </c>
      <c r="T27" s="10" t="s">
        <v>405</v>
      </c>
      <c r="U27" s="10">
        <f>SUMIFS(Logistics_Orders[[#All],[Cost]],Logistics_Orders[[#All],[Event_No]],Event_Master[[#This Row],[Event_No]])</f>
        <v>89000</v>
      </c>
      <c r="V27" s="10">
        <f>SUMIFS(Logistics_Orders[[#All],[Client_Charge]],Logistics_Orders[[#All],[Event_No]],Event_Master[[#This Row],[Event_No]])</f>
        <v>106800</v>
      </c>
      <c r="W27" s="10" t="s">
        <v>428</v>
      </c>
      <c r="X27" s="10">
        <f>SUMIFS(Food_Orders[[#All],[Cost]],Food_Orders[[#All],[Event_No]],Event_Master[[#This Row],[Event_No]])</f>
        <v>984000</v>
      </c>
      <c r="Y27" s="10">
        <f>SUMIFS(Food_Orders[[#All],[Client_Price]],Food_Orders[[#All],[Event_No]],Event_Master[[#This Row],[Event_No]])</f>
        <v>1180800</v>
      </c>
      <c r="Z27" s="10">
        <f>Event_Master[[#This Row],[Venue_Cost]]+Event_Master[[#This Row],[Photography_Cost]]+Event_Master[[#This Row],[Entertainment_Cost]]+Event_Master[[#This Row],[Decor_Cost]]+Event_Master[[#This Row],[Logistics_Cost]]+Event_Master[[#This Row],[Food_Cost]]</f>
        <v>1356000</v>
      </c>
      <c r="AA27" s="10">
        <f>Event_Master[[#This Row],[Venue_Charge]]+Event_Master[[#This Row],[Photography_Charge]]+Event_Master[[#This Row],[Entertainment_Charge]]+Event_Master[[#This Row],[Decor_Charge]]+Event_Master[[#This Row],[Logistics_Charge]]+Event_Master[[#This Row],[Food_Charge]]</f>
        <v>1616100</v>
      </c>
      <c r="AB27" s="10">
        <v>30000</v>
      </c>
      <c r="AC27" s="10">
        <f>Event_Master[[#This Row],[Client_Budget]]+Event_Master[[#This Row],[Planner_Remuneration]]</f>
        <v>1646100</v>
      </c>
      <c r="AD27" s="10">
        <v>4</v>
      </c>
    </row>
    <row r="28" spans="1:30" x14ac:dyDescent="0.25">
      <c r="A28" s="10">
        <v>27</v>
      </c>
      <c r="B28" s="10" t="str" cm="1">
        <f t="array" ref="B28">_xlfn.XLOOKUP(Event_Master[[#This Row],[Event_Type]],Event_Catalog[[#All],[Event_Name]],Event_Catalog[[#All],[Event_ID]],,0)</f>
        <v>E001</v>
      </c>
      <c r="C28" s="10" t="s">
        <v>293</v>
      </c>
      <c r="D28" s="10" t="s">
        <v>292</v>
      </c>
      <c r="E28" s="10">
        <v>800</v>
      </c>
      <c r="F28" s="10" t="s">
        <v>404</v>
      </c>
      <c r="G28" s="11">
        <v>45673</v>
      </c>
      <c r="H28" s="10" t="s">
        <v>207</v>
      </c>
      <c r="I28" s="10" cm="1">
        <f t="array" ref="I28">_xlfn.XLOOKUP(Event_Master[[#This Row],[Event_No]],Venue_Orders[[#All],[Event_No]],Venue_Orders[[#All],[Rental_Cost]],0,0)</f>
        <v>60000</v>
      </c>
      <c r="J28" s="10" cm="1">
        <f t="array" ref="J28">_xlfn.XLOOKUP(Event_Master[[#This Row],[Event_No]],Venue_Orders[[#All],[Event_No]],Venue_Orders[[#All],[Client_Charge]],,0)</f>
        <v>70000</v>
      </c>
      <c r="K28" s="10" t="s">
        <v>237</v>
      </c>
      <c r="L28" s="10" cm="1">
        <f t="array" ref="L28">_xlfn.XLOOKUP(Event_Master[[#This Row],[Event_No]],Photography_Orders[[#All],[Event_No]],Photography_Orders[[#All],[Cost]],,0)</f>
        <v>45000</v>
      </c>
      <c r="M28" s="10" cm="1">
        <f t="array" ref="M28">_xlfn.XLOOKUP(Event_Master[[#This Row],[Event_No]],Photography_Orders[[#All],[Event_No]],Photography_Orders[[#All],[Client_Charge]],,0)</f>
        <v>53000</v>
      </c>
      <c r="N28" s="10" t="s">
        <v>153</v>
      </c>
      <c r="O28" s="10" cm="1">
        <f t="array" ref="O28">_xlfn.XLOOKUP(Event_Master[[#This Row],[Event_No]],Entertainment_Orders[[#All],[Event_No]],Entertainment_Orders[[#All],[Cost]],,0)</f>
        <v>15000</v>
      </c>
      <c r="P28" s="10" cm="1">
        <f t="array" ref="P28">_xlfn.XLOOKUP(Event_Master[[#This Row],[Event_No]],Entertainment_Orders[[#All],[Event_No]],Entertainment_Orders[[#All],[Client_Charge]],,0)</f>
        <v>18000</v>
      </c>
      <c r="Q28" s="10" t="s">
        <v>260</v>
      </c>
      <c r="R28" s="10" cm="1">
        <f t="array" ref="R28">_xlfn.XLOOKUP(Event_Master[[#This Row],[Event_No]],Decor_Orders[[#All],[Event_No]],Decor_Orders[[#All],[Cost]],,0)</f>
        <v>25000</v>
      </c>
      <c r="S28" s="10" cm="1">
        <f t="array" ref="S28">_xlfn.XLOOKUP(Event_Master[[#This Row],[Event_No]],Decor_Orders[[#All],[Event_No]],Decor_Orders[[#All],[Client_Charge]],,0)</f>
        <v>30000</v>
      </c>
      <c r="T28" s="10" t="s">
        <v>405</v>
      </c>
      <c r="U28" s="10">
        <f>SUMIFS(Logistics_Orders[[#All],[Cost]],Logistics_Orders[[#All],[Event_No]],Event_Master[[#This Row],[Event_No]])</f>
        <v>74000</v>
      </c>
      <c r="V28" s="10">
        <f>SUMIFS(Logistics_Orders[[#All],[Client_Charge]],Logistics_Orders[[#All],[Event_No]],Event_Master[[#This Row],[Event_No]])</f>
        <v>88800</v>
      </c>
      <c r="W28" s="10" t="s">
        <v>406</v>
      </c>
      <c r="X28" s="10">
        <f>SUMIFS(Food_Orders[[#All],[Cost]],Food_Orders[[#All],[Event_No]],Event_Master[[#This Row],[Event_No]])</f>
        <v>1316000</v>
      </c>
      <c r="Y28" s="10">
        <f>SUMIFS(Food_Orders[[#All],[Client_Price]],Food_Orders[[#All],[Event_No]],Event_Master[[#This Row],[Event_No]])</f>
        <v>1579200</v>
      </c>
      <c r="Z28" s="10">
        <f>Event_Master[[#This Row],[Venue_Cost]]+Event_Master[[#This Row],[Photography_Cost]]+Event_Master[[#This Row],[Entertainment_Cost]]+Event_Master[[#This Row],[Decor_Cost]]+Event_Master[[#This Row],[Logistics_Cost]]+Event_Master[[#This Row],[Food_Cost]]</f>
        <v>1535000</v>
      </c>
      <c r="AA28" s="10">
        <f>Event_Master[[#This Row],[Venue_Charge]]+Event_Master[[#This Row],[Photography_Charge]]+Event_Master[[#This Row],[Entertainment_Charge]]+Event_Master[[#This Row],[Decor_Charge]]+Event_Master[[#This Row],[Logistics_Charge]]+Event_Master[[#This Row],[Food_Charge]]</f>
        <v>1839000</v>
      </c>
      <c r="AB28" s="10">
        <v>30000</v>
      </c>
      <c r="AC28" s="10">
        <f>Event_Master[[#This Row],[Client_Budget]]+Event_Master[[#This Row],[Planner_Remuneration]]</f>
        <v>1869000</v>
      </c>
      <c r="AD28" s="10">
        <v>5</v>
      </c>
    </row>
    <row r="29" spans="1:30" x14ac:dyDescent="0.25">
      <c r="A29" s="10">
        <v>28</v>
      </c>
      <c r="B29" s="10" t="str" cm="1">
        <f t="array" ref="B29">_xlfn.XLOOKUP(Event_Master[[#This Row],[Event_Type]],Event_Catalog[[#All],[Event_Name]],Event_Catalog[[#All],[Event_ID]],,0)</f>
        <v>E028</v>
      </c>
      <c r="C29" s="10" t="s">
        <v>349</v>
      </c>
      <c r="D29" s="10" t="s">
        <v>338</v>
      </c>
      <c r="E29" s="10">
        <v>850</v>
      </c>
      <c r="F29" s="10" t="s">
        <v>404</v>
      </c>
      <c r="G29" s="11">
        <v>45038</v>
      </c>
      <c r="H29" s="10" t="s">
        <v>221</v>
      </c>
      <c r="I29" s="10" cm="1">
        <f t="array" ref="I29">_xlfn.XLOOKUP(Event_Master[[#This Row],[Event_No]],Venue_Orders[[#All],[Event_No]],Venue_Orders[[#All],[Rental_Cost]],0,0)</f>
        <v>200000</v>
      </c>
      <c r="J29" s="10" cm="1">
        <f t="array" ref="J29">_xlfn.XLOOKUP(Event_Master[[#This Row],[Event_No]],Venue_Orders[[#All],[Event_No]],Venue_Orders[[#All],[Client_Charge]],,0)</f>
        <v>230000</v>
      </c>
      <c r="K29" s="10" t="s">
        <v>237</v>
      </c>
      <c r="L29" s="10" cm="1">
        <f t="array" ref="L29">_xlfn.XLOOKUP(Event_Master[[#This Row],[Event_No]],Photography_Orders[[#All],[Event_No]],Photography_Orders[[#All],[Cost]],,0)</f>
        <v>45000</v>
      </c>
      <c r="M29" s="10" cm="1">
        <f t="array" ref="M29">_xlfn.XLOOKUP(Event_Master[[#This Row],[Event_No]],Photography_Orders[[#All],[Event_No]],Photography_Orders[[#All],[Client_Charge]],,0)</f>
        <v>53000</v>
      </c>
      <c r="N29" s="10" t="s">
        <v>143</v>
      </c>
      <c r="O29" s="10" cm="1">
        <f t="array" ref="O29">_xlfn.XLOOKUP(Event_Master[[#This Row],[Event_No]],Entertainment_Orders[[#All],[Event_No]],Entertainment_Orders[[#All],[Cost]],,0)</f>
        <v>8000</v>
      </c>
      <c r="P29" s="10" cm="1">
        <f t="array" ref="P29">_xlfn.XLOOKUP(Event_Master[[#This Row],[Event_No]],Entertainment_Orders[[#All],[Event_No]],Entertainment_Orders[[#All],[Client_Charge]],,0)</f>
        <v>9500</v>
      </c>
      <c r="Q29" s="10" t="s">
        <v>266</v>
      </c>
      <c r="R29" s="10" cm="1">
        <f t="array" ref="R29">_xlfn.XLOOKUP(Event_Master[[#This Row],[Event_No]],Decor_Orders[[#All],[Event_No]],Decor_Orders[[#All],[Cost]],,0)</f>
        <v>30000</v>
      </c>
      <c r="S29" s="10" cm="1">
        <f t="array" ref="S29">_xlfn.XLOOKUP(Event_Master[[#This Row],[Event_No]],Decor_Orders[[#All],[Event_No]],Decor_Orders[[#All],[Client_Charge]],,0)</f>
        <v>36000</v>
      </c>
      <c r="T29" s="10" t="s">
        <v>405</v>
      </c>
      <c r="U29" s="10">
        <f>SUMIFS(Logistics_Orders[[#All],[Cost]],Logistics_Orders[[#All],[Event_No]],Event_Master[[#This Row],[Event_No]])</f>
        <v>74000</v>
      </c>
      <c r="V29" s="10">
        <f>SUMIFS(Logistics_Orders[[#All],[Client_Charge]],Logistics_Orders[[#All],[Event_No]],Event_Master[[#This Row],[Event_No]])</f>
        <v>88800</v>
      </c>
      <c r="W29" s="10" t="s">
        <v>429</v>
      </c>
      <c r="X29" s="10">
        <f>SUMIFS(Food_Orders[[#All],[Cost]],Food_Orders[[#All],[Event_No]],Event_Master[[#This Row],[Event_No]])</f>
        <v>1007250</v>
      </c>
      <c r="Y29" s="10">
        <f>SUMIFS(Food_Orders[[#All],[Client_Price]],Food_Orders[[#All],[Event_No]],Event_Master[[#This Row],[Event_No]])</f>
        <v>1208700</v>
      </c>
      <c r="Z29" s="10">
        <f>Event_Master[[#This Row],[Venue_Cost]]+Event_Master[[#This Row],[Photography_Cost]]+Event_Master[[#This Row],[Entertainment_Cost]]+Event_Master[[#This Row],[Decor_Cost]]+Event_Master[[#This Row],[Logistics_Cost]]+Event_Master[[#This Row],[Food_Cost]]</f>
        <v>1364250</v>
      </c>
      <c r="AA29" s="10">
        <f>Event_Master[[#This Row],[Venue_Charge]]+Event_Master[[#This Row],[Photography_Charge]]+Event_Master[[#This Row],[Entertainment_Charge]]+Event_Master[[#This Row],[Decor_Charge]]+Event_Master[[#This Row],[Logistics_Charge]]+Event_Master[[#This Row],[Food_Charge]]</f>
        <v>1626000</v>
      </c>
      <c r="AB29" s="10">
        <v>30000</v>
      </c>
      <c r="AC29" s="10">
        <f>Event_Master[[#This Row],[Client_Budget]]+Event_Master[[#This Row],[Planner_Remuneration]]</f>
        <v>1656000</v>
      </c>
      <c r="AD29" s="10">
        <v>3</v>
      </c>
    </row>
    <row r="30" spans="1:30" x14ac:dyDescent="0.25">
      <c r="A30" s="10">
        <v>29</v>
      </c>
      <c r="B30" s="10" t="str" cm="1">
        <f t="array" ref="B30">_xlfn.XLOOKUP(Event_Master[[#This Row],[Event_Type]],Event_Catalog[[#All],[Event_Name]],Event_Catalog[[#All],[Event_ID]],,0)</f>
        <v>E029</v>
      </c>
      <c r="C30" s="10" t="s">
        <v>351</v>
      </c>
      <c r="D30" s="10" t="s">
        <v>338</v>
      </c>
      <c r="E30" s="10">
        <v>500</v>
      </c>
      <c r="F30" s="10" t="s">
        <v>407</v>
      </c>
      <c r="G30" s="11">
        <v>45172</v>
      </c>
      <c r="H30" s="10" t="s">
        <v>218</v>
      </c>
      <c r="I30" s="10" cm="1">
        <f t="array" ref="I30">_xlfn.XLOOKUP(Event_Master[[#This Row],[Event_No]],Venue_Orders[[#All],[Event_No]],Venue_Orders[[#All],[Rental_Cost]],0,0)</f>
        <v>40000</v>
      </c>
      <c r="J30" s="10" cm="1">
        <f t="array" ref="J30">_xlfn.XLOOKUP(Event_Master[[#This Row],[Event_No]],Venue_Orders[[#All],[Event_No]],Venue_Orders[[#All],[Client_Charge]],,0)</f>
        <v>48000</v>
      </c>
      <c r="K30" s="10" t="s">
        <v>242</v>
      </c>
      <c r="L30" s="10" cm="1">
        <f t="array" ref="L30">_xlfn.XLOOKUP(Event_Master[[#This Row],[Event_No]],Photography_Orders[[#All],[Event_No]],Photography_Orders[[#All],[Cost]],,0)</f>
        <v>20000</v>
      </c>
      <c r="M30" s="10" cm="1">
        <f t="array" ref="M30">_xlfn.XLOOKUP(Event_Master[[#This Row],[Event_No]],Photography_Orders[[#All],[Event_No]],Photography_Orders[[#All],[Client_Charge]],,0)</f>
        <v>24000</v>
      </c>
      <c r="N30" s="10" t="s">
        <v>158</v>
      </c>
      <c r="O30" s="10" cm="1">
        <f t="array" ref="O30">_xlfn.XLOOKUP(Event_Master[[#This Row],[Event_No]],Entertainment_Orders[[#All],[Event_No]],Entertainment_Orders[[#All],[Cost]],,0)</f>
        <v>10000</v>
      </c>
      <c r="P30" s="10" cm="1">
        <f t="array" ref="P30">_xlfn.XLOOKUP(Event_Master[[#This Row],[Event_No]],Entertainment_Orders[[#All],[Event_No]],Entertainment_Orders[[#All],[Client_Charge]],,0)</f>
        <v>12000</v>
      </c>
      <c r="Q30" s="10" t="s">
        <v>266</v>
      </c>
      <c r="R30" s="10" cm="1">
        <f t="array" ref="R30">_xlfn.XLOOKUP(Event_Master[[#This Row],[Event_No]],Decor_Orders[[#All],[Event_No]],Decor_Orders[[#All],[Cost]],,0)</f>
        <v>30000</v>
      </c>
      <c r="S30" s="10" cm="1">
        <f t="array" ref="S30">_xlfn.XLOOKUP(Event_Master[[#This Row],[Event_No]],Decor_Orders[[#All],[Event_No]],Decor_Orders[[#All],[Client_Charge]],,0)</f>
        <v>36000</v>
      </c>
      <c r="T30" s="10" t="s">
        <v>430</v>
      </c>
      <c r="U30" s="10">
        <f>SUMIFS(Logistics_Orders[[#All],[Cost]],Logistics_Orders[[#All],[Event_No]],Event_Master[[#This Row],[Event_No]])</f>
        <v>53000</v>
      </c>
      <c r="V30" s="10">
        <f>SUMIFS(Logistics_Orders[[#All],[Client_Charge]],Logistics_Orders[[#All],[Event_No]],Event_Master[[#This Row],[Event_No]])</f>
        <v>63600</v>
      </c>
      <c r="W30" s="10" t="s">
        <v>431</v>
      </c>
      <c r="X30" s="10">
        <f>SUMIFS(Food_Orders[[#All],[Cost]],Food_Orders[[#All],[Event_No]],Event_Master[[#This Row],[Event_No]])</f>
        <v>382500</v>
      </c>
      <c r="Y30" s="10">
        <f>SUMIFS(Food_Orders[[#All],[Client_Price]],Food_Orders[[#All],[Event_No]],Event_Master[[#This Row],[Event_No]])</f>
        <v>459000</v>
      </c>
      <c r="Z30" s="10">
        <f>Event_Master[[#This Row],[Venue_Cost]]+Event_Master[[#This Row],[Photography_Cost]]+Event_Master[[#This Row],[Entertainment_Cost]]+Event_Master[[#This Row],[Decor_Cost]]+Event_Master[[#This Row],[Logistics_Cost]]+Event_Master[[#This Row],[Food_Cost]]</f>
        <v>535500</v>
      </c>
      <c r="AA30" s="10">
        <f>Event_Master[[#This Row],[Venue_Charge]]+Event_Master[[#This Row],[Photography_Charge]]+Event_Master[[#This Row],[Entertainment_Charge]]+Event_Master[[#This Row],[Decor_Charge]]+Event_Master[[#This Row],[Logistics_Charge]]+Event_Master[[#This Row],[Food_Charge]]</f>
        <v>642600</v>
      </c>
      <c r="AB30" s="10">
        <v>12000</v>
      </c>
      <c r="AC30" s="10">
        <f>Event_Master[[#This Row],[Client_Budget]]+Event_Master[[#This Row],[Planner_Remuneration]]</f>
        <v>654600</v>
      </c>
      <c r="AD30" s="10">
        <v>4</v>
      </c>
    </row>
    <row r="31" spans="1:30" x14ac:dyDescent="0.25">
      <c r="A31" s="10">
        <v>30</v>
      </c>
      <c r="B31" s="10" t="str" cm="1">
        <f t="array" ref="B31">_xlfn.XLOOKUP(Event_Master[[#This Row],[Event_Type]],Event_Catalog[[#All],[Event_Name]],Event_Catalog[[#All],[Event_ID]],,0)</f>
        <v>E030</v>
      </c>
      <c r="C31" s="10" t="s">
        <v>353</v>
      </c>
      <c r="D31" s="10" t="s">
        <v>338</v>
      </c>
      <c r="E31" s="10">
        <v>750</v>
      </c>
      <c r="F31" s="10" t="s">
        <v>404</v>
      </c>
      <c r="G31" s="11">
        <v>45266</v>
      </c>
      <c r="H31" s="10" t="s">
        <v>218</v>
      </c>
      <c r="I31" s="10" cm="1">
        <f t="array" ref="I31">_xlfn.XLOOKUP(Event_Master[[#This Row],[Event_No]],Venue_Orders[[#All],[Event_No]],Venue_Orders[[#All],[Rental_Cost]],0,0)</f>
        <v>40000</v>
      </c>
      <c r="J31" s="10" cm="1">
        <f t="array" ref="J31">_xlfn.XLOOKUP(Event_Master[[#This Row],[Event_No]],Venue_Orders[[#All],[Event_No]],Venue_Orders[[#All],[Client_Charge]],,0)</f>
        <v>48000</v>
      </c>
      <c r="K31" s="10" t="s">
        <v>232</v>
      </c>
      <c r="L31" s="10" cm="1">
        <f t="array" ref="L31">_xlfn.XLOOKUP(Event_Master[[#This Row],[Event_No]],Photography_Orders[[#All],[Event_No]],Photography_Orders[[#All],[Cost]],,0)</f>
        <v>30000</v>
      </c>
      <c r="M31" s="10" cm="1">
        <f t="array" ref="M31">_xlfn.XLOOKUP(Event_Master[[#This Row],[Event_No]],Photography_Orders[[#All],[Event_No]],Photography_Orders[[#All],[Client_Charge]],,0)</f>
        <v>36000</v>
      </c>
      <c r="N31" s="10" t="s">
        <v>158</v>
      </c>
      <c r="O31" s="10" cm="1">
        <f t="array" ref="O31">_xlfn.XLOOKUP(Event_Master[[#This Row],[Event_No]],Entertainment_Orders[[#All],[Event_No]],Entertainment_Orders[[#All],[Cost]],,0)</f>
        <v>10000</v>
      </c>
      <c r="P31" s="10" cm="1">
        <f t="array" ref="P31">_xlfn.XLOOKUP(Event_Master[[#This Row],[Event_No]],Entertainment_Orders[[#All],[Event_No]],Entertainment_Orders[[#All],[Client_Charge]],,0)</f>
        <v>12000</v>
      </c>
      <c r="Q31" s="10" t="s">
        <v>260</v>
      </c>
      <c r="R31" s="10" cm="1">
        <f t="array" ref="R31">_xlfn.XLOOKUP(Event_Master[[#This Row],[Event_No]],Decor_Orders[[#All],[Event_No]],Decor_Orders[[#All],[Cost]],,0)</f>
        <v>25000</v>
      </c>
      <c r="S31" s="10" cm="1">
        <f t="array" ref="S31">_xlfn.XLOOKUP(Event_Master[[#This Row],[Event_No]],Decor_Orders[[#All],[Event_No]],Decor_Orders[[#All],[Client_Charge]],,0)</f>
        <v>30000</v>
      </c>
      <c r="T31" s="10" t="s">
        <v>405</v>
      </c>
      <c r="U31" s="10">
        <f>SUMIFS(Logistics_Orders[[#All],[Cost]],Logistics_Orders[[#All],[Event_No]],Event_Master[[#This Row],[Event_No]])</f>
        <v>74000</v>
      </c>
      <c r="V31" s="10">
        <f>SUMIFS(Logistics_Orders[[#All],[Client_Charge]],Logistics_Orders[[#All],[Event_No]],Event_Master[[#This Row],[Event_No]])</f>
        <v>88800</v>
      </c>
      <c r="W31" s="10" t="s">
        <v>432</v>
      </c>
      <c r="X31" s="10">
        <f>SUMIFS(Food_Orders[[#All],[Cost]],Food_Orders[[#All],[Event_No]],Event_Master[[#This Row],[Event_No]])</f>
        <v>551250</v>
      </c>
      <c r="Y31" s="10">
        <f>SUMIFS(Food_Orders[[#All],[Client_Price]],Food_Orders[[#All],[Event_No]],Event_Master[[#This Row],[Event_No]])</f>
        <v>661500</v>
      </c>
      <c r="Z31" s="10">
        <f>Event_Master[[#This Row],[Venue_Cost]]+Event_Master[[#This Row],[Photography_Cost]]+Event_Master[[#This Row],[Entertainment_Cost]]+Event_Master[[#This Row],[Decor_Cost]]+Event_Master[[#This Row],[Logistics_Cost]]+Event_Master[[#This Row],[Food_Cost]]</f>
        <v>730250</v>
      </c>
      <c r="AA31" s="10">
        <f>Event_Master[[#This Row],[Venue_Charge]]+Event_Master[[#This Row],[Photography_Charge]]+Event_Master[[#This Row],[Entertainment_Charge]]+Event_Master[[#This Row],[Decor_Charge]]+Event_Master[[#This Row],[Logistics_Charge]]+Event_Master[[#This Row],[Food_Charge]]</f>
        <v>876300</v>
      </c>
      <c r="AB31" s="10">
        <v>30000</v>
      </c>
      <c r="AC31" s="10">
        <f>Event_Master[[#This Row],[Client_Budget]]+Event_Master[[#This Row],[Planner_Remuneration]]</f>
        <v>906300</v>
      </c>
      <c r="AD31" s="10">
        <v>5</v>
      </c>
    </row>
    <row r="32" spans="1:30" x14ac:dyDescent="0.25">
      <c r="A32" s="10">
        <v>31</v>
      </c>
      <c r="B32" s="10" t="str" cm="1">
        <f t="array" ref="B32">_xlfn.XLOOKUP(Event_Master[[#This Row],[Event_Type]],Event_Catalog[[#All],[Event_Name]],Event_Catalog[[#All],[Event_ID]],,0)</f>
        <v>E031</v>
      </c>
      <c r="C32" s="10" t="s">
        <v>355</v>
      </c>
      <c r="D32" s="10" t="s">
        <v>338</v>
      </c>
      <c r="E32" s="10">
        <v>600</v>
      </c>
      <c r="F32" s="10" t="s">
        <v>404</v>
      </c>
      <c r="G32" s="11">
        <v>45153</v>
      </c>
      <c r="H32" s="10" t="s">
        <v>218</v>
      </c>
      <c r="I32" s="10" cm="1">
        <f t="array" ref="I32">_xlfn.XLOOKUP(Event_Master[[#This Row],[Event_No]],Venue_Orders[[#All],[Event_No]],Venue_Orders[[#All],[Rental_Cost]],0,0)</f>
        <v>40000</v>
      </c>
      <c r="J32" s="10" cm="1">
        <f t="array" ref="J32">_xlfn.XLOOKUP(Event_Master[[#This Row],[Event_No]],Venue_Orders[[#All],[Event_No]],Venue_Orders[[#All],[Client_Charge]],,0)</f>
        <v>48000</v>
      </c>
      <c r="K32" s="10" t="s">
        <v>242</v>
      </c>
      <c r="L32" s="10" cm="1">
        <f t="array" ref="L32">_xlfn.XLOOKUP(Event_Master[[#This Row],[Event_No]],Photography_Orders[[#All],[Event_No]],Photography_Orders[[#All],[Cost]],,0)</f>
        <v>20000</v>
      </c>
      <c r="M32" s="10" cm="1">
        <f t="array" ref="M32">_xlfn.XLOOKUP(Event_Master[[#This Row],[Event_No]],Photography_Orders[[#All],[Event_No]],Photography_Orders[[#All],[Client_Charge]],,0)</f>
        <v>24000</v>
      </c>
      <c r="N32" s="10" t="s">
        <v>167</v>
      </c>
      <c r="O32" s="10" cm="1">
        <f t="array" ref="O32">_xlfn.XLOOKUP(Event_Master[[#This Row],[Event_No]],Entertainment_Orders[[#All],[Event_No]],Entertainment_Orders[[#All],[Cost]],,0)</f>
        <v>0</v>
      </c>
      <c r="P32" s="10" cm="1">
        <f t="array" ref="P32">_xlfn.XLOOKUP(Event_Master[[#This Row],[Event_No]],Entertainment_Orders[[#All],[Event_No]],Entertainment_Orders[[#All],[Client_Charge]],,0)</f>
        <v>0</v>
      </c>
      <c r="Q32" s="10" t="s">
        <v>266</v>
      </c>
      <c r="R32" s="10" cm="1">
        <f t="array" ref="R32">_xlfn.XLOOKUP(Event_Master[[#This Row],[Event_No]],Decor_Orders[[#All],[Event_No]],Decor_Orders[[#All],[Cost]],,0)</f>
        <v>30000</v>
      </c>
      <c r="S32" s="10" cm="1">
        <f t="array" ref="S32">_xlfn.XLOOKUP(Event_Master[[#This Row],[Event_No]],Decor_Orders[[#All],[Event_No]],Decor_Orders[[#All],[Client_Charge]],,0)</f>
        <v>36000</v>
      </c>
      <c r="T32" s="10" t="s">
        <v>405</v>
      </c>
      <c r="U32" s="10">
        <f>SUMIFS(Logistics_Orders[[#All],[Cost]],Logistics_Orders[[#All],[Event_No]],Event_Master[[#This Row],[Event_No]])</f>
        <v>59000</v>
      </c>
      <c r="V32" s="10">
        <f>SUMIFS(Logistics_Orders[[#All],[Client_Charge]],Logistics_Orders[[#All],[Event_No]],Event_Master[[#This Row],[Event_No]])</f>
        <v>70800</v>
      </c>
      <c r="W32" s="10" t="s">
        <v>433</v>
      </c>
      <c r="X32" s="10">
        <f>SUMIFS(Food_Orders[[#All],[Cost]],Food_Orders[[#All],[Event_No]],Event_Master[[#This Row],[Event_No]])</f>
        <v>204000</v>
      </c>
      <c r="Y32" s="10">
        <f>SUMIFS(Food_Orders[[#All],[Client_Price]],Food_Orders[[#All],[Event_No]],Event_Master[[#This Row],[Event_No]])</f>
        <v>244800</v>
      </c>
      <c r="Z32" s="10">
        <f>Event_Master[[#This Row],[Venue_Cost]]+Event_Master[[#This Row],[Photography_Cost]]+Event_Master[[#This Row],[Entertainment_Cost]]+Event_Master[[#This Row],[Decor_Cost]]+Event_Master[[#This Row],[Logistics_Cost]]+Event_Master[[#This Row],[Food_Cost]]</f>
        <v>353000</v>
      </c>
      <c r="AA32" s="10">
        <f>Event_Master[[#This Row],[Venue_Charge]]+Event_Master[[#This Row],[Photography_Charge]]+Event_Master[[#This Row],[Entertainment_Charge]]+Event_Master[[#This Row],[Decor_Charge]]+Event_Master[[#This Row],[Logistics_Charge]]+Event_Master[[#This Row],[Food_Charge]]</f>
        <v>423600</v>
      </c>
      <c r="AB32" s="10">
        <v>30000</v>
      </c>
      <c r="AC32" s="10">
        <f>Event_Master[[#This Row],[Client_Budget]]+Event_Master[[#This Row],[Planner_Remuneration]]</f>
        <v>453600</v>
      </c>
      <c r="AD32" s="10">
        <v>4</v>
      </c>
    </row>
    <row r="33" spans="1:30" x14ac:dyDescent="0.25">
      <c r="A33" s="10">
        <v>32</v>
      </c>
      <c r="B33" s="10" t="str" cm="1">
        <f t="array" ref="B33">_xlfn.XLOOKUP(Event_Master[[#This Row],[Event_Type]],Event_Catalog[[#All],[Event_Name]],Event_Catalog[[#All],[Event_ID]],,0)</f>
        <v>E032</v>
      </c>
      <c r="C33" s="10" t="s">
        <v>358</v>
      </c>
      <c r="D33" s="10" t="s">
        <v>357</v>
      </c>
      <c r="E33" s="10">
        <v>400</v>
      </c>
      <c r="F33" s="10" t="s">
        <v>407</v>
      </c>
      <c r="G33" s="11">
        <v>45116</v>
      </c>
      <c r="H33" s="10" t="s">
        <v>215</v>
      </c>
      <c r="I33" s="10" cm="1">
        <f t="array" ref="I33">_xlfn.XLOOKUP(Event_Master[[#This Row],[Event_No]],Venue_Orders[[#All],[Event_No]],Venue_Orders[[#All],[Rental_Cost]],0,0)</f>
        <v>150000</v>
      </c>
      <c r="J33" s="10" cm="1">
        <f t="array" ref="J33">_xlfn.XLOOKUP(Event_Master[[#This Row],[Event_No]],Venue_Orders[[#All],[Event_No]],Venue_Orders[[#All],[Client_Charge]],,0)</f>
        <v>175000</v>
      </c>
      <c r="K33" s="10" t="s">
        <v>247</v>
      </c>
      <c r="L33" s="10" cm="1">
        <f t="array" ref="L33">_xlfn.XLOOKUP(Event_Master[[#This Row],[Event_No]],Photography_Orders[[#All],[Event_No]],Photography_Orders[[#All],[Cost]],,0)</f>
        <v>10000</v>
      </c>
      <c r="M33" s="10" cm="1">
        <f t="array" ref="M33">_xlfn.XLOOKUP(Event_Master[[#This Row],[Event_No]],Photography_Orders[[#All],[Event_No]],Photography_Orders[[#All],[Client_Charge]],,0)</f>
        <v>12000</v>
      </c>
      <c r="N33" s="10" t="s">
        <v>167</v>
      </c>
      <c r="O33" s="10" cm="1">
        <f t="array" ref="O33">_xlfn.XLOOKUP(Event_Master[[#This Row],[Event_No]],Entertainment_Orders[[#All],[Event_No]],Entertainment_Orders[[#All],[Cost]],,0)</f>
        <v>0</v>
      </c>
      <c r="P33" s="10" cm="1">
        <f t="array" ref="P33">_xlfn.XLOOKUP(Event_Master[[#This Row],[Event_No]],Entertainment_Orders[[#All],[Event_No]],Entertainment_Orders[[#All],[Client_Charge]],,0)</f>
        <v>0</v>
      </c>
      <c r="Q33" s="10" t="s">
        <v>283</v>
      </c>
      <c r="R33" s="10" cm="1">
        <f t="array" ref="R33">_xlfn.XLOOKUP(Event_Master[[#This Row],[Event_No]],Decor_Orders[[#All],[Event_No]],Decor_Orders[[#All],[Cost]],,0)</f>
        <v>35000</v>
      </c>
      <c r="S33" s="10" cm="1">
        <f t="array" ref="S33">_xlfn.XLOOKUP(Event_Master[[#This Row],[Event_No]],Decor_Orders[[#All],[Event_No]],Decor_Orders[[#All],[Client_Charge]],,0)</f>
        <v>42000</v>
      </c>
      <c r="T33" s="10" t="s">
        <v>405</v>
      </c>
      <c r="U33" s="10">
        <f>SUMIFS(Logistics_Orders[[#All],[Cost]],Logistics_Orders[[#All],[Event_No]],Event_Master[[#This Row],[Event_No]])</f>
        <v>59000</v>
      </c>
      <c r="V33" s="10">
        <f>SUMIFS(Logistics_Orders[[#All],[Client_Charge]],Logistics_Orders[[#All],[Event_No]],Event_Master[[#This Row],[Event_No]])</f>
        <v>70800</v>
      </c>
      <c r="W33" s="10" t="s">
        <v>434</v>
      </c>
      <c r="X33" s="10">
        <f>SUMIFS(Food_Orders[[#All],[Cost]],Food_Orders[[#All],[Event_No]],Event_Master[[#This Row],[Event_No]])</f>
        <v>102000</v>
      </c>
      <c r="Y33" s="10">
        <f>SUMIFS(Food_Orders[[#All],[Client_Price]],Food_Orders[[#All],[Event_No]],Event_Master[[#This Row],[Event_No]])</f>
        <v>122400</v>
      </c>
      <c r="Z33" s="10">
        <f>Event_Master[[#This Row],[Venue_Cost]]+Event_Master[[#This Row],[Photography_Cost]]+Event_Master[[#This Row],[Entertainment_Cost]]+Event_Master[[#This Row],[Decor_Cost]]+Event_Master[[#This Row],[Logistics_Cost]]+Event_Master[[#This Row],[Food_Cost]]</f>
        <v>356000</v>
      </c>
      <c r="AA33" s="10">
        <f>Event_Master[[#This Row],[Venue_Charge]]+Event_Master[[#This Row],[Photography_Charge]]+Event_Master[[#This Row],[Entertainment_Charge]]+Event_Master[[#This Row],[Decor_Charge]]+Event_Master[[#This Row],[Logistics_Charge]]+Event_Master[[#This Row],[Food_Charge]]</f>
        <v>422200</v>
      </c>
      <c r="AB33" s="10">
        <v>12000</v>
      </c>
      <c r="AC33" s="10">
        <f>Event_Master[[#This Row],[Client_Budget]]+Event_Master[[#This Row],[Planner_Remuneration]]</f>
        <v>434200</v>
      </c>
      <c r="AD33" s="10">
        <v>5</v>
      </c>
    </row>
    <row r="34" spans="1:30" x14ac:dyDescent="0.25">
      <c r="A34" s="10">
        <v>33</v>
      </c>
      <c r="B34" s="10" t="str" cm="1">
        <f t="array" ref="B34">_xlfn.XLOOKUP(Event_Master[[#This Row],[Event_Type]],Event_Catalog[[#All],[Event_Name]],Event_Catalog[[#All],[Event_ID]],,0)</f>
        <v>E033</v>
      </c>
      <c r="C34" s="10" t="s">
        <v>360</v>
      </c>
      <c r="D34" s="10" t="s">
        <v>357</v>
      </c>
      <c r="E34" s="10">
        <v>300</v>
      </c>
      <c r="F34" s="10" t="s">
        <v>407</v>
      </c>
      <c r="G34" s="11">
        <v>45095</v>
      </c>
      <c r="H34" s="10" t="s">
        <v>215</v>
      </c>
      <c r="I34" s="10" cm="1">
        <f t="array" ref="I34">_xlfn.XLOOKUP(Event_Master[[#This Row],[Event_No]],Venue_Orders[[#All],[Event_No]],Venue_Orders[[#All],[Rental_Cost]],0,0)</f>
        <v>150000</v>
      </c>
      <c r="J34" s="10" cm="1">
        <f t="array" ref="J34">_xlfn.XLOOKUP(Event_Master[[#This Row],[Event_No]],Venue_Orders[[#All],[Event_No]],Venue_Orders[[#All],[Client_Charge]],,0)</f>
        <v>175000</v>
      </c>
      <c r="K34" s="10" t="s">
        <v>247</v>
      </c>
      <c r="L34" s="10" cm="1">
        <f t="array" ref="L34">_xlfn.XLOOKUP(Event_Master[[#This Row],[Event_No]],Photography_Orders[[#All],[Event_No]],Photography_Orders[[#All],[Cost]],,0)</f>
        <v>10000</v>
      </c>
      <c r="M34" s="10" cm="1">
        <f t="array" ref="M34">_xlfn.XLOOKUP(Event_Master[[#This Row],[Event_No]],Photography_Orders[[#All],[Event_No]],Photography_Orders[[#All],[Client_Charge]],,0)</f>
        <v>12000</v>
      </c>
      <c r="N34" s="10" t="s">
        <v>167</v>
      </c>
      <c r="O34" s="10" cm="1">
        <f t="array" ref="O34">_xlfn.XLOOKUP(Event_Master[[#This Row],[Event_No]],Entertainment_Orders[[#All],[Event_No]],Entertainment_Orders[[#All],[Cost]],,0)</f>
        <v>0</v>
      </c>
      <c r="P34" s="10" cm="1">
        <f t="array" ref="P34">_xlfn.XLOOKUP(Event_Master[[#This Row],[Event_No]],Entertainment_Orders[[#All],[Event_No]],Entertainment_Orders[[#All],[Client_Charge]],,0)</f>
        <v>0</v>
      </c>
      <c r="Q34" s="10" t="s">
        <v>283</v>
      </c>
      <c r="R34" s="10" cm="1">
        <f t="array" ref="R34">_xlfn.XLOOKUP(Event_Master[[#This Row],[Event_No]],Decor_Orders[[#All],[Event_No]],Decor_Orders[[#All],[Cost]],,0)</f>
        <v>35000</v>
      </c>
      <c r="S34" s="10" cm="1">
        <f t="array" ref="S34">_xlfn.XLOOKUP(Event_Master[[#This Row],[Event_No]],Decor_Orders[[#All],[Event_No]],Decor_Orders[[#All],[Client_Charge]],,0)</f>
        <v>42000</v>
      </c>
      <c r="T34" s="10" t="s">
        <v>405</v>
      </c>
      <c r="U34" s="10">
        <f>SUMIFS(Logistics_Orders[[#All],[Cost]],Logistics_Orders[[#All],[Event_No]],Event_Master[[#This Row],[Event_No]])</f>
        <v>44000</v>
      </c>
      <c r="V34" s="10">
        <f>SUMIFS(Logistics_Orders[[#All],[Client_Charge]],Logistics_Orders[[#All],[Event_No]],Event_Master[[#This Row],[Event_No]])</f>
        <v>52800</v>
      </c>
      <c r="W34" s="10" t="s">
        <v>434</v>
      </c>
      <c r="X34" s="10">
        <f>SUMIFS(Food_Orders[[#All],[Cost]],Food_Orders[[#All],[Event_No]],Event_Master[[#This Row],[Event_No]])</f>
        <v>76500</v>
      </c>
      <c r="Y34" s="10">
        <f>SUMIFS(Food_Orders[[#All],[Client_Price]],Food_Orders[[#All],[Event_No]],Event_Master[[#This Row],[Event_No]])</f>
        <v>91800</v>
      </c>
      <c r="Z34" s="10">
        <f>Event_Master[[#This Row],[Venue_Cost]]+Event_Master[[#This Row],[Photography_Cost]]+Event_Master[[#This Row],[Entertainment_Cost]]+Event_Master[[#This Row],[Decor_Cost]]+Event_Master[[#This Row],[Logistics_Cost]]+Event_Master[[#This Row],[Food_Cost]]</f>
        <v>315500</v>
      </c>
      <c r="AA34" s="10">
        <f>Event_Master[[#This Row],[Venue_Charge]]+Event_Master[[#This Row],[Photography_Charge]]+Event_Master[[#This Row],[Entertainment_Charge]]+Event_Master[[#This Row],[Decor_Charge]]+Event_Master[[#This Row],[Logistics_Charge]]+Event_Master[[#This Row],[Food_Charge]]</f>
        <v>373600</v>
      </c>
      <c r="AB34" s="10">
        <v>12000</v>
      </c>
      <c r="AC34" s="10">
        <f>Event_Master[[#This Row],[Client_Budget]]+Event_Master[[#This Row],[Planner_Remuneration]]</f>
        <v>385600</v>
      </c>
      <c r="AD34" s="10">
        <v>3</v>
      </c>
    </row>
    <row r="35" spans="1:30" x14ac:dyDescent="0.25">
      <c r="A35" s="10">
        <v>34</v>
      </c>
      <c r="B35" s="10" t="str" cm="1">
        <f t="array" ref="B35">_xlfn.XLOOKUP(Event_Master[[#This Row],[Event_Type]],Event_Catalog[[#All],[Event_Name]],Event_Catalog[[#All],[Event_ID]],,0)</f>
        <v>E034</v>
      </c>
      <c r="C35" s="10" t="s">
        <v>362</v>
      </c>
      <c r="D35" s="10" t="s">
        <v>357</v>
      </c>
      <c r="E35" s="10">
        <v>350</v>
      </c>
      <c r="F35" s="10" t="s">
        <v>407</v>
      </c>
      <c r="G35" s="11">
        <v>45074</v>
      </c>
      <c r="H35" s="10" t="s">
        <v>221</v>
      </c>
      <c r="I35" s="10" cm="1">
        <f t="array" ref="I35">_xlfn.XLOOKUP(Event_Master[[#This Row],[Event_No]],Venue_Orders[[#All],[Event_No]],Venue_Orders[[#All],[Rental_Cost]],0,0)</f>
        <v>200000</v>
      </c>
      <c r="J35" s="10" cm="1">
        <f t="array" ref="J35">_xlfn.XLOOKUP(Event_Master[[#This Row],[Event_No]],Venue_Orders[[#All],[Event_No]],Venue_Orders[[#All],[Client_Charge]],,0)</f>
        <v>230000</v>
      </c>
      <c r="K35" s="10" t="s">
        <v>247</v>
      </c>
      <c r="L35" s="10" cm="1">
        <f t="array" ref="L35">_xlfn.XLOOKUP(Event_Master[[#This Row],[Event_No]],Photography_Orders[[#All],[Event_No]],Photography_Orders[[#All],[Cost]],,0)</f>
        <v>10000</v>
      </c>
      <c r="M35" s="10" cm="1">
        <f t="array" ref="M35">_xlfn.XLOOKUP(Event_Master[[#This Row],[Event_No]],Photography_Orders[[#All],[Event_No]],Photography_Orders[[#All],[Client_Charge]],,0)</f>
        <v>12000</v>
      </c>
      <c r="N35" s="10" t="s">
        <v>163</v>
      </c>
      <c r="O35" s="10" cm="1">
        <f t="array" ref="O35">_xlfn.XLOOKUP(Event_Master[[#This Row],[Event_No]],Entertainment_Orders[[#All],[Event_No]],Entertainment_Orders[[#All],[Cost]],,0)</f>
        <v>7000</v>
      </c>
      <c r="P35" s="10" cm="1">
        <f t="array" ref="P35">_xlfn.XLOOKUP(Event_Master[[#This Row],[Event_No]],Entertainment_Orders[[#All],[Event_No]],Entertainment_Orders[[#All],[Client_Charge]],,0)</f>
        <v>8500</v>
      </c>
      <c r="Q35" s="10" t="s">
        <v>283</v>
      </c>
      <c r="R35" s="10" cm="1">
        <f t="array" ref="R35">_xlfn.XLOOKUP(Event_Master[[#This Row],[Event_No]],Decor_Orders[[#All],[Event_No]],Decor_Orders[[#All],[Cost]],,0)</f>
        <v>35000</v>
      </c>
      <c r="S35" s="10" cm="1">
        <f t="array" ref="S35">_xlfn.XLOOKUP(Event_Master[[#This Row],[Event_No]],Decor_Orders[[#All],[Event_No]],Decor_Orders[[#All],[Client_Charge]],,0)</f>
        <v>42000</v>
      </c>
      <c r="T35" s="10" t="s">
        <v>405</v>
      </c>
      <c r="U35" s="10">
        <f>SUMIFS(Logistics_Orders[[#All],[Cost]],Logistics_Orders[[#All],[Event_No]],Event_Master[[#This Row],[Event_No]])</f>
        <v>59000</v>
      </c>
      <c r="V35" s="10">
        <f>SUMIFS(Logistics_Orders[[#All],[Client_Charge]],Logistics_Orders[[#All],[Event_No]],Event_Master[[#This Row],[Event_No]])</f>
        <v>70800</v>
      </c>
      <c r="W35" s="10" t="s">
        <v>435</v>
      </c>
      <c r="X35" s="10">
        <f>SUMIFS(Food_Orders[[#All],[Cost]],Food_Orders[[#All],[Event_No]],Event_Master[[#This Row],[Event_No]])</f>
        <v>94500</v>
      </c>
      <c r="Y35" s="10">
        <f>SUMIFS(Food_Orders[[#All],[Client_Price]],Food_Orders[[#All],[Event_No]],Event_Master[[#This Row],[Event_No]])</f>
        <v>113400</v>
      </c>
      <c r="Z35" s="10">
        <f>Event_Master[[#This Row],[Venue_Cost]]+Event_Master[[#This Row],[Photography_Cost]]+Event_Master[[#This Row],[Entertainment_Cost]]+Event_Master[[#This Row],[Decor_Cost]]+Event_Master[[#This Row],[Logistics_Cost]]+Event_Master[[#This Row],[Food_Cost]]</f>
        <v>405500</v>
      </c>
      <c r="AA35" s="10">
        <f>Event_Master[[#This Row],[Venue_Charge]]+Event_Master[[#This Row],[Photography_Charge]]+Event_Master[[#This Row],[Entertainment_Charge]]+Event_Master[[#This Row],[Decor_Charge]]+Event_Master[[#This Row],[Logistics_Charge]]+Event_Master[[#This Row],[Food_Charge]]</f>
        <v>476700</v>
      </c>
      <c r="AB35" s="10">
        <v>12000</v>
      </c>
      <c r="AC35" s="10">
        <f>Event_Master[[#This Row],[Client_Budget]]+Event_Master[[#This Row],[Planner_Remuneration]]</f>
        <v>488700</v>
      </c>
      <c r="AD35" s="10">
        <v>4</v>
      </c>
    </row>
    <row r="36" spans="1:30" x14ac:dyDescent="0.25">
      <c r="A36" s="10">
        <v>35</v>
      </c>
      <c r="B36" s="10" t="str" cm="1">
        <f t="array" ref="B36">_xlfn.XLOOKUP(Event_Master[[#This Row],[Event_Type]],Event_Catalog[[#All],[Event_Name]],Event_Catalog[[#All],[Event_ID]],,0)</f>
        <v>E035</v>
      </c>
      <c r="C36" s="10" t="s">
        <v>364</v>
      </c>
      <c r="D36" s="10" t="s">
        <v>357</v>
      </c>
      <c r="E36" s="10">
        <v>450</v>
      </c>
      <c r="F36" s="10" t="s">
        <v>407</v>
      </c>
      <c r="G36" s="11">
        <v>45004</v>
      </c>
      <c r="H36" s="10" t="s">
        <v>215</v>
      </c>
      <c r="I36" s="10" cm="1">
        <f t="array" ref="I36">_xlfn.XLOOKUP(Event_Master[[#This Row],[Event_No]],Venue_Orders[[#All],[Event_No]],Venue_Orders[[#All],[Rental_Cost]],0,0)</f>
        <v>150000</v>
      </c>
      <c r="J36" s="10" cm="1">
        <f t="array" ref="J36">_xlfn.XLOOKUP(Event_Master[[#This Row],[Event_No]],Venue_Orders[[#All],[Event_No]],Venue_Orders[[#All],[Client_Charge]],,0)</f>
        <v>175000</v>
      </c>
      <c r="K36" s="10" t="s">
        <v>247</v>
      </c>
      <c r="L36" s="10" cm="1">
        <f t="array" ref="L36">_xlfn.XLOOKUP(Event_Master[[#This Row],[Event_No]],Photography_Orders[[#All],[Event_No]],Photography_Orders[[#All],[Cost]],,0)</f>
        <v>10000</v>
      </c>
      <c r="M36" s="10" cm="1">
        <f t="array" ref="M36">_xlfn.XLOOKUP(Event_Master[[#This Row],[Event_No]],Photography_Orders[[#All],[Event_No]],Photography_Orders[[#All],[Client_Charge]],,0)</f>
        <v>12000</v>
      </c>
      <c r="N36" s="10" t="s">
        <v>167</v>
      </c>
      <c r="O36" s="10" cm="1">
        <f t="array" ref="O36">_xlfn.XLOOKUP(Event_Master[[#This Row],[Event_No]],Entertainment_Orders[[#All],[Event_No]],Entertainment_Orders[[#All],[Cost]],,0)</f>
        <v>0</v>
      </c>
      <c r="P36" s="10" cm="1">
        <f t="array" ref="P36">_xlfn.XLOOKUP(Event_Master[[#This Row],[Event_No]],Entertainment_Orders[[#All],[Event_No]],Entertainment_Orders[[#All],[Client_Charge]],,0)</f>
        <v>0</v>
      </c>
      <c r="Q36" s="10" t="s">
        <v>283</v>
      </c>
      <c r="R36" s="10" cm="1">
        <f t="array" ref="R36">_xlfn.XLOOKUP(Event_Master[[#This Row],[Event_No]],Decor_Orders[[#All],[Event_No]],Decor_Orders[[#All],[Cost]],,0)</f>
        <v>35000</v>
      </c>
      <c r="S36" s="10" cm="1">
        <f t="array" ref="S36">_xlfn.XLOOKUP(Event_Master[[#This Row],[Event_No]],Decor_Orders[[#All],[Event_No]],Decor_Orders[[#All],[Client_Charge]],,0)</f>
        <v>42000</v>
      </c>
      <c r="T36" s="10" t="s">
        <v>436</v>
      </c>
      <c r="U36" s="10">
        <f>SUMIFS(Logistics_Orders[[#All],[Cost]],Logistics_Orders[[#All],[Event_No]],Event_Master[[#This Row],[Event_No]])</f>
        <v>39000</v>
      </c>
      <c r="V36" s="10">
        <f>SUMIFS(Logistics_Orders[[#All],[Client_Charge]],Logistics_Orders[[#All],[Event_No]],Event_Master[[#This Row],[Event_No]])</f>
        <v>46800</v>
      </c>
      <c r="W36" s="10" t="s">
        <v>437</v>
      </c>
      <c r="X36" s="10">
        <f>SUMIFS(Food_Orders[[#All],[Cost]],Food_Orders[[#All],[Event_No]],Event_Master[[#This Row],[Event_No]])</f>
        <v>128250</v>
      </c>
      <c r="Y36" s="10">
        <f>SUMIFS(Food_Orders[[#All],[Client_Price]],Food_Orders[[#All],[Event_No]],Event_Master[[#This Row],[Event_No]])</f>
        <v>153900</v>
      </c>
      <c r="Z36" s="10">
        <f>Event_Master[[#This Row],[Venue_Cost]]+Event_Master[[#This Row],[Photography_Cost]]+Event_Master[[#This Row],[Entertainment_Cost]]+Event_Master[[#This Row],[Decor_Cost]]+Event_Master[[#This Row],[Logistics_Cost]]+Event_Master[[#This Row],[Food_Cost]]</f>
        <v>362250</v>
      </c>
      <c r="AA36" s="10">
        <f>Event_Master[[#This Row],[Venue_Charge]]+Event_Master[[#This Row],[Photography_Charge]]+Event_Master[[#This Row],[Entertainment_Charge]]+Event_Master[[#This Row],[Decor_Charge]]+Event_Master[[#This Row],[Logistics_Charge]]+Event_Master[[#This Row],[Food_Charge]]</f>
        <v>429700</v>
      </c>
      <c r="AB36" s="10">
        <v>12000</v>
      </c>
      <c r="AC36" s="10">
        <f>Event_Master[[#This Row],[Client_Budget]]+Event_Master[[#This Row],[Planner_Remuneration]]</f>
        <v>441700</v>
      </c>
      <c r="AD36" s="10">
        <v>5</v>
      </c>
    </row>
    <row r="37" spans="1:30" x14ac:dyDescent="0.25">
      <c r="A37" s="10">
        <v>36</v>
      </c>
      <c r="B37" s="10" t="str" cm="1">
        <f t="array" ref="B37">_xlfn.XLOOKUP(Event_Master[[#This Row],[Event_Type]],Event_Catalog[[#All],[Event_Name]],Event_Catalog[[#All],[Event_ID]],,0)</f>
        <v>E036</v>
      </c>
      <c r="C37" s="10" t="s">
        <v>366</v>
      </c>
      <c r="D37" s="10" t="s">
        <v>357</v>
      </c>
      <c r="E37" s="10">
        <v>600</v>
      </c>
      <c r="F37" s="10" t="s">
        <v>404</v>
      </c>
      <c r="G37" s="11">
        <v>44983</v>
      </c>
      <c r="H37" s="10" t="s">
        <v>221</v>
      </c>
      <c r="I37" s="10" cm="1">
        <f t="array" ref="I37">_xlfn.XLOOKUP(Event_Master[[#This Row],[Event_No]],Venue_Orders[[#All],[Event_No]],Venue_Orders[[#All],[Rental_Cost]],0,0)</f>
        <v>200000</v>
      </c>
      <c r="J37" s="10" cm="1">
        <f t="array" ref="J37">_xlfn.XLOOKUP(Event_Master[[#This Row],[Event_No]],Venue_Orders[[#All],[Event_No]],Venue_Orders[[#All],[Client_Charge]],,0)</f>
        <v>230000</v>
      </c>
      <c r="K37" s="10" t="s">
        <v>237</v>
      </c>
      <c r="L37" s="10" cm="1">
        <f t="array" ref="L37">_xlfn.XLOOKUP(Event_Master[[#This Row],[Event_No]],Photography_Orders[[#All],[Event_No]],Photography_Orders[[#All],[Cost]],,0)</f>
        <v>45000</v>
      </c>
      <c r="M37" s="10" cm="1">
        <f t="array" ref="M37">_xlfn.XLOOKUP(Event_Master[[#This Row],[Event_No]],Photography_Orders[[#All],[Event_No]],Photography_Orders[[#All],[Client_Charge]],,0)</f>
        <v>53000</v>
      </c>
      <c r="N37" s="10" t="s">
        <v>143</v>
      </c>
      <c r="O37" s="10" cm="1">
        <f t="array" ref="O37">_xlfn.XLOOKUP(Event_Master[[#This Row],[Event_No]],Entertainment_Orders[[#All],[Event_No]],Entertainment_Orders[[#All],[Cost]],,0)</f>
        <v>8000</v>
      </c>
      <c r="P37" s="10" cm="1">
        <f t="array" ref="P37">_xlfn.XLOOKUP(Event_Master[[#This Row],[Event_No]],Entertainment_Orders[[#All],[Event_No]],Entertainment_Orders[[#All],[Client_Charge]],,0)</f>
        <v>9500</v>
      </c>
      <c r="Q37" s="10" t="s">
        <v>283</v>
      </c>
      <c r="R37" s="10" cm="1">
        <f t="array" ref="R37">_xlfn.XLOOKUP(Event_Master[[#This Row],[Event_No]],Decor_Orders[[#All],[Event_No]],Decor_Orders[[#All],[Cost]],,0)</f>
        <v>35000</v>
      </c>
      <c r="S37" s="10" cm="1">
        <f t="array" ref="S37">_xlfn.XLOOKUP(Event_Master[[#This Row],[Event_No]],Decor_Orders[[#All],[Event_No]],Decor_Orders[[#All],[Client_Charge]],,0)</f>
        <v>42000</v>
      </c>
      <c r="T37" s="10" t="s">
        <v>405</v>
      </c>
      <c r="U37" s="10">
        <f>SUMIFS(Logistics_Orders[[#All],[Cost]],Logistics_Orders[[#All],[Event_No]],Event_Master[[#This Row],[Event_No]])</f>
        <v>59000</v>
      </c>
      <c r="V37" s="10">
        <f>SUMIFS(Logistics_Orders[[#All],[Client_Charge]],Logistics_Orders[[#All],[Event_No]],Event_Master[[#This Row],[Event_No]])</f>
        <v>70800</v>
      </c>
      <c r="W37" s="10" t="s">
        <v>421</v>
      </c>
      <c r="X37" s="10">
        <f>SUMIFS(Food_Orders[[#All],[Cost]],Food_Orders[[#All],[Event_No]],Event_Master[[#This Row],[Event_No]])</f>
        <v>225000</v>
      </c>
      <c r="Y37" s="10">
        <f>SUMIFS(Food_Orders[[#All],[Client_Price]],Food_Orders[[#All],[Event_No]],Event_Master[[#This Row],[Event_No]])</f>
        <v>270000</v>
      </c>
      <c r="Z37" s="10">
        <f>Event_Master[[#This Row],[Venue_Cost]]+Event_Master[[#This Row],[Photography_Cost]]+Event_Master[[#This Row],[Entertainment_Cost]]+Event_Master[[#This Row],[Decor_Cost]]+Event_Master[[#This Row],[Logistics_Cost]]+Event_Master[[#This Row],[Food_Cost]]</f>
        <v>572000</v>
      </c>
      <c r="AA37" s="10">
        <f>Event_Master[[#This Row],[Venue_Charge]]+Event_Master[[#This Row],[Photography_Charge]]+Event_Master[[#This Row],[Entertainment_Charge]]+Event_Master[[#This Row],[Decor_Charge]]+Event_Master[[#This Row],[Logistics_Charge]]+Event_Master[[#This Row],[Food_Charge]]</f>
        <v>675300</v>
      </c>
      <c r="AB37" s="10">
        <v>30000</v>
      </c>
      <c r="AC37" s="10">
        <f>Event_Master[[#This Row],[Client_Budget]]+Event_Master[[#This Row],[Planner_Remuneration]]</f>
        <v>705300</v>
      </c>
      <c r="AD37" s="10">
        <v>3</v>
      </c>
    </row>
    <row r="38" spans="1:30" x14ac:dyDescent="0.25">
      <c r="A38" s="10">
        <v>37</v>
      </c>
      <c r="B38" s="10" t="str" cm="1">
        <f t="array" ref="B38">_xlfn.XLOOKUP(Event_Master[[#This Row],[Event_Type]],Event_Catalog[[#All],[Event_Name]],Event_Catalog[[#All],[Event_ID]],,0)</f>
        <v>E037</v>
      </c>
      <c r="C38" s="10" t="s">
        <v>368</v>
      </c>
      <c r="D38" s="10" t="s">
        <v>357</v>
      </c>
      <c r="E38" s="10">
        <v>900</v>
      </c>
      <c r="F38" s="10" t="s">
        <v>404</v>
      </c>
      <c r="G38" s="11">
        <v>44934</v>
      </c>
      <c r="H38" s="10" t="s">
        <v>221</v>
      </c>
      <c r="I38" s="10" cm="1">
        <f t="array" ref="I38">_xlfn.XLOOKUP(Event_Master[[#This Row],[Event_No]],Venue_Orders[[#All],[Event_No]],Venue_Orders[[#All],[Rental_Cost]],0,0)</f>
        <v>200000</v>
      </c>
      <c r="J38" s="10" cm="1">
        <f t="array" ref="J38">_xlfn.XLOOKUP(Event_Master[[#This Row],[Event_No]],Venue_Orders[[#All],[Event_No]],Venue_Orders[[#All],[Client_Charge]],,0)</f>
        <v>230000</v>
      </c>
      <c r="K38" s="10" t="s">
        <v>237</v>
      </c>
      <c r="L38" s="10" cm="1">
        <f t="array" ref="L38">_xlfn.XLOOKUP(Event_Master[[#This Row],[Event_No]],Photography_Orders[[#All],[Event_No]],Photography_Orders[[#All],[Cost]],,0)</f>
        <v>45000</v>
      </c>
      <c r="M38" s="10" cm="1">
        <f t="array" ref="M38">_xlfn.XLOOKUP(Event_Master[[#This Row],[Event_No]],Photography_Orders[[#All],[Event_No]],Photography_Orders[[#All],[Client_Charge]],,0)</f>
        <v>53000</v>
      </c>
      <c r="N38" s="10" t="s">
        <v>153</v>
      </c>
      <c r="O38" s="10" cm="1">
        <f t="array" ref="O38">_xlfn.XLOOKUP(Event_Master[[#This Row],[Event_No]],Entertainment_Orders[[#All],[Event_No]],Entertainment_Orders[[#All],[Cost]],,0)</f>
        <v>15000</v>
      </c>
      <c r="P38" s="10" cm="1">
        <f t="array" ref="P38">_xlfn.XLOOKUP(Event_Master[[#This Row],[Event_No]],Entertainment_Orders[[#All],[Event_No]],Entertainment_Orders[[#All],[Client_Charge]],,0)</f>
        <v>18000</v>
      </c>
      <c r="Q38" s="10" t="s">
        <v>283</v>
      </c>
      <c r="R38" s="10" cm="1">
        <f t="array" ref="R38">_xlfn.XLOOKUP(Event_Master[[#This Row],[Event_No]],Decor_Orders[[#All],[Event_No]],Decor_Orders[[#All],[Cost]],,0)</f>
        <v>35000</v>
      </c>
      <c r="S38" s="10" cm="1">
        <f t="array" ref="S38">_xlfn.XLOOKUP(Event_Master[[#This Row],[Event_No]],Decor_Orders[[#All],[Event_No]],Decor_Orders[[#All],[Client_Charge]],,0)</f>
        <v>42000</v>
      </c>
      <c r="T38" s="10" t="s">
        <v>405</v>
      </c>
      <c r="U38" s="10">
        <f>SUMIFS(Logistics_Orders[[#All],[Cost]],Logistics_Orders[[#All],[Event_No]],Event_Master[[#This Row],[Event_No]])</f>
        <v>74000</v>
      </c>
      <c r="V38" s="10">
        <f>SUMIFS(Logistics_Orders[[#All],[Client_Charge]],Logistics_Orders[[#All],[Event_No]],Event_Master[[#This Row],[Event_No]])</f>
        <v>88800</v>
      </c>
      <c r="W38" s="10" t="s">
        <v>406</v>
      </c>
      <c r="X38" s="10">
        <f>SUMIFS(Food_Orders[[#All],[Cost]],Food_Orders[[#All],[Event_No]],Event_Master[[#This Row],[Event_No]])</f>
        <v>1480500</v>
      </c>
      <c r="Y38" s="10">
        <f>SUMIFS(Food_Orders[[#All],[Client_Price]],Food_Orders[[#All],[Event_No]],Event_Master[[#This Row],[Event_No]])</f>
        <v>1776600</v>
      </c>
      <c r="Z38" s="10">
        <f>Event_Master[[#This Row],[Venue_Cost]]+Event_Master[[#This Row],[Photography_Cost]]+Event_Master[[#This Row],[Entertainment_Cost]]+Event_Master[[#This Row],[Decor_Cost]]+Event_Master[[#This Row],[Logistics_Cost]]+Event_Master[[#This Row],[Food_Cost]]</f>
        <v>1849500</v>
      </c>
      <c r="AA38" s="10">
        <f>Event_Master[[#This Row],[Venue_Charge]]+Event_Master[[#This Row],[Photography_Charge]]+Event_Master[[#This Row],[Entertainment_Charge]]+Event_Master[[#This Row],[Decor_Charge]]+Event_Master[[#This Row],[Logistics_Charge]]+Event_Master[[#This Row],[Food_Charge]]</f>
        <v>2208400</v>
      </c>
      <c r="AB38" s="10">
        <v>30000</v>
      </c>
      <c r="AC38" s="10">
        <f>Event_Master[[#This Row],[Client_Budget]]+Event_Master[[#This Row],[Planner_Remuneration]]</f>
        <v>2238400</v>
      </c>
      <c r="AD38" s="10">
        <v>5</v>
      </c>
    </row>
    <row r="39" spans="1:30" x14ac:dyDescent="0.25">
      <c r="A39" s="10">
        <v>38</v>
      </c>
      <c r="B39" s="10" t="str" cm="1">
        <f t="array" ref="B39">_xlfn.XLOOKUP(Event_Master[[#This Row],[Event_Type]],Event_Catalog[[#All],[Event_Name]],Event_Catalog[[#All],[Event_ID]],,0)</f>
        <v>E001</v>
      </c>
      <c r="C39" s="10" t="s">
        <v>293</v>
      </c>
      <c r="D39" s="10" t="s">
        <v>292</v>
      </c>
      <c r="E39" s="10">
        <v>500</v>
      </c>
      <c r="F39" s="10" t="s">
        <v>407</v>
      </c>
      <c r="G39" s="11">
        <v>45678</v>
      </c>
      <c r="H39" s="10" t="s">
        <v>215</v>
      </c>
      <c r="I39" s="10" cm="1">
        <f t="array" ref="I39">_xlfn.XLOOKUP(Event_Master[[#This Row],[Event_No]],Venue_Orders[[#All],[Event_No]],Venue_Orders[[#All],[Rental_Cost]],0,0)</f>
        <v>150000</v>
      </c>
      <c r="J39" s="10" cm="1">
        <f t="array" ref="J39">_xlfn.XLOOKUP(Event_Master[[#This Row],[Event_No]],Venue_Orders[[#All],[Event_No]],Venue_Orders[[#All],[Client_Charge]],,0)</f>
        <v>175000</v>
      </c>
      <c r="K39" s="10" t="s">
        <v>232</v>
      </c>
      <c r="L39" s="10" cm="1">
        <f t="array" ref="L39">_xlfn.XLOOKUP(Event_Master[[#This Row],[Event_No]],Photography_Orders[[#All],[Event_No]],Photography_Orders[[#All],[Cost]],,0)</f>
        <v>30000</v>
      </c>
      <c r="M39" s="10" cm="1">
        <f t="array" ref="M39">_xlfn.XLOOKUP(Event_Master[[#This Row],[Event_No]],Photography_Orders[[#All],[Event_No]],Photography_Orders[[#All],[Client_Charge]],,0)</f>
        <v>36000</v>
      </c>
      <c r="N39" s="10" t="s">
        <v>153</v>
      </c>
      <c r="O39" s="10" cm="1">
        <f t="array" ref="O39">_xlfn.XLOOKUP(Event_Master[[#This Row],[Event_No]],Entertainment_Orders[[#All],[Event_No]],Entertainment_Orders[[#All],[Cost]],,0)</f>
        <v>15000</v>
      </c>
      <c r="P39" s="10" cm="1">
        <f t="array" ref="P39">_xlfn.XLOOKUP(Event_Master[[#This Row],[Event_No]],Entertainment_Orders[[#All],[Event_No]],Entertainment_Orders[[#All],[Client_Charge]],,0)</f>
        <v>18000</v>
      </c>
      <c r="Q39" s="10" t="s">
        <v>260</v>
      </c>
      <c r="R39" s="10" cm="1">
        <f t="array" ref="R39">_xlfn.XLOOKUP(Event_Master[[#This Row],[Event_No]],Decor_Orders[[#All],[Event_No]],Decor_Orders[[#All],[Cost]],,0)</f>
        <v>25000</v>
      </c>
      <c r="S39" s="10" cm="1">
        <f t="array" ref="S39">_xlfn.XLOOKUP(Event_Master[[#This Row],[Event_No]],Decor_Orders[[#All],[Event_No]],Decor_Orders[[#All],[Client_Charge]],,0)</f>
        <v>30000</v>
      </c>
      <c r="T39" s="10" t="s">
        <v>405</v>
      </c>
      <c r="U39" s="10">
        <f>SUMIFS(Logistics_Orders[[#All],[Cost]],Logistics_Orders[[#All],[Event_No]],Event_Master[[#This Row],[Event_No]])</f>
        <v>59000</v>
      </c>
      <c r="V39" s="10">
        <f>SUMIFS(Logistics_Orders[[#All],[Client_Charge]],Logistics_Orders[[#All],[Event_No]],Event_Master[[#This Row],[Event_No]])</f>
        <v>70800</v>
      </c>
      <c r="W39" s="10" t="s">
        <v>438</v>
      </c>
      <c r="X39" s="10">
        <f>SUMIFS(Food_Orders[[#All],[Cost]],Food_Orders[[#All],[Event_No]],Event_Master[[#This Row],[Event_No]])</f>
        <v>557500</v>
      </c>
      <c r="Y39" s="10">
        <f>SUMIFS(Food_Orders[[#All],[Client_Price]],Food_Orders[[#All],[Event_No]],Event_Master[[#This Row],[Event_No]])</f>
        <v>669000</v>
      </c>
      <c r="Z39" s="10">
        <f>Event_Master[[#This Row],[Venue_Cost]]+Event_Master[[#This Row],[Photography_Cost]]+Event_Master[[#This Row],[Entertainment_Cost]]+Event_Master[[#This Row],[Decor_Cost]]+Event_Master[[#This Row],[Logistics_Cost]]+Event_Master[[#This Row],[Food_Cost]]</f>
        <v>836500</v>
      </c>
      <c r="AA39" s="10">
        <f>Event_Master[[#This Row],[Venue_Charge]]+Event_Master[[#This Row],[Photography_Charge]]+Event_Master[[#This Row],[Entertainment_Charge]]+Event_Master[[#This Row],[Decor_Charge]]+Event_Master[[#This Row],[Logistics_Charge]]+Event_Master[[#This Row],[Food_Charge]]</f>
        <v>998800</v>
      </c>
      <c r="AB39" s="10">
        <v>12000</v>
      </c>
      <c r="AC39" s="10">
        <f>Event_Master[[#This Row],[Client_Budget]]+Event_Master[[#This Row],[Planner_Remuneration]]</f>
        <v>1010800</v>
      </c>
      <c r="AD39" s="10">
        <v>4</v>
      </c>
    </row>
    <row r="40" spans="1:30" x14ac:dyDescent="0.25">
      <c r="A40" s="10">
        <v>39</v>
      </c>
      <c r="B40" s="10" t="str" cm="1">
        <f t="array" ref="B40">_xlfn.XLOOKUP(Event_Master[[#This Row],[Event_Type]],Event_Catalog[[#All],[Event_Name]],Event_Catalog[[#All],[Event_ID]],,0)</f>
        <v>E038</v>
      </c>
      <c r="C40" s="10" t="s">
        <v>370</v>
      </c>
      <c r="D40" s="10" t="s">
        <v>357</v>
      </c>
      <c r="E40" s="10">
        <v>550</v>
      </c>
      <c r="F40" s="10" t="s">
        <v>404</v>
      </c>
      <c r="G40" s="11">
        <v>45305</v>
      </c>
      <c r="H40" s="10" t="s">
        <v>211</v>
      </c>
      <c r="I40" s="10" cm="1">
        <f t="array" ref="I40">_xlfn.XLOOKUP(Event_Master[[#This Row],[Event_No]],Venue_Orders[[#All],[Event_No]],Venue_Orders[[#All],[Rental_Cost]],0,0)</f>
        <v>120000</v>
      </c>
      <c r="J40" s="10" cm="1">
        <f t="array" ref="J40">_xlfn.XLOOKUP(Event_Master[[#This Row],[Event_No]],Venue_Orders[[#All],[Event_No]],Venue_Orders[[#All],[Client_Charge]],,0)</f>
        <v>138000</v>
      </c>
      <c r="K40" s="10" t="s">
        <v>237</v>
      </c>
      <c r="L40" s="10" cm="1">
        <f t="array" ref="L40">_xlfn.XLOOKUP(Event_Master[[#This Row],[Event_No]],Photography_Orders[[#All],[Event_No]],Photography_Orders[[#All],[Cost]],,0)</f>
        <v>45000</v>
      </c>
      <c r="M40" s="10" cm="1">
        <f t="array" ref="M40">_xlfn.XLOOKUP(Event_Master[[#This Row],[Event_No]],Photography_Orders[[#All],[Event_No]],Photography_Orders[[#All],[Client_Charge]],,0)</f>
        <v>53000</v>
      </c>
      <c r="N40" s="10" t="s">
        <v>143</v>
      </c>
      <c r="O40" s="10" cm="1">
        <f t="array" ref="O40">_xlfn.XLOOKUP(Event_Master[[#This Row],[Event_No]],Entertainment_Orders[[#All],[Event_No]],Entertainment_Orders[[#All],[Cost]],,0)</f>
        <v>8000</v>
      </c>
      <c r="P40" s="10" cm="1">
        <f t="array" ref="P40">_xlfn.XLOOKUP(Event_Master[[#This Row],[Event_No]],Entertainment_Orders[[#All],[Event_No]],Entertainment_Orders[[#All],[Client_Charge]],,0)</f>
        <v>9500</v>
      </c>
      <c r="Q40" s="10" t="s">
        <v>272</v>
      </c>
      <c r="R40" s="10" cm="1">
        <f t="array" ref="R40">_xlfn.XLOOKUP(Event_Master[[#This Row],[Event_No]],Decor_Orders[[#All],[Event_No]],Decor_Orders[[#All],[Cost]],,0)</f>
        <v>50000</v>
      </c>
      <c r="S40" s="10" cm="1">
        <f t="array" ref="S40">_xlfn.XLOOKUP(Event_Master[[#This Row],[Event_No]],Decor_Orders[[#All],[Event_No]],Decor_Orders[[#All],[Client_Charge]],,0)</f>
        <v>60000</v>
      </c>
      <c r="T40" s="10" t="s">
        <v>405</v>
      </c>
      <c r="U40" s="10">
        <f>SUMIFS(Logistics_Orders[[#All],[Cost]],Logistics_Orders[[#All],[Event_No]],Event_Master[[#This Row],[Event_No]])</f>
        <v>59000</v>
      </c>
      <c r="V40" s="10">
        <f>SUMIFS(Logistics_Orders[[#All],[Client_Charge]],Logistics_Orders[[#All],[Event_No]],Event_Master[[#This Row],[Event_No]])</f>
        <v>70800</v>
      </c>
      <c r="W40" s="10" t="s">
        <v>439</v>
      </c>
      <c r="X40" s="10">
        <f>SUMIFS(Food_Orders[[#All],[Cost]],Food_Orders[[#All],[Event_No]],Event_Master[[#This Row],[Event_No]])</f>
        <v>258500</v>
      </c>
      <c r="Y40" s="10">
        <f>SUMIFS(Food_Orders[[#All],[Client_Price]],Food_Orders[[#All],[Event_No]],Event_Master[[#This Row],[Event_No]])</f>
        <v>310200</v>
      </c>
      <c r="Z40" s="10">
        <f>Event_Master[[#This Row],[Venue_Cost]]+Event_Master[[#This Row],[Photography_Cost]]+Event_Master[[#This Row],[Entertainment_Cost]]+Event_Master[[#This Row],[Decor_Cost]]+Event_Master[[#This Row],[Logistics_Cost]]+Event_Master[[#This Row],[Food_Cost]]</f>
        <v>540500</v>
      </c>
      <c r="AA40" s="10">
        <f>Event_Master[[#This Row],[Venue_Charge]]+Event_Master[[#This Row],[Photography_Charge]]+Event_Master[[#This Row],[Entertainment_Charge]]+Event_Master[[#This Row],[Decor_Charge]]+Event_Master[[#This Row],[Logistics_Charge]]+Event_Master[[#This Row],[Food_Charge]]</f>
        <v>641500</v>
      </c>
      <c r="AB40" s="10">
        <v>30000</v>
      </c>
      <c r="AC40" s="10">
        <f>Event_Master[[#This Row],[Client_Budget]]+Event_Master[[#This Row],[Planner_Remuneration]]</f>
        <v>671500</v>
      </c>
      <c r="AD40" s="10">
        <v>3</v>
      </c>
    </row>
    <row r="41" spans="1:30" x14ac:dyDescent="0.25">
      <c r="A41" s="10">
        <v>40</v>
      </c>
      <c r="B41" s="10" t="str" cm="1">
        <f t="array" ref="B41">_xlfn.XLOOKUP(Event_Master[[#This Row],[Event_Type]],Event_Catalog[[#All],[Event_Name]],Event_Catalog[[#All],[Event_ID]],,0)</f>
        <v>E039</v>
      </c>
      <c r="C41" s="10" t="s">
        <v>372</v>
      </c>
      <c r="D41" s="10" t="s">
        <v>357</v>
      </c>
      <c r="E41" s="10">
        <v>2000</v>
      </c>
      <c r="F41" s="10" t="s">
        <v>404</v>
      </c>
      <c r="G41" s="11">
        <v>45519</v>
      </c>
      <c r="H41" s="10" t="s">
        <v>221</v>
      </c>
      <c r="I41" s="10" cm="1">
        <f t="array" ref="I41">_xlfn.XLOOKUP(Event_Master[[#This Row],[Event_No]],Venue_Orders[[#All],[Event_No]],Venue_Orders[[#All],[Rental_Cost]],0,0)</f>
        <v>200000</v>
      </c>
      <c r="J41" s="10" cm="1">
        <f t="array" ref="J41">_xlfn.XLOOKUP(Event_Master[[#This Row],[Event_No]],Venue_Orders[[#All],[Event_No]],Venue_Orders[[#All],[Client_Charge]],,0)</f>
        <v>230000</v>
      </c>
      <c r="K41" s="10" t="s">
        <v>237</v>
      </c>
      <c r="L41" s="10" cm="1">
        <f t="array" ref="L41">_xlfn.XLOOKUP(Event_Master[[#This Row],[Event_No]],Photography_Orders[[#All],[Event_No]],Photography_Orders[[#All],[Cost]],,0)</f>
        <v>45000</v>
      </c>
      <c r="M41" s="10" cm="1">
        <f t="array" ref="M41">_xlfn.XLOOKUP(Event_Master[[#This Row],[Event_No]],Photography_Orders[[#All],[Event_No]],Photography_Orders[[#All],[Client_Charge]],,0)</f>
        <v>53000</v>
      </c>
      <c r="N41" s="10" t="s">
        <v>143</v>
      </c>
      <c r="O41" s="10" cm="1">
        <f t="array" ref="O41">_xlfn.XLOOKUP(Event_Master[[#This Row],[Event_No]],Entertainment_Orders[[#All],[Event_No]],Entertainment_Orders[[#All],[Cost]],,0)</f>
        <v>8000</v>
      </c>
      <c r="P41" s="10" cm="1">
        <f t="array" ref="P41">_xlfn.XLOOKUP(Event_Master[[#This Row],[Event_No]],Entertainment_Orders[[#All],[Event_No]],Entertainment_Orders[[#All],[Client_Charge]],,0)</f>
        <v>9500</v>
      </c>
      <c r="Q41" s="10" t="s">
        <v>266</v>
      </c>
      <c r="R41" s="10" cm="1">
        <f t="array" ref="R41">_xlfn.XLOOKUP(Event_Master[[#This Row],[Event_No]],Decor_Orders[[#All],[Event_No]],Decor_Orders[[#All],[Cost]],,0)</f>
        <v>30000</v>
      </c>
      <c r="S41" s="10" cm="1">
        <f t="array" ref="S41">_xlfn.XLOOKUP(Event_Master[[#This Row],[Event_No]],Decor_Orders[[#All],[Event_No]],Decor_Orders[[#All],[Client_Charge]],,0)</f>
        <v>36000</v>
      </c>
      <c r="T41" s="10" t="s">
        <v>405</v>
      </c>
      <c r="U41" s="10">
        <f>SUMIFS(Logistics_Orders[[#All],[Cost]],Logistics_Orders[[#All],[Event_No]],Event_Master[[#This Row],[Event_No]])</f>
        <v>134000</v>
      </c>
      <c r="V41" s="10">
        <f>SUMIFS(Logistics_Orders[[#All],[Client_Charge]],Logistics_Orders[[#All],[Event_No]],Event_Master[[#This Row],[Event_No]])</f>
        <v>160800</v>
      </c>
      <c r="W41" s="10" t="s">
        <v>440</v>
      </c>
      <c r="X41" s="10">
        <f>SUMIFS(Food_Orders[[#All],[Cost]],Food_Orders[[#All],[Event_No]],Event_Master[[#This Row],[Event_No]])</f>
        <v>570000</v>
      </c>
      <c r="Y41" s="10">
        <f>SUMIFS(Food_Orders[[#All],[Client_Price]],Food_Orders[[#All],[Event_No]],Event_Master[[#This Row],[Event_No]])</f>
        <v>684000</v>
      </c>
      <c r="Z41" s="10">
        <f>Event_Master[[#This Row],[Venue_Cost]]+Event_Master[[#This Row],[Photography_Cost]]+Event_Master[[#This Row],[Entertainment_Cost]]+Event_Master[[#This Row],[Decor_Cost]]+Event_Master[[#This Row],[Logistics_Cost]]+Event_Master[[#This Row],[Food_Cost]]</f>
        <v>987000</v>
      </c>
      <c r="AA41" s="10">
        <f>Event_Master[[#This Row],[Venue_Charge]]+Event_Master[[#This Row],[Photography_Charge]]+Event_Master[[#This Row],[Entertainment_Charge]]+Event_Master[[#This Row],[Decor_Charge]]+Event_Master[[#This Row],[Logistics_Charge]]+Event_Master[[#This Row],[Food_Charge]]</f>
        <v>1173300</v>
      </c>
      <c r="AB41" s="10">
        <v>30000</v>
      </c>
      <c r="AC41" s="10">
        <f>Event_Master[[#This Row],[Client_Budget]]+Event_Master[[#This Row],[Planner_Remuneration]]</f>
        <v>1203300</v>
      </c>
      <c r="AD41" s="10">
        <v>5</v>
      </c>
    </row>
    <row r="42" spans="1:30" x14ac:dyDescent="0.25">
      <c r="A42" s="10">
        <v>41</v>
      </c>
      <c r="B42" s="10" t="str" cm="1">
        <f t="array" ref="B42">_xlfn.XLOOKUP(Event_Master[[#This Row],[Event_Type]],Event_Catalog[[#All],[Event_Name]],Event_Catalog[[#All],[Event_ID]],,0)</f>
        <v>E040</v>
      </c>
      <c r="C42" s="10" t="s">
        <v>374</v>
      </c>
      <c r="D42" s="10" t="s">
        <v>357</v>
      </c>
      <c r="E42" s="10">
        <v>750</v>
      </c>
      <c r="F42" s="10" t="s">
        <v>404</v>
      </c>
      <c r="G42" s="11">
        <v>45540</v>
      </c>
      <c r="H42" s="10" t="s">
        <v>215</v>
      </c>
      <c r="I42" s="10" cm="1">
        <f t="array" ref="I42">_xlfn.XLOOKUP(Event_Master[[#This Row],[Event_No]],Venue_Orders[[#All],[Event_No]],Venue_Orders[[#All],[Rental_Cost]],0,0)</f>
        <v>150000</v>
      </c>
      <c r="J42" s="10" cm="1">
        <f t="array" ref="J42">_xlfn.XLOOKUP(Event_Master[[#This Row],[Event_No]],Venue_Orders[[#All],[Event_No]],Venue_Orders[[#All],[Client_Charge]],,0)</f>
        <v>175000</v>
      </c>
      <c r="K42" s="10" t="s">
        <v>237</v>
      </c>
      <c r="L42" s="10" cm="1">
        <f t="array" ref="L42">_xlfn.XLOOKUP(Event_Master[[#This Row],[Event_No]],Photography_Orders[[#All],[Event_No]],Photography_Orders[[#All],[Cost]],,0)</f>
        <v>45000</v>
      </c>
      <c r="M42" s="10" cm="1">
        <f t="array" ref="M42">_xlfn.XLOOKUP(Event_Master[[#This Row],[Event_No]],Photography_Orders[[#All],[Event_No]],Photography_Orders[[#All],[Client_Charge]],,0)</f>
        <v>53000</v>
      </c>
      <c r="N42" s="10" t="s">
        <v>163</v>
      </c>
      <c r="O42" s="10" cm="1">
        <f t="array" ref="O42">_xlfn.XLOOKUP(Event_Master[[#This Row],[Event_No]],Entertainment_Orders[[#All],[Event_No]],Entertainment_Orders[[#All],[Cost]],,0)</f>
        <v>7000</v>
      </c>
      <c r="P42" s="10" cm="1">
        <f t="array" ref="P42">_xlfn.XLOOKUP(Event_Master[[#This Row],[Event_No]],Entertainment_Orders[[#All],[Event_No]],Entertainment_Orders[[#All],[Client_Charge]],,0)</f>
        <v>8500</v>
      </c>
      <c r="Q42" s="10" t="s">
        <v>283</v>
      </c>
      <c r="R42" s="10" cm="1">
        <f t="array" ref="R42">_xlfn.XLOOKUP(Event_Master[[#This Row],[Event_No]],Decor_Orders[[#All],[Event_No]],Decor_Orders[[#All],[Cost]],,0)</f>
        <v>35000</v>
      </c>
      <c r="S42" s="10" cm="1">
        <f t="array" ref="S42">_xlfn.XLOOKUP(Event_Master[[#This Row],[Event_No]],Decor_Orders[[#All],[Event_No]],Decor_Orders[[#All],[Client_Charge]],,0)</f>
        <v>42000</v>
      </c>
      <c r="T42" s="10" t="s">
        <v>405</v>
      </c>
      <c r="U42" s="10">
        <f>SUMIFS(Logistics_Orders[[#All],[Cost]],Logistics_Orders[[#All],[Event_No]],Event_Master[[#This Row],[Event_No]])</f>
        <v>74000</v>
      </c>
      <c r="V42" s="10">
        <f>SUMIFS(Logistics_Orders[[#All],[Client_Charge]],Logistics_Orders[[#All],[Event_No]],Event_Master[[#This Row],[Event_No]])</f>
        <v>88800</v>
      </c>
      <c r="W42" s="10" t="s">
        <v>441</v>
      </c>
      <c r="X42" s="10">
        <f>SUMIFS(Food_Orders[[#All],[Cost]],Food_Orders[[#All],[Event_No]],Event_Master[[#This Row],[Event_No]])</f>
        <v>296250</v>
      </c>
      <c r="Y42" s="10">
        <f>SUMIFS(Food_Orders[[#All],[Client_Price]],Food_Orders[[#All],[Event_No]],Event_Master[[#This Row],[Event_No]])</f>
        <v>355500</v>
      </c>
      <c r="Z42" s="10">
        <f>Event_Master[[#This Row],[Venue_Cost]]+Event_Master[[#This Row],[Photography_Cost]]+Event_Master[[#This Row],[Entertainment_Cost]]+Event_Master[[#This Row],[Decor_Cost]]+Event_Master[[#This Row],[Logistics_Cost]]+Event_Master[[#This Row],[Food_Cost]]</f>
        <v>607250</v>
      </c>
      <c r="AA42" s="10">
        <f>Event_Master[[#This Row],[Venue_Charge]]+Event_Master[[#This Row],[Photography_Charge]]+Event_Master[[#This Row],[Entertainment_Charge]]+Event_Master[[#This Row],[Decor_Charge]]+Event_Master[[#This Row],[Logistics_Charge]]+Event_Master[[#This Row],[Food_Charge]]</f>
        <v>722800</v>
      </c>
      <c r="AB42" s="10">
        <v>30000</v>
      </c>
      <c r="AC42" s="10">
        <f>Event_Master[[#This Row],[Client_Budget]]+Event_Master[[#This Row],[Planner_Remuneration]]</f>
        <v>752800</v>
      </c>
      <c r="AD42" s="10">
        <v>4</v>
      </c>
    </row>
    <row r="43" spans="1:30" x14ac:dyDescent="0.25">
      <c r="A43" s="10">
        <v>42</v>
      </c>
      <c r="B43" s="10" t="str" cm="1">
        <f t="array" ref="B43">_xlfn.XLOOKUP(Event_Master[[#This Row],[Event_Type]],Event_Catalog[[#All],[Event_Name]],Event_Catalog[[#All],[Event_ID]],,0)</f>
        <v>E041</v>
      </c>
      <c r="C43" s="10" t="s">
        <v>376</v>
      </c>
      <c r="D43" s="10" t="s">
        <v>357</v>
      </c>
      <c r="E43" s="10">
        <v>400</v>
      </c>
      <c r="F43" s="10" t="s">
        <v>407</v>
      </c>
      <c r="G43" s="11">
        <v>45585</v>
      </c>
      <c r="H43" s="10" t="s">
        <v>215</v>
      </c>
      <c r="I43" s="10" cm="1">
        <f t="array" ref="I43">_xlfn.XLOOKUP(Event_Master[[#This Row],[Event_No]],Venue_Orders[[#All],[Event_No]],Venue_Orders[[#All],[Rental_Cost]],0,0)</f>
        <v>150000</v>
      </c>
      <c r="J43" s="10" cm="1">
        <f t="array" ref="J43">_xlfn.XLOOKUP(Event_Master[[#This Row],[Event_No]],Venue_Orders[[#All],[Event_No]],Venue_Orders[[#All],[Client_Charge]],,0)</f>
        <v>175000</v>
      </c>
      <c r="K43" s="10" t="s">
        <v>247</v>
      </c>
      <c r="L43" s="10" cm="1">
        <f t="array" ref="L43">_xlfn.XLOOKUP(Event_Master[[#This Row],[Event_No]],Photography_Orders[[#All],[Event_No]],Photography_Orders[[#All],[Cost]],,0)</f>
        <v>10000</v>
      </c>
      <c r="M43" s="10" cm="1">
        <f t="array" ref="M43">_xlfn.XLOOKUP(Event_Master[[#This Row],[Event_No]],Photography_Orders[[#All],[Event_No]],Photography_Orders[[#All],[Client_Charge]],,0)</f>
        <v>12000</v>
      </c>
      <c r="N43" s="10" t="s">
        <v>163</v>
      </c>
      <c r="O43" s="10" cm="1">
        <f t="array" ref="O43">_xlfn.XLOOKUP(Event_Master[[#This Row],[Event_No]],Entertainment_Orders[[#All],[Event_No]],Entertainment_Orders[[#All],[Cost]],,0)</f>
        <v>7000</v>
      </c>
      <c r="P43" s="10" cm="1">
        <f t="array" ref="P43">_xlfn.XLOOKUP(Event_Master[[#This Row],[Event_No]],Entertainment_Orders[[#All],[Event_No]],Entertainment_Orders[[#All],[Client_Charge]],,0)</f>
        <v>8500</v>
      </c>
      <c r="Q43" s="10" t="s">
        <v>283</v>
      </c>
      <c r="R43" s="10" cm="1">
        <f t="array" ref="R43">_xlfn.XLOOKUP(Event_Master[[#This Row],[Event_No]],Decor_Orders[[#All],[Event_No]],Decor_Orders[[#All],[Cost]],,0)</f>
        <v>35000</v>
      </c>
      <c r="S43" s="10" cm="1">
        <f t="array" ref="S43">_xlfn.XLOOKUP(Event_Master[[#This Row],[Event_No]],Decor_Orders[[#All],[Event_No]],Decor_Orders[[#All],[Client_Charge]],,0)</f>
        <v>42000</v>
      </c>
      <c r="T43" s="10" t="s">
        <v>405</v>
      </c>
      <c r="U43" s="10">
        <f>SUMIFS(Logistics_Orders[[#All],[Cost]],Logistics_Orders[[#All],[Event_No]],Event_Master[[#This Row],[Event_No]])</f>
        <v>59000</v>
      </c>
      <c r="V43" s="10">
        <f>SUMIFS(Logistics_Orders[[#All],[Client_Charge]],Logistics_Orders[[#All],[Event_No]],Event_Master[[#This Row],[Event_No]])</f>
        <v>70800</v>
      </c>
      <c r="W43" s="10" t="s">
        <v>435</v>
      </c>
      <c r="X43" s="10">
        <f>SUMIFS(Food_Orders[[#All],[Cost]],Food_Orders[[#All],[Event_No]],Event_Master[[#This Row],[Event_No]])</f>
        <v>108000</v>
      </c>
      <c r="Y43" s="10">
        <f>SUMIFS(Food_Orders[[#All],[Client_Price]],Food_Orders[[#All],[Event_No]],Event_Master[[#This Row],[Event_No]])</f>
        <v>129600</v>
      </c>
      <c r="Z43" s="10">
        <f>Event_Master[[#This Row],[Venue_Cost]]+Event_Master[[#This Row],[Photography_Cost]]+Event_Master[[#This Row],[Entertainment_Cost]]+Event_Master[[#This Row],[Decor_Cost]]+Event_Master[[#This Row],[Logistics_Cost]]+Event_Master[[#This Row],[Food_Cost]]</f>
        <v>369000</v>
      </c>
      <c r="AA43" s="10">
        <f>Event_Master[[#This Row],[Venue_Charge]]+Event_Master[[#This Row],[Photography_Charge]]+Event_Master[[#This Row],[Entertainment_Charge]]+Event_Master[[#This Row],[Decor_Charge]]+Event_Master[[#This Row],[Logistics_Charge]]+Event_Master[[#This Row],[Food_Charge]]</f>
        <v>437900</v>
      </c>
      <c r="AB43" s="10">
        <v>12000</v>
      </c>
      <c r="AC43" s="10">
        <f>Event_Master[[#This Row],[Client_Budget]]+Event_Master[[#This Row],[Planner_Remuneration]]</f>
        <v>449900</v>
      </c>
      <c r="AD43" s="10">
        <v>5</v>
      </c>
    </row>
    <row r="44" spans="1:30" x14ac:dyDescent="0.25">
      <c r="A44" s="10">
        <v>43</v>
      </c>
      <c r="B44" s="10" t="str" cm="1">
        <f t="array" ref="B44">_xlfn.XLOOKUP(Event_Master[[#This Row],[Event_Type]],Event_Catalog[[#All],[Event_Name]],Event_Catalog[[#All],[Event_ID]],,0)</f>
        <v>E042</v>
      </c>
      <c r="C44" s="10" t="s">
        <v>379</v>
      </c>
      <c r="D44" s="10" t="s">
        <v>378</v>
      </c>
      <c r="E44" s="10">
        <v>60</v>
      </c>
      <c r="F44" s="10" t="s">
        <v>409</v>
      </c>
      <c r="G44" s="11">
        <v>45605</v>
      </c>
      <c r="H44" s="10" t="s">
        <v>223</v>
      </c>
      <c r="I44" s="10" cm="1">
        <f t="array" ref="I44">_xlfn.XLOOKUP(Event_Master[[#This Row],[Event_No]],Venue_Orders[[#All],[Event_No]],Venue_Orders[[#All],[Rental_Cost]],0,0)</f>
        <v>0</v>
      </c>
      <c r="J44" s="10" cm="1">
        <f t="array" ref="J44">_xlfn.XLOOKUP(Event_Master[[#This Row],[Event_No]],Venue_Orders[[#All],[Event_No]],Venue_Orders[[#All],[Client_Charge]],,0)</f>
        <v>0</v>
      </c>
      <c r="K44" s="10" t="s">
        <v>252</v>
      </c>
      <c r="L44" s="10" cm="1">
        <f t="array" ref="L44">_xlfn.XLOOKUP(Event_Master[[#This Row],[Event_No]],Photography_Orders[[#All],[Event_No]],Photography_Orders[[#All],[Cost]],,0)</f>
        <v>25000</v>
      </c>
      <c r="M44" s="10" cm="1">
        <f t="array" ref="M44">_xlfn.XLOOKUP(Event_Master[[#This Row],[Event_No]],Photography_Orders[[#All],[Event_No]],Photography_Orders[[#All],[Client_Charge]],,0)</f>
        <v>30000</v>
      </c>
      <c r="N44" s="10" t="s">
        <v>153</v>
      </c>
      <c r="O44" s="10" cm="1">
        <f t="array" ref="O44">_xlfn.XLOOKUP(Event_Master[[#This Row],[Event_No]],Entertainment_Orders[[#All],[Event_No]],Entertainment_Orders[[#All],[Cost]],,0)</f>
        <v>15000</v>
      </c>
      <c r="P44" s="10" cm="1">
        <f t="array" ref="P44">_xlfn.XLOOKUP(Event_Master[[#This Row],[Event_No]],Entertainment_Orders[[#All],[Event_No]],Entertainment_Orders[[#All],[Client_Charge]],,0)</f>
        <v>18000</v>
      </c>
      <c r="Q44" s="10" t="s">
        <v>283</v>
      </c>
      <c r="R44" s="10" cm="1">
        <f t="array" ref="R44">_xlfn.XLOOKUP(Event_Master[[#This Row],[Event_No]],Decor_Orders[[#All],[Event_No]],Decor_Orders[[#All],[Cost]],,0)</f>
        <v>35000</v>
      </c>
      <c r="S44" s="10" cm="1">
        <f t="array" ref="S44">_xlfn.XLOOKUP(Event_Master[[#This Row],[Event_No]],Decor_Orders[[#All],[Event_No]],Decor_Orders[[#All],[Client_Charge]],,0)</f>
        <v>42000</v>
      </c>
      <c r="T44" s="10" t="s">
        <v>405</v>
      </c>
      <c r="U44" s="10">
        <f>SUMIFS(Logistics_Orders[[#All],[Cost]],Logistics_Orders[[#All],[Event_No]],Event_Master[[#This Row],[Event_No]])</f>
        <v>44000</v>
      </c>
      <c r="V44" s="10">
        <f>SUMIFS(Logistics_Orders[[#All],[Client_Charge]],Logistics_Orders[[#All],[Event_No]],Event_Master[[#This Row],[Event_No]])</f>
        <v>52800</v>
      </c>
      <c r="W44" s="10" t="s">
        <v>442</v>
      </c>
      <c r="X44" s="10">
        <f>SUMIFS(Food_Orders[[#All],[Cost]],Food_Orders[[#All],[Event_No]],Event_Master[[#This Row],[Event_No]])</f>
        <v>57000</v>
      </c>
      <c r="Y44" s="10">
        <f>SUMIFS(Food_Orders[[#All],[Client_Price]],Food_Orders[[#All],[Event_No]],Event_Master[[#This Row],[Event_No]])</f>
        <v>68400</v>
      </c>
      <c r="Z44" s="10">
        <f>Event_Master[[#This Row],[Venue_Cost]]+Event_Master[[#This Row],[Photography_Cost]]+Event_Master[[#This Row],[Entertainment_Cost]]+Event_Master[[#This Row],[Decor_Cost]]+Event_Master[[#This Row],[Logistics_Cost]]+Event_Master[[#This Row],[Food_Cost]]</f>
        <v>176000</v>
      </c>
      <c r="AA44" s="10">
        <f>Event_Master[[#This Row],[Venue_Charge]]+Event_Master[[#This Row],[Photography_Charge]]+Event_Master[[#This Row],[Entertainment_Charge]]+Event_Master[[#This Row],[Decor_Charge]]+Event_Master[[#This Row],[Logistics_Charge]]+Event_Master[[#This Row],[Food_Charge]]</f>
        <v>211200</v>
      </c>
      <c r="AB44" s="10">
        <v>5000</v>
      </c>
      <c r="AC44" s="10">
        <f>Event_Master[[#This Row],[Client_Budget]]+Event_Master[[#This Row],[Planner_Remuneration]]</f>
        <v>216200</v>
      </c>
      <c r="AD44" s="10">
        <v>3</v>
      </c>
    </row>
    <row r="45" spans="1:30" x14ac:dyDescent="0.25">
      <c r="A45" s="10">
        <v>44</v>
      </c>
      <c r="B45" s="10" t="str" cm="1">
        <f t="array" ref="B45">_xlfn.XLOOKUP(Event_Master[[#This Row],[Event_Type]],Event_Catalog[[#All],[Event_Name]],Event_Catalog[[#All],[Event_ID]],,0)</f>
        <v>E043</v>
      </c>
      <c r="C45" s="10" t="s">
        <v>381</v>
      </c>
      <c r="D45" s="10" t="s">
        <v>378</v>
      </c>
      <c r="E45" s="10">
        <v>40</v>
      </c>
      <c r="F45" s="10" t="s">
        <v>409</v>
      </c>
      <c r="G45" s="11">
        <v>45650</v>
      </c>
      <c r="H45" s="10" t="s">
        <v>223</v>
      </c>
      <c r="I45" s="10" cm="1">
        <f t="array" ref="I45">_xlfn.XLOOKUP(Event_Master[[#This Row],[Event_No]],Venue_Orders[[#All],[Event_No]],Venue_Orders[[#All],[Rental_Cost]],0,0)</f>
        <v>0</v>
      </c>
      <c r="J45" s="10" cm="1">
        <f t="array" ref="J45">_xlfn.XLOOKUP(Event_Master[[#This Row],[Event_No]],Venue_Orders[[#All],[Event_No]],Venue_Orders[[#All],[Client_Charge]],,0)</f>
        <v>0</v>
      </c>
      <c r="K45" s="10" t="s">
        <v>252</v>
      </c>
      <c r="L45" s="10" cm="1">
        <f t="array" ref="L45">_xlfn.XLOOKUP(Event_Master[[#This Row],[Event_No]],Photography_Orders[[#All],[Event_No]],Photography_Orders[[#All],[Cost]],,0)</f>
        <v>25000</v>
      </c>
      <c r="M45" s="10" cm="1">
        <f t="array" ref="M45">_xlfn.XLOOKUP(Event_Master[[#This Row],[Event_No]],Photography_Orders[[#All],[Event_No]],Photography_Orders[[#All],[Client_Charge]],,0)</f>
        <v>30000</v>
      </c>
      <c r="N45" s="10" t="s">
        <v>167</v>
      </c>
      <c r="O45" s="10" cm="1">
        <f t="array" ref="O45">_xlfn.XLOOKUP(Event_Master[[#This Row],[Event_No]],Entertainment_Orders[[#All],[Event_No]],Entertainment_Orders[[#All],[Cost]],,0)</f>
        <v>0</v>
      </c>
      <c r="P45" s="10" cm="1">
        <f t="array" ref="P45">_xlfn.XLOOKUP(Event_Master[[#This Row],[Event_No]],Entertainment_Orders[[#All],[Event_No]],Entertainment_Orders[[#All],[Client_Charge]],,0)</f>
        <v>0</v>
      </c>
      <c r="Q45" s="10" t="s">
        <v>283</v>
      </c>
      <c r="R45" s="10" cm="1">
        <f t="array" ref="R45">_xlfn.XLOOKUP(Event_Master[[#This Row],[Event_No]],Decor_Orders[[#All],[Event_No]],Decor_Orders[[#All],[Cost]],,0)</f>
        <v>35000</v>
      </c>
      <c r="S45" s="10" cm="1">
        <f t="array" ref="S45">_xlfn.XLOOKUP(Event_Master[[#This Row],[Event_No]],Decor_Orders[[#All],[Event_No]],Decor_Orders[[#All],[Client_Charge]],,0)</f>
        <v>42000</v>
      </c>
      <c r="T45" s="10" t="s">
        <v>405</v>
      </c>
      <c r="U45" s="10">
        <f>SUMIFS(Logistics_Orders[[#All],[Cost]],Logistics_Orders[[#All],[Event_No]],Event_Master[[#This Row],[Event_No]])</f>
        <v>44000</v>
      </c>
      <c r="V45" s="10">
        <f>SUMIFS(Logistics_Orders[[#All],[Client_Charge]],Logistics_Orders[[#All],[Event_No]],Event_Master[[#This Row],[Event_No]])</f>
        <v>52800</v>
      </c>
      <c r="W45" s="10" t="s">
        <v>443</v>
      </c>
      <c r="X45" s="10">
        <f>SUMIFS(Food_Orders[[#All],[Cost]],Food_Orders[[#All],[Event_No]],Event_Master[[#This Row],[Event_No]])</f>
        <v>16400</v>
      </c>
      <c r="Y45" s="10">
        <f>SUMIFS(Food_Orders[[#All],[Client_Price]],Food_Orders[[#All],[Event_No]],Event_Master[[#This Row],[Event_No]])</f>
        <v>19680</v>
      </c>
      <c r="Z45" s="10">
        <f>Event_Master[[#This Row],[Venue_Cost]]+Event_Master[[#This Row],[Photography_Cost]]+Event_Master[[#This Row],[Entertainment_Cost]]+Event_Master[[#This Row],[Decor_Cost]]+Event_Master[[#This Row],[Logistics_Cost]]+Event_Master[[#This Row],[Food_Cost]]</f>
        <v>120400</v>
      </c>
      <c r="AA45" s="10">
        <f>Event_Master[[#This Row],[Venue_Charge]]+Event_Master[[#This Row],[Photography_Charge]]+Event_Master[[#This Row],[Entertainment_Charge]]+Event_Master[[#This Row],[Decor_Charge]]+Event_Master[[#This Row],[Logistics_Charge]]+Event_Master[[#This Row],[Food_Charge]]</f>
        <v>144480</v>
      </c>
      <c r="AB45" s="10">
        <v>5000</v>
      </c>
      <c r="AC45" s="10">
        <f>Event_Master[[#This Row],[Client_Budget]]+Event_Master[[#This Row],[Planner_Remuneration]]</f>
        <v>149480</v>
      </c>
      <c r="AD45" s="10">
        <v>4</v>
      </c>
    </row>
    <row r="46" spans="1:30" x14ac:dyDescent="0.25">
      <c r="A46" s="10">
        <v>45</v>
      </c>
      <c r="B46" s="10" t="str" cm="1">
        <f t="array" ref="B46">_xlfn.XLOOKUP(Event_Master[[#This Row],[Event_Type]],Event_Catalog[[#All],[Event_Name]],Event_Catalog[[#All],[Event_ID]],,0)</f>
        <v>E044</v>
      </c>
      <c r="C46" s="10" t="s">
        <v>383</v>
      </c>
      <c r="D46" s="10" t="s">
        <v>378</v>
      </c>
      <c r="E46" s="10">
        <v>150</v>
      </c>
      <c r="F46" s="10" t="s">
        <v>409</v>
      </c>
      <c r="G46" s="11">
        <v>45422</v>
      </c>
      <c r="H46" s="10" t="s">
        <v>211</v>
      </c>
      <c r="I46" s="10" cm="1">
        <f t="array" ref="I46">_xlfn.XLOOKUP(Event_Master[[#This Row],[Event_No]],Venue_Orders[[#All],[Event_No]],Venue_Orders[[#All],[Rental_Cost]],0,0)</f>
        <v>120000</v>
      </c>
      <c r="J46" s="10" cm="1">
        <f t="array" ref="J46">_xlfn.XLOOKUP(Event_Master[[#This Row],[Event_No]],Venue_Orders[[#All],[Event_No]],Venue_Orders[[#All],[Client_Charge]],,0)</f>
        <v>138000</v>
      </c>
      <c r="K46" s="10" t="s">
        <v>237</v>
      </c>
      <c r="L46" s="10" cm="1">
        <f t="array" ref="L46">_xlfn.XLOOKUP(Event_Master[[#This Row],[Event_No]],Photography_Orders[[#All],[Event_No]],Photography_Orders[[#All],[Cost]],,0)</f>
        <v>45000</v>
      </c>
      <c r="M46" s="10" cm="1">
        <f t="array" ref="M46">_xlfn.XLOOKUP(Event_Master[[#This Row],[Event_No]],Photography_Orders[[#All],[Event_No]],Photography_Orders[[#All],[Client_Charge]],,0)</f>
        <v>53000</v>
      </c>
      <c r="N46" s="10" t="s">
        <v>169</v>
      </c>
      <c r="O46" s="10" cm="1">
        <f t="array" ref="O46">_xlfn.XLOOKUP(Event_Master[[#This Row],[Event_No]],Entertainment_Orders[[#All],[Event_No]],Entertainment_Orders[[#All],[Cost]],,0)</f>
        <v>0</v>
      </c>
      <c r="P46" s="10" cm="1">
        <f t="array" ref="P46">_xlfn.XLOOKUP(Event_Master[[#This Row],[Event_No]],Entertainment_Orders[[#All],[Event_No]],Entertainment_Orders[[#All],[Client_Charge]],,0)</f>
        <v>0</v>
      </c>
      <c r="Q46" s="10" t="s">
        <v>278</v>
      </c>
      <c r="R46" s="10" cm="1">
        <f t="array" ref="R46">_xlfn.XLOOKUP(Event_Master[[#This Row],[Event_No]],Decor_Orders[[#All],[Event_No]],Decor_Orders[[#All],[Cost]],,0)</f>
        <v>20000</v>
      </c>
      <c r="S46" s="10" cm="1">
        <f t="array" ref="S46">_xlfn.XLOOKUP(Event_Master[[#This Row],[Event_No]],Decor_Orders[[#All],[Event_No]],Decor_Orders[[#All],[Client_Charge]],,0)</f>
        <v>24000</v>
      </c>
      <c r="T46" s="10" t="s">
        <v>444</v>
      </c>
      <c r="U46" s="10">
        <f>SUMIFS(Logistics_Orders[[#All],[Cost]],Logistics_Orders[[#All],[Event_No]],Event_Master[[#This Row],[Event_No]])</f>
        <v>32000</v>
      </c>
      <c r="V46" s="10">
        <f>SUMIFS(Logistics_Orders[[#All],[Client_Charge]],Logistics_Orders[[#All],[Event_No]],Event_Master[[#This Row],[Event_No]])</f>
        <v>38300</v>
      </c>
      <c r="W46" s="10" t="s">
        <v>445</v>
      </c>
      <c r="X46" s="10">
        <f>SUMIFS(Food_Orders[[#All],[Cost]],Food_Orders[[#All],[Event_No]],Event_Master[[#This Row],[Event_No]])</f>
        <v>49500</v>
      </c>
      <c r="Y46" s="10">
        <f>SUMIFS(Food_Orders[[#All],[Client_Price]],Food_Orders[[#All],[Event_No]],Event_Master[[#This Row],[Event_No]])</f>
        <v>59400</v>
      </c>
      <c r="Z46" s="10">
        <f>Event_Master[[#This Row],[Venue_Cost]]+Event_Master[[#This Row],[Photography_Cost]]+Event_Master[[#This Row],[Entertainment_Cost]]+Event_Master[[#This Row],[Decor_Cost]]+Event_Master[[#This Row],[Logistics_Cost]]+Event_Master[[#This Row],[Food_Cost]]</f>
        <v>266500</v>
      </c>
      <c r="AA46" s="10">
        <f>Event_Master[[#This Row],[Venue_Charge]]+Event_Master[[#This Row],[Photography_Charge]]+Event_Master[[#This Row],[Entertainment_Charge]]+Event_Master[[#This Row],[Decor_Charge]]+Event_Master[[#This Row],[Logistics_Charge]]+Event_Master[[#This Row],[Food_Charge]]</f>
        <v>312700</v>
      </c>
      <c r="AB46" s="10">
        <v>5000</v>
      </c>
      <c r="AC46" s="10">
        <f>Event_Master[[#This Row],[Client_Budget]]+Event_Master[[#This Row],[Planner_Remuneration]]</f>
        <v>317700</v>
      </c>
      <c r="AD46" s="10">
        <v>5</v>
      </c>
    </row>
    <row r="47" spans="1:30" x14ac:dyDescent="0.25">
      <c r="A47" s="10">
        <v>46</v>
      </c>
      <c r="B47" s="10" t="str" cm="1">
        <f t="array" ref="B47">_xlfn.XLOOKUP(Event_Master[[#This Row],[Event_Type]],Event_Catalog[[#All],[Event_Name]],Event_Catalog[[#All],[Event_ID]],,0)</f>
        <v>E001</v>
      </c>
      <c r="C47" s="10" t="s">
        <v>293</v>
      </c>
      <c r="D47" s="10" t="s">
        <v>292</v>
      </c>
      <c r="E47" s="10">
        <v>1200</v>
      </c>
      <c r="F47" s="10" t="s">
        <v>404</v>
      </c>
      <c r="G47" s="11">
        <v>45690</v>
      </c>
      <c r="H47" s="10" t="s">
        <v>207</v>
      </c>
      <c r="I47" s="10" cm="1">
        <f t="array" ref="I47">_xlfn.XLOOKUP(Event_Master[[#This Row],[Event_No]],Venue_Orders[[#All],[Event_No]],Venue_Orders[[#All],[Rental_Cost]],0,0)</f>
        <v>60000</v>
      </c>
      <c r="J47" s="10" cm="1">
        <f t="array" ref="J47">_xlfn.XLOOKUP(Event_Master[[#This Row],[Event_No]],Venue_Orders[[#All],[Event_No]],Venue_Orders[[#All],[Client_Charge]],,0)</f>
        <v>70000</v>
      </c>
      <c r="K47" s="10" t="s">
        <v>237</v>
      </c>
      <c r="L47" s="10" cm="1">
        <f t="array" ref="L47">_xlfn.XLOOKUP(Event_Master[[#This Row],[Event_No]],Photography_Orders[[#All],[Event_No]],Photography_Orders[[#All],[Cost]],,0)</f>
        <v>45000</v>
      </c>
      <c r="M47" s="10" cm="1">
        <f t="array" ref="M47">_xlfn.XLOOKUP(Event_Master[[#This Row],[Event_No]],Photography_Orders[[#All],[Event_No]],Photography_Orders[[#All],[Client_Charge]],,0)</f>
        <v>53000</v>
      </c>
      <c r="N47" s="10" t="s">
        <v>153</v>
      </c>
      <c r="O47" s="10" cm="1">
        <f t="array" ref="O47">_xlfn.XLOOKUP(Event_Master[[#This Row],[Event_No]],Entertainment_Orders[[#All],[Event_No]],Entertainment_Orders[[#All],[Cost]],,0)</f>
        <v>15000</v>
      </c>
      <c r="P47" s="10" cm="1">
        <f t="array" ref="P47">_xlfn.XLOOKUP(Event_Master[[#This Row],[Event_No]],Entertainment_Orders[[#All],[Event_No]],Entertainment_Orders[[#All],[Client_Charge]],,0)</f>
        <v>18000</v>
      </c>
      <c r="Q47" s="10" t="s">
        <v>260</v>
      </c>
      <c r="R47" s="10" cm="1">
        <f t="array" ref="R47">_xlfn.XLOOKUP(Event_Master[[#This Row],[Event_No]],Decor_Orders[[#All],[Event_No]],Decor_Orders[[#All],[Cost]],,0)</f>
        <v>25000</v>
      </c>
      <c r="S47" s="10" cm="1">
        <f t="array" ref="S47">_xlfn.XLOOKUP(Event_Master[[#This Row],[Event_No]],Decor_Orders[[#All],[Event_No]],Decor_Orders[[#All],[Client_Charge]],,0)</f>
        <v>30000</v>
      </c>
      <c r="T47" s="10" t="s">
        <v>405</v>
      </c>
      <c r="U47" s="10">
        <f>SUMIFS(Logistics_Orders[[#All],[Cost]],Logistics_Orders[[#All],[Event_No]],Event_Master[[#This Row],[Event_No]])</f>
        <v>89000</v>
      </c>
      <c r="V47" s="10">
        <f>SUMIFS(Logistics_Orders[[#All],[Client_Charge]],Logistics_Orders[[#All],[Event_No]],Event_Master[[#This Row],[Event_No]])</f>
        <v>106800</v>
      </c>
      <c r="W47" s="10" t="s">
        <v>406</v>
      </c>
      <c r="X47" s="10">
        <f>SUMIFS(Food_Orders[[#All],[Cost]],Food_Orders[[#All],[Event_No]],Event_Master[[#This Row],[Event_No]])</f>
        <v>1974000</v>
      </c>
      <c r="Y47" s="10">
        <f>SUMIFS(Food_Orders[[#All],[Client_Price]],Food_Orders[[#All],[Event_No]],Event_Master[[#This Row],[Event_No]])</f>
        <v>2368800</v>
      </c>
      <c r="Z47" s="10">
        <f>Event_Master[[#This Row],[Venue_Cost]]+Event_Master[[#This Row],[Photography_Cost]]+Event_Master[[#This Row],[Entertainment_Cost]]+Event_Master[[#This Row],[Decor_Cost]]+Event_Master[[#This Row],[Logistics_Cost]]+Event_Master[[#This Row],[Food_Cost]]</f>
        <v>2208000</v>
      </c>
      <c r="AA47" s="10">
        <f>Event_Master[[#This Row],[Venue_Charge]]+Event_Master[[#This Row],[Photography_Charge]]+Event_Master[[#This Row],[Entertainment_Charge]]+Event_Master[[#This Row],[Decor_Charge]]+Event_Master[[#This Row],[Logistics_Charge]]+Event_Master[[#This Row],[Food_Charge]]</f>
        <v>2646600</v>
      </c>
      <c r="AB47" s="10">
        <v>30000</v>
      </c>
      <c r="AC47" s="10">
        <f>Event_Master[[#This Row],[Client_Budget]]+Event_Master[[#This Row],[Planner_Remuneration]]</f>
        <v>2676600</v>
      </c>
      <c r="AD47" s="10">
        <v>5</v>
      </c>
    </row>
    <row r="48" spans="1:30" x14ac:dyDescent="0.25">
      <c r="A48" s="10">
        <v>47</v>
      </c>
      <c r="B48" s="10" t="str" cm="1">
        <f t="array" ref="B48">_xlfn.XLOOKUP(Event_Master[[#This Row],[Event_Type]],Event_Catalog[[#All],[Event_Name]],Event_Catalog[[#All],[Event_ID]],,0)</f>
        <v>E045</v>
      </c>
      <c r="C48" s="10" t="s">
        <v>385</v>
      </c>
      <c r="D48" s="10" t="s">
        <v>378</v>
      </c>
      <c r="E48" s="10">
        <v>120</v>
      </c>
      <c r="F48" s="10" t="s">
        <v>409</v>
      </c>
      <c r="G48" s="11">
        <v>45458</v>
      </c>
      <c r="H48" s="10" t="s">
        <v>211</v>
      </c>
      <c r="I48" s="10" cm="1">
        <f t="array" ref="I48">_xlfn.XLOOKUP(Event_Master[[#This Row],[Event_No]],Venue_Orders[[#All],[Event_No]],Venue_Orders[[#All],[Rental_Cost]],0,0)</f>
        <v>120000</v>
      </c>
      <c r="J48" s="10" cm="1">
        <f t="array" ref="J48">_xlfn.XLOOKUP(Event_Master[[#This Row],[Event_No]],Venue_Orders[[#All],[Event_No]],Venue_Orders[[#All],[Client_Charge]],,0)</f>
        <v>138000</v>
      </c>
      <c r="K48" s="10" t="s">
        <v>237</v>
      </c>
      <c r="L48" s="10" cm="1">
        <f t="array" ref="L48">_xlfn.XLOOKUP(Event_Master[[#This Row],[Event_No]],Photography_Orders[[#All],[Event_No]],Photography_Orders[[#All],[Cost]],,0)</f>
        <v>45000</v>
      </c>
      <c r="M48" s="10" cm="1">
        <f t="array" ref="M48">_xlfn.XLOOKUP(Event_Master[[#This Row],[Event_No]],Photography_Orders[[#All],[Event_No]],Photography_Orders[[#All],[Client_Charge]],,0)</f>
        <v>53000</v>
      </c>
      <c r="N48" s="10" t="s">
        <v>169</v>
      </c>
      <c r="O48" s="10" cm="1">
        <f t="array" ref="O48">_xlfn.XLOOKUP(Event_Master[[#This Row],[Event_No]],Entertainment_Orders[[#All],[Event_No]],Entertainment_Orders[[#All],[Cost]],,0)</f>
        <v>0</v>
      </c>
      <c r="P48" s="10" cm="1">
        <f t="array" ref="P48">_xlfn.XLOOKUP(Event_Master[[#This Row],[Event_No]],Entertainment_Orders[[#All],[Event_No]],Entertainment_Orders[[#All],[Client_Charge]],,0)</f>
        <v>0</v>
      </c>
      <c r="Q48" s="10" t="s">
        <v>283</v>
      </c>
      <c r="R48" s="10" cm="1">
        <f t="array" ref="R48">_xlfn.XLOOKUP(Event_Master[[#This Row],[Event_No]],Decor_Orders[[#All],[Event_No]],Decor_Orders[[#All],[Cost]],,0)</f>
        <v>35000</v>
      </c>
      <c r="S48" s="10" cm="1">
        <f t="array" ref="S48">_xlfn.XLOOKUP(Event_Master[[#This Row],[Event_No]],Decor_Orders[[#All],[Event_No]],Decor_Orders[[#All],[Client_Charge]],,0)</f>
        <v>42000</v>
      </c>
      <c r="T48" s="10" t="s">
        <v>405</v>
      </c>
      <c r="U48" s="10">
        <f>SUMIFS(Logistics_Orders[[#All],[Cost]],Logistics_Orders[[#All],[Event_No]],Event_Master[[#This Row],[Event_No]])</f>
        <v>44000</v>
      </c>
      <c r="V48" s="10">
        <f>SUMIFS(Logistics_Orders[[#All],[Client_Charge]],Logistics_Orders[[#All],[Event_No]],Event_Master[[#This Row],[Event_No]])</f>
        <v>52800</v>
      </c>
      <c r="W48" s="10" t="s">
        <v>446</v>
      </c>
      <c r="X48" s="10">
        <f>SUMIFS(Food_Orders[[#All],[Cost]],Food_Orders[[#All],[Event_No]],Event_Master[[#This Row],[Event_No]])</f>
        <v>34200</v>
      </c>
      <c r="Y48" s="10">
        <f>SUMIFS(Food_Orders[[#All],[Client_Price]],Food_Orders[[#All],[Event_No]],Event_Master[[#This Row],[Event_No]])</f>
        <v>41040</v>
      </c>
      <c r="Z48" s="10">
        <f>Event_Master[[#This Row],[Venue_Cost]]+Event_Master[[#This Row],[Photography_Cost]]+Event_Master[[#This Row],[Entertainment_Cost]]+Event_Master[[#This Row],[Decor_Cost]]+Event_Master[[#This Row],[Logistics_Cost]]+Event_Master[[#This Row],[Food_Cost]]</f>
        <v>278200</v>
      </c>
      <c r="AA48" s="10">
        <f>Event_Master[[#This Row],[Venue_Charge]]+Event_Master[[#This Row],[Photography_Charge]]+Event_Master[[#This Row],[Entertainment_Charge]]+Event_Master[[#This Row],[Decor_Charge]]+Event_Master[[#This Row],[Logistics_Charge]]+Event_Master[[#This Row],[Food_Charge]]</f>
        <v>326840</v>
      </c>
      <c r="AB48" s="10">
        <v>5000</v>
      </c>
      <c r="AC48" s="10">
        <f>Event_Master[[#This Row],[Client_Budget]]+Event_Master[[#This Row],[Planner_Remuneration]]</f>
        <v>331840</v>
      </c>
      <c r="AD48" s="10">
        <v>5</v>
      </c>
    </row>
    <row r="49" spans="1:30" x14ac:dyDescent="0.25">
      <c r="A49" s="10">
        <v>48</v>
      </c>
      <c r="B49" s="10" t="str" cm="1">
        <f t="array" ref="B49">_xlfn.XLOOKUP(Event_Master[[#This Row],[Event_Type]],Event_Catalog[[#All],[Event_Name]],Event_Catalog[[#All],[Event_ID]],,0)</f>
        <v>E046</v>
      </c>
      <c r="C49" s="10" t="s">
        <v>387</v>
      </c>
      <c r="D49" s="10" t="s">
        <v>378</v>
      </c>
      <c r="E49" s="10">
        <v>80</v>
      </c>
      <c r="F49" s="10" t="s">
        <v>409</v>
      </c>
      <c r="G49" s="11">
        <v>45494</v>
      </c>
      <c r="H49" s="10" t="s">
        <v>215</v>
      </c>
      <c r="I49" s="10" cm="1">
        <f t="array" ref="I49">_xlfn.XLOOKUP(Event_Master[[#This Row],[Event_No]],Venue_Orders[[#All],[Event_No]],Venue_Orders[[#All],[Rental_Cost]],0,0)</f>
        <v>150000</v>
      </c>
      <c r="J49" s="10" cm="1">
        <f t="array" ref="J49">_xlfn.XLOOKUP(Event_Master[[#This Row],[Event_No]],Venue_Orders[[#All],[Event_No]],Venue_Orders[[#All],[Client_Charge]],,0)</f>
        <v>175000</v>
      </c>
      <c r="K49" s="10" t="s">
        <v>242</v>
      </c>
      <c r="L49" s="10" cm="1">
        <f t="array" ref="L49">_xlfn.XLOOKUP(Event_Master[[#This Row],[Event_No]],Photography_Orders[[#All],[Event_No]],Photography_Orders[[#All],[Cost]],,0)</f>
        <v>20000</v>
      </c>
      <c r="M49" s="10" cm="1">
        <f t="array" ref="M49">_xlfn.XLOOKUP(Event_Master[[#This Row],[Event_No]],Photography_Orders[[#All],[Event_No]],Photography_Orders[[#All],[Client_Charge]],,0)</f>
        <v>24000</v>
      </c>
      <c r="N49" s="10" t="s">
        <v>163</v>
      </c>
      <c r="O49" s="10" cm="1">
        <f t="array" ref="O49">_xlfn.XLOOKUP(Event_Master[[#This Row],[Event_No]],Entertainment_Orders[[#All],[Event_No]],Entertainment_Orders[[#All],[Cost]],,0)</f>
        <v>7000</v>
      </c>
      <c r="P49" s="10" cm="1">
        <f t="array" ref="P49">_xlfn.XLOOKUP(Event_Master[[#This Row],[Event_No]],Entertainment_Orders[[#All],[Event_No]],Entertainment_Orders[[#All],[Client_Charge]],,0)</f>
        <v>8500</v>
      </c>
      <c r="Q49" s="10" t="s">
        <v>283</v>
      </c>
      <c r="R49" s="10" cm="1">
        <f t="array" ref="R49">_xlfn.XLOOKUP(Event_Master[[#This Row],[Event_No]],Decor_Orders[[#All],[Event_No]],Decor_Orders[[#All],[Cost]],,0)</f>
        <v>35000</v>
      </c>
      <c r="S49" s="10" cm="1">
        <f t="array" ref="S49">_xlfn.XLOOKUP(Event_Master[[#This Row],[Event_No]],Decor_Orders[[#All],[Event_No]],Decor_Orders[[#All],[Client_Charge]],,0)</f>
        <v>42000</v>
      </c>
      <c r="T49" s="10" t="s">
        <v>405</v>
      </c>
      <c r="U49" s="10">
        <f>SUMIFS(Logistics_Orders[[#All],[Cost]],Logistics_Orders[[#All],[Event_No]],Event_Master[[#This Row],[Event_No]])</f>
        <v>44000</v>
      </c>
      <c r="V49" s="10">
        <f>SUMIFS(Logistics_Orders[[#All],[Client_Charge]],Logistics_Orders[[#All],[Event_No]],Event_Master[[#This Row],[Event_No]])</f>
        <v>52800</v>
      </c>
      <c r="W49" s="10" t="s">
        <v>447</v>
      </c>
      <c r="X49" s="10">
        <f>SUMIFS(Food_Orders[[#All],[Cost]],Food_Orders[[#All],[Event_No]],Event_Master[[#This Row],[Event_No]])</f>
        <v>63200</v>
      </c>
      <c r="Y49" s="10">
        <f>SUMIFS(Food_Orders[[#All],[Client_Price]],Food_Orders[[#All],[Event_No]],Event_Master[[#This Row],[Event_No]])</f>
        <v>75840</v>
      </c>
      <c r="Z49" s="10">
        <f>Event_Master[[#This Row],[Venue_Cost]]+Event_Master[[#This Row],[Photography_Cost]]+Event_Master[[#This Row],[Entertainment_Cost]]+Event_Master[[#This Row],[Decor_Cost]]+Event_Master[[#This Row],[Logistics_Cost]]+Event_Master[[#This Row],[Food_Cost]]</f>
        <v>319200</v>
      </c>
      <c r="AA49" s="10">
        <f>Event_Master[[#This Row],[Venue_Charge]]+Event_Master[[#This Row],[Photography_Charge]]+Event_Master[[#This Row],[Entertainment_Charge]]+Event_Master[[#This Row],[Decor_Charge]]+Event_Master[[#This Row],[Logistics_Charge]]+Event_Master[[#This Row],[Food_Charge]]</f>
        <v>378140</v>
      </c>
      <c r="AB49" s="10">
        <v>5000</v>
      </c>
      <c r="AC49" s="10">
        <f>Event_Master[[#This Row],[Client_Budget]]+Event_Master[[#This Row],[Planner_Remuneration]]</f>
        <v>383140</v>
      </c>
      <c r="AD49" s="10">
        <v>4</v>
      </c>
    </row>
    <row r="50" spans="1:30" x14ac:dyDescent="0.25">
      <c r="A50" s="10">
        <v>49</v>
      </c>
      <c r="B50" s="10" t="str" cm="1">
        <f t="array" ref="B50">_xlfn.XLOOKUP(Event_Master[[#This Row],[Event_Type]],Event_Catalog[[#All],[Event_Name]],Event_Catalog[[#All],[Event_ID]],,0)</f>
        <v>E047</v>
      </c>
      <c r="C50" s="10" t="s">
        <v>389</v>
      </c>
      <c r="D50" s="10" t="s">
        <v>378</v>
      </c>
      <c r="E50" s="10">
        <v>950</v>
      </c>
      <c r="F50" s="10" t="s">
        <v>404</v>
      </c>
      <c r="G50" s="11">
        <v>45508</v>
      </c>
      <c r="H50" s="10" t="s">
        <v>215</v>
      </c>
      <c r="I50" s="10" cm="1">
        <f t="array" ref="I50">_xlfn.XLOOKUP(Event_Master[[#This Row],[Event_No]],Venue_Orders[[#All],[Event_No]],Venue_Orders[[#All],[Rental_Cost]],0,0)</f>
        <v>150000</v>
      </c>
      <c r="J50" s="10" cm="1">
        <f t="array" ref="J50">_xlfn.XLOOKUP(Event_Master[[#This Row],[Event_No]],Venue_Orders[[#All],[Event_No]],Venue_Orders[[#All],[Client_Charge]],,0)</f>
        <v>175000</v>
      </c>
      <c r="K50" s="10" t="s">
        <v>237</v>
      </c>
      <c r="L50" s="10" cm="1">
        <f t="array" ref="L50">_xlfn.XLOOKUP(Event_Master[[#This Row],[Event_No]],Photography_Orders[[#All],[Event_No]],Photography_Orders[[#All],[Cost]],,0)</f>
        <v>45000</v>
      </c>
      <c r="M50" s="10" cm="1">
        <f t="array" ref="M50">_xlfn.XLOOKUP(Event_Master[[#This Row],[Event_No]],Photography_Orders[[#All],[Event_No]],Photography_Orders[[#All],[Client_Charge]],,0)</f>
        <v>53000</v>
      </c>
      <c r="N50" s="10" t="s">
        <v>167</v>
      </c>
      <c r="O50" s="10" cm="1">
        <f t="array" ref="O50">_xlfn.XLOOKUP(Event_Master[[#This Row],[Event_No]],Entertainment_Orders[[#All],[Event_No]],Entertainment_Orders[[#All],[Cost]],,0)</f>
        <v>0</v>
      </c>
      <c r="P50" s="10" cm="1">
        <f t="array" ref="P50">_xlfn.XLOOKUP(Event_Master[[#This Row],[Event_No]],Entertainment_Orders[[#All],[Event_No]],Entertainment_Orders[[#All],[Client_Charge]],,0)</f>
        <v>0</v>
      </c>
      <c r="Q50" s="10" t="s">
        <v>283</v>
      </c>
      <c r="R50" s="10" cm="1">
        <f t="array" ref="R50">_xlfn.XLOOKUP(Event_Master[[#This Row],[Event_No]],Decor_Orders[[#All],[Event_No]],Decor_Orders[[#All],[Cost]],,0)</f>
        <v>35000</v>
      </c>
      <c r="S50" s="10" cm="1">
        <f t="array" ref="S50">_xlfn.XLOOKUP(Event_Master[[#This Row],[Event_No]],Decor_Orders[[#All],[Event_No]],Decor_Orders[[#All],[Client_Charge]],,0)</f>
        <v>42000</v>
      </c>
      <c r="T50" s="10" t="s">
        <v>405</v>
      </c>
      <c r="U50" s="10">
        <f>SUMIFS(Logistics_Orders[[#All],[Cost]],Logistics_Orders[[#All],[Event_No]],Event_Master[[#This Row],[Event_No]])</f>
        <v>89000</v>
      </c>
      <c r="V50" s="10">
        <f>SUMIFS(Logistics_Orders[[#All],[Client_Charge]],Logistics_Orders[[#All],[Event_No]],Event_Master[[#This Row],[Event_No]])</f>
        <v>106800</v>
      </c>
      <c r="W50" s="10" t="s">
        <v>448</v>
      </c>
      <c r="X50" s="10">
        <f>SUMIFS(Food_Orders[[#All],[Cost]],Food_Orders[[#All],[Event_No]],Event_Master[[#This Row],[Event_No]])</f>
        <v>237500</v>
      </c>
      <c r="Y50" s="10">
        <f>SUMIFS(Food_Orders[[#All],[Client_Price]],Food_Orders[[#All],[Event_No]],Event_Master[[#This Row],[Event_No]])</f>
        <v>285000</v>
      </c>
      <c r="Z50" s="10">
        <f>Event_Master[[#This Row],[Venue_Cost]]+Event_Master[[#This Row],[Photography_Cost]]+Event_Master[[#This Row],[Entertainment_Cost]]+Event_Master[[#This Row],[Decor_Cost]]+Event_Master[[#This Row],[Logistics_Cost]]+Event_Master[[#This Row],[Food_Cost]]</f>
        <v>556500</v>
      </c>
      <c r="AA50" s="10">
        <f>Event_Master[[#This Row],[Venue_Charge]]+Event_Master[[#This Row],[Photography_Charge]]+Event_Master[[#This Row],[Entertainment_Charge]]+Event_Master[[#This Row],[Decor_Charge]]+Event_Master[[#This Row],[Logistics_Charge]]+Event_Master[[#This Row],[Food_Charge]]</f>
        <v>661800</v>
      </c>
      <c r="AB50" s="10">
        <v>30000</v>
      </c>
      <c r="AC50" s="10">
        <f>Event_Master[[#This Row],[Client_Budget]]+Event_Master[[#This Row],[Planner_Remuneration]]</f>
        <v>691800</v>
      </c>
      <c r="AD50" s="10">
        <v>5</v>
      </c>
    </row>
    <row r="51" spans="1:30" x14ac:dyDescent="0.25">
      <c r="A51" s="10">
        <v>50</v>
      </c>
      <c r="B51" s="10" t="str" cm="1">
        <f t="array" ref="B51">_xlfn.XLOOKUP(Event_Master[[#This Row],[Event_Type]],Event_Catalog[[#All],[Event_Name]],Event_Catalog[[#All],[Event_ID]],,0)</f>
        <v>E001</v>
      </c>
      <c r="C51" s="10" t="s">
        <v>293</v>
      </c>
      <c r="D51" s="10" t="s">
        <v>292</v>
      </c>
      <c r="E51" s="10">
        <v>420</v>
      </c>
      <c r="F51" s="10" t="s">
        <v>407</v>
      </c>
      <c r="G51" s="11">
        <v>45613</v>
      </c>
      <c r="H51" s="10" t="s">
        <v>207</v>
      </c>
      <c r="I51" s="10" cm="1">
        <f t="array" ref="I51">_xlfn.XLOOKUP(Event_Master[[#This Row],[Event_No]],Venue_Orders[[#All],[Event_No]],Venue_Orders[[#All],[Rental_Cost]],0,0)</f>
        <v>60000</v>
      </c>
      <c r="J51" s="10" cm="1">
        <f t="array" ref="J51">_xlfn.XLOOKUP(Event_Master[[#This Row],[Event_No]],Venue_Orders[[#All],[Event_No]],Venue_Orders[[#All],[Client_Charge]],,0)</f>
        <v>70000</v>
      </c>
      <c r="K51" s="10" t="s">
        <v>232</v>
      </c>
      <c r="L51" s="10" cm="1">
        <f t="array" ref="L51">_xlfn.XLOOKUP(Event_Master[[#This Row],[Event_No]],Photography_Orders[[#All],[Event_No]],Photography_Orders[[#All],[Cost]],,0)</f>
        <v>30000</v>
      </c>
      <c r="M51" s="10" cm="1">
        <f t="array" ref="M51">_xlfn.XLOOKUP(Event_Master[[#This Row],[Event_No]],Photography_Orders[[#All],[Event_No]],Photography_Orders[[#All],[Client_Charge]],,0)</f>
        <v>36000</v>
      </c>
      <c r="N51" s="10" t="s">
        <v>153</v>
      </c>
      <c r="O51" s="10" cm="1">
        <f t="array" ref="O51">_xlfn.XLOOKUP(Event_Master[[#This Row],[Event_No]],Entertainment_Orders[[#All],[Event_No]],Entertainment_Orders[[#All],[Cost]],,0)</f>
        <v>15000</v>
      </c>
      <c r="P51" s="10" cm="1">
        <f t="array" ref="P51">_xlfn.XLOOKUP(Event_Master[[#This Row],[Event_No]],Entertainment_Orders[[#All],[Event_No]],Entertainment_Orders[[#All],[Client_Charge]],,0)</f>
        <v>18000</v>
      </c>
      <c r="Q51" s="10" t="s">
        <v>260</v>
      </c>
      <c r="R51" s="10" cm="1">
        <f t="array" ref="R51">_xlfn.XLOOKUP(Event_Master[[#This Row],[Event_No]],Decor_Orders[[#All],[Event_No]],Decor_Orders[[#All],[Cost]],,0)</f>
        <v>25000</v>
      </c>
      <c r="S51" s="10" cm="1">
        <f t="array" ref="S51">_xlfn.XLOOKUP(Event_Master[[#This Row],[Event_No]],Decor_Orders[[#All],[Event_No]],Decor_Orders[[#All],[Client_Charge]],,0)</f>
        <v>30000</v>
      </c>
      <c r="T51" s="10" t="s">
        <v>405</v>
      </c>
      <c r="U51" s="10">
        <f>SUMIFS(Logistics_Orders[[#All],[Cost]],Logistics_Orders[[#All],[Event_No]],Event_Master[[#This Row],[Event_No]])</f>
        <v>59000</v>
      </c>
      <c r="V51" s="10">
        <f>SUMIFS(Logistics_Orders[[#All],[Client_Charge]],Logistics_Orders[[#All],[Event_No]],Event_Master[[#This Row],[Event_No]])</f>
        <v>70800</v>
      </c>
      <c r="W51" s="10" t="s">
        <v>438</v>
      </c>
      <c r="X51" s="10">
        <f>SUMIFS(Food_Orders[[#All],[Cost]],Food_Orders[[#All],[Event_No]],Event_Master[[#This Row],[Event_No]])</f>
        <v>468300</v>
      </c>
      <c r="Y51" s="10">
        <f>SUMIFS(Food_Orders[[#All],[Client_Price]],Food_Orders[[#All],[Event_No]],Event_Master[[#This Row],[Event_No]])</f>
        <v>561960</v>
      </c>
      <c r="Z51" s="10">
        <f>Event_Master[[#This Row],[Venue_Cost]]+Event_Master[[#This Row],[Photography_Cost]]+Event_Master[[#This Row],[Entertainment_Cost]]+Event_Master[[#This Row],[Decor_Cost]]+Event_Master[[#This Row],[Logistics_Cost]]+Event_Master[[#This Row],[Food_Cost]]</f>
        <v>657300</v>
      </c>
      <c r="AA51" s="10">
        <f>Event_Master[[#This Row],[Venue_Charge]]+Event_Master[[#This Row],[Photography_Charge]]+Event_Master[[#This Row],[Entertainment_Charge]]+Event_Master[[#This Row],[Decor_Charge]]+Event_Master[[#This Row],[Logistics_Charge]]+Event_Master[[#This Row],[Food_Charge]]</f>
        <v>786760</v>
      </c>
      <c r="AB51" s="10">
        <v>12000</v>
      </c>
      <c r="AC51" s="10">
        <f>Event_Master[[#This Row],[Client_Budget]]+Event_Master[[#This Row],[Planner_Remuneration]]</f>
        <v>798760</v>
      </c>
      <c r="AD51" s="10">
        <v>5</v>
      </c>
    </row>
    <row r="52" spans="1:30" x14ac:dyDescent="0.25">
      <c r="A52" s="10">
        <v>51</v>
      </c>
      <c r="B52" s="10" t="str" cm="1">
        <f t="array" ref="B52">_xlfn.XLOOKUP(Event_Master[[#This Row],[Event_Type]],Event_Catalog[[#All],[Event_Name]],Event_Catalog[[#All],[Event_ID]],,0)</f>
        <v>E002</v>
      </c>
      <c r="C52" s="10" t="s">
        <v>295</v>
      </c>
      <c r="D52" s="10" t="s">
        <v>292</v>
      </c>
      <c r="E52" s="10">
        <v>200</v>
      </c>
      <c r="F52" s="10" t="s">
        <v>409</v>
      </c>
      <c r="G52" s="11">
        <v>45627</v>
      </c>
      <c r="H52" s="10" t="s">
        <v>215</v>
      </c>
      <c r="I52" s="10" cm="1">
        <f t="array" ref="I52">_xlfn.XLOOKUP(Event_Master[[#This Row],[Event_No]],Venue_Orders[[#All],[Event_No]],Venue_Orders[[#All],[Rental_Cost]],0,0)</f>
        <v>150000</v>
      </c>
      <c r="J52" s="10" cm="1">
        <f t="array" ref="J52">_xlfn.XLOOKUP(Event_Master[[#This Row],[Event_No]],Venue_Orders[[#All],[Event_No]],Venue_Orders[[#All],[Client_Charge]],,0)</f>
        <v>175000</v>
      </c>
      <c r="K52" s="10" t="s">
        <v>232</v>
      </c>
      <c r="L52" s="10" cm="1">
        <f t="array" ref="L52">_xlfn.XLOOKUP(Event_Master[[#This Row],[Event_No]],Photography_Orders[[#All],[Event_No]],Photography_Orders[[#All],[Cost]],,0)</f>
        <v>30000</v>
      </c>
      <c r="M52" s="10" cm="1">
        <f t="array" ref="M52">_xlfn.XLOOKUP(Event_Master[[#This Row],[Event_No]],Photography_Orders[[#All],[Event_No]],Photography_Orders[[#All],[Client_Charge]],,0)</f>
        <v>36000</v>
      </c>
      <c r="N52" s="10" t="s">
        <v>167</v>
      </c>
      <c r="O52" s="10" cm="1">
        <f t="array" ref="O52">_xlfn.XLOOKUP(Event_Master[[#This Row],[Event_No]],Entertainment_Orders[[#All],[Event_No]],Entertainment_Orders[[#All],[Cost]],,0)</f>
        <v>0</v>
      </c>
      <c r="P52" s="10" cm="1">
        <f t="array" ref="P52">_xlfn.XLOOKUP(Event_Master[[#This Row],[Event_No]],Entertainment_Orders[[#All],[Event_No]],Entertainment_Orders[[#All],[Client_Charge]],,0)</f>
        <v>0</v>
      </c>
      <c r="Q52" s="10" t="s">
        <v>260</v>
      </c>
      <c r="R52" s="10" cm="1">
        <f t="array" ref="R52">_xlfn.XLOOKUP(Event_Master[[#This Row],[Event_No]],Decor_Orders[[#All],[Event_No]],Decor_Orders[[#All],[Cost]],,0)</f>
        <v>25000</v>
      </c>
      <c r="S52" s="10" cm="1">
        <f t="array" ref="S52">_xlfn.XLOOKUP(Event_Master[[#This Row],[Event_No]],Decor_Orders[[#All],[Event_No]],Decor_Orders[[#All],[Client_Charge]],,0)</f>
        <v>30000</v>
      </c>
      <c r="T52" s="10" t="s">
        <v>405</v>
      </c>
      <c r="U52" s="10">
        <f>SUMIFS(Logistics_Orders[[#All],[Cost]],Logistics_Orders[[#All],[Event_No]],Event_Master[[#This Row],[Event_No]])</f>
        <v>44000</v>
      </c>
      <c r="V52" s="10">
        <f>SUMIFS(Logistics_Orders[[#All],[Client_Charge]],Logistics_Orders[[#All],[Event_No]],Event_Master[[#This Row],[Event_No]])</f>
        <v>52800</v>
      </c>
      <c r="W52" s="10" t="s">
        <v>408</v>
      </c>
      <c r="X52" s="10">
        <f>SUMIFS(Food_Orders[[#All],[Cost]],Food_Orders[[#All],[Event_No]],Event_Master[[#This Row],[Event_No]])</f>
        <v>223000</v>
      </c>
      <c r="Y52" s="10">
        <f>SUMIFS(Food_Orders[[#All],[Client_Price]],Food_Orders[[#All],[Event_No]],Event_Master[[#This Row],[Event_No]])</f>
        <v>267600</v>
      </c>
      <c r="Z52" s="10">
        <f>Event_Master[[#This Row],[Venue_Cost]]+Event_Master[[#This Row],[Photography_Cost]]+Event_Master[[#This Row],[Entertainment_Cost]]+Event_Master[[#This Row],[Decor_Cost]]+Event_Master[[#This Row],[Logistics_Cost]]+Event_Master[[#This Row],[Food_Cost]]</f>
        <v>472000</v>
      </c>
      <c r="AA52" s="10">
        <f>Event_Master[[#This Row],[Venue_Charge]]+Event_Master[[#This Row],[Photography_Charge]]+Event_Master[[#This Row],[Entertainment_Charge]]+Event_Master[[#This Row],[Decor_Charge]]+Event_Master[[#This Row],[Logistics_Charge]]+Event_Master[[#This Row],[Food_Charge]]</f>
        <v>561400</v>
      </c>
      <c r="AB52" s="10">
        <v>5000</v>
      </c>
      <c r="AC52" s="10">
        <f>Event_Master[[#This Row],[Client_Budget]]+Event_Master[[#This Row],[Planner_Remuneration]]</f>
        <v>566400</v>
      </c>
      <c r="AD52" s="10">
        <v>4</v>
      </c>
    </row>
    <row r="53" spans="1:30" x14ac:dyDescent="0.25">
      <c r="A53" s="10">
        <v>52</v>
      </c>
      <c r="B53" s="10" t="str" cm="1">
        <f t="array" ref="B53">_xlfn.XLOOKUP(Event_Master[[#This Row],[Event_Type]],Event_Catalog[[#All],[Event_Name]],Event_Catalog[[#All],[Event_ID]],,0)</f>
        <v>E001</v>
      </c>
      <c r="C53" s="10" t="s">
        <v>293</v>
      </c>
      <c r="D53" s="10" t="s">
        <v>292</v>
      </c>
      <c r="E53" s="10">
        <v>460</v>
      </c>
      <c r="F53" s="10" t="s">
        <v>407</v>
      </c>
      <c r="G53" s="11">
        <v>45702</v>
      </c>
      <c r="H53" s="10" t="s">
        <v>215</v>
      </c>
      <c r="I53" s="10" cm="1">
        <f t="array" ref="I53">_xlfn.XLOOKUP(Event_Master[[#This Row],[Event_No]],Venue_Orders[[#All],[Event_No]],Venue_Orders[[#All],[Rental_Cost]],0,0)</f>
        <v>150000</v>
      </c>
      <c r="J53" s="10" cm="1">
        <f t="array" ref="J53">_xlfn.XLOOKUP(Event_Master[[#This Row],[Event_No]],Venue_Orders[[#All],[Event_No]],Venue_Orders[[#All],[Client_Charge]],,0)</f>
        <v>175000</v>
      </c>
      <c r="K53" s="10" t="s">
        <v>237</v>
      </c>
      <c r="L53" s="10" cm="1">
        <f t="array" ref="L53">_xlfn.XLOOKUP(Event_Master[[#This Row],[Event_No]],Photography_Orders[[#All],[Event_No]],Photography_Orders[[#All],[Cost]],,0)</f>
        <v>45000</v>
      </c>
      <c r="M53" s="10" cm="1">
        <f t="array" ref="M53">_xlfn.XLOOKUP(Event_Master[[#This Row],[Event_No]],Photography_Orders[[#All],[Event_No]],Photography_Orders[[#All],[Client_Charge]],,0)</f>
        <v>53000</v>
      </c>
      <c r="N53" s="10" t="s">
        <v>153</v>
      </c>
      <c r="O53" s="10" cm="1">
        <f t="array" ref="O53">_xlfn.XLOOKUP(Event_Master[[#This Row],[Event_No]],Entertainment_Orders[[#All],[Event_No]],Entertainment_Orders[[#All],[Cost]],,0)</f>
        <v>15000</v>
      </c>
      <c r="P53" s="10" cm="1">
        <f t="array" ref="P53">_xlfn.XLOOKUP(Event_Master[[#This Row],[Event_No]],Entertainment_Orders[[#All],[Event_No]],Entertainment_Orders[[#All],[Client_Charge]],,0)</f>
        <v>18000</v>
      </c>
      <c r="Q53" s="10" t="s">
        <v>260</v>
      </c>
      <c r="R53" s="10" cm="1">
        <f t="array" ref="R53">_xlfn.XLOOKUP(Event_Master[[#This Row],[Event_No]],Decor_Orders[[#All],[Event_No]],Decor_Orders[[#All],[Cost]],,0)</f>
        <v>25000</v>
      </c>
      <c r="S53" s="10" cm="1">
        <f t="array" ref="S53">_xlfn.XLOOKUP(Event_Master[[#This Row],[Event_No]],Decor_Orders[[#All],[Event_No]],Decor_Orders[[#All],[Client_Charge]],,0)</f>
        <v>30000</v>
      </c>
      <c r="T53" s="10" t="s">
        <v>405</v>
      </c>
      <c r="U53" s="10">
        <f>SUMIFS(Logistics_Orders[[#All],[Cost]],Logistics_Orders[[#All],[Event_No]],Event_Master[[#This Row],[Event_No]])</f>
        <v>59000</v>
      </c>
      <c r="V53" s="10">
        <f>SUMIFS(Logistics_Orders[[#All],[Client_Charge]],Logistics_Orders[[#All],[Event_No]],Event_Master[[#This Row],[Event_No]])</f>
        <v>70800</v>
      </c>
      <c r="W53" s="10" t="s">
        <v>438</v>
      </c>
      <c r="X53" s="10">
        <f>SUMIFS(Food_Orders[[#All],[Cost]],Food_Orders[[#All],[Event_No]],Event_Master[[#This Row],[Event_No]])</f>
        <v>512900</v>
      </c>
      <c r="Y53" s="10">
        <f>SUMIFS(Food_Orders[[#All],[Client_Price]],Food_Orders[[#All],[Event_No]],Event_Master[[#This Row],[Event_No]])</f>
        <v>615480</v>
      </c>
      <c r="Z53" s="10">
        <f>Event_Master[[#This Row],[Venue_Cost]]+Event_Master[[#This Row],[Photography_Cost]]+Event_Master[[#This Row],[Entertainment_Cost]]+Event_Master[[#This Row],[Decor_Cost]]+Event_Master[[#This Row],[Logistics_Cost]]+Event_Master[[#This Row],[Food_Cost]]</f>
        <v>806900</v>
      </c>
      <c r="AA53" s="10">
        <f>Event_Master[[#This Row],[Venue_Charge]]+Event_Master[[#This Row],[Photography_Charge]]+Event_Master[[#This Row],[Entertainment_Charge]]+Event_Master[[#This Row],[Decor_Charge]]+Event_Master[[#This Row],[Logistics_Charge]]+Event_Master[[#This Row],[Food_Charge]]</f>
        <v>962280</v>
      </c>
      <c r="AB53" s="10">
        <v>12000</v>
      </c>
      <c r="AC53" s="10">
        <f>Event_Master[[#This Row],[Client_Budget]]+Event_Master[[#This Row],[Planner_Remuneration]]</f>
        <v>974280</v>
      </c>
      <c r="AD53" s="10">
        <v>5</v>
      </c>
    </row>
    <row r="54" spans="1:30" x14ac:dyDescent="0.25">
      <c r="A54" s="10">
        <v>53</v>
      </c>
      <c r="B54" s="10" t="str" cm="1">
        <f t="array" ref="B54">_xlfn.XLOOKUP(Event_Master[[#This Row],[Event_Type]],Event_Catalog[[#All],[Event_Name]],Event_Catalog[[#All],[Event_ID]],,0)</f>
        <v>E003</v>
      </c>
      <c r="C54" s="10" t="s">
        <v>297</v>
      </c>
      <c r="D54" s="10" t="s">
        <v>292</v>
      </c>
      <c r="E54" s="10">
        <v>180</v>
      </c>
      <c r="F54" s="10" t="s">
        <v>409</v>
      </c>
      <c r="G54" s="11">
        <v>45662</v>
      </c>
      <c r="H54" s="10" t="s">
        <v>223</v>
      </c>
      <c r="I54" s="10" cm="1">
        <f t="array" ref="I54">_xlfn.XLOOKUP(Event_Master[[#This Row],[Event_No]],Venue_Orders[[#All],[Event_No]],Venue_Orders[[#All],[Rental_Cost]],0,0)</f>
        <v>0</v>
      </c>
      <c r="J54" s="10" cm="1">
        <f t="array" ref="J54">_xlfn.XLOOKUP(Event_Master[[#This Row],[Event_No]],Venue_Orders[[#All],[Event_No]],Venue_Orders[[#All],[Client_Charge]],,0)</f>
        <v>0</v>
      </c>
      <c r="K54" s="10" t="s">
        <v>242</v>
      </c>
      <c r="L54" s="10" cm="1">
        <f t="array" ref="L54">_xlfn.XLOOKUP(Event_Master[[#This Row],[Event_No]],Photography_Orders[[#All],[Event_No]],Photography_Orders[[#All],[Cost]],,0)</f>
        <v>20000</v>
      </c>
      <c r="M54" s="10" cm="1">
        <f t="array" ref="M54">_xlfn.XLOOKUP(Event_Master[[#This Row],[Event_No]],Photography_Orders[[#All],[Event_No]],Photography_Orders[[#All],[Client_Charge]],,0)</f>
        <v>24000</v>
      </c>
      <c r="N54" s="10" t="s">
        <v>167</v>
      </c>
      <c r="O54" s="10" cm="1">
        <f t="array" ref="O54">_xlfn.XLOOKUP(Event_Master[[#This Row],[Event_No]],Entertainment_Orders[[#All],[Event_No]],Entertainment_Orders[[#All],[Cost]],,0)</f>
        <v>0</v>
      </c>
      <c r="P54" s="10" cm="1">
        <f t="array" ref="P54">_xlfn.XLOOKUP(Event_Master[[#This Row],[Event_No]],Entertainment_Orders[[#All],[Event_No]],Entertainment_Orders[[#All],[Client_Charge]],,0)</f>
        <v>0</v>
      </c>
      <c r="Q54" s="10" t="s">
        <v>278</v>
      </c>
      <c r="R54" s="10" cm="1">
        <f t="array" ref="R54">_xlfn.XLOOKUP(Event_Master[[#This Row],[Event_No]],Decor_Orders[[#All],[Event_No]],Decor_Orders[[#All],[Cost]],,0)</f>
        <v>20000</v>
      </c>
      <c r="S54" s="10" cm="1">
        <f t="array" ref="S54">_xlfn.XLOOKUP(Event_Master[[#This Row],[Event_No]],Decor_Orders[[#All],[Event_No]],Decor_Orders[[#All],[Client_Charge]],,0)</f>
        <v>24000</v>
      </c>
      <c r="T54" s="10" t="s">
        <v>405</v>
      </c>
      <c r="U54" s="10">
        <f>SUMIFS(Logistics_Orders[[#All],[Cost]],Logistics_Orders[[#All],[Event_No]],Event_Master[[#This Row],[Event_No]])</f>
        <v>44000</v>
      </c>
      <c r="V54" s="10">
        <f>SUMIFS(Logistics_Orders[[#All],[Client_Charge]],Logistics_Orders[[#All],[Event_No]],Event_Master[[#This Row],[Event_No]])</f>
        <v>52800</v>
      </c>
      <c r="W54" s="10" t="s">
        <v>410</v>
      </c>
      <c r="X54" s="10">
        <f>SUMIFS(Food_Orders[[#All],[Cost]],Food_Orders[[#All],[Event_No]],Event_Master[[#This Row],[Event_No]])</f>
        <v>81900</v>
      </c>
      <c r="Y54" s="10">
        <f>SUMIFS(Food_Orders[[#All],[Client_Price]],Food_Orders[[#All],[Event_No]],Event_Master[[#This Row],[Event_No]])</f>
        <v>98280</v>
      </c>
      <c r="Z54" s="10">
        <f>Event_Master[[#This Row],[Venue_Cost]]+Event_Master[[#This Row],[Photography_Cost]]+Event_Master[[#This Row],[Entertainment_Cost]]+Event_Master[[#This Row],[Decor_Cost]]+Event_Master[[#This Row],[Logistics_Cost]]+Event_Master[[#This Row],[Food_Cost]]</f>
        <v>165900</v>
      </c>
      <c r="AA54" s="10">
        <f>Event_Master[[#This Row],[Venue_Charge]]+Event_Master[[#This Row],[Photography_Charge]]+Event_Master[[#This Row],[Entertainment_Charge]]+Event_Master[[#This Row],[Decor_Charge]]+Event_Master[[#This Row],[Logistics_Charge]]+Event_Master[[#This Row],[Food_Charge]]</f>
        <v>199080</v>
      </c>
      <c r="AB54" s="10">
        <v>5000</v>
      </c>
      <c r="AC54" s="10">
        <f>Event_Master[[#This Row],[Client_Budget]]+Event_Master[[#This Row],[Planner_Remuneration]]</f>
        <v>204080</v>
      </c>
      <c r="AD54" s="10">
        <v>3</v>
      </c>
    </row>
    <row r="55" spans="1:30" x14ac:dyDescent="0.25">
      <c r="A55" s="10">
        <v>54</v>
      </c>
      <c r="B55" s="10" t="str" cm="1">
        <f t="array" ref="B55">_xlfn.XLOOKUP(Event_Master[[#This Row],[Event_Type]],Event_Catalog[[#All],[Event_Name]],Event_Catalog[[#All],[Event_ID]],,0)</f>
        <v>E004</v>
      </c>
      <c r="C55" s="10" t="s">
        <v>299</v>
      </c>
      <c r="D55" s="10" t="s">
        <v>292</v>
      </c>
      <c r="E55" s="10">
        <v>220</v>
      </c>
      <c r="F55" s="10" t="s">
        <v>407</v>
      </c>
      <c r="G55" s="11">
        <v>45697</v>
      </c>
      <c r="H55" s="10" t="s">
        <v>223</v>
      </c>
      <c r="I55" s="10" cm="1">
        <f t="array" ref="I55">_xlfn.XLOOKUP(Event_Master[[#This Row],[Event_No]],Venue_Orders[[#All],[Event_No]],Venue_Orders[[#All],[Rental_Cost]],0,0)</f>
        <v>0</v>
      </c>
      <c r="J55" s="10" cm="1">
        <f t="array" ref="J55">_xlfn.XLOOKUP(Event_Master[[#This Row],[Event_No]],Venue_Orders[[#All],[Event_No]],Venue_Orders[[#All],[Client_Charge]],,0)</f>
        <v>0</v>
      </c>
      <c r="K55" s="10" t="s">
        <v>242</v>
      </c>
      <c r="L55" s="10" cm="1">
        <f t="array" ref="L55">_xlfn.XLOOKUP(Event_Master[[#This Row],[Event_No]],Photography_Orders[[#All],[Event_No]],Photography_Orders[[#All],[Cost]],,0)</f>
        <v>20000</v>
      </c>
      <c r="M55" s="10" cm="1">
        <f t="array" ref="M55">_xlfn.XLOOKUP(Event_Master[[#This Row],[Event_No]],Photography_Orders[[#All],[Event_No]],Photography_Orders[[#All],[Client_Charge]],,0)</f>
        <v>24000</v>
      </c>
      <c r="N55" s="10" t="s">
        <v>167</v>
      </c>
      <c r="O55" s="10" cm="1">
        <f t="array" ref="O55">_xlfn.XLOOKUP(Event_Master[[#This Row],[Event_No]],Entertainment_Orders[[#All],[Event_No]],Entertainment_Orders[[#All],[Cost]],,0)</f>
        <v>0</v>
      </c>
      <c r="P55" s="10" cm="1">
        <f t="array" ref="P55">_xlfn.XLOOKUP(Event_Master[[#This Row],[Event_No]],Entertainment_Orders[[#All],[Event_No]],Entertainment_Orders[[#All],[Client_Charge]],,0)</f>
        <v>0</v>
      </c>
      <c r="Q55" s="10" t="s">
        <v>278</v>
      </c>
      <c r="R55" s="10" cm="1">
        <f t="array" ref="R55">_xlfn.XLOOKUP(Event_Master[[#This Row],[Event_No]],Decor_Orders[[#All],[Event_No]],Decor_Orders[[#All],[Cost]],,0)</f>
        <v>20000</v>
      </c>
      <c r="S55" s="10" cm="1">
        <f t="array" ref="S55">_xlfn.XLOOKUP(Event_Master[[#This Row],[Event_No]],Decor_Orders[[#All],[Event_No]],Decor_Orders[[#All],[Client_Charge]],,0)</f>
        <v>24000</v>
      </c>
      <c r="T55" s="10" t="s">
        <v>405</v>
      </c>
      <c r="U55" s="10">
        <f>SUMIFS(Logistics_Orders[[#All],[Cost]],Logistics_Orders[[#All],[Event_No]],Event_Master[[#This Row],[Event_No]])</f>
        <v>44000</v>
      </c>
      <c r="V55" s="10">
        <f>SUMIFS(Logistics_Orders[[#All],[Client_Charge]],Logistics_Orders[[#All],[Event_No]],Event_Master[[#This Row],[Event_No]])</f>
        <v>52800</v>
      </c>
      <c r="W55" s="10" t="s">
        <v>411</v>
      </c>
      <c r="X55" s="10">
        <f>SUMIFS(Food_Orders[[#All],[Cost]],Food_Orders[[#All],[Event_No]],Event_Master[[#This Row],[Event_No]])</f>
        <v>189200</v>
      </c>
      <c r="Y55" s="10">
        <f>SUMIFS(Food_Orders[[#All],[Client_Price]],Food_Orders[[#All],[Event_No]],Event_Master[[#This Row],[Event_No]])</f>
        <v>227040</v>
      </c>
      <c r="Z55" s="10">
        <f>Event_Master[[#This Row],[Venue_Cost]]+Event_Master[[#This Row],[Photography_Cost]]+Event_Master[[#This Row],[Entertainment_Cost]]+Event_Master[[#This Row],[Decor_Cost]]+Event_Master[[#This Row],[Logistics_Cost]]+Event_Master[[#This Row],[Food_Cost]]</f>
        <v>273200</v>
      </c>
      <c r="AA55" s="10">
        <f>Event_Master[[#This Row],[Venue_Charge]]+Event_Master[[#This Row],[Photography_Charge]]+Event_Master[[#This Row],[Entertainment_Charge]]+Event_Master[[#This Row],[Decor_Charge]]+Event_Master[[#This Row],[Logistics_Charge]]+Event_Master[[#This Row],[Food_Charge]]</f>
        <v>327840</v>
      </c>
      <c r="AB55" s="10">
        <v>12000</v>
      </c>
      <c r="AC55" s="10">
        <f>Event_Master[[#This Row],[Client_Budget]]+Event_Master[[#This Row],[Planner_Remuneration]]</f>
        <v>339840</v>
      </c>
      <c r="AD55" s="10">
        <v>4</v>
      </c>
    </row>
    <row r="56" spans="1:30" x14ac:dyDescent="0.25">
      <c r="A56" s="10">
        <v>55</v>
      </c>
      <c r="B56" s="10" t="str" cm="1">
        <f t="array" ref="B56">_xlfn.XLOOKUP(Event_Master[[#This Row],[Event_Type]],Event_Catalog[[#All],[Event_Name]],Event_Catalog[[#All],[Event_ID]],,0)</f>
        <v>E005</v>
      </c>
      <c r="C56" s="10" t="s">
        <v>301</v>
      </c>
      <c r="D56" s="10" t="s">
        <v>292</v>
      </c>
      <c r="E56" s="10">
        <v>150</v>
      </c>
      <c r="F56" s="10" t="s">
        <v>409</v>
      </c>
      <c r="G56" s="11">
        <v>45732</v>
      </c>
      <c r="H56" s="10" t="s">
        <v>223</v>
      </c>
      <c r="I56" s="10" cm="1">
        <f t="array" ref="I56">_xlfn.XLOOKUP(Event_Master[[#This Row],[Event_No]],Venue_Orders[[#All],[Event_No]],Venue_Orders[[#All],[Rental_Cost]],0,0)</f>
        <v>0</v>
      </c>
      <c r="J56" s="10" cm="1">
        <f t="array" ref="J56">_xlfn.XLOOKUP(Event_Master[[#This Row],[Event_No]],Venue_Orders[[#All],[Event_No]],Venue_Orders[[#All],[Client_Charge]],,0)</f>
        <v>0</v>
      </c>
      <c r="K56" s="10" t="s">
        <v>242</v>
      </c>
      <c r="L56" s="10" cm="1">
        <f t="array" ref="L56">_xlfn.XLOOKUP(Event_Master[[#This Row],[Event_No]],Photography_Orders[[#All],[Event_No]],Photography_Orders[[#All],[Cost]],,0)</f>
        <v>20000</v>
      </c>
      <c r="M56" s="10" cm="1">
        <f t="array" ref="M56">_xlfn.XLOOKUP(Event_Master[[#This Row],[Event_No]],Photography_Orders[[#All],[Event_No]],Photography_Orders[[#All],[Client_Charge]],,0)</f>
        <v>24000</v>
      </c>
      <c r="N56" s="10" t="s">
        <v>167</v>
      </c>
      <c r="O56" s="10" cm="1">
        <f t="array" ref="O56">_xlfn.XLOOKUP(Event_Master[[#This Row],[Event_No]],Entertainment_Orders[[#All],[Event_No]],Entertainment_Orders[[#All],[Cost]],,0)</f>
        <v>0</v>
      </c>
      <c r="P56" s="10" cm="1">
        <f t="array" ref="P56">_xlfn.XLOOKUP(Event_Master[[#This Row],[Event_No]],Entertainment_Orders[[#All],[Event_No]],Entertainment_Orders[[#All],[Client_Charge]],,0)</f>
        <v>0</v>
      </c>
      <c r="Q56" s="10" t="s">
        <v>278</v>
      </c>
      <c r="R56" s="10" cm="1">
        <f t="array" ref="R56">_xlfn.XLOOKUP(Event_Master[[#This Row],[Event_No]],Decor_Orders[[#All],[Event_No]],Decor_Orders[[#All],[Cost]],,0)</f>
        <v>20000</v>
      </c>
      <c r="S56" s="10" cm="1">
        <f t="array" ref="S56">_xlfn.XLOOKUP(Event_Master[[#This Row],[Event_No]],Decor_Orders[[#All],[Event_No]],Decor_Orders[[#All],[Client_Charge]],,0)</f>
        <v>24000</v>
      </c>
      <c r="T56" s="10" t="s">
        <v>405</v>
      </c>
      <c r="U56" s="10">
        <f>SUMIFS(Logistics_Orders[[#All],[Cost]],Logistics_Orders[[#All],[Event_No]],Event_Master[[#This Row],[Event_No]])</f>
        <v>44000</v>
      </c>
      <c r="V56" s="10">
        <f>SUMIFS(Logistics_Orders[[#All],[Client_Charge]],Logistics_Orders[[#All],[Event_No]],Event_Master[[#This Row],[Event_No]])</f>
        <v>52800</v>
      </c>
      <c r="W56" s="10" t="s">
        <v>411</v>
      </c>
      <c r="X56" s="10">
        <f>SUMIFS(Food_Orders[[#All],[Cost]],Food_Orders[[#All],[Event_No]],Event_Master[[#This Row],[Event_No]])</f>
        <v>129000</v>
      </c>
      <c r="Y56" s="10">
        <f>SUMIFS(Food_Orders[[#All],[Client_Price]],Food_Orders[[#All],[Event_No]],Event_Master[[#This Row],[Event_No]])</f>
        <v>154800</v>
      </c>
      <c r="Z56" s="10">
        <f>Event_Master[[#This Row],[Venue_Cost]]+Event_Master[[#This Row],[Photography_Cost]]+Event_Master[[#This Row],[Entertainment_Cost]]+Event_Master[[#This Row],[Decor_Cost]]+Event_Master[[#This Row],[Logistics_Cost]]+Event_Master[[#This Row],[Food_Cost]]</f>
        <v>213000</v>
      </c>
      <c r="AA56" s="10">
        <f>Event_Master[[#This Row],[Venue_Charge]]+Event_Master[[#This Row],[Photography_Charge]]+Event_Master[[#This Row],[Entertainment_Charge]]+Event_Master[[#This Row],[Decor_Charge]]+Event_Master[[#This Row],[Logistics_Charge]]+Event_Master[[#This Row],[Food_Charge]]</f>
        <v>255600</v>
      </c>
      <c r="AB56" s="10">
        <v>5000</v>
      </c>
      <c r="AC56" s="10">
        <f>Event_Master[[#This Row],[Client_Budget]]+Event_Master[[#This Row],[Planner_Remuneration]]</f>
        <v>260600</v>
      </c>
      <c r="AD56" s="10">
        <v>5</v>
      </c>
    </row>
    <row r="57" spans="1:30" x14ac:dyDescent="0.25">
      <c r="A57" s="10">
        <v>56</v>
      </c>
      <c r="B57" s="10" t="str" cm="1">
        <f t="array" ref="B57">_xlfn.XLOOKUP(Event_Master[[#This Row],[Event_Type]],Event_Catalog[[#All],[Event_Name]],Event_Catalog[[#All],[Event_ID]],,0)</f>
        <v>E006</v>
      </c>
      <c r="C57" s="10" t="s">
        <v>303</v>
      </c>
      <c r="D57" s="10" t="s">
        <v>292</v>
      </c>
      <c r="E57" s="10">
        <v>130</v>
      </c>
      <c r="F57" s="10" t="s">
        <v>409</v>
      </c>
      <c r="G57" s="11">
        <v>45753</v>
      </c>
      <c r="H57" s="10" t="s">
        <v>223</v>
      </c>
      <c r="I57" s="10" cm="1">
        <f t="array" ref="I57">_xlfn.XLOOKUP(Event_Master[[#This Row],[Event_No]],Venue_Orders[[#All],[Event_No]],Venue_Orders[[#All],[Rental_Cost]],0,0)</f>
        <v>0</v>
      </c>
      <c r="J57" s="10" cm="1">
        <f t="array" ref="J57">_xlfn.XLOOKUP(Event_Master[[#This Row],[Event_No]],Venue_Orders[[#All],[Event_No]],Venue_Orders[[#All],[Client_Charge]],,0)</f>
        <v>0</v>
      </c>
      <c r="K57" s="10" t="s">
        <v>242</v>
      </c>
      <c r="L57" s="10" cm="1">
        <f t="array" ref="L57">_xlfn.XLOOKUP(Event_Master[[#This Row],[Event_No]],Photography_Orders[[#All],[Event_No]],Photography_Orders[[#All],[Cost]],,0)</f>
        <v>20000</v>
      </c>
      <c r="M57" s="10" cm="1">
        <f t="array" ref="M57">_xlfn.XLOOKUP(Event_Master[[#This Row],[Event_No]],Photography_Orders[[#All],[Event_No]],Photography_Orders[[#All],[Client_Charge]],,0)</f>
        <v>24000</v>
      </c>
      <c r="N57" s="10" t="s">
        <v>167</v>
      </c>
      <c r="O57" s="10" cm="1">
        <f t="array" ref="O57">_xlfn.XLOOKUP(Event_Master[[#This Row],[Event_No]],Entertainment_Orders[[#All],[Event_No]],Entertainment_Orders[[#All],[Cost]],,0)</f>
        <v>0</v>
      </c>
      <c r="P57" s="10" cm="1">
        <f t="array" ref="P57">_xlfn.XLOOKUP(Event_Master[[#This Row],[Event_No]],Entertainment_Orders[[#All],[Event_No]],Entertainment_Orders[[#All],[Client_Charge]],,0)</f>
        <v>0</v>
      </c>
      <c r="Q57" s="10" t="s">
        <v>278</v>
      </c>
      <c r="R57" s="10" cm="1">
        <f t="array" ref="R57">_xlfn.XLOOKUP(Event_Master[[#This Row],[Event_No]],Decor_Orders[[#All],[Event_No]],Decor_Orders[[#All],[Cost]],,0)</f>
        <v>20000</v>
      </c>
      <c r="S57" s="10" cm="1">
        <f t="array" ref="S57">_xlfn.XLOOKUP(Event_Master[[#This Row],[Event_No]],Decor_Orders[[#All],[Event_No]],Decor_Orders[[#All],[Client_Charge]],,0)</f>
        <v>24000</v>
      </c>
      <c r="T57" s="10" t="s">
        <v>405</v>
      </c>
      <c r="U57" s="10">
        <f>SUMIFS(Logistics_Orders[[#All],[Cost]],Logistics_Orders[[#All],[Event_No]],Event_Master[[#This Row],[Event_No]])</f>
        <v>44000</v>
      </c>
      <c r="V57" s="10">
        <f>SUMIFS(Logistics_Orders[[#All],[Client_Charge]],Logistics_Orders[[#All],[Event_No]],Event_Master[[#This Row],[Event_No]])</f>
        <v>52800</v>
      </c>
      <c r="W57" s="10" t="s">
        <v>412</v>
      </c>
      <c r="X57" s="10">
        <f>SUMIFS(Food_Orders[[#All],[Cost]],Food_Orders[[#All],[Event_No]],Event_Master[[#This Row],[Event_No]])</f>
        <v>91650</v>
      </c>
      <c r="Y57" s="10">
        <f>SUMIFS(Food_Orders[[#All],[Client_Price]],Food_Orders[[#All],[Event_No]],Event_Master[[#This Row],[Event_No]])</f>
        <v>109980</v>
      </c>
      <c r="Z57" s="10">
        <f>Event_Master[[#This Row],[Venue_Cost]]+Event_Master[[#This Row],[Photography_Cost]]+Event_Master[[#This Row],[Entertainment_Cost]]+Event_Master[[#This Row],[Decor_Cost]]+Event_Master[[#This Row],[Logistics_Cost]]+Event_Master[[#This Row],[Food_Cost]]</f>
        <v>175650</v>
      </c>
      <c r="AA57" s="10">
        <f>Event_Master[[#This Row],[Venue_Charge]]+Event_Master[[#This Row],[Photography_Charge]]+Event_Master[[#This Row],[Entertainment_Charge]]+Event_Master[[#This Row],[Decor_Charge]]+Event_Master[[#This Row],[Logistics_Charge]]+Event_Master[[#This Row],[Food_Charge]]</f>
        <v>210780</v>
      </c>
      <c r="AB57" s="10">
        <v>5000</v>
      </c>
      <c r="AC57" s="10">
        <f>Event_Master[[#This Row],[Client_Budget]]+Event_Master[[#This Row],[Planner_Remuneration]]</f>
        <v>215780</v>
      </c>
      <c r="AD57" s="10">
        <v>4</v>
      </c>
    </row>
    <row r="58" spans="1:30" x14ac:dyDescent="0.25">
      <c r="A58" s="10">
        <v>57</v>
      </c>
      <c r="B58" s="10" t="str" cm="1">
        <f t="array" ref="B58">_xlfn.XLOOKUP(Event_Master[[#This Row],[Event_Type]],Event_Catalog[[#All],[Event_Name]],Event_Catalog[[#All],[Event_ID]],,0)</f>
        <v>E007</v>
      </c>
      <c r="C58" s="10" t="s">
        <v>305</v>
      </c>
      <c r="D58" s="10" t="s">
        <v>292</v>
      </c>
      <c r="E58" s="10">
        <v>250</v>
      </c>
      <c r="F58" s="10" t="s">
        <v>407</v>
      </c>
      <c r="G58" s="11">
        <v>45788</v>
      </c>
      <c r="H58" s="10" t="s">
        <v>207</v>
      </c>
      <c r="I58" s="10" cm="1">
        <f t="array" ref="I58">_xlfn.XLOOKUP(Event_Master[[#This Row],[Event_No]],Venue_Orders[[#All],[Event_No]],Venue_Orders[[#All],[Rental_Cost]],0,0)</f>
        <v>60000</v>
      </c>
      <c r="J58" s="10" cm="1">
        <f t="array" ref="J58">_xlfn.XLOOKUP(Event_Master[[#This Row],[Event_No]],Venue_Orders[[#All],[Event_No]],Venue_Orders[[#All],[Client_Charge]],,0)</f>
        <v>70000</v>
      </c>
      <c r="K58" s="10" t="s">
        <v>232</v>
      </c>
      <c r="L58" s="10" cm="1">
        <f t="array" ref="L58">_xlfn.XLOOKUP(Event_Master[[#This Row],[Event_No]],Photography_Orders[[#All],[Event_No]],Photography_Orders[[#All],[Cost]],,0)</f>
        <v>30000</v>
      </c>
      <c r="M58" s="10" cm="1">
        <f t="array" ref="M58">_xlfn.XLOOKUP(Event_Master[[#This Row],[Event_No]],Photography_Orders[[#All],[Event_No]],Photography_Orders[[#All],[Client_Charge]],,0)</f>
        <v>36000</v>
      </c>
      <c r="N58" s="10" t="s">
        <v>169</v>
      </c>
      <c r="O58" s="10" cm="1">
        <f t="array" ref="O58">_xlfn.XLOOKUP(Event_Master[[#This Row],[Event_No]],Entertainment_Orders[[#All],[Event_No]],Entertainment_Orders[[#All],[Cost]],,0)</f>
        <v>0</v>
      </c>
      <c r="P58" s="10" cm="1">
        <f t="array" ref="P58">_xlfn.XLOOKUP(Event_Master[[#This Row],[Event_No]],Entertainment_Orders[[#All],[Event_No]],Entertainment_Orders[[#All],[Client_Charge]],,0)</f>
        <v>0</v>
      </c>
      <c r="Q58" s="10" t="s">
        <v>260</v>
      </c>
      <c r="R58" s="10" cm="1">
        <f t="array" ref="R58">_xlfn.XLOOKUP(Event_Master[[#This Row],[Event_No]],Decor_Orders[[#All],[Event_No]],Decor_Orders[[#All],[Cost]],,0)</f>
        <v>25000</v>
      </c>
      <c r="S58" s="10" cm="1">
        <f t="array" ref="S58">_xlfn.XLOOKUP(Event_Master[[#This Row],[Event_No]],Decor_Orders[[#All],[Event_No]],Decor_Orders[[#All],[Client_Charge]],,0)</f>
        <v>30000</v>
      </c>
      <c r="T58" s="10" t="s">
        <v>405</v>
      </c>
      <c r="U58" s="10">
        <f>SUMIFS(Logistics_Orders[[#All],[Cost]],Logistics_Orders[[#All],[Event_No]],Event_Master[[#This Row],[Event_No]])</f>
        <v>44000</v>
      </c>
      <c r="V58" s="10">
        <f>SUMIFS(Logistics_Orders[[#All],[Client_Charge]],Logistics_Orders[[#All],[Event_No]],Event_Master[[#This Row],[Event_No]])</f>
        <v>52800</v>
      </c>
      <c r="W58" s="10" t="s">
        <v>414</v>
      </c>
      <c r="X58" s="10">
        <f>SUMIFS(Food_Orders[[#All],[Cost]],Food_Orders[[#All],[Event_No]],Event_Master[[#This Row],[Event_No]])</f>
        <v>265000</v>
      </c>
      <c r="Y58" s="10">
        <f>SUMIFS(Food_Orders[[#All],[Client_Price]],Food_Orders[[#All],[Event_No]],Event_Master[[#This Row],[Event_No]])</f>
        <v>318000</v>
      </c>
      <c r="Z58" s="10">
        <f>Event_Master[[#This Row],[Venue_Cost]]+Event_Master[[#This Row],[Photography_Cost]]+Event_Master[[#This Row],[Entertainment_Cost]]+Event_Master[[#This Row],[Decor_Cost]]+Event_Master[[#This Row],[Logistics_Cost]]+Event_Master[[#This Row],[Food_Cost]]</f>
        <v>424000</v>
      </c>
      <c r="AA58" s="10">
        <f>Event_Master[[#This Row],[Venue_Charge]]+Event_Master[[#This Row],[Photography_Charge]]+Event_Master[[#This Row],[Entertainment_Charge]]+Event_Master[[#This Row],[Decor_Charge]]+Event_Master[[#This Row],[Logistics_Charge]]+Event_Master[[#This Row],[Food_Charge]]</f>
        <v>506800</v>
      </c>
      <c r="AB58" s="10">
        <v>12000</v>
      </c>
      <c r="AC58" s="10">
        <f>Event_Master[[#This Row],[Client_Budget]]+Event_Master[[#This Row],[Planner_Remuneration]]</f>
        <v>518800</v>
      </c>
      <c r="AD58" s="10">
        <v>3</v>
      </c>
    </row>
    <row r="59" spans="1:30" x14ac:dyDescent="0.25">
      <c r="A59" s="10">
        <v>58</v>
      </c>
      <c r="B59" s="10" t="str" cm="1">
        <f t="array" ref="B59">_xlfn.XLOOKUP(Event_Master[[#This Row],[Event_Type]],Event_Catalog[[#All],[Event_Name]],Event_Catalog[[#All],[Event_ID]],,0)</f>
        <v>E008</v>
      </c>
      <c r="C59" s="10" t="s">
        <v>307</v>
      </c>
      <c r="D59" s="10" t="s">
        <v>292</v>
      </c>
      <c r="E59" s="10">
        <v>300</v>
      </c>
      <c r="F59" s="10" t="s">
        <v>407</v>
      </c>
      <c r="G59" s="11">
        <v>45816</v>
      </c>
      <c r="H59" s="10" t="s">
        <v>215</v>
      </c>
      <c r="I59" s="10" cm="1">
        <f t="array" ref="I59">_xlfn.XLOOKUP(Event_Master[[#This Row],[Event_No]],Venue_Orders[[#All],[Event_No]],Venue_Orders[[#All],[Rental_Cost]],0,0)</f>
        <v>150000</v>
      </c>
      <c r="J59" s="10" cm="1">
        <f t="array" ref="J59">_xlfn.XLOOKUP(Event_Master[[#This Row],[Event_No]],Venue_Orders[[#All],[Event_No]],Venue_Orders[[#All],[Client_Charge]],,0)</f>
        <v>175000</v>
      </c>
      <c r="K59" s="10" t="s">
        <v>232</v>
      </c>
      <c r="L59" s="10" cm="1">
        <f t="array" ref="L59">_xlfn.XLOOKUP(Event_Master[[#This Row],[Event_No]],Photography_Orders[[#All],[Event_No]],Photography_Orders[[#All],[Cost]],,0)</f>
        <v>30000</v>
      </c>
      <c r="M59" s="10" cm="1">
        <f t="array" ref="M59">_xlfn.XLOOKUP(Event_Master[[#This Row],[Event_No]],Photography_Orders[[#All],[Event_No]],Photography_Orders[[#All],[Client_Charge]],,0)</f>
        <v>36000</v>
      </c>
      <c r="N59" s="10" t="s">
        <v>170</v>
      </c>
      <c r="O59" s="10" cm="1">
        <f t="array" ref="O59">_xlfn.XLOOKUP(Event_Master[[#This Row],[Event_No]],Entertainment_Orders[[#All],[Event_No]],Entertainment_Orders[[#All],[Cost]],,0)</f>
        <v>0</v>
      </c>
      <c r="P59" s="10" cm="1">
        <f t="array" ref="P59">_xlfn.XLOOKUP(Event_Master[[#This Row],[Event_No]],Entertainment_Orders[[#All],[Event_No]],Entertainment_Orders[[#All],[Client_Charge]],,0)</f>
        <v>0</v>
      </c>
      <c r="Q59" s="10" t="s">
        <v>272</v>
      </c>
      <c r="R59" s="10" cm="1">
        <f t="array" ref="R59">_xlfn.XLOOKUP(Event_Master[[#This Row],[Event_No]],Decor_Orders[[#All],[Event_No]],Decor_Orders[[#All],[Cost]],,0)</f>
        <v>50000</v>
      </c>
      <c r="S59" s="10" cm="1">
        <f t="array" ref="S59">_xlfn.XLOOKUP(Event_Master[[#This Row],[Event_No]],Decor_Orders[[#All],[Event_No]],Decor_Orders[[#All],[Client_Charge]],,0)</f>
        <v>60000</v>
      </c>
      <c r="T59" s="10" t="s">
        <v>415</v>
      </c>
      <c r="U59" s="10">
        <f>SUMIFS(Logistics_Orders[[#All],[Cost]],Logistics_Orders[[#All],[Event_No]],Event_Master[[#This Row],[Event_No]])</f>
        <v>32000</v>
      </c>
      <c r="V59" s="10">
        <f>SUMIFS(Logistics_Orders[[#All],[Client_Charge]],Logistics_Orders[[#All],[Event_No]],Event_Master[[#This Row],[Event_No]])</f>
        <v>38300</v>
      </c>
      <c r="W59" s="10" t="s">
        <v>416</v>
      </c>
      <c r="X59" s="10">
        <f>SUMIFS(Food_Orders[[#All],[Cost]],Food_Orders[[#All],[Event_No]],Event_Master[[#This Row],[Event_No]])</f>
        <v>340500</v>
      </c>
      <c r="Y59" s="10">
        <f>SUMIFS(Food_Orders[[#All],[Client_Price]],Food_Orders[[#All],[Event_No]],Event_Master[[#This Row],[Event_No]])</f>
        <v>408600</v>
      </c>
      <c r="Z59" s="10">
        <f>Event_Master[[#This Row],[Venue_Cost]]+Event_Master[[#This Row],[Photography_Cost]]+Event_Master[[#This Row],[Entertainment_Cost]]+Event_Master[[#This Row],[Decor_Cost]]+Event_Master[[#This Row],[Logistics_Cost]]+Event_Master[[#This Row],[Food_Cost]]</f>
        <v>602500</v>
      </c>
      <c r="AA59" s="10">
        <f>Event_Master[[#This Row],[Venue_Charge]]+Event_Master[[#This Row],[Photography_Charge]]+Event_Master[[#This Row],[Entertainment_Charge]]+Event_Master[[#This Row],[Decor_Charge]]+Event_Master[[#This Row],[Logistics_Charge]]+Event_Master[[#This Row],[Food_Charge]]</f>
        <v>717900</v>
      </c>
      <c r="AB59" s="10">
        <v>12000</v>
      </c>
      <c r="AC59" s="10">
        <f>Event_Master[[#This Row],[Client_Budget]]+Event_Master[[#This Row],[Planner_Remuneration]]</f>
        <v>729900</v>
      </c>
      <c r="AD59" s="10">
        <v>5</v>
      </c>
    </row>
    <row r="60" spans="1:30" x14ac:dyDescent="0.25">
      <c r="A60" s="10">
        <v>59</v>
      </c>
      <c r="B60" s="10" t="str" cm="1">
        <f t="array" ref="B60">_xlfn.XLOOKUP(Event_Master[[#This Row],[Event_Type]],Event_Catalog[[#All],[Event_Name]],Event_Catalog[[#All],[Event_ID]],,0)</f>
        <v>E009</v>
      </c>
      <c r="C60" s="10" t="s">
        <v>309</v>
      </c>
      <c r="D60" s="10" t="s">
        <v>292</v>
      </c>
      <c r="E60" s="10">
        <v>180</v>
      </c>
      <c r="F60" s="10" t="s">
        <v>409</v>
      </c>
      <c r="G60" s="11">
        <v>45851</v>
      </c>
      <c r="H60" s="10" t="s">
        <v>223</v>
      </c>
      <c r="I60" s="10" cm="1">
        <f t="array" ref="I60">_xlfn.XLOOKUP(Event_Master[[#This Row],[Event_No]],Venue_Orders[[#All],[Event_No]],Venue_Orders[[#All],[Rental_Cost]],0,0)</f>
        <v>0</v>
      </c>
      <c r="J60" s="10" cm="1">
        <f t="array" ref="J60">_xlfn.XLOOKUP(Event_Master[[#This Row],[Event_No]],Venue_Orders[[#All],[Event_No]],Venue_Orders[[#All],[Client_Charge]],,0)</f>
        <v>0</v>
      </c>
      <c r="K60" s="10" t="s">
        <v>242</v>
      </c>
      <c r="L60" s="10" cm="1">
        <f t="array" ref="L60">_xlfn.XLOOKUP(Event_Master[[#This Row],[Event_No]],Photography_Orders[[#All],[Event_No]],Photography_Orders[[#All],[Cost]],,0)</f>
        <v>20000</v>
      </c>
      <c r="M60" s="10" cm="1">
        <f t="array" ref="M60">_xlfn.XLOOKUP(Event_Master[[#This Row],[Event_No]],Photography_Orders[[#All],[Event_No]],Photography_Orders[[#All],[Client_Charge]],,0)</f>
        <v>24000</v>
      </c>
      <c r="N60" s="10" t="s">
        <v>167</v>
      </c>
      <c r="O60" s="10" cm="1">
        <f t="array" ref="O60">_xlfn.XLOOKUP(Event_Master[[#This Row],[Event_No]],Entertainment_Orders[[#All],[Event_No]],Entertainment_Orders[[#All],[Cost]],,0)</f>
        <v>0</v>
      </c>
      <c r="P60" s="10" cm="1">
        <f t="array" ref="P60">_xlfn.XLOOKUP(Event_Master[[#This Row],[Event_No]],Entertainment_Orders[[#All],[Event_No]],Entertainment_Orders[[#All],[Client_Charge]],,0)</f>
        <v>0</v>
      </c>
      <c r="Q60" s="10" t="s">
        <v>278</v>
      </c>
      <c r="R60" s="10" cm="1">
        <f t="array" ref="R60">_xlfn.XLOOKUP(Event_Master[[#This Row],[Event_No]],Decor_Orders[[#All],[Event_No]],Decor_Orders[[#All],[Cost]],,0)</f>
        <v>20000</v>
      </c>
      <c r="S60" s="10" cm="1">
        <f t="array" ref="S60">_xlfn.XLOOKUP(Event_Master[[#This Row],[Event_No]],Decor_Orders[[#All],[Event_No]],Decor_Orders[[#All],[Client_Charge]],,0)</f>
        <v>24000</v>
      </c>
      <c r="T60" s="10" t="s">
        <v>405</v>
      </c>
      <c r="U60" s="10">
        <f>SUMIFS(Logistics_Orders[[#All],[Cost]],Logistics_Orders[[#All],[Event_No]],Event_Master[[#This Row],[Event_No]])</f>
        <v>44000</v>
      </c>
      <c r="V60" s="10">
        <f>SUMIFS(Logistics_Orders[[#All],[Client_Charge]],Logistics_Orders[[#All],[Event_No]],Event_Master[[#This Row],[Event_No]])</f>
        <v>52800</v>
      </c>
      <c r="W60" s="10" t="s">
        <v>426</v>
      </c>
      <c r="X60" s="10">
        <f>SUMIFS(Food_Orders[[#All],[Cost]],Food_Orders[[#All],[Event_No]],Event_Master[[#This Row],[Event_No]])</f>
        <v>135900</v>
      </c>
      <c r="Y60" s="10">
        <f>SUMIFS(Food_Orders[[#All],[Client_Price]],Food_Orders[[#All],[Event_No]],Event_Master[[#This Row],[Event_No]])</f>
        <v>163080</v>
      </c>
      <c r="Z60" s="10">
        <f>Event_Master[[#This Row],[Venue_Cost]]+Event_Master[[#This Row],[Photography_Cost]]+Event_Master[[#This Row],[Entertainment_Cost]]+Event_Master[[#This Row],[Decor_Cost]]+Event_Master[[#This Row],[Logistics_Cost]]+Event_Master[[#This Row],[Food_Cost]]</f>
        <v>219900</v>
      </c>
      <c r="AA60" s="10">
        <f>Event_Master[[#This Row],[Venue_Charge]]+Event_Master[[#This Row],[Photography_Charge]]+Event_Master[[#This Row],[Entertainment_Charge]]+Event_Master[[#This Row],[Decor_Charge]]+Event_Master[[#This Row],[Logistics_Charge]]+Event_Master[[#This Row],[Food_Charge]]</f>
        <v>263880</v>
      </c>
      <c r="AB60" s="10">
        <v>5000</v>
      </c>
      <c r="AC60" s="10">
        <f>Event_Master[[#This Row],[Client_Budget]]+Event_Master[[#This Row],[Planner_Remuneration]]</f>
        <v>268880</v>
      </c>
      <c r="AD60" s="10">
        <v>4</v>
      </c>
    </row>
    <row r="61" spans="1:30" x14ac:dyDescent="0.25">
      <c r="A61" s="10">
        <v>60</v>
      </c>
      <c r="B61" s="10" t="str" cm="1">
        <f t="array" ref="B61">_xlfn.XLOOKUP(Event_Master[[#This Row],[Event_Type]],Event_Catalog[[#All],[Event_Name]],Event_Catalog[[#All],[Event_ID]],,0)</f>
        <v>E010</v>
      </c>
      <c r="C61" s="10" t="s">
        <v>311</v>
      </c>
      <c r="D61" s="10" t="s">
        <v>292</v>
      </c>
      <c r="E61" s="10">
        <v>90</v>
      </c>
      <c r="F61" s="10" t="s">
        <v>409</v>
      </c>
      <c r="G61" s="11">
        <v>45886</v>
      </c>
      <c r="H61" s="10" t="s">
        <v>223</v>
      </c>
      <c r="I61" s="10" cm="1">
        <f t="array" ref="I61">_xlfn.XLOOKUP(Event_Master[[#This Row],[Event_No]],Venue_Orders[[#All],[Event_No]],Venue_Orders[[#All],[Rental_Cost]],0,0)</f>
        <v>0</v>
      </c>
      <c r="J61" s="10" cm="1">
        <f t="array" ref="J61">_xlfn.XLOOKUP(Event_Master[[#This Row],[Event_No]],Venue_Orders[[#All],[Event_No]],Venue_Orders[[#All],[Client_Charge]],,0)</f>
        <v>0</v>
      </c>
      <c r="K61" s="10" t="s">
        <v>242</v>
      </c>
      <c r="L61" s="10" cm="1">
        <f t="array" ref="L61">_xlfn.XLOOKUP(Event_Master[[#This Row],[Event_No]],Photography_Orders[[#All],[Event_No]],Photography_Orders[[#All],[Cost]],,0)</f>
        <v>20000</v>
      </c>
      <c r="M61" s="10" cm="1">
        <f t="array" ref="M61">_xlfn.XLOOKUP(Event_Master[[#This Row],[Event_No]],Photography_Orders[[#All],[Event_No]],Photography_Orders[[#All],[Client_Charge]],,0)</f>
        <v>24000</v>
      </c>
      <c r="N61" s="10" t="s">
        <v>167</v>
      </c>
      <c r="O61" s="10" cm="1">
        <f t="array" ref="O61">_xlfn.XLOOKUP(Event_Master[[#This Row],[Event_No]],Entertainment_Orders[[#All],[Event_No]],Entertainment_Orders[[#All],[Cost]],,0)</f>
        <v>0</v>
      </c>
      <c r="P61" s="10" cm="1">
        <f t="array" ref="P61">_xlfn.XLOOKUP(Event_Master[[#This Row],[Event_No]],Entertainment_Orders[[#All],[Event_No]],Entertainment_Orders[[#All],[Client_Charge]],,0)</f>
        <v>0</v>
      </c>
      <c r="Q61" s="10" t="s">
        <v>278</v>
      </c>
      <c r="R61" s="10" cm="1">
        <f t="array" ref="R61">_xlfn.XLOOKUP(Event_Master[[#This Row],[Event_No]],Decor_Orders[[#All],[Event_No]],Decor_Orders[[#All],[Cost]],,0)</f>
        <v>20000</v>
      </c>
      <c r="S61" s="10" cm="1">
        <f t="array" ref="S61">_xlfn.XLOOKUP(Event_Master[[#This Row],[Event_No]],Decor_Orders[[#All],[Event_No]],Decor_Orders[[#All],[Client_Charge]],,0)</f>
        <v>24000</v>
      </c>
      <c r="T61" s="10" t="s">
        <v>405</v>
      </c>
      <c r="U61" s="10">
        <f>SUMIFS(Logistics_Orders[[#All],[Cost]],Logistics_Orders[[#All],[Event_No]],Event_Master[[#This Row],[Event_No]])</f>
        <v>44000</v>
      </c>
      <c r="V61" s="10">
        <f>SUMIFS(Logistics_Orders[[#All],[Client_Charge]],Logistics_Orders[[#All],[Event_No]],Event_Master[[#This Row],[Event_No]])</f>
        <v>52800</v>
      </c>
      <c r="W61" s="10" t="s">
        <v>418</v>
      </c>
      <c r="X61" s="10">
        <f>SUMIFS(Food_Orders[[#All],[Cost]],Food_Orders[[#All],[Event_No]],Event_Master[[#This Row],[Event_No]])</f>
        <v>89550</v>
      </c>
      <c r="Y61" s="10">
        <f>SUMIFS(Food_Orders[[#All],[Client_Price]],Food_Orders[[#All],[Event_No]],Event_Master[[#This Row],[Event_No]])</f>
        <v>107460</v>
      </c>
      <c r="Z61" s="10">
        <f>Event_Master[[#This Row],[Venue_Cost]]+Event_Master[[#This Row],[Photography_Cost]]+Event_Master[[#This Row],[Entertainment_Cost]]+Event_Master[[#This Row],[Decor_Cost]]+Event_Master[[#This Row],[Logistics_Cost]]+Event_Master[[#This Row],[Food_Cost]]</f>
        <v>173550</v>
      </c>
      <c r="AA61" s="10">
        <f>Event_Master[[#This Row],[Venue_Charge]]+Event_Master[[#This Row],[Photography_Charge]]+Event_Master[[#This Row],[Entertainment_Charge]]+Event_Master[[#This Row],[Decor_Charge]]+Event_Master[[#This Row],[Logistics_Charge]]+Event_Master[[#This Row],[Food_Charge]]</f>
        <v>208260</v>
      </c>
      <c r="AB61" s="10">
        <v>5000</v>
      </c>
      <c r="AC61" s="10">
        <f>Event_Master[[#This Row],[Client_Budget]]+Event_Master[[#This Row],[Planner_Remuneration]]</f>
        <v>213260</v>
      </c>
      <c r="AD61" s="10">
        <v>5</v>
      </c>
    </row>
    <row r="62" spans="1:30" x14ac:dyDescent="0.25">
      <c r="A62" s="10">
        <v>61</v>
      </c>
      <c r="B62" s="10" t="str" cm="1">
        <f t="array" ref="B62">_xlfn.XLOOKUP(Event_Master[[#This Row],[Event_Type]],Event_Catalog[[#All],[Event_Name]],Event_Catalog[[#All],[Event_ID]],,0)</f>
        <v>E001</v>
      </c>
      <c r="C62" s="10" t="s">
        <v>293</v>
      </c>
      <c r="D62" s="10" t="s">
        <v>292</v>
      </c>
      <c r="E62" s="10">
        <v>850</v>
      </c>
      <c r="F62" s="10" t="s">
        <v>404</v>
      </c>
      <c r="G62" s="11">
        <v>45711</v>
      </c>
      <c r="H62" s="10" t="s">
        <v>215</v>
      </c>
      <c r="I62" s="10" cm="1">
        <f t="array" ref="I62">_xlfn.XLOOKUP(Event_Master[[#This Row],[Event_No]],Venue_Orders[[#All],[Event_No]],Venue_Orders[[#All],[Rental_Cost]],0,0)</f>
        <v>150000</v>
      </c>
      <c r="J62" s="10" cm="1">
        <f t="array" ref="J62">_xlfn.XLOOKUP(Event_Master[[#This Row],[Event_No]],Venue_Orders[[#All],[Event_No]],Venue_Orders[[#All],[Client_Charge]],,0)</f>
        <v>175000</v>
      </c>
      <c r="K62" s="10" t="s">
        <v>242</v>
      </c>
      <c r="L62" s="10" cm="1">
        <f t="array" ref="L62">_xlfn.XLOOKUP(Event_Master[[#This Row],[Event_No]],Photography_Orders[[#All],[Event_No]],Photography_Orders[[#All],[Cost]],,0)</f>
        <v>20000</v>
      </c>
      <c r="M62" s="10" cm="1">
        <f t="array" ref="M62">_xlfn.XLOOKUP(Event_Master[[#This Row],[Event_No]],Photography_Orders[[#All],[Event_No]],Photography_Orders[[#All],[Client_Charge]],,0)</f>
        <v>24000</v>
      </c>
      <c r="N62" s="10" t="s">
        <v>153</v>
      </c>
      <c r="O62" s="10" cm="1">
        <f t="array" ref="O62">_xlfn.XLOOKUP(Event_Master[[#This Row],[Event_No]],Entertainment_Orders[[#All],[Event_No]],Entertainment_Orders[[#All],[Cost]],,0)</f>
        <v>15000</v>
      </c>
      <c r="P62" s="10" cm="1">
        <f t="array" ref="P62">_xlfn.XLOOKUP(Event_Master[[#This Row],[Event_No]],Entertainment_Orders[[#All],[Event_No]],Entertainment_Orders[[#All],[Client_Charge]],,0)</f>
        <v>18000</v>
      </c>
      <c r="Q62" s="10" t="s">
        <v>260</v>
      </c>
      <c r="R62" s="10" cm="1">
        <f t="array" ref="R62">_xlfn.XLOOKUP(Event_Master[[#This Row],[Event_No]],Decor_Orders[[#All],[Event_No]],Decor_Orders[[#All],[Cost]],,0)</f>
        <v>25000</v>
      </c>
      <c r="S62" s="10" cm="1">
        <f t="array" ref="S62">_xlfn.XLOOKUP(Event_Master[[#This Row],[Event_No]],Decor_Orders[[#All],[Event_No]],Decor_Orders[[#All],[Client_Charge]],,0)</f>
        <v>30000</v>
      </c>
      <c r="T62" s="10" t="s">
        <v>405</v>
      </c>
      <c r="U62" s="10">
        <f>SUMIFS(Logistics_Orders[[#All],[Cost]],Logistics_Orders[[#All],[Event_No]],Event_Master[[#This Row],[Event_No]])</f>
        <v>74000</v>
      </c>
      <c r="V62" s="10">
        <f>SUMIFS(Logistics_Orders[[#All],[Client_Charge]],Logistics_Orders[[#All],[Event_No]],Event_Master[[#This Row],[Event_No]])</f>
        <v>88800</v>
      </c>
      <c r="W62" s="10" t="s">
        <v>406</v>
      </c>
      <c r="X62" s="10">
        <f>SUMIFS(Food_Orders[[#All],[Cost]],Food_Orders[[#All],[Event_No]],Event_Master[[#This Row],[Event_No]])</f>
        <v>1398250</v>
      </c>
      <c r="Y62" s="10">
        <f>SUMIFS(Food_Orders[[#All],[Client_Price]],Food_Orders[[#All],[Event_No]],Event_Master[[#This Row],[Event_No]])</f>
        <v>1677900</v>
      </c>
      <c r="Z62" s="10">
        <f>Event_Master[[#This Row],[Venue_Cost]]+Event_Master[[#This Row],[Photography_Cost]]+Event_Master[[#This Row],[Entertainment_Cost]]+Event_Master[[#This Row],[Decor_Cost]]+Event_Master[[#This Row],[Logistics_Cost]]+Event_Master[[#This Row],[Food_Cost]]</f>
        <v>1682250</v>
      </c>
      <c r="AA62" s="10">
        <f>Event_Master[[#This Row],[Venue_Charge]]+Event_Master[[#This Row],[Photography_Charge]]+Event_Master[[#This Row],[Entertainment_Charge]]+Event_Master[[#This Row],[Decor_Charge]]+Event_Master[[#This Row],[Logistics_Charge]]+Event_Master[[#This Row],[Food_Charge]]</f>
        <v>2013700</v>
      </c>
      <c r="AB62" s="10">
        <v>30000</v>
      </c>
      <c r="AC62" s="10">
        <f>Event_Master[[#This Row],[Client_Budget]]+Event_Master[[#This Row],[Planner_Remuneration]]</f>
        <v>2043700</v>
      </c>
      <c r="AD62" s="10">
        <v>5</v>
      </c>
    </row>
    <row r="63" spans="1:30" x14ac:dyDescent="0.25">
      <c r="A63" s="10">
        <v>62</v>
      </c>
      <c r="B63" s="10" t="str" cm="1">
        <f t="array" ref="B63">_xlfn.XLOOKUP(Event_Master[[#This Row],[Event_Type]],Event_Catalog[[#All],[Event_Name]],Event_Catalog[[#All],[Event_ID]],,0)</f>
        <v>E011</v>
      </c>
      <c r="C63" s="10" t="s">
        <v>313</v>
      </c>
      <c r="D63" s="10" t="s">
        <v>292</v>
      </c>
      <c r="E63" s="10">
        <v>350</v>
      </c>
      <c r="F63" s="10" t="s">
        <v>407</v>
      </c>
      <c r="G63" s="11">
        <v>45914</v>
      </c>
      <c r="H63" s="10" t="s">
        <v>224</v>
      </c>
      <c r="I63" s="10" cm="1">
        <f t="array" ref="I63">_xlfn.XLOOKUP(Event_Master[[#This Row],[Event_No]],Venue_Orders[[#All],[Event_No]],Venue_Orders[[#All],[Rental_Cost]],0,0)</f>
        <v>0</v>
      </c>
      <c r="J63" s="10" cm="1">
        <f t="array" ref="J63">_xlfn.XLOOKUP(Event_Master[[#This Row],[Event_No]],Venue_Orders[[#All],[Event_No]],Venue_Orders[[#All],[Client_Charge]],,0)</f>
        <v>0</v>
      </c>
      <c r="K63" s="10" t="s">
        <v>247</v>
      </c>
      <c r="L63" s="10" cm="1">
        <f t="array" ref="L63">_xlfn.XLOOKUP(Event_Master[[#This Row],[Event_No]],Photography_Orders[[#All],[Event_No]],Photography_Orders[[#All],[Cost]],,0)</f>
        <v>10000</v>
      </c>
      <c r="M63" s="10" cm="1">
        <f t="array" ref="M63">_xlfn.XLOOKUP(Event_Master[[#This Row],[Event_No]],Photography_Orders[[#All],[Event_No]],Photography_Orders[[#All],[Client_Charge]],,0)</f>
        <v>12000</v>
      </c>
      <c r="N63" s="10" t="s">
        <v>167</v>
      </c>
      <c r="O63" s="10" cm="1">
        <f t="array" ref="O63">_xlfn.XLOOKUP(Event_Master[[#This Row],[Event_No]],Entertainment_Orders[[#All],[Event_No]],Entertainment_Orders[[#All],[Cost]],,0)</f>
        <v>0</v>
      </c>
      <c r="P63" s="10" cm="1">
        <f t="array" ref="P63">_xlfn.XLOOKUP(Event_Master[[#This Row],[Event_No]],Entertainment_Orders[[#All],[Event_No]],Entertainment_Orders[[#All],[Client_Charge]],,0)</f>
        <v>0</v>
      </c>
      <c r="Q63" s="10" t="s">
        <v>266</v>
      </c>
      <c r="R63" s="10" cm="1">
        <f t="array" ref="R63">_xlfn.XLOOKUP(Event_Master[[#This Row],[Event_No]],Decor_Orders[[#All],[Event_No]],Decor_Orders[[#All],[Cost]],,0)</f>
        <v>30000</v>
      </c>
      <c r="S63" s="10" cm="1">
        <f t="array" ref="S63">_xlfn.XLOOKUP(Event_Master[[#This Row],[Event_No]],Decor_Orders[[#All],[Event_No]],Decor_Orders[[#All],[Client_Charge]],,0)</f>
        <v>36000</v>
      </c>
      <c r="T63" s="10" t="s">
        <v>405</v>
      </c>
      <c r="U63" s="10">
        <f>SUMIFS(Logistics_Orders[[#All],[Cost]],Logistics_Orders[[#All],[Event_No]],Event_Master[[#This Row],[Event_No]])</f>
        <v>59000</v>
      </c>
      <c r="V63" s="10">
        <f>SUMIFS(Logistics_Orders[[#All],[Client_Charge]],Logistics_Orders[[#All],[Event_No]],Event_Master[[#This Row],[Event_No]])</f>
        <v>70800</v>
      </c>
      <c r="W63" s="10" t="s">
        <v>419</v>
      </c>
      <c r="X63" s="10">
        <f>SUMIFS(Food_Orders[[#All],[Cost]],Food_Orders[[#All],[Event_No]],Event_Master[[#This Row],[Event_No]])</f>
        <v>117250</v>
      </c>
      <c r="Y63" s="10">
        <f>SUMIFS(Food_Orders[[#All],[Client_Price]],Food_Orders[[#All],[Event_No]],Event_Master[[#This Row],[Event_No]])</f>
        <v>140700</v>
      </c>
      <c r="Z63" s="10">
        <f>Event_Master[[#This Row],[Venue_Cost]]+Event_Master[[#This Row],[Photography_Cost]]+Event_Master[[#This Row],[Entertainment_Cost]]+Event_Master[[#This Row],[Decor_Cost]]+Event_Master[[#This Row],[Logistics_Cost]]+Event_Master[[#This Row],[Food_Cost]]</f>
        <v>216250</v>
      </c>
      <c r="AA63" s="10">
        <f>Event_Master[[#This Row],[Venue_Charge]]+Event_Master[[#This Row],[Photography_Charge]]+Event_Master[[#This Row],[Entertainment_Charge]]+Event_Master[[#This Row],[Decor_Charge]]+Event_Master[[#This Row],[Logistics_Charge]]+Event_Master[[#This Row],[Food_Charge]]</f>
        <v>259500</v>
      </c>
      <c r="AB63" s="10">
        <v>12000</v>
      </c>
      <c r="AC63" s="10">
        <f>Event_Master[[#This Row],[Client_Budget]]+Event_Master[[#This Row],[Planner_Remuneration]]</f>
        <v>271500</v>
      </c>
      <c r="AD63" s="10">
        <v>4</v>
      </c>
    </row>
    <row r="64" spans="1:30" x14ac:dyDescent="0.25">
      <c r="A64" s="10">
        <v>63</v>
      </c>
      <c r="B64" s="10" t="str" cm="1">
        <f t="array" ref="B64">_xlfn.XLOOKUP(Event_Master[[#This Row],[Event_Type]],Event_Catalog[[#All],[Event_Name]],Event_Catalog[[#All],[Event_ID]],,0)</f>
        <v>E012</v>
      </c>
      <c r="C64" s="10" t="s">
        <v>316</v>
      </c>
      <c r="D64" s="10" t="s">
        <v>315</v>
      </c>
      <c r="E64" s="10">
        <v>500</v>
      </c>
      <c r="F64" s="10" t="s">
        <v>407</v>
      </c>
      <c r="G64" s="11">
        <v>45744</v>
      </c>
      <c r="H64" s="10" t="s">
        <v>215</v>
      </c>
      <c r="I64" s="10" cm="1">
        <f t="array" ref="I64">_xlfn.XLOOKUP(Event_Master[[#This Row],[Event_No]],Venue_Orders[[#All],[Event_No]],Venue_Orders[[#All],[Rental_Cost]],0,0)</f>
        <v>150000</v>
      </c>
      <c r="J64" s="10" cm="1">
        <f t="array" ref="J64">_xlfn.XLOOKUP(Event_Master[[#This Row],[Event_No]],Venue_Orders[[#All],[Event_No]],Venue_Orders[[#All],[Client_Charge]],,0)</f>
        <v>175000</v>
      </c>
      <c r="K64" s="10" t="s">
        <v>237</v>
      </c>
      <c r="L64" s="10" cm="1">
        <f t="array" ref="L64">_xlfn.XLOOKUP(Event_Master[[#This Row],[Event_No]],Photography_Orders[[#All],[Event_No]],Photography_Orders[[#All],[Cost]],,0)</f>
        <v>45000</v>
      </c>
      <c r="M64" s="10" cm="1">
        <f t="array" ref="M64">_xlfn.XLOOKUP(Event_Master[[#This Row],[Event_No]],Photography_Orders[[#All],[Event_No]],Photography_Orders[[#All],[Client_Charge]],,0)</f>
        <v>53000</v>
      </c>
      <c r="N64" s="10" t="s">
        <v>153</v>
      </c>
      <c r="O64" s="10" cm="1">
        <f t="array" ref="O64">_xlfn.XLOOKUP(Event_Master[[#This Row],[Event_No]],Entertainment_Orders[[#All],[Event_No]],Entertainment_Orders[[#All],[Cost]],,0)</f>
        <v>15000</v>
      </c>
      <c r="P64" s="10" cm="1">
        <f t="array" ref="P64">_xlfn.XLOOKUP(Event_Master[[#This Row],[Event_No]],Entertainment_Orders[[#All],[Event_No]],Entertainment_Orders[[#All],[Client_Charge]],,0)</f>
        <v>18000</v>
      </c>
      <c r="Q64" s="10" t="s">
        <v>283</v>
      </c>
      <c r="R64" s="10" cm="1">
        <f t="array" ref="R64">_xlfn.XLOOKUP(Event_Master[[#This Row],[Event_No]],Decor_Orders[[#All],[Event_No]],Decor_Orders[[#All],[Cost]],,0)</f>
        <v>35000</v>
      </c>
      <c r="S64" s="10" cm="1">
        <f t="array" ref="S64">_xlfn.XLOOKUP(Event_Master[[#This Row],[Event_No]],Decor_Orders[[#All],[Event_No]],Decor_Orders[[#All],[Client_Charge]],,0)</f>
        <v>42000</v>
      </c>
      <c r="T64" s="10" t="s">
        <v>405</v>
      </c>
      <c r="U64" s="10">
        <f>SUMIFS(Logistics_Orders[[#All],[Cost]],Logistics_Orders[[#All],[Event_No]],Event_Master[[#This Row],[Event_No]])</f>
        <v>59000</v>
      </c>
      <c r="V64" s="10">
        <f>SUMIFS(Logistics_Orders[[#All],[Client_Charge]],Logistics_Orders[[#All],[Event_No]],Event_Master[[#This Row],[Event_No]])</f>
        <v>70800</v>
      </c>
      <c r="W64" s="10" t="s">
        <v>420</v>
      </c>
      <c r="X64" s="10">
        <f>SUMIFS(Food_Orders[[#All],[Cost]],Food_Orders[[#All],[Event_No]],Event_Master[[#This Row],[Event_No]])</f>
        <v>485000</v>
      </c>
      <c r="Y64" s="10">
        <f>SUMIFS(Food_Orders[[#All],[Client_Price]],Food_Orders[[#All],[Event_No]],Event_Master[[#This Row],[Event_No]])</f>
        <v>582000</v>
      </c>
      <c r="Z64" s="10">
        <f>Event_Master[[#This Row],[Venue_Cost]]+Event_Master[[#This Row],[Photography_Cost]]+Event_Master[[#This Row],[Entertainment_Cost]]+Event_Master[[#This Row],[Decor_Cost]]+Event_Master[[#This Row],[Logistics_Cost]]+Event_Master[[#This Row],[Food_Cost]]</f>
        <v>789000</v>
      </c>
      <c r="AA64" s="10">
        <f>Event_Master[[#This Row],[Venue_Charge]]+Event_Master[[#This Row],[Photography_Charge]]+Event_Master[[#This Row],[Entertainment_Charge]]+Event_Master[[#This Row],[Decor_Charge]]+Event_Master[[#This Row],[Logistics_Charge]]+Event_Master[[#This Row],[Food_Charge]]</f>
        <v>940800</v>
      </c>
      <c r="AB64" s="10">
        <v>12000</v>
      </c>
      <c r="AC64" s="10">
        <f>Event_Master[[#This Row],[Client_Budget]]+Event_Master[[#This Row],[Planner_Remuneration]]</f>
        <v>952800</v>
      </c>
      <c r="AD64" s="10">
        <v>3</v>
      </c>
    </row>
    <row r="65" spans="1:30" x14ac:dyDescent="0.25">
      <c r="A65" s="10">
        <v>64</v>
      </c>
      <c r="B65" s="10" t="str" cm="1">
        <f t="array" ref="B65">_xlfn.XLOOKUP(Event_Master[[#This Row],[Event_Type]],Event_Catalog[[#All],[Event_Name]],Event_Catalog[[#All],[Event_ID]],,0)</f>
        <v>E013</v>
      </c>
      <c r="C65" s="10" t="s">
        <v>318</v>
      </c>
      <c r="D65" s="10" t="s">
        <v>315</v>
      </c>
      <c r="E65" s="10">
        <v>450</v>
      </c>
      <c r="F65" s="10" t="s">
        <v>407</v>
      </c>
      <c r="G65" s="11">
        <v>45839</v>
      </c>
      <c r="H65" s="10" t="s">
        <v>215</v>
      </c>
      <c r="I65" s="10" cm="1">
        <f t="array" ref="I65">_xlfn.XLOOKUP(Event_Master[[#This Row],[Event_No]],Venue_Orders[[#All],[Event_No]],Venue_Orders[[#All],[Rental_Cost]],0,0)</f>
        <v>150000</v>
      </c>
      <c r="J65" s="10" cm="1">
        <f t="array" ref="J65">_xlfn.XLOOKUP(Event_Master[[#This Row],[Event_No]],Venue_Orders[[#All],[Event_No]],Venue_Orders[[#All],[Client_Charge]],,0)</f>
        <v>175000</v>
      </c>
      <c r="K65" s="10" t="s">
        <v>237</v>
      </c>
      <c r="L65" s="10" cm="1">
        <f t="array" ref="L65">_xlfn.XLOOKUP(Event_Master[[#This Row],[Event_No]],Photography_Orders[[#All],[Event_No]],Photography_Orders[[#All],[Cost]],,0)</f>
        <v>45000</v>
      </c>
      <c r="M65" s="10" cm="1">
        <f t="array" ref="M65">_xlfn.XLOOKUP(Event_Master[[#This Row],[Event_No]],Photography_Orders[[#All],[Event_No]],Photography_Orders[[#All],[Client_Charge]],,0)</f>
        <v>53000</v>
      </c>
      <c r="N65" s="10" t="s">
        <v>169</v>
      </c>
      <c r="O65" s="10" cm="1">
        <f t="array" ref="O65">_xlfn.XLOOKUP(Event_Master[[#This Row],[Event_No]],Entertainment_Orders[[#All],[Event_No]],Entertainment_Orders[[#All],[Cost]],,0)</f>
        <v>0</v>
      </c>
      <c r="P65" s="10" cm="1">
        <f t="array" ref="P65">_xlfn.XLOOKUP(Event_Master[[#This Row],[Event_No]],Entertainment_Orders[[#All],[Event_No]],Entertainment_Orders[[#All],[Client_Charge]],,0)</f>
        <v>0</v>
      </c>
      <c r="Q65" s="10" t="s">
        <v>283</v>
      </c>
      <c r="R65" s="10" cm="1">
        <f t="array" ref="R65">_xlfn.XLOOKUP(Event_Master[[#This Row],[Event_No]],Decor_Orders[[#All],[Event_No]],Decor_Orders[[#All],[Cost]],,0)</f>
        <v>35000</v>
      </c>
      <c r="S65" s="10" cm="1">
        <f t="array" ref="S65">_xlfn.XLOOKUP(Event_Master[[#This Row],[Event_No]],Decor_Orders[[#All],[Event_No]],Decor_Orders[[#All],[Client_Charge]],,0)</f>
        <v>42000</v>
      </c>
      <c r="T65" s="10" t="s">
        <v>405</v>
      </c>
      <c r="U65" s="10">
        <f>SUMIFS(Logistics_Orders[[#All],[Cost]],Logistics_Orders[[#All],[Event_No]],Event_Master[[#This Row],[Event_No]])</f>
        <v>59000</v>
      </c>
      <c r="V65" s="10">
        <f>SUMIFS(Logistics_Orders[[#All],[Client_Charge]],Logistics_Orders[[#All],[Event_No]],Event_Master[[#This Row],[Event_No]])</f>
        <v>70800</v>
      </c>
      <c r="W65" s="10" t="s">
        <v>421</v>
      </c>
      <c r="X65" s="10">
        <f>SUMIFS(Food_Orders[[#All],[Cost]],Food_Orders[[#All],[Event_No]],Event_Master[[#This Row],[Event_No]])</f>
        <v>168750</v>
      </c>
      <c r="Y65" s="10">
        <f>SUMIFS(Food_Orders[[#All],[Client_Price]],Food_Orders[[#All],[Event_No]],Event_Master[[#This Row],[Event_No]])</f>
        <v>202500</v>
      </c>
      <c r="Z65" s="10">
        <f>Event_Master[[#This Row],[Venue_Cost]]+Event_Master[[#This Row],[Photography_Cost]]+Event_Master[[#This Row],[Entertainment_Cost]]+Event_Master[[#This Row],[Decor_Cost]]+Event_Master[[#This Row],[Logistics_Cost]]+Event_Master[[#This Row],[Food_Cost]]</f>
        <v>457750</v>
      </c>
      <c r="AA65" s="10">
        <f>Event_Master[[#This Row],[Venue_Charge]]+Event_Master[[#This Row],[Photography_Charge]]+Event_Master[[#This Row],[Entertainment_Charge]]+Event_Master[[#This Row],[Decor_Charge]]+Event_Master[[#This Row],[Logistics_Charge]]+Event_Master[[#This Row],[Food_Charge]]</f>
        <v>543300</v>
      </c>
      <c r="AB65" s="10">
        <v>12000</v>
      </c>
      <c r="AC65" s="10">
        <f>Event_Master[[#This Row],[Client_Budget]]+Event_Master[[#This Row],[Planner_Remuneration]]</f>
        <v>555300</v>
      </c>
      <c r="AD65" s="10">
        <v>5</v>
      </c>
    </row>
    <row r="66" spans="1:30" x14ac:dyDescent="0.25">
      <c r="A66" s="10">
        <v>65</v>
      </c>
      <c r="B66" s="10" t="str" cm="1">
        <f t="array" ref="B66">_xlfn.XLOOKUP(Event_Master[[#This Row],[Event_Type]],Event_Catalog[[#All],[Event_Name]],Event_Catalog[[#All],[Event_ID]],,0)</f>
        <v>E014</v>
      </c>
      <c r="C66" s="10" t="s">
        <v>320</v>
      </c>
      <c r="D66" s="10" t="s">
        <v>315</v>
      </c>
      <c r="E66" s="10">
        <v>600</v>
      </c>
      <c r="F66" s="10" t="s">
        <v>404</v>
      </c>
      <c r="G66" s="11">
        <v>45878</v>
      </c>
      <c r="H66" s="10" t="s">
        <v>215</v>
      </c>
      <c r="I66" s="10" cm="1">
        <f t="array" ref="I66">_xlfn.XLOOKUP(Event_Master[[#This Row],[Event_No]],Venue_Orders[[#All],[Event_No]],Venue_Orders[[#All],[Rental_Cost]],0,0)</f>
        <v>150000</v>
      </c>
      <c r="J66" s="10" cm="1">
        <f t="array" ref="J66">_xlfn.XLOOKUP(Event_Master[[#This Row],[Event_No]],Venue_Orders[[#All],[Event_No]],Venue_Orders[[#All],[Client_Charge]],,0)</f>
        <v>175000</v>
      </c>
      <c r="K66" s="10" t="s">
        <v>237</v>
      </c>
      <c r="L66" s="10" cm="1">
        <f t="array" ref="L66">_xlfn.XLOOKUP(Event_Master[[#This Row],[Event_No]],Photography_Orders[[#All],[Event_No]],Photography_Orders[[#All],[Cost]],,0)</f>
        <v>45000</v>
      </c>
      <c r="M66" s="10" cm="1">
        <f t="array" ref="M66">_xlfn.XLOOKUP(Event_Master[[#This Row],[Event_No]],Photography_Orders[[#All],[Event_No]],Photography_Orders[[#All],[Client_Charge]],,0)</f>
        <v>53000</v>
      </c>
      <c r="N66" s="10" t="s">
        <v>153</v>
      </c>
      <c r="O66" s="10" cm="1">
        <f t="array" ref="O66">_xlfn.XLOOKUP(Event_Master[[#This Row],[Event_No]],Entertainment_Orders[[#All],[Event_No]],Entertainment_Orders[[#All],[Cost]],,0)</f>
        <v>15000</v>
      </c>
      <c r="P66" s="10" cm="1">
        <f t="array" ref="P66">_xlfn.XLOOKUP(Event_Master[[#This Row],[Event_No]],Entertainment_Orders[[#All],[Event_No]],Entertainment_Orders[[#All],[Client_Charge]],,0)</f>
        <v>18000</v>
      </c>
      <c r="Q66" s="10" t="s">
        <v>283</v>
      </c>
      <c r="R66" s="10" cm="1">
        <f t="array" ref="R66">_xlfn.XLOOKUP(Event_Master[[#This Row],[Event_No]],Decor_Orders[[#All],[Event_No]],Decor_Orders[[#All],[Cost]],,0)</f>
        <v>35000</v>
      </c>
      <c r="S66" s="10" cm="1">
        <f t="array" ref="S66">_xlfn.XLOOKUP(Event_Master[[#This Row],[Event_No]],Decor_Orders[[#All],[Event_No]],Decor_Orders[[#All],[Client_Charge]],,0)</f>
        <v>42000</v>
      </c>
      <c r="T66" s="10" t="s">
        <v>405</v>
      </c>
      <c r="U66" s="10">
        <f>SUMIFS(Logistics_Orders[[#All],[Cost]],Logistics_Orders[[#All],[Event_No]],Event_Master[[#This Row],[Event_No]])</f>
        <v>59000</v>
      </c>
      <c r="V66" s="10">
        <f>SUMIFS(Logistics_Orders[[#All],[Client_Charge]],Logistics_Orders[[#All],[Event_No]],Event_Master[[#This Row],[Event_No]])</f>
        <v>70800</v>
      </c>
      <c r="W66" s="10" t="s">
        <v>420</v>
      </c>
      <c r="X66" s="10">
        <f>SUMIFS(Food_Orders[[#All],[Cost]],Food_Orders[[#All],[Event_No]],Event_Master[[#This Row],[Event_No]])</f>
        <v>582000</v>
      </c>
      <c r="Y66" s="10">
        <f>SUMIFS(Food_Orders[[#All],[Client_Price]],Food_Orders[[#All],[Event_No]],Event_Master[[#This Row],[Event_No]])</f>
        <v>698400</v>
      </c>
      <c r="Z66" s="10">
        <f>Event_Master[[#This Row],[Venue_Cost]]+Event_Master[[#This Row],[Photography_Cost]]+Event_Master[[#This Row],[Entertainment_Cost]]+Event_Master[[#This Row],[Decor_Cost]]+Event_Master[[#This Row],[Logistics_Cost]]+Event_Master[[#This Row],[Food_Cost]]</f>
        <v>886000</v>
      </c>
      <c r="AA66" s="10">
        <f>Event_Master[[#This Row],[Venue_Charge]]+Event_Master[[#This Row],[Photography_Charge]]+Event_Master[[#This Row],[Entertainment_Charge]]+Event_Master[[#This Row],[Decor_Charge]]+Event_Master[[#This Row],[Logistics_Charge]]+Event_Master[[#This Row],[Food_Charge]]</f>
        <v>1057200</v>
      </c>
      <c r="AB66" s="10">
        <v>30000</v>
      </c>
      <c r="AC66" s="10">
        <f>Event_Master[[#This Row],[Client_Budget]]+Event_Master[[#This Row],[Planner_Remuneration]]</f>
        <v>1087200</v>
      </c>
      <c r="AD66" s="10">
        <v>4</v>
      </c>
    </row>
    <row r="67" spans="1:30" x14ac:dyDescent="0.25">
      <c r="A67" s="10">
        <v>66</v>
      </c>
      <c r="B67" s="10" t="str" cm="1">
        <f t="array" ref="B67">_xlfn.XLOOKUP(Event_Master[[#This Row],[Event_Type]],Event_Catalog[[#All],[Event_Name]],Event_Catalog[[#All],[Event_ID]],,0)</f>
        <v>E015</v>
      </c>
      <c r="C67" s="10" t="s">
        <v>322</v>
      </c>
      <c r="D67" s="10" t="s">
        <v>315</v>
      </c>
      <c r="E67" s="10">
        <v>800</v>
      </c>
      <c r="F67" s="10" t="s">
        <v>404</v>
      </c>
      <c r="G67" s="11">
        <v>45677</v>
      </c>
      <c r="H67" s="10" t="s">
        <v>221</v>
      </c>
      <c r="I67" s="10" cm="1">
        <f t="array" ref="I67">_xlfn.XLOOKUP(Event_Master[[#This Row],[Event_No]],Venue_Orders[[#All],[Event_No]],Venue_Orders[[#All],[Rental_Cost]],0,0)</f>
        <v>200000</v>
      </c>
      <c r="J67" s="10" cm="1">
        <f t="array" ref="J67">_xlfn.XLOOKUP(Event_Master[[#This Row],[Event_No]],Venue_Orders[[#All],[Event_No]],Venue_Orders[[#All],[Client_Charge]],,0)</f>
        <v>230000</v>
      </c>
      <c r="K67" s="10" t="s">
        <v>237</v>
      </c>
      <c r="L67" s="10" cm="1">
        <f t="array" ref="L67">_xlfn.XLOOKUP(Event_Master[[#This Row],[Event_No]],Photography_Orders[[#All],[Event_No]],Photography_Orders[[#All],[Cost]],,0)</f>
        <v>45000</v>
      </c>
      <c r="M67" s="10" cm="1">
        <f t="array" ref="M67">_xlfn.XLOOKUP(Event_Master[[#This Row],[Event_No]],Photography_Orders[[#All],[Event_No]],Photography_Orders[[#All],[Client_Charge]],,0)</f>
        <v>53000</v>
      </c>
      <c r="N67" s="10" t="s">
        <v>143</v>
      </c>
      <c r="O67" s="10" cm="1">
        <f t="array" ref="O67">_xlfn.XLOOKUP(Event_Master[[#This Row],[Event_No]],Entertainment_Orders[[#All],[Event_No]],Entertainment_Orders[[#All],[Cost]],,0)</f>
        <v>8000</v>
      </c>
      <c r="P67" s="10" cm="1">
        <f t="array" ref="P67">_xlfn.XLOOKUP(Event_Master[[#This Row],[Event_No]],Entertainment_Orders[[#All],[Event_No]],Entertainment_Orders[[#All],[Client_Charge]],,0)</f>
        <v>9500</v>
      </c>
      <c r="Q67" s="10" t="s">
        <v>283</v>
      </c>
      <c r="R67" s="10" cm="1">
        <f t="array" ref="R67">_xlfn.XLOOKUP(Event_Master[[#This Row],[Event_No]],Decor_Orders[[#All],[Event_No]],Decor_Orders[[#All],[Cost]],,0)</f>
        <v>35000</v>
      </c>
      <c r="S67" s="10" cm="1">
        <f t="array" ref="S67">_xlfn.XLOOKUP(Event_Master[[#This Row],[Event_No]],Decor_Orders[[#All],[Event_No]],Decor_Orders[[#All],[Client_Charge]],,0)</f>
        <v>42000</v>
      </c>
      <c r="T67" s="10" t="s">
        <v>405</v>
      </c>
      <c r="U67" s="10">
        <f>SUMIFS(Logistics_Orders[[#All],[Cost]],Logistics_Orders[[#All],[Event_No]],Event_Master[[#This Row],[Event_No]])</f>
        <v>74000</v>
      </c>
      <c r="V67" s="10">
        <f>SUMIFS(Logistics_Orders[[#All],[Client_Charge]],Logistics_Orders[[#All],[Event_No]],Event_Master[[#This Row],[Event_No]])</f>
        <v>88800</v>
      </c>
      <c r="W67" s="10" t="s">
        <v>422</v>
      </c>
      <c r="X67" s="10">
        <f>SUMIFS(Food_Orders[[#All],[Cost]],Food_Orders[[#All],[Event_No]],Event_Master[[#This Row],[Event_No]])</f>
        <v>200000</v>
      </c>
      <c r="Y67" s="10">
        <f>SUMIFS(Food_Orders[[#All],[Client_Price]],Food_Orders[[#All],[Event_No]],Event_Master[[#This Row],[Event_No]])</f>
        <v>240000</v>
      </c>
      <c r="Z67" s="10">
        <f>Event_Master[[#This Row],[Venue_Cost]]+Event_Master[[#This Row],[Photography_Cost]]+Event_Master[[#This Row],[Entertainment_Cost]]+Event_Master[[#This Row],[Decor_Cost]]+Event_Master[[#This Row],[Logistics_Cost]]+Event_Master[[#This Row],[Food_Cost]]</f>
        <v>562000</v>
      </c>
      <c r="AA67" s="10">
        <f>Event_Master[[#This Row],[Venue_Charge]]+Event_Master[[#This Row],[Photography_Charge]]+Event_Master[[#This Row],[Entertainment_Charge]]+Event_Master[[#This Row],[Decor_Charge]]+Event_Master[[#This Row],[Logistics_Charge]]+Event_Master[[#This Row],[Food_Charge]]</f>
        <v>663300</v>
      </c>
      <c r="AB67" s="10">
        <v>30000</v>
      </c>
      <c r="AC67" s="10">
        <f>Event_Master[[#This Row],[Client_Budget]]+Event_Master[[#This Row],[Planner_Remuneration]]</f>
        <v>693300</v>
      </c>
      <c r="AD67" s="10">
        <v>3</v>
      </c>
    </row>
    <row r="68" spans="1:30" x14ac:dyDescent="0.25">
      <c r="A68" s="10">
        <v>67</v>
      </c>
      <c r="B68" s="10" t="str" cm="1">
        <f t="array" ref="B68">_xlfn.XLOOKUP(Event_Master[[#This Row],[Event_Type]],Event_Catalog[[#All],[Event_Name]],Event_Catalog[[#All],[Event_ID]],,0)</f>
        <v>E016</v>
      </c>
      <c r="C68" s="10" t="s">
        <v>324</v>
      </c>
      <c r="D68" s="10" t="s">
        <v>315</v>
      </c>
      <c r="E68" s="10">
        <v>700</v>
      </c>
      <c r="F68" s="10" t="s">
        <v>404</v>
      </c>
      <c r="G68" s="11">
        <v>45698</v>
      </c>
      <c r="H68" s="10" t="s">
        <v>221</v>
      </c>
      <c r="I68" s="10" cm="1">
        <f t="array" ref="I68">_xlfn.XLOOKUP(Event_Master[[#This Row],[Event_No]],Venue_Orders[[#All],[Event_No]],Venue_Orders[[#All],[Rental_Cost]],0,0)</f>
        <v>200000</v>
      </c>
      <c r="J68" s="10" cm="1">
        <f t="array" ref="J68">_xlfn.XLOOKUP(Event_Master[[#This Row],[Event_No]],Venue_Orders[[#All],[Event_No]],Venue_Orders[[#All],[Client_Charge]],,0)</f>
        <v>230000</v>
      </c>
      <c r="K68" s="10" t="s">
        <v>237</v>
      </c>
      <c r="L68" s="10" cm="1">
        <f t="array" ref="L68">_xlfn.XLOOKUP(Event_Master[[#This Row],[Event_No]],Photography_Orders[[#All],[Event_No]],Photography_Orders[[#All],[Cost]],,0)</f>
        <v>45000</v>
      </c>
      <c r="M68" s="10" cm="1">
        <f t="array" ref="M68">_xlfn.XLOOKUP(Event_Master[[#This Row],[Event_No]],Photography_Orders[[#All],[Event_No]],Photography_Orders[[#All],[Client_Charge]],,0)</f>
        <v>53000</v>
      </c>
      <c r="N68" s="10" t="s">
        <v>143</v>
      </c>
      <c r="O68" s="10" cm="1">
        <f t="array" ref="O68">_xlfn.XLOOKUP(Event_Master[[#This Row],[Event_No]],Entertainment_Orders[[#All],[Event_No]],Entertainment_Orders[[#All],[Cost]],,0)</f>
        <v>8000</v>
      </c>
      <c r="P68" s="10" cm="1">
        <f t="array" ref="P68">_xlfn.XLOOKUP(Event_Master[[#This Row],[Event_No]],Entertainment_Orders[[#All],[Event_No]],Entertainment_Orders[[#All],[Client_Charge]],,0)</f>
        <v>9500</v>
      </c>
      <c r="Q68" s="10" t="s">
        <v>283</v>
      </c>
      <c r="R68" s="10" cm="1">
        <f t="array" ref="R68">_xlfn.XLOOKUP(Event_Master[[#This Row],[Event_No]],Decor_Orders[[#All],[Event_No]],Decor_Orders[[#All],[Cost]],,0)</f>
        <v>35000</v>
      </c>
      <c r="S68" s="10" cm="1">
        <f t="array" ref="S68">_xlfn.XLOOKUP(Event_Master[[#This Row],[Event_No]],Decor_Orders[[#All],[Event_No]],Decor_Orders[[#All],[Client_Charge]],,0)</f>
        <v>42000</v>
      </c>
      <c r="T68" s="10" t="s">
        <v>405</v>
      </c>
      <c r="U68" s="10">
        <f>SUMIFS(Logistics_Orders[[#All],[Cost]],Logistics_Orders[[#All],[Event_No]],Event_Master[[#This Row],[Event_No]])</f>
        <v>74000</v>
      </c>
      <c r="V68" s="10">
        <f>SUMIFS(Logistics_Orders[[#All],[Client_Charge]],Logistics_Orders[[#All],[Event_No]],Event_Master[[#This Row],[Event_No]])</f>
        <v>88800</v>
      </c>
      <c r="W68" s="10" t="s">
        <v>422</v>
      </c>
      <c r="X68" s="10">
        <f>SUMIFS(Food_Orders[[#All],[Cost]],Food_Orders[[#All],[Event_No]],Event_Master[[#This Row],[Event_No]])</f>
        <v>175000</v>
      </c>
      <c r="Y68" s="10">
        <f>SUMIFS(Food_Orders[[#All],[Client_Price]],Food_Orders[[#All],[Event_No]],Event_Master[[#This Row],[Event_No]])</f>
        <v>210000</v>
      </c>
      <c r="Z68" s="10">
        <f>Event_Master[[#This Row],[Venue_Cost]]+Event_Master[[#This Row],[Photography_Cost]]+Event_Master[[#This Row],[Entertainment_Cost]]+Event_Master[[#This Row],[Decor_Cost]]+Event_Master[[#This Row],[Logistics_Cost]]+Event_Master[[#This Row],[Food_Cost]]</f>
        <v>537000</v>
      </c>
      <c r="AA68" s="10">
        <f>Event_Master[[#This Row],[Venue_Charge]]+Event_Master[[#This Row],[Photography_Charge]]+Event_Master[[#This Row],[Entertainment_Charge]]+Event_Master[[#This Row],[Decor_Charge]]+Event_Master[[#This Row],[Logistics_Charge]]+Event_Master[[#This Row],[Food_Charge]]</f>
        <v>633300</v>
      </c>
      <c r="AB68" s="10">
        <v>30000</v>
      </c>
      <c r="AC68" s="10">
        <f>Event_Master[[#This Row],[Client_Budget]]+Event_Master[[#This Row],[Planner_Remuneration]]</f>
        <v>663300</v>
      </c>
      <c r="AD68" s="10">
        <v>5</v>
      </c>
    </row>
    <row r="69" spans="1:30" x14ac:dyDescent="0.25">
      <c r="A69" s="10">
        <v>68</v>
      </c>
      <c r="B69" s="10" t="str" cm="1">
        <f t="array" ref="B69">_xlfn.XLOOKUP(Event_Master[[#This Row],[Event_Type]],Event_Catalog[[#All],[Event_Name]],Event_Catalog[[#All],[Event_ID]],,0)</f>
        <v>E017</v>
      </c>
      <c r="C69" s="10" t="s">
        <v>326</v>
      </c>
      <c r="D69" s="10" t="s">
        <v>315</v>
      </c>
      <c r="E69" s="10">
        <v>650</v>
      </c>
      <c r="F69" s="10" t="s">
        <v>404</v>
      </c>
      <c r="G69" s="11">
        <v>45721</v>
      </c>
      <c r="H69" s="10" t="s">
        <v>215</v>
      </c>
      <c r="I69" s="10" cm="1">
        <f t="array" ref="I69">_xlfn.XLOOKUP(Event_Master[[#This Row],[Event_No]],Venue_Orders[[#All],[Event_No]],Venue_Orders[[#All],[Rental_Cost]],0,0)</f>
        <v>150000</v>
      </c>
      <c r="J69" s="10" cm="1">
        <f t="array" ref="J69">_xlfn.XLOOKUP(Event_Master[[#This Row],[Event_No]],Venue_Orders[[#All],[Event_No]],Venue_Orders[[#All],[Client_Charge]],,0)</f>
        <v>175000</v>
      </c>
      <c r="K69" s="10" t="s">
        <v>237</v>
      </c>
      <c r="L69" s="10" cm="1">
        <f t="array" ref="L69">_xlfn.XLOOKUP(Event_Master[[#This Row],[Event_No]],Photography_Orders[[#All],[Event_No]],Photography_Orders[[#All],[Cost]],,0)</f>
        <v>45000</v>
      </c>
      <c r="M69" s="10" cm="1">
        <f t="array" ref="M69">_xlfn.XLOOKUP(Event_Master[[#This Row],[Event_No]],Photography_Orders[[#All],[Event_No]],Photography_Orders[[#All],[Client_Charge]],,0)</f>
        <v>53000</v>
      </c>
      <c r="N69" s="10" t="s">
        <v>169</v>
      </c>
      <c r="O69" s="10" cm="1">
        <f t="array" ref="O69">_xlfn.XLOOKUP(Event_Master[[#This Row],[Event_No]],Entertainment_Orders[[#All],[Event_No]],Entertainment_Orders[[#All],[Cost]],,0)</f>
        <v>0</v>
      </c>
      <c r="P69" s="10" cm="1">
        <f t="array" ref="P69">_xlfn.XLOOKUP(Event_Master[[#This Row],[Event_No]],Entertainment_Orders[[#All],[Event_No]],Entertainment_Orders[[#All],[Client_Charge]],,0)</f>
        <v>0</v>
      </c>
      <c r="Q69" s="10" t="s">
        <v>283</v>
      </c>
      <c r="R69" s="10" cm="1">
        <f t="array" ref="R69">_xlfn.XLOOKUP(Event_Master[[#This Row],[Event_No]],Decor_Orders[[#All],[Event_No]],Decor_Orders[[#All],[Cost]],,0)</f>
        <v>35000</v>
      </c>
      <c r="S69" s="10" cm="1">
        <f t="array" ref="S69">_xlfn.XLOOKUP(Event_Master[[#This Row],[Event_No]],Decor_Orders[[#All],[Event_No]],Decor_Orders[[#All],[Client_Charge]],,0)</f>
        <v>42000</v>
      </c>
      <c r="T69" s="10" t="s">
        <v>405</v>
      </c>
      <c r="U69" s="10">
        <f>SUMIFS(Logistics_Orders[[#All],[Cost]],Logistics_Orders[[#All],[Event_No]],Event_Master[[#This Row],[Event_No]])</f>
        <v>74000</v>
      </c>
      <c r="V69" s="10">
        <f>SUMIFS(Logistics_Orders[[#All],[Client_Charge]],Logistics_Orders[[#All],[Event_No]],Event_Master[[#This Row],[Event_No]])</f>
        <v>88800</v>
      </c>
      <c r="W69" s="10" t="s">
        <v>422</v>
      </c>
      <c r="X69" s="10">
        <f>SUMIFS(Food_Orders[[#All],[Cost]],Food_Orders[[#All],[Event_No]],Event_Master[[#This Row],[Event_No]])</f>
        <v>162500</v>
      </c>
      <c r="Y69" s="10">
        <f>SUMIFS(Food_Orders[[#All],[Client_Price]],Food_Orders[[#All],[Event_No]],Event_Master[[#This Row],[Event_No]])</f>
        <v>195000</v>
      </c>
      <c r="Z69" s="10">
        <f>Event_Master[[#This Row],[Venue_Cost]]+Event_Master[[#This Row],[Photography_Cost]]+Event_Master[[#This Row],[Entertainment_Cost]]+Event_Master[[#This Row],[Decor_Cost]]+Event_Master[[#This Row],[Logistics_Cost]]+Event_Master[[#This Row],[Food_Cost]]</f>
        <v>466500</v>
      </c>
      <c r="AA69" s="10">
        <f>Event_Master[[#This Row],[Venue_Charge]]+Event_Master[[#This Row],[Photography_Charge]]+Event_Master[[#This Row],[Entertainment_Charge]]+Event_Master[[#This Row],[Decor_Charge]]+Event_Master[[#This Row],[Logistics_Charge]]+Event_Master[[#This Row],[Food_Charge]]</f>
        <v>553800</v>
      </c>
      <c r="AB69" s="10">
        <v>30000</v>
      </c>
      <c r="AC69" s="10">
        <f>Event_Master[[#This Row],[Client_Budget]]+Event_Master[[#This Row],[Planner_Remuneration]]</f>
        <v>583800</v>
      </c>
      <c r="AD69" s="10">
        <v>4</v>
      </c>
    </row>
    <row r="70" spans="1:30" x14ac:dyDescent="0.25">
      <c r="A70" s="10">
        <v>69</v>
      </c>
      <c r="B70" s="10" t="str" cm="1">
        <f t="array" ref="B70">_xlfn.XLOOKUP(Event_Master[[#This Row],[Event_Type]],Event_Catalog[[#All],[Event_Name]],Event_Catalog[[#All],[Event_ID]],,0)</f>
        <v>E001</v>
      </c>
      <c r="C70" s="10" t="s">
        <v>293</v>
      </c>
      <c r="D70" s="10" t="s">
        <v>292</v>
      </c>
      <c r="E70" s="10">
        <v>380</v>
      </c>
      <c r="F70" s="10" t="s">
        <v>407</v>
      </c>
      <c r="G70" s="11">
        <v>45718</v>
      </c>
      <c r="H70" s="10" t="s">
        <v>207</v>
      </c>
      <c r="I70" s="10" cm="1">
        <f t="array" ref="I70">_xlfn.XLOOKUP(Event_Master[[#This Row],[Event_No]],Venue_Orders[[#All],[Event_No]],Venue_Orders[[#All],[Rental_Cost]],0,0)</f>
        <v>60000</v>
      </c>
      <c r="J70" s="10" cm="1">
        <f t="array" ref="J70">_xlfn.XLOOKUP(Event_Master[[#This Row],[Event_No]],Venue_Orders[[#All],[Event_No]],Venue_Orders[[#All],[Client_Charge]],,0)</f>
        <v>70000</v>
      </c>
      <c r="K70" s="10" t="s">
        <v>237</v>
      </c>
      <c r="L70" s="10" cm="1">
        <f t="array" ref="L70">_xlfn.XLOOKUP(Event_Master[[#This Row],[Event_No]],Photography_Orders[[#All],[Event_No]],Photography_Orders[[#All],[Cost]],,0)</f>
        <v>45000</v>
      </c>
      <c r="M70" s="10" cm="1">
        <f t="array" ref="M70">_xlfn.XLOOKUP(Event_Master[[#This Row],[Event_No]],Photography_Orders[[#All],[Event_No]],Photography_Orders[[#All],[Client_Charge]],,0)</f>
        <v>53000</v>
      </c>
      <c r="N70" s="10" t="s">
        <v>153</v>
      </c>
      <c r="O70" s="10" cm="1">
        <f t="array" ref="O70">_xlfn.XLOOKUP(Event_Master[[#This Row],[Event_No]],Entertainment_Orders[[#All],[Event_No]],Entertainment_Orders[[#All],[Cost]],,0)</f>
        <v>15000</v>
      </c>
      <c r="P70" s="10" cm="1">
        <f t="array" ref="P70">_xlfn.XLOOKUP(Event_Master[[#This Row],[Event_No]],Entertainment_Orders[[#All],[Event_No]],Entertainment_Orders[[#All],[Client_Charge]],,0)</f>
        <v>18000</v>
      </c>
      <c r="Q70" s="10" t="s">
        <v>260</v>
      </c>
      <c r="R70" s="10" cm="1">
        <f t="array" ref="R70">_xlfn.XLOOKUP(Event_Master[[#This Row],[Event_No]],Decor_Orders[[#All],[Event_No]],Decor_Orders[[#All],[Cost]],,0)</f>
        <v>25000</v>
      </c>
      <c r="S70" s="10" cm="1">
        <f t="array" ref="S70">_xlfn.XLOOKUP(Event_Master[[#This Row],[Event_No]],Decor_Orders[[#All],[Event_No]],Decor_Orders[[#All],[Client_Charge]],,0)</f>
        <v>30000</v>
      </c>
      <c r="T70" s="10" t="s">
        <v>405</v>
      </c>
      <c r="U70" s="10">
        <f>SUMIFS(Logistics_Orders[[#All],[Cost]],Logistics_Orders[[#All],[Event_No]],Event_Master[[#This Row],[Event_No]])</f>
        <v>59000</v>
      </c>
      <c r="V70" s="10">
        <f>SUMIFS(Logistics_Orders[[#All],[Client_Charge]],Logistics_Orders[[#All],[Event_No]],Event_Master[[#This Row],[Event_No]])</f>
        <v>70800</v>
      </c>
      <c r="W70" s="10" t="s">
        <v>438</v>
      </c>
      <c r="X70" s="10">
        <f>SUMIFS(Food_Orders[[#All],[Cost]],Food_Orders[[#All],[Event_No]],Event_Master[[#This Row],[Event_No]])</f>
        <v>423700</v>
      </c>
      <c r="Y70" s="10">
        <f>SUMIFS(Food_Orders[[#All],[Client_Price]],Food_Orders[[#All],[Event_No]],Event_Master[[#This Row],[Event_No]])</f>
        <v>508440</v>
      </c>
      <c r="Z70" s="10">
        <f>Event_Master[[#This Row],[Venue_Cost]]+Event_Master[[#This Row],[Photography_Cost]]+Event_Master[[#This Row],[Entertainment_Cost]]+Event_Master[[#This Row],[Decor_Cost]]+Event_Master[[#This Row],[Logistics_Cost]]+Event_Master[[#This Row],[Food_Cost]]</f>
        <v>627700</v>
      </c>
      <c r="AA70" s="10">
        <f>Event_Master[[#This Row],[Venue_Charge]]+Event_Master[[#This Row],[Photography_Charge]]+Event_Master[[#This Row],[Entertainment_Charge]]+Event_Master[[#This Row],[Decor_Charge]]+Event_Master[[#This Row],[Logistics_Charge]]+Event_Master[[#This Row],[Food_Charge]]</f>
        <v>750240</v>
      </c>
      <c r="AB70" s="10">
        <v>12000</v>
      </c>
      <c r="AC70" s="10">
        <f>Event_Master[[#This Row],[Client_Budget]]+Event_Master[[#This Row],[Planner_Remuneration]]</f>
        <v>762240</v>
      </c>
      <c r="AD70" s="10">
        <v>5</v>
      </c>
    </row>
    <row r="71" spans="1:30" x14ac:dyDescent="0.25">
      <c r="A71" s="10">
        <v>70</v>
      </c>
      <c r="B71" s="10" t="str" cm="1">
        <f t="array" ref="B71">_xlfn.XLOOKUP(Event_Master[[#This Row],[Event_Type]],Event_Catalog[[#All],[Event_Name]],Event_Catalog[[#All],[Event_ID]],,0)</f>
        <v>E018</v>
      </c>
      <c r="C71" s="10" t="s">
        <v>328</v>
      </c>
      <c r="D71" s="10" t="s">
        <v>315</v>
      </c>
      <c r="E71" s="10">
        <v>300</v>
      </c>
      <c r="F71" s="10" t="s">
        <v>407</v>
      </c>
      <c r="G71" s="11">
        <v>45766</v>
      </c>
      <c r="H71" s="10" t="s">
        <v>215</v>
      </c>
      <c r="I71" s="10" cm="1">
        <f t="array" ref="I71">_xlfn.XLOOKUP(Event_Master[[#This Row],[Event_No]],Venue_Orders[[#All],[Event_No]],Venue_Orders[[#All],[Rental_Cost]],0,0)</f>
        <v>150000</v>
      </c>
      <c r="J71" s="10" cm="1">
        <f t="array" ref="J71">_xlfn.XLOOKUP(Event_Master[[#This Row],[Event_No]],Venue_Orders[[#All],[Event_No]],Venue_Orders[[#All],[Client_Charge]],,0)</f>
        <v>175000</v>
      </c>
      <c r="K71" s="10" t="s">
        <v>242</v>
      </c>
      <c r="L71" s="10" cm="1">
        <f t="array" ref="L71">_xlfn.XLOOKUP(Event_Master[[#This Row],[Event_No]],Photography_Orders[[#All],[Event_No]],Photography_Orders[[#All],[Cost]],,0)</f>
        <v>20000</v>
      </c>
      <c r="M71" s="10" cm="1">
        <f t="array" ref="M71">_xlfn.XLOOKUP(Event_Master[[#This Row],[Event_No]],Photography_Orders[[#All],[Event_No]],Photography_Orders[[#All],[Client_Charge]],,0)</f>
        <v>24000</v>
      </c>
      <c r="N71" s="10" t="s">
        <v>167</v>
      </c>
      <c r="O71" s="10" cm="1">
        <f t="array" ref="O71">_xlfn.XLOOKUP(Event_Master[[#This Row],[Event_No]],Entertainment_Orders[[#All],[Event_No]],Entertainment_Orders[[#All],[Cost]],,0)</f>
        <v>0</v>
      </c>
      <c r="P71" s="10" cm="1">
        <f t="array" ref="P71">_xlfn.XLOOKUP(Event_Master[[#This Row],[Event_No]],Entertainment_Orders[[#All],[Event_No]],Entertainment_Orders[[#All],[Client_Charge]],,0)</f>
        <v>0</v>
      </c>
      <c r="Q71" s="10" t="s">
        <v>283</v>
      </c>
      <c r="R71" s="10" cm="1">
        <f t="array" ref="R71">_xlfn.XLOOKUP(Event_Master[[#This Row],[Event_No]],Decor_Orders[[#All],[Event_No]],Decor_Orders[[#All],[Cost]],,0)</f>
        <v>35000</v>
      </c>
      <c r="S71" s="10" cm="1">
        <f t="array" ref="S71">_xlfn.XLOOKUP(Event_Master[[#This Row],[Event_No]],Decor_Orders[[#All],[Event_No]],Decor_Orders[[#All],[Client_Charge]],,0)</f>
        <v>42000</v>
      </c>
      <c r="T71" s="10" t="s">
        <v>405</v>
      </c>
      <c r="U71" s="10">
        <f>SUMIFS(Logistics_Orders[[#All],[Cost]],Logistics_Orders[[#All],[Event_No]],Event_Master[[#This Row],[Event_No]])</f>
        <v>44000</v>
      </c>
      <c r="V71" s="10">
        <f>SUMIFS(Logistics_Orders[[#All],[Client_Charge]],Logistics_Orders[[#All],[Event_No]],Event_Master[[#This Row],[Event_No]])</f>
        <v>52800</v>
      </c>
      <c r="W71" s="10" t="s">
        <v>423</v>
      </c>
      <c r="X71" s="10">
        <f>SUMIFS(Food_Orders[[#All],[Cost]],Food_Orders[[#All],[Event_No]],Event_Master[[#This Row],[Event_No]])</f>
        <v>81000</v>
      </c>
      <c r="Y71" s="10">
        <f>SUMIFS(Food_Orders[[#All],[Client_Price]],Food_Orders[[#All],[Event_No]],Event_Master[[#This Row],[Event_No]])</f>
        <v>97200</v>
      </c>
      <c r="Z71" s="10">
        <f>Event_Master[[#This Row],[Venue_Cost]]+Event_Master[[#This Row],[Photography_Cost]]+Event_Master[[#This Row],[Entertainment_Cost]]+Event_Master[[#This Row],[Decor_Cost]]+Event_Master[[#This Row],[Logistics_Cost]]+Event_Master[[#This Row],[Food_Cost]]</f>
        <v>330000</v>
      </c>
      <c r="AA71" s="10">
        <f>Event_Master[[#This Row],[Venue_Charge]]+Event_Master[[#This Row],[Photography_Charge]]+Event_Master[[#This Row],[Entertainment_Charge]]+Event_Master[[#This Row],[Decor_Charge]]+Event_Master[[#This Row],[Logistics_Charge]]+Event_Master[[#This Row],[Food_Charge]]</f>
        <v>391000</v>
      </c>
      <c r="AB71" s="10">
        <v>12000</v>
      </c>
      <c r="AC71" s="10">
        <f>Event_Master[[#This Row],[Client_Budget]]+Event_Master[[#This Row],[Planner_Remuneration]]</f>
        <v>403000</v>
      </c>
      <c r="AD71" s="10">
        <v>3</v>
      </c>
    </row>
    <row r="72" spans="1:30" x14ac:dyDescent="0.25">
      <c r="A72" s="10">
        <v>71</v>
      </c>
      <c r="B72" s="10" t="str" cm="1">
        <f t="array" ref="B72">_xlfn.XLOOKUP(Event_Master[[#This Row],[Event_Type]],Event_Catalog[[#All],[Event_Name]],Event_Catalog[[#All],[Event_ID]],,0)</f>
        <v>E019</v>
      </c>
      <c r="C72" s="10" t="s">
        <v>330</v>
      </c>
      <c r="D72" s="10" t="s">
        <v>315</v>
      </c>
      <c r="E72" s="10">
        <v>250</v>
      </c>
      <c r="F72" s="10" t="s">
        <v>407</v>
      </c>
      <c r="G72" s="11">
        <v>45829</v>
      </c>
      <c r="H72" s="10" t="s">
        <v>215</v>
      </c>
      <c r="I72" s="10" cm="1">
        <f t="array" ref="I72">_xlfn.XLOOKUP(Event_Master[[#This Row],[Event_No]],Venue_Orders[[#All],[Event_No]],Venue_Orders[[#All],[Rental_Cost]],0,0)</f>
        <v>150000</v>
      </c>
      <c r="J72" s="10" cm="1">
        <f t="array" ref="J72">_xlfn.XLOOKUP(Event_Master[[#This Row],[Event_No]],Venue_Orders[[#All],[Event_No]],Venue_Orders[[#All],[Client_Charge]],,0)</f>
        <v>175000</v>
      </c>
      <c r="K72" s="10" t="s">
        <v>242</v>
      </c>
      <c r="L72" s="10" cm="1">
        <f t="array" ref="L72">_xlfn.XLOOKUP(Event_Master[[#This Row],[Event_No]],Photography_Orders[[#All],[Event_No]],Photography_Orders[[#All],[Cost]],,0)</f>
        <v>20000</v>
      </c>
      <c r="M72" s="10" cm="1">
        <f t="array" ref="M72">_xlfn.XLOOKUP(Event_Master[[#This Row],[Event_No]],Photography_Orders[[#All],[Event_No]],Photography_Orders[[#All],[Client_Charge]],,0)</f>
        <v>24000</v>
      </c>
      <c r="N72" s="10" t="s">
        <v>167</v>
      </c>
      <c r="O72" s="10" cm="1">
        <f t="array" ref="O72">_xlfn.XLOOKUP(Event_Master[[#This Row],[Event_No]],Entertainment_Orders[[#All],[Event_No]],Entertainment_Orders[[#All],[Cost]],,0)</f>
        <v>0</v>
      </c>
      <c r="P72" s="10" cm="1">
        <f t="array" ref="P72">_xlfn.XLOOKUP(Event_Master[[#This Row],[Event_No]],Entertainment_Orders[[#All],[Event_No]],Entertainment_Orders[[#All],[Client_Charge]],,0)</f>
        <v>0</v>
      </c>
      <c r="Q72" s="10" t="s">
        <v>283</v>
      </c>
      <c r="R72" s="10" cm="1">
        <f t="array" ref="R72">_xlfn.XLOOKUP(Event_Master[[#This Row],[Event_No]],Decor_Orders[[#All],[Event_No]],Decor_Orders[[#All],[Cost]],,0)</f>
        <v>35000</v>
      </c>
      <c r="S72" s="10" cm="1">
        <f t="array" ref="S72">_xlfn.XLOOKUP(Event_Master[[#This Row],[Event_No]],Decor_Orders[[#All],[Event_No]],Decor_Orders[[#All],[Client_Charge]],,0)</f>
        <v>42000</v>
      </c>
      <c r="T72" s="10" t="s">
        <v>405</v>
      </c>
      <c r="U72" s="10">
        <f>SUMIFS(Logistics_Orders[[#All],[Cost]],Logistics_Orders[[#All],[Event_No]],Event_Master[[#This Row],[Event_No]])</f>
        <v>44000</v>
      </c>
      <c r="V72" s="10">
        <f>SUMIFS(Logistics_Orders[[#All],[Client_Charge]],Logistics_Orders[[#All],[Event_No]],Event_Master[[#This Row],[Event_No]])</f>
        <v>52800</v>
      </c>
      <c r="W72" s="10" t="s">
        <v>424</v>
      </c>
      <c r="X72" s="10">
        <f>SUMIFS(Food_Orders[[#All],[Cost]],Food_Orders[[#All],[Event_No]],Event_Master[[#This Row],[Event_No]])</f>
        <v>87500</v>
      </c>
      <c r="Y72" s="10">
        <f>SUMIFS(Food_Orders[[#All],[Client_Price]],Food_Orders[[#All],[Event_No]],Event_Master[[#This Row],[Event_No]])</f>
        <v>105000</v>
      </c>
      <c r="Z72" s="10">
        <f>Event_Master[[#This Row],[Venue_Cost]]+Event_Master[[#This Row],[Photography_Cost]]+Event_Master[[#This Row],[Entertainment_Cost]]+Event_Master[[#This Row],[Decor_Cost]]+Event_Master[[#This Row],[Logistics_Cost]]+Event_Master[[#This Row],[Food_Cost]]</f>
        <v>336500</v>
      </c>
      <c r="AA72" s="10">
        <f>Event_Master[[#This Row],[Venue_Charge]]+Event_Master[[#This Row],[Photography_Charge]]+Event_Master[[#This Row],[Entertainment_Charge]]+Event_Master[[#This Row],[Decor_Charge]]+Event_Master[[#This Row],[Logistics_Charge]]+Event_Master[[#This Row],[Food_Charge]]</f>
        <v>398800</v>
      </c>
      <c r="AB72" s="10">
        <v>12000</v>
      </c>
      <c r="AC72" s="10">
        <f>Event_Master[[#This Row],[Client_Budget]]+Event_Master[[#This Row],[Planner_Remuneration]]</f>
        <v>410800</v>
      </c>
      <c r="AD72" s="10">
        <v>4</v>
      </c>
    </row>
    <row r="73" spans="1:30" x14ac:dyDescent="0.25">
      <c r="A73" s="10">
        <v>72</v>
      </c>
      <c r="B73" s="10" t="str" cm="1">
        <f t="array" ref="B73">_xlfn.XLOOKUP(Event_Master[[#This Row],[Event_Type]],Event_Catalog[[#All],[Event_Name]],Event_Catalog[[#All],[Event_ID]],,0)</f>
        <v>E020</v>
      </c>
      <c r="C73" s="10" t="s">
        <v>332</v>
      </c>
      <c r="D73" s="10" t="s">
        <v>315</v>
      </c>
      <c r="E73" s="10">
        <v>200</v>
      </c>
      <c r="F73" s="10" t="s">
        <v>409</v>
      </c>
      <c r="G73" s="11">
        <v>45864</v>
      </c>
      <c r="H73" s="10" t="s">
        <v>215</v>
      </c>
      <c r="I73" s="10" cm="1">
        <f t="array" ref="I73">_xlfn.XLOOKUP(Event_Master[[#This Row],[Event_No]],Venue_Orders[[#All],[Event_No]],Venue_Orders[[#All],[Rental_Cost]],0,0)</f>
        <v>150000</v>
      </c>
      <c r="J73" s="10" cm="1">
        <f t="array" ref="J73">_xlfn.XLOOKUP(Event_Master[[#This Row],[Event_No]],Venue_Orders[[#All],[Event_No]],Venue_Orders[[#All],[Client_Charge]],,0)</f>
        <v>175000</v>
      </c>
      <c r="K73" s="10" t="s">
        <v>242</v>
      </c>
      <c r="L73" s="10" cm="1">
        <f t="array" ref="L73">_xlfn.XLOOKUP(Event_Master[[#This Row],[Event_No]],Photography_Orders[[#All],[Event_No]],Photography_Orders[[#All],[Cost]],,0)</f>
        <v>20000</v>
      </c>
      <c r="M73" s="10" cm="1">
        <f t="array" ref="M73">_xlfn.XLOOKUP(Event_Master[[#This Row],[Event_No]],Photography_Orders[[#All],[Event_No]],Photography_Orders[[#All],[Client_Charge]],,0)</f>
        <v>24000</v>
      </c>
      <c r="N73" s="10" t="s">
        <v>167</v>
      </c>
      <c r="O73" s="10" cm="1">
        <f t="array" ref="O73">_xlfn.XLOOKUP(Event_Master[[#This Row],[Event_No]],Entertainment_Orders[[#All],[Event_No]],Entertainment_Orders[[#All],[Cost]],,0)</f>
        <v>0</v>
      </c>
      <c r="P73" s="10" cm="1">
        <f t="array" ref="P73">_xlfn.XLOOKUP(Event_Master[[#This Row],[Event_No]],Entertainment_Orders[[#All],[Event_No]],Entertainment_Orders[[#All],[Client_Charge]],,0)</f>
        <v>0</v>
      </c>
      <c r="Q73" s="10" t="s">
        <v>283</v>
      </c>
      <c r="R73" s="10" cm="1">
        <f t="array" ref="R73">_xlfn.XLOOKUP(Event_Master[[#This Row],[Event_No]],Decor_Orders[[#All],[Event_No]],Decor_Orders[[#All],[Cost]],,0)</f>
        <v>35000</v>
      </c>
      <c r="S73" s="10" cm="1">
        <f t="array" ref="S73">_xlfn.XLOOKUP(Event_Master[[#This Row],[Event_No]],Decor_Orders[[#All],[Event_No]],Decor_Orders[[#All],[Client_Charge]],,0)</f>
        <v>42000</v>
      </c>
      <c r="T73" s="10" t="s">
        <v>405</v>
      </c>
      <c r="U73" s="10">
        <f>SUMIFS(Logistics_Orders[[#All],[Cost]],Logistics_Orders[[#All],[Event_No]],Event_Master[[#This Row],[Event_No]])</f>
        <v>44000</v>
      </c>
      <c r="V73" s="10">
        <f>SUMIFS(Logistics_Orders[[#All],[Client_Charge]],Logistics_Orders[[#All],[Event_No]],Event_Master[[#This Row],[Event_No]])</f>
        <v>52800</v>
      </c>
      <c r="W73" s="10" t="s">
        <v>449</v>
      </c>
      <c r="X73" s="10">
        <f>SUMIFS(Food_Orders[[#All],[Cost]],Food_Orders[[#All],[Event_No]],Event_Master[[#This Row],[Event_No]])</f>
        <v>52000</v>
      </c>
      <c r="Y73" s="10">
        <f>SUMIFS(Food_Orders[[#All],[Client_Price]],Food_Orders[[#All],[Event_No]],Event_Master[[#This Row],[Event_No]])</f>
        <v>62400</v>
      </c>
      <c r="Z73" s="10">
        <f>Event_Master[[#This Row],[Venue_Cost]]+Event_Master[[#This Row],[Photography_Cost]]+Event_Master[[#This Row],[Entertainment_Cost]]+Event_Master[[#This Row],[Decor_Cost]]+Event_Master[[#This Row],[Logistics_Cost]]+Event_Master[[#This Row],[Food_Cost]]</f>
        <v>301000</v>
      </c>
      <c r="AA73" s="10">
        <f>Event_Master[[#This Row],[Venue_Charge]]+Event_Master[[#This Row],[Photography_Charge]]+Event_Master[[#This Row],[Entertainment_Charge]]+Event_Master[[#This Row],[Decor_Charge]]+Event_Master[[#This Row],[Logistics_Charge]]+Event_Master[[#This Row],[Food_Charge]]</f>
        <v>356200</v>
      </c>
      <c r="AB73" s="10">
        <v>5000</v>
      </c>
      <c r="AC73" s="10">
        <f>Event_Master[[#This Row],[Client_Budget]]+Event_Master[[#This Row],[Planner_Remuneration]]</f>
        <v>361200</v>
      </c>
      <c r="AD73" s="10">
        <v>5</v>
      </c>
    </row>
    <row r="74" spans="1:30" x14ac:dyDescent="0.25">
      <c r="A74" s="10">
        <v>73</v>
      </c>
      <c r="B74" s="10" t="str" cm="1">
        <f t="array" ref="B74">_xlfn.XLOOKUP(Event_Master[[#This Row],[Event_Type]],Event_Catalog[[#All],[Event_Name]],Event_Catalog[[#All],[Event_ID]],,0)</f>
        <v>E001</v>
      </c>
      <c r="C74" s="10" t="s">
        <v>293</v>
      </c>
      <c r="D74" s="10" t="s">
        <v>292</v>
      </c>
      <c r="E74" s="10">
        <v>900</v>
      </c>
      <c r="F74" s="10" t="s">
        <v>404</v>
      </c>
      <c r="G74" s="11">
        <v>45722</v>
      </c>
      <c r="H74" s="10" t="s">
        <v>215</v>
      </c>
      <c r="I74" s="10" cm="1">
        <f t="array" ref="I74">_xlfn.XLOOKUP(Event_Master[[#This Row],[Event_No]],Venue_Orders[[#All],[Event_No]],Venue_Orders[[#All],[Rental_Cost]],0,0)</f>
        <v>150000</v>
      </c>
      <c r="J74" s="10" cm="1">
        <f t="array" ref="J74">_xlfn.XLOOKUP(Event_Master[[#This Row],[Event_No]],Venue_Orders[[#All],[Event_No]],Venue_Orders[[#All],[Client_Charge]],,0)</f>
        <v>175000</v>
      </c>
      <c r="K74" s="10" t="s">
        <v>242</v>
      </c>
      <c r="L74" s="10" cm="1">
        <f t="array" ref="L74">_xlfn.XLOOKUP(Event_Master[[#This Row],[Event_No]],Photography_Orders[[#All],[Event_No]],Photography_Orders[[#All],[Cost]],,0)</f>
        <v>20000</v>
      </c>
      <c r="M74" s="10" cm="1">
        <f t="array" ref="M74">_xlfn.XLOOKUP(Event_Master[[#This Row],[Event_No]],Photography_Orders[[#All],[Event_No]],Photography_Orders[[#All],[Client_Charge]],,0)</f>
        <v>24000</v>
      </c>
      <c r="N74" s="10" t="s">
        <v>153</v>
      </c>
      <c r="O74" s="10" cm="1">
        <f t="array" ref="O74">_xlfn.XLOOKUP(Event_Master[[#This Row],[Event_No]],Entertainment_Orders[[#All],[Event_No]],Entertainment_Orders[[#All],[Cost]],,0)</f>
        <v>15000</v>
      </c>
      <c r="P74" s="10" cm="1">
        <f t="array" ref="P74">_xlfn.XLOOKUP(Event_Master[[#This Row],[Event_No]],Entertainment_Orders[[#All],[Event_No]],Entertainment_Orders[[#All],[Client_Charge]],,0)</f>
        <v>18000</v>
      </c>
      <c r="Q74" s="10" t="s">
        <v>260</v>
      </c>
      <c r="R74" s="10" cm="1">
        <f t="array" ref="R74">_xlfn.XLOOKUP(Event_Master[[#This Row],[Event_No]],Decor_Orders[[#All],[Event_No]],Decor_Orders[[#All],[Cost]],,0)</f>
        <v>25000</v>
      </c>
      <c r="S74" s="10" cm="1">
        <f t="array" ref="S74">_xlfn.XLOOKUP(Event_Master[[#This Row],[Event_No]],Decor_Orders[[#All],[Event_No]],Decor_Orders[[#All],[Client_Charge]],,0)</f>
        <v>30000</v>
      </c>
      <c r="T74" s="10" t="s">
        <v>405</v>
      </c>
      <c r="U74" s="10">
        <f>SUMIFS(Logistics_Orders[[#All],[Cost]],Logistics_Orders[[#All],[Event_No]],Event_Master[[#This Row],[Event_No]])</f>
        <v>74000</v>
      </c>
      <c r="V74" s="10">
        <f>SUMIFS(Logistics_Orders[[#All],[Client_Charge]],Logistics_Orders[[#All],[Event_No]],Event_Master[[#This Row],[Event_No]])</f>
        <v>88800</v>
      </c>
      <c r="W74" s="10" t="s">
        <v>406</v>
      </c>
      <c r="X74" s="10">
        <f>SUMIFS(Food_Orders[[#All],[Cost]],Food_Orders[[#All],[Event_No]],Event_Master[[#This Row],[Event_No]])</f>
        <v>1480500</v>
      </c>
      <c r="Y74" s="10">
        <f>SUMIFS(Food_Orders[[#All],[Client_Price]],Food_Orders[[#All],[Event_No]],Event_Master[[#This Row],[Event_No]])</f>
        <v>1776600</v>
      </c>
      <c r="Z74" s="10">
        <f>Event_Master[[#This Row],[Venue_Cost]]+Event_Master[[#This Row],[Photography_Cost]]+Event_Master[[#This Row],[Entertainment_Cost]]+Event_Master[[#This Row],[Decor_Cost]]+Event_Master[[#This Row],[Logistics_Cost]]+Event_Master[[#This Row],[Food_Cost]]</f>
        <v>1764500</v>
      </c>
      <c r="AA74" s="10">
        <f>Event_Master[[#This Row],[Venue_Charge]]+Event_Master[[#This Row],[Photography_Charge]]+Event_Master[[#This Row],[Entertainment_Charge]]+Event_Master[[#This Row],[Decor_Charge]]+Event_Master[[#This Row],[Logistics_Charge]]+Event_Master[[#This Row],[Food_Charge]]</f>
        <v>2112400</v>
      </c>
      <c r="AB74" s="10">
        <v>30000</v>
      </c>
      <c r="AC74" s="10">
        <f>Event_Master[[#This Row],[Client_Budget]]+Event_Master[[#This Row],[Planner_Remuneration]]</f>
        <v>2142400</v>
      </c>
      <c r="AD74" s="10">
        <v>4.8</v>
      </c>
    </row>
    <row r="75" spans="1:30" x14ac:dyDescent="0.25">
      <c r="A75" s="10">
        <v>74</v>
      </c>
      <c r="B75" s="10" t="str" cm="1">
        <f t="array" ref="B75">_xlfn.XLOOKUP(Event_Master[[#This Row],[Event_Type]],Event_Catalog[[#All],[Event_Name]],Event_Catalog[[#All],[Event_ID]],,0)</f>
        <v>E021</v>
      </c>
      <c r="C75" s="10" t="s">
        <v>334</v>
      </c>
      <c r="D75" s="10" t="s">
        <v>315</v>
      </c>
      <c r="E75" s="10">
        <v>550</v>
      </c>
      <c r="F75" s="10" t="s">
        <v>404</v>
      </c>
      <c r="G75" s="11">
        <v>45892</v>
      </c>
      <c r="H75" s="10" t="s">
        <v>215</v>
      </c>
      <c r="I75" s="10" cm="1">
        <f t="array" ref="I75">_xlfn.XLOOKUP(Event_Master[[#This Row],[Event_No]],Venue_Orders[[#All],[Event_No]],Venue_Orders[[#All],[Rental_Cost]],0,0)</f>
        <v>150000</v>
      </c>
      <c r="J75" s="10" cm="1">
        <f t="array" ref="J75">_xlfn.XLOOKUP(Event_Master[[#This Row],[Event_No]],Venue_Orders[[#All],[Event_No]],Venue_Orders[[#All],[Client_Charge]],,0)</f>
        <v>175000</v>
      </c>
      <c r="K75" s="10" t="s">
        <v>237</v>
      </c>
      <c r="L75" s="10" cm="1">
        <f t="array" ref="L75">_xlfn.XLOOKUP(Event_Master[[#This Row],[Event_No]],Photography_Orders[[#All],[Event_No]],Photography_Orders[[#All],[Cost]],,0)</f>
        <v>45000</v>
      </c>
      <c r="M75" s="10" cm="1">
        <f t="array" ref="M75">_xlfn.XLOOKUP(Event_Master[[#This Row],[Event_No]],Photography_Orders[[#All],[Event_No]],Photography_Orders[[#All],[Client_Charge]],,0)</f>
        <v>53000</v>
      </c>
      <c r="N75" s="10" t="s">
        <v>153</v>
      </c>
      <c r="O75" s="10" cm="1">
        <f t="array" ref="O75">_xlfn.XLOOKUP(Event_Master[[#This Row],[Event_No]],Entertainment_Orders[[#All],[Event_No]],Entertainment_Orders[[#All],[Cost]],,0)</f>
        <v>15000</v>
      </c>
      <c r="P75" s="10" cm="1">
        <f t="array" ref="P75">_xlfn.XLOOKUP(Event_Master[[#This Row],[Event_No]],Entertainment_Orders[[#All],[Event_No]],Entertainment_Orders[[#All],[Client_Charge]],,0)</f>
        <v>18000</v>
      </c>
      <c r="Q75" s="10" t="s">
        <v>283</v>
      </c>
      <c r="R75" s="10" cm="1">
        <f t="array" ref="R75">_xlfn.XLOOKUP(Event_Master[[#This Row],[Event_No]],Decor_Orders[[#All],[Event_No]],Decor_Orders[[#All],[Cost]],,0)</f>
        <v>35000</v>
      </c>
      <c r="S75" s="10" cm="1">
        <f t="array" ref="S75">_xlfn.XLOOKUP(Event_Master[[#This Row],[Event_No]],Decor_Orders[[#All],[Event_No]],Decor_Orders[[#All],[Client_Charge]],,0)</f>
        <v>42000</v>
      </c>
      <c r="T75" s="10" t="s">
        <v>405</v>
      </c>
      <c r="U75" s="10">
        <f>SUMIFS(Logistics_Orders[[#All],[Cost]],Logistics_Orders[[#All],[Event_No]],Event_Master[[#This Row],[Event_No]])</f>
        <v>59000</v>
      </c>
      <c r="V75" s="10">
        <f>SUMIFS(Logistics_Orders[[#All],[Client_Charge]],Logistics_Orders[[#All],[Event_No]],Event_Master[[#This Row],[Event_No]])</f>
        <v>70800</v>
      </c>
      <c r="W75" s="10" t="s">
        <v>443</v>
      </c>
      <c r="X75" s="10">
        <f>SUMIFS(Food_Orders[[#All],[Cost]],Food_Orders[[#All],[Event_No]],Event_Master[[#This Row],[Event_No]])</f>
        <v>225500</v>
      </c>
      <c r="Y75" s="10">
        <f>SUMIFS(Food_Orders[[#All],[Client_Price]],Food_Orders[[#All],[Event_No]],Event_Master[[#This Row],[Event_No]])</f>
        <v>270600</v>
      </c>
      <c r="Z75" s="10">
        <f>Event_Master[[#This Row],[Venue_Cost]]+Event_Master[[#This Row],[Photography_Cost]]+Event_Master[[#This Row],[Entertainment_Cost]]+Event_Master[[#This Row],[Decor_Cost]]+Event_Master[[#This Row],[Logistics_Cost]]+Event_Master[[#This Row],[Food_Cost]]</f>
        <v>529500</v>
      </c>
      <c r="AA75" s="10">
        <f>Event_Master[[#This Row],[Venue_Charge]]+Event_Master[[#This Row],[Photography_Charge]]+Event_Master[[#This Row],[Entertainment_Charge]]+Event_Master[[#This Row],[Decor_Charge]]+Event_Master[[#This Row],[Logistics_Charge]]+Event_Master[[#This Row],[Food_Charge]]</f>
        <v>629400</v>
      </c>
      <c r="AB75" s="10">
        <v>30000</v>
      </c>
      <c r="AC75" s="10">
        <f>Event_Master[[#This Row],[Client_Budget]]+Event_Master[[#This Row],[Planner_Remuneration]]</f>
        <v>659400</v>
      </c>
      <c r="AD75" s="10">
        <v>4</v>
      </c>
    </row>
    <row r="76" spans="1:30" x14ac:dyDescent="0.25">
      <c r="A76" s="10">
        <v>75</v>
      </c>
      <c r="B76" s="10" t="str" cm="1">
        <f t="array" ref="B76">_xlfn.XLOOKUP(Event_Master[[#This Row],[Event_Type]],Event_Catalog[[#All],[Event_Name]],Event_Catalog[[#All],[Event_ID]],,0)</f>
        <v>E022</v>
      </c>
      <c r="C76" s="10" t="s">
        <v>336</v>
      </c>
      <c r="D76" s="10" t="s">
        <v>315</v>
      </c>
      <c r="E76" s="10">
        <v>350</v>
      </c>
      <c r="F76" s="10" t="s">
        <v>407</v>
      </c>
      <c r="G76" s="11">
        <v>45906</v>
      </c>
      <c r="H76" s="10" t="s">
        <v>218</v>
      </c>
      <c r="I76" s="10" cm="1">
        <f t="array" ref="I76">_xlfn.XLOOKUP(Event_Master[[#This Row],[Event_No]],Venue_Orders[[#All],[Event_No]],Venue_Orders[[#All],[Rental_Cost]],0,0)</f>
        <v>40000</v>
      </c>
      <c r="J76" s="10" cm="1">
        <f t="array" ref="J76">_xlfn.XLOOKUP(Event_Master[[#This Row],[Event_No]],Venue_Orders[[#All],[Event_No]],Venue_Orders[[#All],[Client_Charge]],,0)</f>
        <v>48000</v>
      </c>
      <c r="K76" s="10" t="s">
        <v>247</v>
      </c>
      <c r="L76" s="10" cm="1">
        <f t="array" ref="L76">_xlfn.XLOOKUP(Event_Master[[#This Row],[Event_No]],Photography_Orders[[#All],[Event_No]],Photography_Orders[[#All],[Cost]],,0)</f>
        <v>10000</v>
      </c>
      <c r="M76" s="10" cm="1">
        <f t="array" ref="M76">_xlfn.XLOOKUP(Event_Master[[#This Row],[Event_No]],Photography_Orders[[#All],[Event_No]],Photography_Orders[[#All],[Client_Charge]],,0)</f>
        <v>12000</v>
      </c>
      <c r="N76" s="10" t="s">
        <v>169</v>
      </c>
      <c r="O76" s="10" cm="1">
        <f t="array" ref="O76">_xlfn.XLOOKUP(Event_Master[[#This Row],[Event_No]],Entertainment_Orders[[#All],[Event_No]],Entertainment_Orders[[#All],[Cost]],,0)</f>
        <v>0</v>
      </c>
      <c r="P76" s="10" cm="1">
        <f t="array" ref="P76">_xlfn.XLOOKUP(Event_Master[[#This Row],[Event_No]],Entertainment_Orders[[#All],[Event_No]],Entertainment_Orders[[#All],[Client_Charge]],,0)</f>
        <v>0</v>
      </c>
      <c r="Q76" s="10" t="s">
        <v>283</v>
      </c>
      <c r="R76" s="10" cm="1">
        <f t="array" ref="R76">_xlfn.XLOOKUP(Event_Master[[#This Row],[Event_No]],Decor_Orders[[#All],[Event_No]],Decor_Orders[[#All],[Cost]],,0)</f>
        <v>35000</v>
      </c>
      <c r="S76" s="10" cm="1">
        <f t="array" ref="S76">_xlfn.XLOOKUP(Event_Master[[#This Row],[Event_No]],Decor_Orders[[#All],[Event_No]],Decor_Orders[[#All],[Client_Charge]],,0)</f>
        <v>42000</v>
      </c>
      <c r="T76" s="10" t="s">
        <v>405</v>
      </c>
      <c r="U76" s="10">
        <f>SUMIFS(Logistics_Orders[[#All],[Cost]],Logistics_Orders[[#All],[Event_No]],Event_Master[[#This Row],[Event_No]])</f>
        <v>59000</v>
      </c>
      <c r="V76" s="10">
        <f>SUMIFS(Logistics_Orders[[#All],[Client_Charge]],Logistics_Orders[[#All],[Event_No]],Event_Master[[#This Row],[Event_No]])</f>
        <v>70800</v>
      </c>
      <c r="W76" s="10" t="s">
        <v>422</v>
      </c>
      <c r="X76" s="10">
        <f>SUMIFS(Food_Orders[[#All],[Cost]],Food_Orders[[#All],[Event_No]],Event_Master[[#This Row],[Event_No]])</f>
        <v>87500</v>
      </c>
      <c r="Y76" s="10">
        <f>SUMIFS(Food_Orders[[#All],[Client_Price]],Food_Orders[[#All],[Event_No]],Event_Master[[#This Row],[Event_No]])</f>
        <v>105000</v>
      </c>
      <c r="Z76" s="10">
        <f>Event_Master[[#This Row],[Venue_Cost]]+Event_Master[[#This Row],[Photography_Cost]]+Event_Master[[#This Row],[Entertainment_Cost]]+Event_Master[[#This Row],[Decor_Cost]]+Event_Master[[#This Row],[Logistics_Cost]]+Event_Master[[#This Row],[Food_Cost]]</f>
        <v>231500</v>
      </c>
      <c r="AA76" s="10">
        <f>Event_Master[[#This Row],[Venue_Charge]]+Event_Master[[#This Row],[Photography_Charge]]+Event_Master[[#This Row],[Entertainment_Charge]]+Event_Master[[#This Row],[Decor_Charge]]+Event_Master[[#This Row],[Logistics_Charge]]+Event_Master[[#This Row],[Food_Charge]]</f>
        <v>277800</v>
      </c>
      <c r="AB76" s="10">
        <v>12000</v>
      </c>
      <c r="AC76" s="10">
        <f>Event_Master[[#This Row],[Client_Budget]]+Event_Master[[#This Row],[Planner_Remuneration]]</f>
        <v>289800</v>
      </c>
      <c r="AD76" s="10">
        <v>5</v>
      </c>
    </row>
    <row r="77" spans="1:30" x14ac:dyDescent="0.25">
      <c r="A77" s="10">
        <v>76</v>
      </c>
      <c r="B77" s="10" t="str" cm="1">
        <f t="array" ref="B77">_xlfn.XLOOKUP(Event_Master[[#This Row],[Event_Type]],Event_Catalog[[#All],[Event_Name]],Event_Catalog[[#All],[Event_ID]],,0)</f>
        <v>E023</v>
      </c>
      <c r="C77" s="10" t="s">
        <v>339</v>
      </c>
      <c r="D77" s="10" t="s">
        <v>338</v>
      </c>
      <c r="E77" s="10">
        <v>900</v>
      </c>
      <c r="F77" s="10" t="s">
        <v>404</v>
      </c>
      <c r="G77" s="11">
        <v>45934</v>
      </c>
      <c r="H77" s="10" t="s">
        <v>218</v>
      </c>
      <c r="I77" s="10" cm="1">
        <f t="array" ref="I77">_xlfn.XLOOKUP(Event_Master[[#This Row],[Event_No]],Venue_Orders[[#All],[Event_No]],Venue_Orders[[#All],[Rental_Cost]],0,0)</f>
        <v>40000</v>
      </c>
      <c r="J77" s="10" cm="1">
        <f t="array" ref="J77">_xlfn.XLOOKUP(Event_Master[[#This Row],[Event_No]],Venue_Orders[[#All],[Event_No]],Venue_Orders[[#All],[Client_Charge]],,0)</f>
        <v>48000</v>
      </c>
      <c r="K77" s="10" t="s">
        <v>237</v>
      </c>
      <c r="L77" s="10" cm="1">
        <f t="array" ref="L77">_xlfn.XLOOKUP(Event_Master[[#This Row],[Event_No]],Photography_Orders[[#All],[Event_No]],Photography_Orders[[#All],[Cost]],,0)</f>
        <v>45000</v>
      </c>
      <c r="M77" s="10" cm="1">
        <f t="array" ref="M77">_xlfn.XLOOKUP(Event_Master[[#This Row],[Event_No]],Photography_Orders[[#All],[Event_No]],Photography_Orders[[#All],[Client_Charge]],,0)</f>
        <v>53000</v>
      </c>
      <c r="N77" s="10" t="s">
        <v>143</v>
      </c>
      <c r="O77" s="10" cm="1">
        <f t="array" ref="O77">_xlfn.XLOOKUP(Event_Master[[#This Row],[Event_No]],Entertainment_Orders[[#All],[Event_No]],Entertainment_Orders[[#All],[Cost]],,0)</f>
        <v>8000</v>
      </c>
      <c r="P77" s="10" cm="1">
        <f t="array" ref="P77">_xlfn.XLOOKUP(Event_Master[[#This Row],[Event_No]],Entertainment_Orders[[#All],[Event_No]],Entertainment_Orders[[#All],[Client_Charge]],,0)</f>
        <v>9500</v>
      </c>
      <c r="Q77" s="10" t="s">
        <v>266</v>
      </c>
      <c r="R77" s="10" cm="1">
        <f t="array" ref="R77">_xlfn.XLOOKUP(Event_Master[[#This Row],[Event_No]],Decor_Orders[[#All],[Event_No]],Decor_Orders[[#All],[Cost]],,0)</f>
        <v>30000</v>
      </c>
      <c r="S77" s="10" cm="1">
        <f t="array" ref="S77">_xlfn.XLOOKUP(Event_Master[[#This Row],[Event_No]],Decor_Orders[[#All],[Event_No]],Decor_Orders[[#All],[Client_Charge]],,0)</f>
        <v>36000</v>
      </c>
      <c r="T77" s="10" t="s">
        <v>405</v>
      </c>
      <c r="U77" s="10">
        <f>SUMIFS(Logistics_Orders[[#All],[Cost]],Logistics_Orders[[#All],[Event_No]],Event_Master[[#This Row],[Event_No]])</f>
        <v>74000</v>
      </c>
      <c r="V77" s="10">
        <f>SUMIFS(Logistics_Orders[[#All],[Client_Charge]],Logistics_Orders[[#All],[Event_No]],Event_Master[[#This Row],[Event_No]])</f>
        <v>88800</v>
      </c>
      <c r="W77" s="10" t="s">
        <v>419</v>
      </c>
      <c r="X77" s="10">
        <f>SUMIFS(Food_Orders[[#All],[Cost]],Food_Orders[[#All],[Event_No]],Event_Master[[#This Row],[Event_No]])</f>
        <v>301500</v>
      </c>
      <c r="Y77" s="10">
        <f>SUMIFS(Food_Orders[[#All],[Client_Price]],Food_Orders[[#All],[Event_No]],Event_Master[[#This Row],[Event_No]])</f>
        <v>361800</v>
      </c>
      <c r="Z77" s="10">
        <f>Event_Master[[#This Row],[Venue_Cost]]+Event_Master[[#This Row],[Photography_Cost]]+Event_Master[[#This Row],[Entertainment_Cost]]+Event_Master[[#This Row],[Decor_Cost]]+Event_Master[[#This Row],[Logistics_Cost]]+Event_Master[[#This Row],[Food_Cost]]</f>
        <v>498500</v>
      </c>
      <c r="AA77" s="10">
        <f>Event_Master[[#This Row],[Venue_Charge]]+Event_Master[[#This Row],[Photography_Charge]]+Event_Master[[#This Row],[Entertainment_Charge]]+Event_Master[[#This Row],[Decor_Charge]]+Event_Master[[#This Row],[Logistics_Charge]]+Event_Master[[#This Row],[Food_Charge]]</f>
        <v>597100</v>
      </c>
      <c r="AB77" s="10">
        <v>30000</v>
      </c>
      <c r="AC77" s="10">
        <f>Event_Master[[#This Row],[Client_Budget]]+Event_Master[[#This Row],[Planner_Remuneration]]</f>
        <v>627100</v>
      </c>
      <c r="AD77" s="10">
        <v>4</v>
      </c>
    </row>
    <row r="78" spans="1:30" x14ac:dyDescent="0.25">
      <c r="A78" s="10">
        <v>77</v>
      </c>
      <c r="B78" s="10" t="str" cm="1">
        <f t="array" ref="B78">_xlfn.XLOOKUP(Event_Master[[#This Row],[Event_Type]],Event_Catalog[[#All],[Event_Name]],Event_Catalog[[#All],[Event_ID]],,0)</f>
        <v>E024</v>
      </c>
      <c r="C78" s="10" t="s">
        <v>341</v>
      </c>
      <c r="D78" s="10" t="s">
        <v>338</v>
      </c>
      <c r="E78" s="10">
        <v>700</v>
      </c>
      <c r="F78" s="10" t="s">
        <v>404</v>
      </c>
      <c r="G78" s="11">
        <v>45941</v>
      </c>
      <c r="H78" s="10" t="s">
        <v>224</v>
      </c>
      <c r="I78" s="10" cm="1">
        <f t="array" ref="I78">_xlfn.XLOOKUP(Event_Master[[#This Row],[Event_No]],Venue_Orders[[#All],[Event_No]],Venue_Orders[[#All],[Rental_Cost]],0,0)</f>
        <v>0</v>
      </c>
      <c r="J78" s="10" cm="1">
        <f t="array" ref="J78">_xlfn.XLOOKUP(Event_Master[[#This Row],[Event_No]],Venue_Orders[[#All],[Event_No]],Venue_Orders[[#All],[Client_Charge]],,0)</f>
        <v>0</v>
      </c>
      <c r="K78" s="10" t="s">
        <v>247</v>
      </c>
      <c r="L78" s="10" cm="1">
        <f t="array" ref="L78">_xlfn.XLOOKUP(Event_Master[[#This Row],[Event_No]],Photography_Orders[[#All],[Event_No]],Photography_Orders[[#All],[Cost]],,0)</f>
        <v>10000</v>
      </c>
      <c r="M78" s="10" cm="1">
        <f t="array" ref="M78">_xlfn.XLOOKUP(Event_Master[[#This Row],[Event_No]],Photography_Orders[[#All],[Event_No]],Photography_Orders[[#All],[Client_Charge]],,0)</f>
        <v>12000</v>
      </c>
      <c r="N78" s="10" t="s">
        <v>143</v>
      </c>
      <c r="O78" s="10" cm="1">
        <f t="array" ref="O78">_xlfn.XLOOKUP(Event_Master[[#This Row],[Event_No]],Entertainment_Orders[[#All],[Event_No]],Entertainment_Orders[[#All],[Cost]],,0)</f>
        <v>8000</v>
      </c>
      <c r="P78" s="10" cm="1">
        <f t="array" ref="P78">_xlfn.XLOOKUP(Event_Master[[#This Row],[Event_No]],Entertainment_Orders[[#All],[Event_No]],Entertainment_Orders[[#All],[Client_Charge]],,0)</f>
        <v>9500</v>
      </c>
      <c r="Q78" s="10" t="s">
        <v>266</v>
      </c>
      <c r="R78" s="10" cm="1">
        <f t="array" ref="R78">_xlfn.XLOOKUP(Event_Master[[#This Row],[Event_No]],Decor_Orders[[#All],[Event_No]],Decor_Orders[[#All],[Cost]],,0)</f>
        <v>30000</v>
      </c>
      <c r="S78" s="10" cm="1">
        <f t="array" ref="S78">_xlfn.XLOOKUP(Event_Master[[#This Row],[Event_No]],Decor_Orders[[#All],[Event_No]],Decor_Orders[[#All],[Client_Charge]],,0)</f>
        <v>36000</v>
      </c>
      <c r="T78" s="10" t="s">
        <v>405</v>
      </c>
      <c r="U78" s="10">
        <f>SUMIFS(Logistics_Orders[[#All],[Cost]],Logistics_Orders[[#All],[Event_No]],Event_Master[[#This Row],[Event_No]])</f>
        <v>74000</v>
      </c>
      <c r="V78" s="10">
        <f>SUMIFS(Logistics_Orders[[#All],[Client_Charge]],Logistics_Orders[[#All],[Event_No]],Event_Master[[#This Row],[Event_No]])</f>
        <v>88800</v>
      </c>
      <c r="W78" s="10" t="s">
        <v>419</v>
      </c>
      <c r="X78" s="10">
        <f>SUMIFS(Food_Orders[[#All],[Cost]],Food_Orders[[#All],[Event_No]],Event_Master[[#This Row],[Event_No]])</f>
        <v>234500</v>
      </c>
      <c r="Y78" s="10">
        <f>SUMIFS(Food_Orders[[#All],[Client_Price]],Food_Orders[[#All],[Event_No]],Event_Master[[#This Row],[Event_No]])</f>
        <v>281400</v>
      </c>
      <c r="Z78" s="10">
        <f>Event_Master[[#This Row],[Venue_Cost]]+Event_Master[[#This Row],[Photography_Cost]]+Event_Master[[#This Row],[Entertainment_Cost]]+Event_Master[[#This Row],[Decor_Cost]]+Event_Master[[#This Row],[Logistics_Cost]]+Event_Master[[#This Row],[Food_Cost]]</f>
        <v>356500</v>
      </c>
      <c r="AA78" s="10">
        <f>Event_Master[[#This Row],[Venue_Charge]]+Event_Master[[#This Row],[Photography_Charge]]+Event_Master[[#This Row],[Entertainment_Charge]]+Event_Master[[#This Row],[Decor_Charge]]+Event_Master[[#This Row],[Logistics_Charge]]+Event_Master[[#This Row],[Food_Charge]]</f>
        <v>427700</v>
      </c>
      <c r="AB78" s="10">
        <v>30000</v>
      </c>
      <c r="AC78" s="10">
        <f>Event_Master[[#This Row],[Client_Budget]]+Event_Master[[#This Row],[Planner_Remuneration]]</f>
        <v>457700</v>
      </c>
      <c r="AD78" s="10">
        <v>5</v>
      </c>
    </row>
    <row r="79" spans="1:30" x14ac:dyDescent="0.25">
      <c r="A79" s="10">
        <v>78</v>
      </c>
      <c r="B79" s="10" t="str" cm="1">
        <f t="array" ref="B79">_xlfn.XLOOKUP(Event_Master[[#This Row],[Event_Type]],Event_Catalog[[#All],[Event_Name]],Event_Catalog[[#All],[Event_ID]],,0)</f>
        <v>E001</v>
      </c>
      <c r="C79" s="10" t="s">
        <v>293</v>
      </c>
      <c r="D79" s="10" t="s">
        <v>292</v>
      </c>
      <c r="E79" s="10">
        <v>1200</v>
      </c>
      <c r="F79" s="10" t="s">
        <v>404</v>
      </c>
      <c r="G79" s="11">
        <v>45728</v>
      </c>
      <c r="H79" s="10" t="s">
        <v>207</v>
      </c>
      <c r="I79" s="10" cm="1">
        <f t="array" ref="I79">_xlfn.XLOOKUP(Event_Master[[#This Row],[Event_No]],Venue_Orders[[#All],[Event_No]],Venue_Orders[[#All],[Rental_Cost]],0,0)</f>
        <v>60000</v>
      </c>
      <c r="J79" s="10" cm="1">
        <f t="array" ref="J79">_xlfn.XLOOKUP(Event_Master[[#This Row],[Event_No]],Venue_Orders[[#All],[Event_No]],Venue_Orders[[#All],[Client_Charge]],,0)</f>
        <v>70000</v>
      </c>
      <c r="K79" s="10" t="s">
        <v>237</v>
      </c>
      <c r="L79" s="10" cm="1">
        <f t="array" ref="L79">_xlfn.XLOOKUP(Event_Master[[#This Row],[Event_No]],Photography_Orders[[#All],[Event_No]],Photography_Orders[[#All],[Cost]],,0)</f>
        <v>45000</v>
      </c>
      <c r="M79" s="10" cm="1">
        <f t="array" ref="M79">_xlfn.XLOOKUP(Event_Master[[#This Row],[Event_No]],Photography_Orders[[#All],[Event_No]],Photography_Orders[[#All],[Client_Charge]],,0)</f>
        <v>53000</v>
      </c>
      <c r="N79" s="10" t="s">
        <v>153</v>
      </c>
      <c r="O79" s="10" cm="1">
        <f t="array" ref="O79">_xlfn.XLOOKUP(Event_Master[[#This Row],[Event_No]],Entertainment_Orders[[#All],[Event_No]],Entertainment_Orders[[#All],[Cost]],,0)</f>
        <v>15000</v>
      </c>
      <c r="P79" s="10" cm="1">
        <f t="array" ref="P79">_xlfn.XLOOKUP(Event_Master[[#This Row],[Event_No]],Entertainment_Orders[[#All],[Event_No]],Entertainment_Orders[[#All],[Client_Charge]],,0)</f>
        <v>18000</v>
      </c>
      <c r="Q79" s="10" t="s">
        <v>260</v>
      </c>
      <c r="R79" s="10" cm="1">
        <f t="array" ref="R79">_xlfn.XLOOKUP(Event_Master[[#This Row],[Event_No]],Decor_Orders[[#All],[Event_No]],Decor_Orders[[#All],[Cost]],,0)</f>
        <v>25000</v>
      </c>
      <c r="S79" s="10" cm="1">
        <f t="array" ref="S79">_xlfn.XLOOKUP(Event_Master[[#This Row],[Event_No]],Decor_Orders[[#All],[Event_No]],Decor_Orders[[#All],[Client_Charge]],,0)</f>
        <v>30000</v>
      </c>
      <c r="T79" s="10" t="s">
        <v>405</v>
      </c>
      <c r="U79" s="10">
        <f>SUMIFS(Logistics_Orders[[#All],[Cost]],Logistics_Orders[[#All],[Event_No]],Event_Master[[#This Row],[Event_No]])</f>
        <v>89000</v>
      </c>
      <c r="V79" s="10">
        <f>SUMIFS(Logistics_Orders[[#All],[Client_Charge]],Logistics_Orders[[#All],[Event_No]],Event_Master[[#This Row],[Event_No]])</f>
        <v>106800</v>
      </c>
      <c r="W79" s="10" t="s">
        <v>406</v>
      </c>
      <c r="X79" s="10">
        <f>SUMIFS(Food_Orders[[#All],[Cost]],Food_Orders[[#All],[Event_No]],Event_Master[[#This Row],[Event_No]])</f>
        <v>1974000</v>
      </c>
      <c r="Y79" s="10">
        <f>SUMIFS(Food_Orders[[#All],[Client_Price]],Food_Orders[[#All],[Event_No]],Event_Master[[#This Row],[Event_No]])</f>
        <v>2368800</v>
      </c>
      <c r="Z79" s="10">
        <f>Event_Master[[#This Row],[Venue_Cost]]+Event_Master[[#This Row],[Photography_Cost]]+Event_Master[[#This Row],[Entertainment_Cost]]+Event_Master[[#This Row],[Decor_Cost]]+Event_Master[[#This Row],[Logistics_Cost]]+Event_Master[[#This Row],[Food_Cost]]</f>
        <v>2208000</v>
      </c>
      <c r="AA79" s="10">
        <f>Event_Master[[#This Row],[Venue_Charge]]+Event_Master[[#This Row],[Photography_Charge]]+Event_Master[[#This Row],[Entertainment_Charge]]+Event_Master[[#This Row],[Decor_Charge]]+Event_Master[[#This Row],[Logistics_Charge]]+Event_Master[[#This Row],[Food_Charge]]</f>
        <v>2646600</v>
      </c>
      <c r="AB79" s="10">
        <v>30000</v>
      </c>
      <c r="AC79" s="10">
        <f>Event_Master[[#This Row],[Client_Budget]]+Event_Master[[#This Row],[Planner_Remuneration]]</f>
        <v>2676600</v>
      </c>
      <c r="AD79" s="10">
        <v>4.5</v>
      </c>
    </row>
    <row r="80" spans="1:30" x14ac:dyDescent="0.25">
      <c r="A80" s="10">
        <v>79</v>
      </c>
      <c r="B80" s="10" t="str" cm="1">
        <f t="array" ref="B80">_xlfn.XLOOKUP(Event_Master[[#This Row],[Event_Type]],Event_Catalog[[#All],[Event_Name]],Event_Catalog[[#All],[Event_ID]],,0)</f>
        <v>E025</v>
      </c>
      <c r="C80" s="10" t="s">
        <v>343</v>
      </c>
      <c r="D80" s="10" t="s">
        <v>338</v>
      </c>
      <c r="E80" s="10">
        <v>1500</v>
      </c>
      <c r="F80" s="10" t="s">
        <v>404</v>
      </c>
      <c r="G80" s="11">
        <v>45907</v>
      </c>
      <c r="H80" s="10" t="s">
        <v>221</v>
      </c>
      <c r="I80" s="10" cm="1">
        <f t="array" ref="I80">_xlfn.XLOOKUP(Event_Master[[#This Row],[Event_No]],Venue_Orders[[#All],[Event_No]],Venue_Orders[[#All],[Rental_Cost]],0,0)</f>
        <v>200000</v>
      </c>
      <c r="J80" s="10" cm="1">
        <f t="array" ref="J80">_xlfn.XLOOKUP(Event_Master[[#This Row],[Event_No]],Venue_Orders[[#All],[Event_No]],Venue_Orders[[#All],[Client_Charge]],,0)</f>
        <v>230000</v>
      </c>
      <c r="K80" s="10" t="s">
        <v>237</v>
      </c>
      <c r="L80" s="10" cm="1">
        <f t="array" ref="L80">_xlfn.XLOOKUP(Event_Master[[#This Row],[Event_No]],Photography_Orders[[#All],[Event_No]],Photography_Orders[[#All],[Cost]],,0)</f>
        <v>45000</v>
      </c>
      <c r="M80" s="10" cm="1">
        <f t="array" ref="M80">_xlfn.XLOOKUP(Event_Master[[#This Row],[Event_No]],Photography_Orders[[#All],[Event_No]],Photography_Orders[[#All],[Client_Charge]],,0)</f>
        <v>53000</v>
      </c>
      <c r="N80" s="10" t="s">
        <v>153</v>
      </c>
      <c r="O80" s="10" cm="1">
        <f t="array" ref="O80">_xlfn.XLOOKUP(Event_Master[[#This Row],[Event_No]],Entertainment_Orders[[#All],[Event_No]],Entertainment_Orders[[#All],[Cost]],,0)</f>
        <v>15000</v>
      </c>
      <c r="P80" s="10" cm="1">
        <f t="array" ref="P80">_xlfn.XLOOKUP(Event_Master[[#This Row],[Event_No]],Entertainment_Orders[[#All],[Event_No]],Entertainment_Orders[[#All],[Client_Charge]],,0)</f>
        <v>18000</v>
      </c>
      <c r="Q80" s="10" t="s">
        <v>283</v>
      </c>
      <c r="R80" s="10" cm="1">
        <f t="array" ref="R80">_xlfn.XLOOKUP(Event_Master[[#This Row],[Event_No]],Decor_Orders[[#All],[Event_No]],Decor_Orders[[#All],[Cost]],,0)</f>
        <v>35000</v>
      </c>
      <c r="S80" s="10" cm="1">
        <f t="array" ref="S80">_xlfn.XLOOKUP(Event_Master[[#This Row],[Event_No]],Decor_Orders[[#All],[Event_No]],Decor_Orders[[#All],[Client_Charge]],,0)</f>
        <v>42000</v>
      </c>
      <c r="T80" s="10" t="s">
        <v>405</v>
      </c>
      <c r="U80" s="10">
        <f>SUMIFS(Logistics_Orders[[#All],[Cost]],Logistics_Orders[[#All],[Event_No]],Event_Master[[#This Row],[Event_No]])</f>
        <v>104000</v>
      </c>
      <c r="V80" s="10">
        <f>SUMIFS(Logistics_Orders[[#All],[Client_Charge]],Logistics_Orders[[#All],[Event_No]],Event_Master[[#This Row],[Event_No]])</f>
        <v>124800</v>
      </c>
      <c r="W80" s="10" t="s">
        <v>426</v>
      </c>
      <c r="X80" s="10">
        <f>SUMIFS(Food_Orders[[#All],[Cost]],Food_Orders[[#All],[Event_No]],Event_Master[[#This Row],[Event_No]])</f>
        <v>1132500</v>
      </c>
      <c r="Y80" s="10">
        <f>SUMIFS(Food_Orders[[#All],[Client_Price]],Food_Orders[[#All],[Event_No]],Event_Master[[#This Row],[Event_No]])</f>
        <v>1359000</v>
      </c>
      <c r="Z80" s="10">
        <f>Event_Master[[#This Row],[Venue_Cost]]+Event_Master[[#This Row],[Photography_Cost]]+Event_Master[[#This Row],[Entertainment_Cost]]+Event_Master[[#This Row],[Decor_Cost]]+Event_Master[[#This Row],[Logistics_Cost]]+Event_Master[[#This Row],[Food_Cost]]</f>
        <v>1531500</v>
      </c>
      <c r="AA80" s="10">
        <f>Event_Master[[#This Row],[Venue_Charge]]+Event_Master[[#This Row],[Photography_Charge]]+Event_Master[[#This Row],[Entertainment_Charge]]+Event_Master[[#This Row],[Decor_Charge]]+Event_Master[[#This Row],[Logistics_Charge]]+Event_Master[[#This Row],[Food_Charge]]</f>
        <v>1826800</v>
      </c>
      <c r="AB80" s="10">
        <v>30000</v>
      </c>
      <c r="AC80" s="10">
        <f>Event_Master[[#This Row],[Client_Budget]]+Event_Master[[#This Row],[Planner_Remuneration]]</f>
        <v>1856800</v>
      </c>
      <c r="AD80" s="10">
        <v>4</v>
      </c>
    </row>
    <row r="81" spans="1:30" x14ac:dyDescent="0.25">
      <c r="A81" s="10">
        <v>80</v>
      </c>
      <c r="B81" s="10" t="str" cm="1">
        <f t="array" ref="B81">_xlfn.XLOOKUP(Event_Master[[#This Row],[Event_Type]],Event_Catalog[[#All],[Event_Name]],Event_Catalog[[#All],[Event_ID]],,0)</f>
        <v>E026</v>
      </c>
      <c r="C81" s="10" t="s">
        <v>345</v>
      </c>
      <c r="D81" s="10" t="s">
        <v>338</v>
      </c>
      <c r="E81" s="10">
        <v>1000</v>
      </c>
      <c r="F81" s="10" t="s">
        <v>404</v>
      </c>
      <c r="G81" s="11">
        <v>45931</v>
      </c>
      <c r="H81" s="10" t="s">
        <v>221</v>
      </c>
      <c r="I81" s="10" cm="1">
        <f t="array" ref="I81">_xlfn.XLOOKUP(Event_Master[[#This Row],[Event_No]],Venue_Orders[[#All],[Event_No]],Venue_Orders[[#All],[Rental_Cost]],0,0)</f>
        <v>200000</v>
      </c>
      <c r="J81" s="10" cm="1">
        <f t="array" ref="J81">_xlfn.XLOOKUP(Event_Master[[#This Row],[Event_No]],Venue_Orders[[#All],[Event_No]],Venue_Orders[[#All],[Client_Charge]],,0)</f>
        <v>230000</v>
      </c>
      <c r="K81" s="10" t="s">
        <v>237</v>
      </c>
      <c r="L81" s="10" cm="1">
        <f t="array" ref="L81">_xlfn.XLOOKUP(Event_Master[[#This Row],[Event_No]],Photography_Orders[[#All],[Event_No]],Photography_Orders[[#All],[Cost]],,0)</f>
        <v>45000</v>
      </c>
      <c r="M81" s="10" cm="1">
        <f t="array" ref="M81">_xlfn.XLOOKUP(Event_Master[[#This Row],[Event_No]],Photography_Orders[[#All],[Event_No]],Photography_Orders[[#All],[Client_Charge]],,0)</f>
        <v>53000</v>
      </c>
      <c r="N81" s="10" t="s">
        <v>153</v>
      </c>
      <c r="O81" s="10" cm="1">
        <f t="array" ref="O81">_xlfn.XLOOKUP(Event_Master[[#This Row],[Event_No]],Entertainment_Orders[[#All],[Event_No]],Entertainment_Orders[[#All],[Cost]],,0)</f>
        <v>15000</v>
      </c>
      <c r="P81" s="10" cm="1">
        <f t="array" ref="P81">_xlfn.XLOOKUP(Event_Master[[#This Row],[Event_No]],Entertainment_Orders[[#All],[Event_No]],Entertainment_Orders[[#All],[Client_Charge]],,0)</f>
        <v>18000</v>
      </c>
      <c r="Q81" s="10" t="s">
        <v>283</v>
      </c>
      <c r="R81" s="10" cm="1">
        <f t="array" ref="R81">_xlfn.XLOOKUP(Event_Master[[#This Row],[Event_No]],Decor_Orders[[#All],[Event_No]],Decor_Orders[[#All],[Cost]],,0)</f>
        <v>35000</v>
      </c>
      <c r="S81" s="10" cm="1">
        <f t="array" ref="S81">_xlfn.XLOOKUP(Event_Master[[#This Row],[Event_No]],Decor_Orders[[#All],[Event_No]],Decor_Orders[[#All],[Client_Charge]],,0)</f>
        <v>42000</v>
      </c>
      <c r="T81" s="10" t="s">
        <v>405</v>
      </c>
      <c r="U81" s="10">
        <f>SUMIFS(Logistics_Orders[[#All],[Cost]],Logistics_Orders[[#All],[Event_No]],Event_Master[[#This Row],[Event_No]])</f>
        <v>89000</v>
      </c>
      <c r="V81" s="10">
        <f>SUMIFS(Logistics_Orders[[#All],[Client_Charge]],Logistics_Orders[[#All],[Event_No]],Event_Master[[#This Row],[Event_No]])</f>
        <v>106800</v>
      </c>
      <c r="W81" s="10" t="s">
        <v>427</v>
      </c>
      <c r="X81" s="10">
        <f>SUMIFS(Food_Orders[[#All],[Cost]],Food_Orders[[#All],[Event_No]],Event_Master[[#This Row],[Event_No]])</f>
        <v>385000</v>
      </c>
      <c r="Y81" s="10">
        <f>SUMIFS(Food_Orders[[#All],[Client_Price]],Food_Orders[[#All],[Event_No]],Event_Master[[#This Row],[Event_No]])</f>
        <v>462000</v>
      </c>
      <c r="Z81" s="10">
        <f>Event_Master[[#This Row],[Venue_Cost]]+Event_Master[[#This Row],[Photography_Cost]]+Event_Master[[#This Row],[Entertainment_Cost]]+Event_Master[[#This Row],[Decor_Cost]]+Event_Master[[#This Row],[Logistics_Cost]]+Event_Master[[#This Row],[Food_Cost]]</f>
        <v>769000</v>
      </c>
      <c r="AA81" s="10">
        <f>Event_Master[[#This Row],[Venue_Charge]]+Event_Master[[#This Row],[Photography_Charge]]+Event_Master[[#This Row],[Entertainment_Charge]]+Event_Master[[#This Row],[Decor_Charge]]+Event_Master[[#This Row],[Logistics_Charge]]+Event_Master[[#This Row],[Food_Charge]]</f>
        <v>911800</v>
      </c>
      <c r="AB81" s="10">
        <v>30000</v>
      </c>
      <c r="AC81" s="10">
        <f>Event_Master[[#This Row],[Client_Budget]]+Event_Master[[#This Row],[Planner_Remuneration]]</f>
        <v>941800</v>
      </c>
      <c r="AD81" s="10">
        <v>5</v>
      </c>
    </row>
    <row r="82" spans="1:30" x14ac:dyDescent="0.25">
      <c r="A82" s="10">
        <v>81</v>
      </c>
      <c r="B82" s="10" t="str" cm="1">
        <f t="array" ref="B82">_xlfn.XLOOKUP(Event_Master[[#This Row],[Event_Type]],Event_Catalog[[#All],[Event_Name]],Event_Catalog[[#All],[Event_ID]],,0)</f>
        <v>E027</v>
      </c>
      <c r="C82" s="10" t="s">
        <v>347</v>
      </c>
      <c r="D82" s="10" t="s">
        <v>338</v>
      </c>
      <c r="E82" s="10">
        <v>1200</v>
      </c>
      <c r="F82" s="10" t="s">
        <v>404</v>
      </c>
      <c r="G82" s="11">
        <v>45597</v>
      </c>
      <c r="H82" s="10" t="s">
        <v>221</v>
      </c>
      <c r="I82" s="10" cm="1">
        <f t="array" ref="I82">_xlfn.XLOOKUP(Event_Master[[#This Row],[Event_No]],Venue_Orders[[#All],[Event_No]],Venue_Orders[[#All],[Rental_Cost]],0,0)</f>
        <v>200000</v>
      </c>
      <c r="J82" s="10" cm="1">
        <f t="array" ref="J82">_xlfn.XLOOKUP(Event_Master[[#This Row],[Event_No]],Venue_Orders[[#All],[Event_No]],Venue_Orders[[#All],[Client_Charge]],,0)</f>
        <v>230000</v>
      </c>
      <c r="K82" s="10" t="s">
        <v>237</v>
      </c>
      <c r="L82" s="10" cm="1">
        <f t="array" ref="L82">_xlfn.XLOOKUP(Event_Master[[#This Row],[Event_No]],Photography_Orders[[#All],[Event_No]],Photography_Orders[[#All],[Cost]],,0)</f>
        <v>45000</v>
      </c>
      <c r="M82" s="10" cm="1">
        <f t="array" ref="M82">_xlfn.XLOOKUP(Event_Master[[#This Row],[Event_No]],Photography_Orders[[#All],[Event_No]],Photography_Orders[[#All],[Client_Charge]],,0)</f>
        <v>53000</v>
      </c>
      <c r="N82" s="10" t="s">
        <v>143</v>
      </c>
      <c r="O82" s="10" cm="1">
        <f t="array" ref="O82">_xlfn.XLOOKUP(Event_Master[[#This Row],[Event_No]],Entertainment_Orders[[#All],[Event_No]],Entertainment_Orders[[#All],[Cost]],,0)</f>
        <v>8000</v>
      </c>
      <c r="P82" s="10" cm="1">
        <f t="array" ref="P82">_xlfn.XLOOKUP(Event_Master[[#This Row],[Event_No]],Entertainment_Orders[[#All],[Event_No]],Entertainment_Orders[[#All],[Client_Charge]],,0)</f>
        <v>9500</v>
      </c>
      <c r="Q82" s="10" t="s">
        <v>266</v>
      </c>
      <c r="R82" s="10" cm="1">
        <f t="array" ref="R82">_xlfn.XLOOKUP(Event_Master[[#This Row],[Event_No]],Decor_Orders[[#All],[Event_No]],Decor_Orders[[#All],[Cost]],,0)</f>
        <v>30000</v>
      </c>
      <c r="S82" s="10" cm="1">
        <f t="array" ref="S82">_xlfn.XLOOKUP(Event_Master[[#This Row],[Event_No]],Decor_Orders[[#All],[Event_No]],Decor_Orders[[#All],[Client_Charge]],,0)</f>
        <v>36000</v>
      </c>
      <c r="T82" s="10" t="s">
        <v>405</v>
      </c>
      <c r="U82" s="10">
        <f>SUMIFS(Logistics_Orders[[#All],[Cost]],Logistics_Orders[[#All],[Event_No]],Event_Master[[#This Row],[Event_No]])</f>
        <v>89000</v>
      </c>
      <c r="V82" s="10">
        <f>SUMIFS(Logistics_Orders[[#All],[Client_Charge]],Logistics_Orders[[#All],[Event_No]],Event_Master[[#This Row],[Event_No]])</f>
        <v>106800</v>
      </c>
      <c r="W82" s="10" t="s">
        <v>428</v>
      </c>
      <c r="X82" s="10">
        <f>SUMIFS(Food_Orders[[#All],[Cost]],Food_Orders[[#All],[Event_No]],Event_Master[[#This Row],[Event_No]])</f>
        <v>984000</v>
      </c>
      <c r="Y82" s="10">
        <f>SUMIFS(Food_Orders[[#All],[Client_Price]],Food_Orders[[#All],[Event_No]],Event_Master[[#This Row],[Event_No]])</f>
        <v>1180800</v>
      </c>
      <c r="Z82" s="10">
        <f>Event_Master[[#This Row],[Venue_Cost]]+Event_Master[[#This Row],[Photography_Cost]]+Event_Master[[#This Row],[Entertainment_Cost]]+Event_Master[[#This Row],[Decor_Cost]]+Event_Master[[#This Row],[Logistics_Cost]]+Event_Master[[#This Row],[Food_Cost]]</f>
        <v>1356000</v>
      </c>
      <c r="AA82" s="10">
        <f>Event_Master[[#This Row],[Venue_Charge]]+Event_Master[[#This Row],[Photography_Charge]]+Event_Master[[#This Row],[Entertainment_Charge]]+Event_Master[[#This Row],[Decor_Charge]]+Event_Master[[#This Row],[Logistics_Charge]]+Event_Master[[#This Row],[Food_Charge]]</f>
        <v>1616100</v>
      </c>
      <c r="AB82" s="10">
        <v>30000</v>
      </c>
      <c r="AC82" s="10">
        <f>Event_Master[[#This Row],[Client_Budget]]+Event_Master[[#This Row],[Planner_Remuneration]]</f>
        <v>1646100</v>
      </c>
      <c r="AD82" s="10">
        <v>3</v>
      </c>
    </row>
    <row r="83" spans="1:30" x14ac:dyDescent="0.25">
      <c r="A83" s="10">
        <v>82</v>
      </c>
      <c r="B83" s="10" t="str" cm="1">
        <f t="array" ref="B83">_xlfn.XLOOKUP(Event_Master[[#This Row],[Event_Type]],Event_Catalog[[#All],[Event_Name]],Event_Catalog[[#All],[Event_ID]],,0)</f>
        <v>E028</v>
      </c>
      <c r="C83" s="10" t="s">
        <v>349</v>
      </c>
      <c r="D83" s="10" t="s">
        <v>338</v>
      </c>
      <c r="E83" s="10">
        <v>850</v>
      </c>
      <c r="F83" s="10" t="s">
        <v>404</v>
      </c>
      <c r="G83" s="11">
        <v>45757</v>
      </c>
      <c r="H83" s="10" t="s">
        <v>221</v>
      </c>
      <c r="I83" s="10" cm="1">
        <f t="array" ref="I83">_xlfn.XLOOKUP(Event_Master[[#This Row],[Event_No]],Venue_Orders[[#All],[Event_No]],Venue_Orders[[#All],[Rental_Cost]],0,0)</f>
        <v>200000</v>
      </c>
      <c r="J83" s="10" cm="1">
        <f t="array" ref="J83">_xlfn.XLOOKUP(Event_Master[[#This Row],[Event_No]],Venue_Orders[[#All],[Event_No]],Venue_Orders[[#All],[Client_Charge]],,0)</f>
        <v>230000</v>
      </c>
      <c r="K83" s="10" t="s">
        <v>237</v>
      </c>
      <c r="L83" s="10" cm="1">
        <f t="array" ref="L83">_xlfn.XLOOKUP(Event_Master[[#This Row],[Event_No]],Photography_Orders[[#All],[Event_No]],Photography_Orders[[#All],[Cost]],,0)</f>
        <v>45000</v>
      </c>
      <c r="M83" s="10" cm="1">
        <f t="array" ref="M83">_xlfn.XLOOKUP(Event_Master[[#This Row],[Event_No]],Photography_Orders[[#All],[Event_No]],Photography_Orders[[#All],[Client_Charge]],,0)</f>
        <v>53000</v>
      </c>
      <c r="N83" s="10" t="s">
        <v>143</v>
      </c>
      <c r="O83" s="10" cm="1">
        <f t="array" ref="O83">_xlfn.XLOOKUP(Event_Master[[#This Row],[Event_No]],Entertainment_Orders[[#All],[Event_No]],Entertainment_Orders[[#All],[Cost]],,0)</f>
        <v>8000</v>
      </c>
      <c r="P83" s="10" cm="1">
        <f t="array" ref="P83">_xlfn.XLOOKUP(Event_Master[[#This Row],[Event_No]],Entertainment_Orders[[#All],[Event_No]],Entertainment_Orders[[#All],[Client_Charge]],,0)</f>
        <v>9500</v>
      </c>
      <c r="Q83" s="10" t="s">
        <v>266</v>
      </c>
      <c r="R83" s="10" cm="1">
        <f t="array" ref="R83">_xlfn.XLOOKUP(Event_Master[[#This Row],[Event_No]],Decor_Orders[[#All],[Event_No]],Decor_Orders[[#All],[Cost]],,0)</f>
        <v>30000</v>
      </c>
      <c r="S83" s="10" cm="1">
        <f t="array" ref="S83">_xlfn.XLOOKUP(Event_Master[[#This Row],[Event_No]],Decor_Orders[[#All],[Event_No]],Decor_Orders[[#All],[Client_Charge]],,0)</f>
        <v>36000</v>
      </c>
      <c r="T83" s="10" t="s">
        <v>405</v>
      </c>
      <c r="U83" s="10">
        <f>SUMIFS(Logistics_Orders[[#All],[Cost]],Logistics_Orders[[#All],[Event_No]],Event_Master[[#This Row],[Event_No]])</f>
        <v>74000</v>
      </c>
      <c r="V83" s="10">
        <f>SUMIFS(Logistics_Orders[[#All],[Client_Charge]],Logistics_Orders[[#All],[Event_No]],Event_Master[[#This Row],[Event_No]])</f>
        <v>88800</v>
      </c>
      <c r="W83" s="10" t="s">
        <v>429</v>
      </c>
      <c r="X83" s="10">
        <f>SUMIFS(Food_Orders[[#All],[Cost]],Food_Orders[[#All],[Event_No]],Event_Master[[#This Row],[Event_No]])</f>
        <v>1007250</v>
      </c>
      <c r="Y83" s="10">
        <f>SUMIFS(Food_Orders[[#All],[Client_Price]],Food_Orders[[#All],[Event_No]],Event_Master[[#This Row],[Event_No]])</f>
        <v>1208700</v>
      </c>
      <c r="Z83" s="10">
        <f>Event_Master[[#This Row],[Venue_Cost]]+Event_Master[[#This Row],[Photography_Cost]]+Event_Master[[#This Row],[Entertainment_Cost]]+Event_Master[[#This Row],[Decor_Cost]]+Event_Master[[#This Row],[Logistics_Cost]]+Event_Master[[#This Row],[Food_Cost]]</f>
        <v>1364250</v>
      </c>
      <c r="AA83" s="10">
        <f>Event_Master[[#This Row],[Venue_Charge]]+Event_Master[[#This Row],[Photography_Charge]]+Event_Master[[#This Row],[Entertainment_Charge]]+Event_Master[[#This Row],[Decor_Charge]]+Event_Master[[#This Row],[Logistics_Charge]]+Event_Master[[#This Row],[Food_Charge]]</f>
        <v>1626000</v>
      </c>
      <c r="AB83" s="10">
        <v>30000</v>
      </c>
      <c r="AC83" s="10">
        <f>Event_Master[[#This Row],[Client_Budget]]+Event_Master[[#This Row],[Planner_Remuneration]]</f>
        <v>1656000</v>
      </c>
      <c r="AD83" s="10">
        <v>5</v>
      </c>
    </row>
    <row r="84" spans="1:30" x14ac:dyDescent="0.25">
      <c r="A84" s="10">
        <v>83</v>
      </c>
      <c r="B84" s="10" t="str" cm="1">
        <f t="array" ref="B84">_xlfn.XLOOKUP(Event_Master[[#This Row],[Event_Type]],Event_Catalog[[#All],[Event_Name]],Event_Catalog[[#All],[Event_ID]],,0)</f>
        <v>E029</v>
      </c>
      <c r="C84" s="10" t="s">
        <v>351</v>
      </c>
      <c r="D84" s="10" t="s">
        <v>338</v>
      </c>
      <c r="E84" s="10">
        <v>500</v>
      </c>
      <c r="F84" s="10" t="s">
        <v>407</v>
      </c>
      <c r="G84" s="11">
        <v>45872</v>
      </c>
      <c r="H84" s="10" t="s">
        <v>218</v>
      </c>
      <c r="I84" s="10" cm="1">
        <f t="array" ref="I84">_xlfn.XLOOKUP(Event_Master[[#This Row],[Event_No]],Venue_Orders[[#All],[Event_No]],Venue_Orders[[#All],[Rental_Cost]],0,0)</f>
        <v>40000</v>
      </c>
      <c r="J84" s="10" cm="1">
        <f t="array" ref="J84">_xlfn.XLOOKUP(Event_Master[[#This Row],[Event_No]],Venue_Orders[[#All],[Event_No]],Venue_Orders[[#All],[Client_Charge]],,0)</f>
        <v>48000</v>
      </c>
      <c r="K84" s="10" t="s">
        <v>242</v>
      </c>
      <c r="L84" s="10" cm="1">
        <f t="array" ref="L84">_xlfn.XLOOKUP(Event_Master[[#This Row],[Event_No]],Photography_Orders[[#All],[Event_No]],Photography_Orders[[#All],[Cost]],,0)</f>
        <v>20000</v>
      </c>
      <c r="M84" s="10" cm="1">
        <f t="array" ref="M84">_xlfn.XLOOKUP(Event_Master[[#This Row],[Event_No]],Photography_Orders[[#All],[Event_No]],Photography_Orders[[#All],[Client_Charge]],,0)</f>
        <v>24000</v>
      </c>
      <c r="N84" s="10" t="s">
        <v>158</v>
      </c>
      <c r="O84" s="10" cm="1">
        <f t="array" ref="O84">_xlfn.XLOOKUP(Event_Master[[#This Row],[Event_No]],Entertainment_Orders[[#All],[Event_No]],Entertainment_Orders[[#All],[Cost]],,0)</f>
        <v>10000</v>
      </c>
      <c r="P84" s="10" cm="1">
        <f t="array" ref="P84">_xlfn.XLOOKUP(Event_Master[[#This Row],[Event_No]],Entertainment_Orders[[#All],[Event_No]],Entertainment_Orders[[#All],[Client_Charge]],,0)</f>
        <v>12000</v>
      </c>
      <c r="Q84" s="10" t="s">
        <v>266</v>
      </c>
      <c r="R84" s="10" cm="1">
        <f t="array" ref="R84">_xlfn.XLOOKUP(Event_Master[[#This Row],[Event_No]],Decor_Orders[[#All],[Event_No]],Decor_Orders[[#All],[Cost]],,0)</f>
        <v>30000</v>
      </c>
      <c r="S84" s="10" cm="1">
        <f t="array" ref="S84">_xlfn.XLOOKUP(Event_Master[[#This Row],[Event_No]],Decor_Orders[[#All],[Event_No]],Decor_Orders[[#All],[Client_Charge]],,0)</f>
        <v>36000</v>
      </c>
      <c r="T84" s="10" t="s">
        <v>430</v>
      </c>
      <c r="U84" s="10">
        <f>SUMIFS(Logistics_Orders[[#All],[Cost]],Logistics_Orders[[#All],[Event_No]],Event_Master[[#This Row],[Event_No]])</f>
        <v>53000</v>
      </c>
      <c r="V84" s="10">
        <f>SUMIFS(Logistics_Orders[[#All],[Client_Charge]],Logistics_Orders[[#All],[Event_No]],Event_Master[[#This Row],[Event_No]])</f>
        <v>63600</v>
      </c>
      <c r="W84" s="10" t="s">
        <v>442</v>
      </c>
      <c r="X84" s="10">
        <f>SUMIFS(Food_Orders[[#All],[Cost]],Food_Orders[[#All],[Event_No]],Event_Master[[#This Row],[Event_No]])</f>
        <v>475000</v>
      </c>
      <c r="Y84" s="10">
        <f>SUMIFS(Food_Orders[[#All],[Client_Price]],Food_Orders[[#All],[Event_No]],Event_Master[[#This Row],[Event_No]])</f>
        <v>570000</v>
      </c>
      <c r="Z84" s="10">
        <f>Event_Master[[#This Row],[Venue_Cost]]+Event_Master[[#This Row],[Photography_Cost]]+Event_Master[[#This Row],[Entertainment_Cost]]+Event_Master[[#This Row],[Decor_Cost]]+Event_Master[[#This Row],[Logistics_Cost]]+Event_Master[[#This Row],[Food_Cost]]</f>
        <v>628000</v>
      </c>
      <c r="AA84" s="10">
        <f>Event_Master[[#This Row],[Venue_Charge]]+Event_Master[[#This Row],[Photography_Charge]]+Event_Master[[#This Row],[Entertainment_Charge]]+Event_Master[[#This Row],[Decor_Charge]]+Event_Master[[#This Row],[Logistics_Charge]]+Event_Master[[#This Row],[Food_Charge]]</f>
        <v>753600</v>
      </c>
      <c r="AB84" s="10">
        <v>12000</v>
      </c>
      <c r="AC84" s="10">
        <f>Event_Master[[#This Row],[Client_Budget]]+Event_Master[[#This Row],[Planner_Remuneration]]</f>
        <v>765600</v>
      </c>
      <c r="AD84" s="10">
        <v>4</v>
      </c>
    </row>
    <row r="85" spans="1:30" x14ac:dyDescent="0.25">
      <c r="A85" s="10">
        <v>84</v>
      </c>
      <c r="B85" s="10" t="str" cm="1">
        <f t="array" ref="B85">_xlfn.XLOOKUP(Event_Master[[#This Row],[Event_Type]],Event_Catalog[[#All],[Event_Name]],Event_Catalog[[#All],[Event_ID]],,0)</f>
        <v>E030</v>
      </c>
      <c r="C85" s="10" t="s">
        <v>353</v>
      </c>
      <c r="D85" s="10" t="s">
        <v>338</v>
      </c>
      <c r="E85" s="10">
        <v>750</v>
      </c>
      <c r="F85" s="10" t="s">
        <v>404</v>
      </c>
      <c r="G85" s="11">
        <v>45683</v>
      </c>
      <c r="H85" s="10" t="s">
        <v>218</v>
      </c>
      <c r="I85" s="10" cm="1">
        <f t="array" ref="I85">_xlfn.XLOOKUP(Event_Master[[#This Row],[Event_No]],Venue_Orders[[#All],[Event_No]],Venue_Orders[[#All],[Rental_Cost]],0,0)</f>
        <v>40000</v>
      </c>
      <c r="J85" s="10" cm="1">
        <f t="array" ref="J85">_xlfn.XLOOKUP(Event_Master[[#This Row],[Event_No]],Venue_Orders[[#All],[Event_No]],Venue_Orders[[#All],[Client_Charge]],,0)</f>
        <v>48000</v>
      </c>
      <c r="K85" s="10" t="s">
        <v>232</v>
      </c>
      <c r="L85" s="10" cm="1">
        <f t="array" ref="L85">_xlfn.XLOOKUP(Event_Master[[#This Row],[Event_No]],Photography_Orders[[#All],[Event_No]],Photography_Orders[[#All],[Cost]],,0)</f>
        <v>30000</v>
      </c>
      <c r="M85" s="10" cm="1">
        <f t="array" ref="M85">_xlfn.XLOOKUP(Event_Master[[#This Row],[Event_No]],Photography_Orders[[#All],[Event_No]],Photography_Orders[[#All],[Client_Charge]],,0)</f>
        <v>36000</v>
      </c>
      <c r="N85" s="10" t="s">
        <v>158</v>
      </c>
      <c r="O85" s="10" cm="1">
        <f t="array" ref="O85">_xlfn.XLOOKUP(Event_Master[[#This Row],[Event_No]],Entertainment_Orders[[#All],[Event_No]],Entertainment_Orders[[#All],[Cost]],,0)</f>
        <v>10000</v>
      </c>
      <c r="P85" s="10" cm="1">
        <f t="array" ref="P85">_xlfn.XLOOKUP(Event_Master[[#This Row],[Event_No]],Entertainment_Orders[[#All],[Event_No]],Entertainment_Orders[[#All],[Client_Charge]],,0)</f>
        <v>12000</v>
      </c>
      <c r="Q85" s="10" t="s">
        <v>260</v>
      </c>
      <c r="R85" s="10" cm="1">
        <f t="array" ref="R85">_xlfn.XLOOKUP(Event_Master[[#This Row],[Event_No]],Decor_Orders[[#All],[Event_No]],Decor_Orders[[#All],[Cost]],,0)</f>
        <v>25000</v>
      </c>
      <c r="S85" s="10" cm="1">
        <f t="array" ref="S85">_xlfn.XLOOKUP(Event_Master[[#This Row],[Event_No]],Decor_Orders[[#All],[Event_No]],Decor_Orders[[#All],[Client_Charge]],,0)</f>
        <v>30000</v>
      </c>
      <c r="T85" s="10" t="s">
        <v>405</v>
      </c>
      <c r="U85" s="10">
        <f>SUMIFS(Logistics_Orders[[#All],[Cost]],Logistics_Orders[[#All],[Event_No]],Event_Master[[#This Row],[Event_No]])</f>
        <v>74000</v>
      </c>
      <c r="V85" s="10">
        <f>SUMIFS(Logistics_Orders[[#All],[Client_Charge]],Logistics_Orders[[#All],[Event_No]],Event_Master[[#This Row],[Event_No]])</f>
        <v>88800</v>
      </c>
      <c r="W85" s="10" t="s">
        <v>432</v>
      </c>
      <c r="X85" s="10">
        <f>SUMIFS(Food_Orders[[#All],[Cost]],Food_Orders[[#All],[Event_No]],Event_Master[[#This Row],[Event_No]])</f>
        <v>551250</v>
      </c>
      <c r="Y85" s="10">
        <f>SUMIFS(Food_Orders[[#All],[Client_Price]],Food_Orders[[#All],[Event_No]],Event_Master[[#This Row],[Event_No]])</f>
        <v>661500</v>
      </c>
      <c r="Z85" s="10">
        <f>Event_Master[[#This Row],[Venue_Cost]]+Event_Master[[#This Row],[Photography_Cost]]+Event_Master[[#This Row],[Entertainment_Cost]]+Event_Master[[#This Row],[Decor_Cost]]+Event_Master[[#This Row],[Logistics_Cost]]+Event_Master[[#This Row],[Food_Cost]]</f>
        <v>730250</v>
      </c>
      <c r="AA85" s="10">
        <f>Event_Master[[#This Row],[Venue_Charge]]+Event_Master[[#This Row],[Photography_Charge]]+Event_Master[[#This Row],[Entertainment_Charge]]+Event_Master[[#This Row],[Decor_Charge]]+Event_Master[[#This Row],[Logistics_Charge]]+Event_Master[[#This Row],[Food_Charge]]</f>
        <v>876300</v>
      </c>
      <c r="AB85" s="10">
        <v>30000</v>
      </c>
      <c r="AC85" s="10">
        <f>Event_Master[[#This Row],[Client_Budget]]+Event_Master[[#This Row],[Planner_Remuneration]]</f>
        <v>906300</v>
      </c>
      <c r="AD85" s="10">
        <v>3</v>
      </c>
    </row>
    <row r="86" spans="1:30" x14ac:dyDescent="0.25">
      <c r="A86" s="10">
        <v>85</v>
      </c>
      <c r="B86" s="10" t="str" cm="1">
        <f t="array" ref="B86">_xlfn.XLOOKUP(Event_Master[[#This Row],[Event_Type]],Event_Catalog[[#All],[Event_Name]],Event_Catalog[[#All],[Event_ID]],,0)</f>
        <v>E031</v>
      </c>
      <c r="C86" s="10" t="s">
        <v>355</v>
      </c>
      <c r="D86" s="10" t="s">
        <v>338</v>
      </c>
      <c r="E86" s="10">
        <v>600</v>
      </c>
      <c r="F86" s="10" t="s">
        <v>404</v>
      </c>
      <c r="G86" s="11">
        <v>45703</v>
      </c>
      <c r="H86" s="10" t="s">
        <v>218</v>
      </c>
      <c r="I86" s="10" cm="1">
        <f t="array" ref="I86">_xlfn.XLOOKUP(Event_Master[[#This Row],[Event_No]],Venue_Orders[[#All],[Event_No]],Venue_Orders[[#All],[Rental_Cost]],0,0)</f>
        <v>40000</v>
      </c>
      <c r="J86" s="10" cm="1">
        <f t="array" ref="J86">_xlfn.XLOOKUP(Event_Master[[#This Row],[Event_No]],Venue_Orders[[#All],[Event_No]],Venue_Orders[[#All],[Client_Charge]],,0)</f>
        <v>48000</v>
      </c>
      <c r="K86" s="10" t="s">
        <v>242</v>
      </c>
      <c r="L86" s="10" cm="1">
        <f t="array" ref="L86">_xlfn.XLOOKUP(Event_Master[[#This Row],[Event_No]],Photography_Orders[[#All],[Event_No]],Photography_Orders[[#All],[Cost]],,0)</f>
        <v>20000</v>
      </c>
      <c r="M86" s="10" cm="1">
        <f t="array" ref="M86">_xlfn.XLOOKUP(Event_Master[[#This Row],[Event_No]],Photography_Orders[[#All],[Event_No]],Photography_Orders[[#All],[Client_Charge]],,0)</f>
        <v>24000</v>
      </c>
      <c r="N86" s="10" t="s">
        <v>167</v>
      </c>
      <c r="O86" s="10" cm="1">
        <f t="array" ref="O86">_xlfn.XLOOKUP(Event_Master[[#This Row],[Event_No]],Entertainment_Orders[[#All],[Event_No]],Entertainment_Orders[[#All],[Cost]],,0)</f>
        <v>0</v>
      </c>
      <c r="P86" s="10" cm="1">
        <f t="array" ref="P86">_xlfn.XLOOKUP(Event_Master[[#This Row],[Event_No]],Entertainment_Orders[[#All],[Event_No]],Entertainment_Orders[[#All],[Client_Charge]],,0)</f>
        <v>0</v>
      </c>
      <c r="Q86" s="10" t="s">
        <v>266</v>
      </c>
      <c r="R86" s="10" cm="1">
        <f t="array" ref="R86">_xlfn.XLOOKUP(Event_Master[[#This Row],[Event_No]],Decor_Orders[[#All],[Event_No]],Decor_Orders[[#All],[Cost]],,0)</f>
        <v>30000</v>
      </c>
      <c r="S86" s="10" cm="1">
        <f t="array" ref="S86">_xlfn.XLOOKUP(Event_Master[[#This Row],[Event_No]],Decor_Orders[[#All],[Event_No]],Decor_Orders[[#All],[Client_Charge]],,0)</f>
        <v>36000</v>
      </c>
      <c r="T86" s="10" t="s">
        <v>405</v>
      </c>
      <c r="U86" s="10">
        <f>SUMIFS(Logistics_Orders[[#All],[Cost]],Logistics_Orders[[#All],[Event_No]],Event_Master[[#This Row],[Event_No]])</f>
        <v>59000</v>
      </c>
      <c r="V86" s="10">
        <f>SUMIFS(Logistics_Orders[[#All],[Client_Charge]],Logistics_Orders[[#All],[Event_No]],Event_Master[[#This Row],[Event_No]])</f>
        <v>70800</v>
      </c>
      <c r="W86" s="10" t="s">
        <v>433</v>
      </c>
      <c r="X86" s="10">
        <f>SUMIFS(Food_Orders[[#All],[Cost]],Food_Orders[[#All],[Event_No]],Event_Master[[#This Row],[Event_No]])</f>
        <v>204000</v>
      </c>
      <c r="Y86" s="10">
        <f>SUMIFS(Food_Orders[[#All],[Client_Price]],Food_Orders[[#All],[Event_No]],Event_Master[[#This Row],[Event_No]])</f>
        <v>244800</v>
      </c>
      <c r="Z86" s="10">
        <f>Event_Master[[#This Row],[Venue_Cost]]+Event_Master[[#This Row],[Photography_Cost]]+Event_Master[[#This Row],[Entertainment_Cost]]+Event_Master[[#This Row],[Decor_Cost]]+Event_Master[[#This Row],[Logistics_Cost]]+Event_Master[[#This Row],[Food_Cost]]</f>
        <v>353000</v>
      </c>
      <c r="AA86" s="10">
        <f>Event_Master[[#This Row],[Venue_Charge]]+Event_Master[[#This Row],[Photography_Charge]]+Event_Master[[#This Row],[Entertainment_Charge]]+Event_Master[[#This Row],[Decor_Charge]]+Event_Master[[#This Row],[Logistics_Charge]]+Event_Master[[#This Row],[Food_Charge]]</f>
        <v>423600</v>
      </c>
      <c r="AB86" s="10">
        <v>30000</v>
      </c>
      <c r="AC86" s="10">
        <f>Event_Master[[#This Row],[Client_Budget]]+Event_Master[[#This Row],[Planner_Remuneration]]</f>
        <v>453600</v>
      </c>
      <c r="AD86" s="10">
        <v>5</v>
      </c>
    </row>
    <row r="87" spans="1:30" x14ac:dyDescent="0.25">
      <c r="A87" s="10">
        <v>86</v>
      </c>
      <c r="B87" s="10" t="str" cm="1">
        <f t="array" ref="B87">_xlfn.XLOOKUP(Event_Master[[#This Row],[Event_Type]],Event_Catalog[[#All],[Event_Name]],Event_Catalog[[#All],[Event_ID]],,0)</f>
        <v>E032</v>
      </c>
      <c r="C87" s="10" t="s">
        <v>358</v>
      </c>
      <c r="D87" s="10" t="s">
        <v>357</v>
      </c>
      <c r="E87" s="10">
        <v>400</v>
      </c>
      <c r="F87" s="10" t="s">
        <v>407</v>
      </c>
      <c r="G87" s="11">
        <v>45725</v>
      </c>
      <c r="H87" s="10" t="s">
        <v>215</v>
      </c>
      <c r="I87" s="10" cm="1">
        <f t="array" ref="I87">_xlfn.XLOOKUP(Event_Master[[#This Row],[Event_No]],Venue_Orders[[#All],[Event_No]],Venue_Orders[[#All],[Rental_Cost]],0,0)</f>
        <v>150000</v>
      </c>
      <c r="J87" s="10" cm="1">
        <f t="array" ref="J87">_xlfn.XLOOKUP(Event_Master[[#This Row],[Event_No]],Venue_Orders[[#All],[Event_No]],Venue_Orders[[#All],[Client_Charge]],,0)</f>
        <v>175000</v>
      </c>
      <c r="K87" s="10" t="s">
        <v>247</v>
      </c>
      <c r="L87" s="10" cm="1">
        <f t="array" ref="L87">_xlfn.XLOOKUP(Event_Master[[#This Row],[Event_No]],Photography_Orders[[#All],[Event_No]],Photography_Orders[[#All],[Cost]],,0)</f>
        <v>10000</v>
      </c>
      <c r="M87" s="10" cm="1">
        <f t="array" ref="M87">_xlfn.XLOOKUP(Event_Master[[#This Row],[Event_No]],Photography_Orders[[#All],[Event_No]],Photography_Orders[[#All],[Client_Charge]],,0)</f>
        <v>12000</v>
      </c>
      <c r="N87" s="10" t="s">
        <v>167</v>
      </c>
      <c r="O87" s="10" cm="1">
        <f t="array" ref="O87">_xlfn.XLOOKUP(Event_Master[[#This Row],[Event_No]],Entertainment_Orders[[#All],[Event_No]],Entertainment_Orders[[#All],[Cost]],,0)</f>
        <v>0</v>
      </c>
      <c r="P87" s="10" cm="1">
        <f t="array" ref="P87">_xlfn.XLOOKUP(Event_Master[[#This Row],[Event_No]],Entertainment_Orders[[#All],[Event_No]],Entertainment_Orders[[#All],[Client_Charge]],,0)</f>
        <v>0</v>
      </c>
      <c r="Q87" s="10" t="s">
        <v>283</v>
      </c>
      <c r="R87" s="10" cm="1">
        <f t="array" ref="R87">_xlfn.XLOOKUP(Event_Master[[#This Row],[Event_No]],Decor_Orders[[#All],[Event_No]],Decor_Orders[[#All],[Cost]],,0)</f>
        <v>35000</v>
      </c>
      <c r="S87" s="10" cm="1">
        <f t="array" ref="S87">_xlfn.XLOOKUP(Event_Master[[#This Row],[Event_No]],Decor_Orders[[#All],[Event_No]],Decor_Orders[[#All],[Client_Charge]],,0)</f>
        <v>42000</v>
      </c>
      <c r="T87" s="10" t="s">
        <v>405</v>
      </c>
      <c r="U87" s="10">
        <f>SUMIFS(Logistics_Orders[[#All],[Cost]],Logistics_Orders[[#All],[Event_No]],Event_Master[[#This Row],[Event_No]])</f>
        <v>59000</v>
      </c>
      <c r="V87" s="10">
        <f>SUMIFS(Logistics_Orders[[#All],[Client_Charge]],Logistics_Orders[[#All],[Event_No]],Event_Master[[#This Row],[Event_No]])</f>
        <v>70800</v>
      </c>
      <c r="W87" s="10" t="s">
        <v>434</v>
      </c>
      <c r="X87" s="10">
        <f>SUMIFS(Food_Orders[[#All],[Cost]],Food_Orders[[#All],[Event_No]],Event_Master[[#This Row],[Event_No]])</f>
        <v>102000</v>
      </c>
      <c r="Y87" s="10">
        <f>SUMIFS(Food_Orders[[#All],[Client_Price]],Food_Orders[[#All],[Event_No]],Event_Master[[#This Row],[Event_No]])</f>
        <v>122400</v>
      </c>
      <c r="Z87" s="10">
        <f>Event_Master[[#This Row],[Venue_Cost]]+Event_Master[[#This Row],[Photography_Cost]]+Event_Master[[#This Row],[Entertainment_Cost]]+Event_Master[[#This Row],[Decor_Cost]]+Event_Master[[#This Row],[Logistics_Cost]]+Event_Master[[#This Row],[Food_Cost]]</f>
        <v>356000</v>
      </c>
      <c r="AA87" s="10">
        <f>Event_Master[[#This Row],[Venue_Charge]]+Event_Master[[#This Row],[Photography_Charge]]+Event_Master[[#This Row],[Entertainment_Charge]]+Event_Master[[#This Row],[Decor_Charge]]+Event_Master[[#This Row],[Logistics_Charge]]+Event_Master[[#This Row],[Food_Charge]]</f>
        <v>422200</v>
      </c>
      <c r="AB87" s="10">
        <v>12000</v>
      </c>
      <c r="AC87" s="10">
        <f>Event_Master[[#This Row],[Client_Budget]]+Event_Master[[#This Row],[Planner_Remuneration]]</f>
        <v>434200</v>
      </c>
      <c r="AD87" s="10">
        <v>4</v>
      </c>
    </row>
    <row r="88" spans="1:30" x14ac:dyDescent="0.25">
      <c r="A88" s="10">
        <v>87</v>
      </c>
      <c r="B88" s="10" t="str" cm="1">
        <f t="array" ref="B88">_xlfn.XLOOKUP(Event_Master[[#This Row],[Event_Type]],Event_Catalog[[#All],[Event_Name]],Event_Catalog[[#All],[Event_ID]],,0)</f>
        <v>E033</v>
      </c>
      <c r="C88" s="10" t="s">
        <v>360</v>
      </c>
      <c r="D88" s="10" t="s">
        <v>357</v>
      </c>
      <c r="E88" s="10">
        <v>300</v>
      </c>
      <c r="F88" s="10" t="s">
        <v>407</v>
      </c>
      <c r="G88" s="11">
        <v>45760</v>
      </c>
      <c r="H88" s="10" t="s">
        <v>215</v>
      </c>
      <c r="I88" s="10" cm="1">
        <f t="array" ref="I88">_xlfn.XLOOKUP(Event_Master[[#This Row],[Event_No]],Venue_Orders[[#All],[Event_No]],Venue_Orders[[#All],[Rental_Cost]],0,0)</f>
        <v>150000</v>
      </c>
      <c r="J88" s="10" cm="1">
        <f t="array" ref="J88">_xlfn.XLOOKUP(Event_Master[[#This Row],[Event_No]],Venue_Orders[[#All],[Event_No]],Venue_Orders[[#All],[Client_Charge]],,0)</f>
        <v>175000</v>
      </c>
      <c r="K88" s="10" t="s">
        <v>247</v>
      </c>
      <c r="L88" s="10" cm="1">
        <f t="array" ref="L88">_xlfn.XLOOKUP(Event_Master[[#This Row],[Event_No]],Photography_Orders[[#All],[Event_No]],Photography_Orders[[#All],[Cost]],,0)</f>
        <v>10000</v>
      </c>
      <c r="M88" s="10" cm="1">
        <f t="array" ref="M88">_xlfn.XLOOKUP(Event_Master[[#This Row],[Event_No]],Photography_Orders[[#All],[Event_No]],Photography_Orders[[#All],[Client_Charge]],,0)</f>
        <v>12000</v>
      </c>
      <c r="N88" s="10" t="s">
        <v>167</v>
      </c>
      <c r="O88" s="10" cm="1">
        <f t="array" ref="O88">_xlfn.XLOOKUP(Event_Master[[#This Row],[Event_No]],Entertainment_Orders[[#All],[Event_No]],Entertainment_Orders[[#All],[Cost]],,0)</f>
        <v>0</v>
      </c>
      <c r="P88" s="10" cm="1">
        <f t="array" ref="P88">_xlfn.XLOOKUP(Event_Master[[#This Row],[Event_No]],Entertainment_Orders[[#All],[Event_No]],Entertainment_Orders[[#All],[Client_Charge]],,0)</f>
        <v>0</v>
      </c>
      <c r="Q88" s="10" t="s">
        <v>283</v>
      </c>
      <c r="R88" s="10" cm="1">
        <f t="array" ref="R88">_xlfn.XLOOKUP(Event_Master[[#This Row],[Event_No]],Decor_Orders[[#All],[Event_No]],Decor_Orders[[#All],[Cost]],,0)</f>
        <v>35000</v>
      </c>
      <c r="S88" s="10" cm="1">
        <f t="array" ref="S88">_xlfn.XLOOKUP(Event_Master[[#This Row],[Event_No]],Decor_Orders[[#All],[Event_No]],Decor_Orders[[#All],[Client_Charge]],,0)</f>
        <v>42000</v>
      </c>
      <c r="T88" s="10" t="s">
        <v>405</v>
      </c>
      <c r="U88" s="10">
        <f>SUMIFS(Logistics_Orders[[#All],[Cost]],Logistics_Orders[[#All],[Event_No]],Event_Master[[#This Row],[Event_No]])</f>
        <v>44000</v>
      </c>
      <c r="V88" s="10">
        <f>SUMIFS(Logistics_Orders[[#All],[Client_Charge]],Logistics_Orders[[#All],[Event_No]],Event_Master[[#This Row],[Event_No]])</f>
        <v>52800</v>
      </c>
      <c r="W88" s="10" t="s">
        <v>434</v>
      </c>
      <c r="X88" s="10">
        <f>SUMIFS(Food_Orders[[#All],[Cost]],Food_Orders[[#All],[Event_No]],Event_Master[[#This Row],[Event_No]])</f>
        <v>76500</v>
      </c>
      <c r="Y88" s="10">
        <f>SUMIFS(Food_Orders[[#All],[Client_Price]],Food_Orders[[#All],[Event_No]],Event_Master[[#This Row],[Event_No]])</f>
        <v>91800</v>
      </c>
      <c r="Z88" s="10">
        <f>Event_Master[[#This Row],[Venue_Cost]]+Event_Master[[#This Row],[Photography_Cost]]+Event_Master[[#This Row],[Entertainment_Cost]]+Event_Master[[#This Row],[Decor_Cost]]+Event_Master[[#This Row],[Logistics_Cost]]+Event_Master[[#This Row],[Food_Cost]]</f>
        <v>315500</v>
      </c>
      <c r="AA88" s="10">
        <f>Event_Master[[#This Row],[Venue_Charge]]+Event_Master[[#This Row],[Photography_Charge]]+Event_Master[[#This Row],[Entertainment_Charge]]+Event_Master[[#This Row],[Decor_Charge]]+Event_Master[[#This Row],[Logistics_Charge]]+Event_Master[[#This Row],[Food_Charge]]</f>
        <v>373600</v>
      </c>
      <c r="AB88" s="10">
        <v>12000</v>
      </c>
      <c r="AC88" s="10">
        <f>Event_Master[[#This Row],[Client_Budget]]+Event_Master[[#This Row],[Planner_Remuneration]]</f>
        <v>385600</v>
      </c>
      <c r="AD88" s="10">
        <v>5</v>
      </c>
    </row>
    <row r="89" spans="1:30" x14ac:dyDescent="0.25">
      <c r="A89" s="10">
        <v>88</v>
      </c>
      <c r="B89" s="10" t="str" cm="1">
        <f t="array" ref="B89">_xlfn.XLOOKUP(Event_Master[[#This Row],[Event_Type]],Event_Catalog[[#All],[Event_Name]],Event_Catalog[[#All],[Event_ID]],,0)</f>
        <v>E034</v>
      </c>
      <c r="C89" s="10" t="s">
        <v>362</v>
      </c>
      <c r="D89" s="10" t="s">
        <v>357</v>
      </c>
      <c r="E89" s="10">
        <v>350</v>
      </c>
      <c r="F89" s="10" t="s">
        <v>407</v>
      </c>
      <c r="G89" s="11">
        <v>45795</v>
      </c>
      <c r="H89" s="10" t="s">
        <v>221</v>
      </c>
      <c r="I89" s="10" cm="1">
        <f t="array" ref="I89">_xlfn.XLOOKUP(Event_Master[[#This Row],[Event_No]],Venue_Orders[[#All],[Event_No]],Venue_Orders[[#All],[Rental_Cost]],0,0)</f>
        <v>200000</v>
      </c>
      <c r="J89" s="10" cm="1">
        <f t="array" ref="J89">_xlfn.XLOOKUP(Event_Master[[#This Row],[Event_No]],Venue_Orders[[#All],[Event_No]],Venue_Orders[[#All],[Client_Charge]],,0)</f>
        <v>230000</v>
      </c>
      <c r="K89" s="10" t="s">
        <v>247</v>
      </c>
      <c r="L89" s="10" cm="1">
        <f t="array" ref="L89">_xlfn.XLOOKUP(Event_Master[[#This Row],[Event_No]],Photography_Orders[[#All],[Event_No]],Photography_Orders[[#All],[Cost]],,0)</f>
        <v>10000</v>
      </c>
      <c r="M89" s="10" cm="1">
        <f t="array" ref="M89">_xlfn.XLOOKUP(Event_Master[[#This Row],[Event_No]],Photography_Orders[[#All],[Event_No]],Photography_Orders[[#All],[Client_Charge]],,0)</f>
        <v>12000</v>
      </c>
      <c r="N89" s="10" t="s">
        <v>163</v>
      </c>
      <c r="O89" s="10" cm="1">
        <f t="array" ref="O89">_xlfn.XLOOKUP(Event_Master[[#This Row],[Event_No]],Entertainment_Orders[[#All],[Event_No]],Entertainment_Orders[[#All],[Cost]],,0)</f>
        <v>7000</v>
      </c>
      <c r="P89" s="10" cm="1">
        <f t="array" ref="P89">_xlfn.XLOOKUP(Event_Master[[#This Row],[Event_No]],Entertainment_Orders[[#All],[Event_No]],Entertainment_Orders[[#All],[Client_Charge]],,0)</f>
        <v>8500</v>
      </c>
      <c r="Q89" s="10" t="s">
        <v>283</v>
      </c>
      <c r="R89" s="10" cm="1">
        <f t="array" ref="R89">_xlfn.XLOOKUP(Event_Master[[#This Row],[Event_No]],Decor_Orders[[#All],[Event_No]],Decor_Orders[[#All],[Cost]],,0)</f>
        <v>35000</v>
      </c>
      <c r="S89" s="10" cm="1">
        <f t="array" ref="S89">_xlfn.XLOOKUP(Event_Master[[#This Row],[Event_No]],Decor_Orders[[#All],[Event_No]],Decor_Orders[[#All],[Client_Charge]],,0)</f>
        <v>42000</v>
      </c>
      <c r="T89" s="10" t="s">
        <v>405</v>
      </c>
      <c r="U89" s="10">
        <f>SUMIFS(Logistics_Orders[[#All],[Cost]],Logistics_Orders[[#All],[Event_No]],Event_Master[[#This Row],[Event_No]])</f>
        <v>59000</v>
      </c>
      <c r="V89" s="10">
        <f>SUMIFS(Logistics_Orders[[#All],[Client_Charge]],Logistics_Orders[[#All],[Event_No]],Event_Master[[#This Row],[Event_No]])</f>
        <v>70800</v>
      </c>
      <c r="W89" s="10" t="s">
        <v>435</v>
      </c>
      <c r="X89" s="10">
        <f>SUMIFS(Food_Orders[[#All],[Cost]],Food_Orders[[#All],[Event_No]],Event_Master[[#This Row],[Event_No]])</f>
        <v>94500</v>
      </c>
      <c r="Y89" s="10">
        <f>SUMIFS(Food_Orders[[#All],[Client_Price]],Food_Orders[[#All],[Event_No]],Event_Master[[#This Row],[Event_No]])</f>
        <v>113400</v>
      </c>
      <c r="Z89" s="10">
        <f>Event_Master[[#This Row],[Venue_Cost]]+Event_Master[[#This Row],[Photography_Cost]]+Event_Master[[#This Row],[Entertainment_Cost]]+Event_Master[[#This Row],[Decor_Cost]]+Event_Master[[#This Row],[Logistics_Cost]]+Event_Master[[#This Row],[Food_Cost]]</f>
        <v>405500</v>
      </c>
      <c r="AA89" s="10">
        <f>Event_Master[[#This Row],[Venue_Charge]]+Event_Master[[#This Row],[Photography_Charge]]+Event_Master[[#This Row],[Entertainment_Charge]]+Event_Master[[#This Row],[Decor_Charge]]+Event_Master[[#This Row],[Logistics_Charge]]+Event_Master[[#This Row],[Food_Charge]]</f>
        <v>476700</v>
      </c>
      <c r="AB89" s="10">
        <v>12000</v>
      </c>
      <c r="AC89" s="10">
        <f>Event_Master[[#This Row],[Client_Budget]]+Event_Master[[#This Row],[Planner_Remuneration]]</f>
        <v>488700</v>
      </c>
      <c r="AD89" s="10">
        <v>3</v>
      </c>
    </row>
    <row r="90" spans="1:30" x14ac:dyDescent="0.25">
      <c r="A90" s="10">
        <v>89</v>
      </c>
      <c r="B90" s="10" t="str" cm="1">
        <f t="array" ref="B90">_xlfn.XLOOKUP(Event_Master[[#This Row],[Event_Type]],Event_Catalog[[#All],[Event_Name]],Event_Catalog[[#All],[Event_ID]],,0)</f>
        <v>E001</v>
      </c>
      <c r="C90" s="10" t="s">
        <v>293</v>
      </c>
      <c r="D90" s="10" t="s">
        <v>292</v>
      </c>
      <c r="E90" s="10">
        <v>600</v>
      </c>
      <c r="F90" s="10" t="s">
        <v>404</v>
      </c>
      <c r="G90" s="11">
        <v>45761</v>
      </c>
      <c r="H90" s="10" t="s">
        <v>207</v>
      </c>
      <c r="I90" s="10" cm="1">
        <f t="array" ref="I90">_xlfn.XLOOKUP(Event_Master[[#This Row],[Event_No]],Venue_Orders[[#All],[Event_No]],Venue_Orders[[#All],[Rental_Cost]],0,0)</f>
        <v>60000</v>
      </c>
      <c r="J90" s="10" cm="1">
        <f t="array" ref="J90">_xlfn.XLOOKUP(Event_Master[[#This Row],[Event_No]],Venue_Orders[[#All],[Event_No]],Venue_Orders[[#All],[Client_Charge]],,0)</f>
        <v>70000</v>
      </c>
      <c r="K90" s="10" t="s">
        <v>247</v>
      </c>
      <c r="L90" s="10" cm="1">
        <f t="array" ref="L90">_xlfn.XLOOKUP(Event_Master[[#This Row],[Event_No]],Photography_Orders[[#All],[Event_No]],Photography_Orders[[#All],[Cost]],,0)</f>
        <v>10000</v>
      </c>
      <c r="M90" s="10" cm="1">
        <f t="array" ref="M90">_xlfn.XLOOKUP(Event_Master[[#This Row],[Event_No]],Photography_Orders[[#All],[Event_No]],Photography_Orders[[#All],[Client_Charge]],,0)</f>
        <v>12000</v>
      </c>
      <c r="N90" s="10" t="s">
        <v>153</v>
      </c>
      <c r="O90" s="10" cm="1">
        <f t="array" ref="O90">_xlfn.XLOOKUP(Event_Master[[#This Row],[Event_No]],Entertainment_Orders[[#All],[Event_No]],Entertainment_Orders[[#All],[Cost]],,0)</f>
        <v>15000</v>
      </c>
      <c r="P90" s="10" cm="1">
        <f t="array" ref="P90">_xlfn.XLOOKUP(Event_Master[[#This Row],[Event_No]],Entertainment_Orders[[#All],[Event_No]],Entertainment_Orders[[#All],[Client_Charge]],,0)</f>
        <v>18000</v>
      </c>
      <c r="Q90" s="10" t="s">
        <v>260</v>
      </c>
      <c r="R90" s="10" cm="1">
        <f t="array" ref="R90">_xlfn.XLOOKUP(Event_Master[[#This Row],[Event_No]],Decor_Orders[[#All],[Event_No]],Decor_Orders[[#All],[Cost]],,0)</f>
        <v>25000</v>
      </c>
      <c r="S90" s="10" cm="1">
        <f t="array" ref="S90">_xlfn.XLOOKUP(Event_Master[[#This Row],[Event_No]],Decor_Orders[[#All],[Event_No]],Decor_Orders[[#All],[Client_Charge]],,0)</f>
        <v>30000</v>
      </c>
      <c r="T90" s="10" t="s">
        <v>405</v>
      </c>
      <c r="U90" s="10">
        <f>SUMIFS(Logistics_Orders[[#All],[Cost]],Logistics_Orders[[#All],[Event_No]],Event_Master[[#This Row],[Event_No]])</f>
        <v>59000</v>
      </c>
      <c r="V90" s="10">
        <f>SUMIFS(Logistics_Orders[[#All],[Client_Charge]],Logistics_Orders[[#All],[Event_No]],Event_Master[[#This Row],[Event_No]])</f>
        <v>70800</v>
      </c>
      <c r="W90" s="10" t="s">
        <v>406</v>
      </c>
      <c r="X90" s="10">
        <f>SUMIFS(Food_Orders[[#All],[Cost]],Food_Orders[[#All],[Event_No]],Event_Master[[#This Row],[Event_No]])</f>
        <v>987000</v>
      </c>
      <c r="Y90" s="10">
        <f>SUMIFS(Food_Orders[[#All],[Client_Price]],Food_Orders[[#All],[Event_No]],Event_Master[[#This Row],[Event_No]])</f>
        <v>1184400</v>
      </c>
      <c r="Z90" s="10">
        <f>Event_Master[[#This Row],[Venue_Cost]]+Event_Master[[#This Row],[Photography_Cost]]+Event_Master[[#This Row],[Entertainment_Cost]]+Event_Master[[#This Row],[Decor_Cost]]+Event_Master[[#This Row],[Logistics_Cost]]+Event_Master[[#This Row],[Food_Cost]]</f>
        <v>1156000</v>
      </c>
      <c r="AA90" s="10">
        <f>Event_Master[[#This Row],[Venue_Charge]]+Event_Master[[#This Row],[Photography_Charge]]+Event_Master[[#This Row],[Entertainment_Charge]]+Event_Master[[#This Row],[Decor_Charge]]+Event_Master[[#This Row],[Logistics_Charge]]+Event_Master[[#This Row],[Food_Charge]]</f>
        <v>1385200</v>
      </c>
      <c r="AB90" s="10">
        <v>30000</v>
      </c>
      <c r="AC90" s="10">
        <f>Event_Master[[#This Row],[Client_Budget]]+Event_Master[[#This Row],[Planner_Remuneration]]</f>
        <v>1415200</v>
      </c>
      <c r="AD90" s="10">
        <v>4</v>
      </c>
    </row>
    <row r="91" spans="1:30" x14ac:dyDescent="0.25">
      <c r="A91" s="10">
        <v>90</v>
      </c>
      <c r="B91" s="10" t="str" cm="1">
        <f t="array" ref="B91">_xlfn.XLOOKUP(Event_Master[[#This Row],[Event_Type]],Event_Catalog[[#All],[Event_Name]],Event_Catalog[[#All],[Event_ID]],,0)</f>
        <v>E035</v>
      </c>
      <c r="C91" s="10" t="s">
        <v>364</v>
      </c>
      <c r="D91" s="10" t="s">
        <v>357</v>
      </c>
      <c r="E91" s="10">
        <v>450</v>
      </c>
      <c r="F91" s="10" t="s">
        <v>407</v>
      </c>
      <c r="G91" s="11">
        <v>45830</v>
      </c>
      <c r="H91" s="10" t="s">
        <v>215</v>
      </c>
      <c r="I91" s="10" cm="1">
        <f t="array" ref="I91">_xlfn.XLOOKUP(Event_Master[[#This Row],[Event_No]],Venue_Orders[[#All],[Event_No]],Venue_Orders[[#All],[Rental_Cost]],0,0)</f>
        <v>150000</v>
      </c>
      <c r="J91" s="10" cm="1">
        <f t="array" ref="J91">_xlfn.XLOOKUP(Event_Master[[#This Row],[Event_No]],Venue_Orders[[#All],[Event_No]],Venue_Orders[[#All],[Client_Charge]],,0)</f>
        <v>175000</v>
      </c>
      <c r="K91" s="10" t="s">
        <v>247</v>
      </c>
      <c r="L91" s="10" cm="1">
        <f t="array" ref="L91">_xlfn.XLOOKUP(Event_Master[[#This Row],[Event_No]],Photography_Orders[[#All],[Event_No]],Photography_Orders[[#All],[Cost]],,0)</f>
        <v>10000</v>
      </c>
      <c r="M91" s="10" cm="1">
        <f t="array" ref="M91">_xlfn.XLOOKUP(Event_Master[[#This Row],[Event_No]],Photography_Orders[[#All],[Event_No]],Photography_Orders[[#All],[Client_Charge]],,0)</f>
        <v>12000</v>
      </c>
      <c r="N91" s="10" t="s">
        <v>167</v>
      </c>
      <c r="O91" s="10" cm="1">
        <f t="array" ref="O91">_xlfn.XLOOKUP(Event_Master[[#This Row],[Event_No]],Entertainment_Orders[[#All],[Event_No]],Entertainment_Orders[[#All],[Cost]],,0)</f>
        <v>0</v>
      </c>
      <c r="P91" s="10" cm="1">
        <f t="array" ref="P91">_xlfn.XLOOKUP(Event_Master[[#This Row],[Event_No]],Entertainment_Orders[[#All],[Event_No]],Entertainment_Orders[[#All],[Client_Charge]],,0)</f>
        <v>0</v>
      </c>
      <c r="Q91" s="10" t="s">
        <v>283</v>
      </c>
      <c r="R91" s="10" cm="1">
        <f t="array" ref="R91">_xlfn.XLOOKUP(Event_Master[[#This Row],[Event_No]],Decor_Orders[[#All],[Event_No]],Decor_Orders[[#All],[Cost]],,0)</f>
        <v>35000</v>
      </c>
      <c r="S91" s="10" cm="1">
        <f t="array" ref="S91">_xlfn.XLOOKUP(Event_Master[[#This Row],[Event_No]],Decor_Orders[[#All],[Event_No]],Decor_Orders[[#All],[Client_Charge]],,0)</f>
        <v>42000</v>
      </c>
      <c r="T91" s="10" t="s">
        <v>444</v>
      </c>
      <c r="U91" s="10">
        <f>SUMIFS(Logistics_Orders[[#All],[Cost]],Logistics_Orders[[#All],[Event_No]],Event_Master[[#This Row],[Event_No]])</f>
        <v>47000</v>
      </c>
      <c r="V91" s="10">
        <f>SUMIFS(Logistics_Orders[[#All],[Client_Charge]],Logistics_Orders[[#All],[Event_No]],Event_Master[[#This Row],[Event_No]])</f>
        <v>56300</v>
      </c>
      <c r="W91" s="10" t="s">
        <v>437</v>
      </c>
      <c r="X91" s="10">
        <f>SUMIFS(Food_Orders[[#All],[Cost]],Food_Orders[[#All],[Event_No]],Event_Master[[#This Row],[Event_No]])</f>
        <v>128250</v>
      </c>
      <c r="Y91" s="10">
        <f>SUMIFS(Food_Orders[[#All],[Client_Price]],Food_Orders[[#All],[Event_No]],Event_Master[[#This Row],[Event_No]])</f>
        <v>153900</v>
      </c>
      <c r="Z91" s="10">
        <f>Event_Master[[#This Row],[Venue_Cost]]+Event_Master[[#This Row],[Photography_Cost]]+Event_Master[[#This Row],[Entertainment_Cost]]+Event_Master[[#This Row],[Decor_Cost]]+Event_Master[[#This Row],[Logistics_Cost]]+Event_Master[[#This Row],[Food_Cost]]</f>
        <v>370250</v>
      </c>
      <c r="AA91" s="10">
        <f>Event_Master[[#This Row],[Venue_Charge]]+Event_Master[[#This Row],[Photography_Charge]]+Event_Master[[#This Row],[Entertainment_Charge]]+Event_Master[[#This Row],[Decor_Charge]]+Event_Master[[#This Row],[Logistics_Charge]]+Event_Master[[#This Row],[Food_Charge]]</f>
        <v>439200</v>
      </c>
      <c r="AB91" s="10">
        <v>12000</v>
      </c>
      <c r="AC91" s="10">
        <f>Event_Master[[#This Row],[Client_Budget]]+Event_Master[[#This Row],[Planner_Remuneration]]</f>
        <v>451200</v>
      </c>
      <c r="AD91" s="10">
        <v>5</v>
      </c>
    </row>
    <row r="92" spans="1:30" x14ac:dyDescent="0.25">
      <c r="A92" s="10">
        <v>91</v>
      </c>
      <c r="B92" s="10" t="str" cm="1">
        <f t="array" ref="B92">_xlfn.XLOOKUP(Event_Master[[#This Row],[Event_Type]],Event_Catalog[[#All],[Event_Name]],Event_Catalog[[#All],[Event_ID]],,0)</f>
        <v>E036</v>
      </c>
      <c r="C92" s="10" t="s">
        <v>366</v>
      </c>
      <c r="D92" s="10" t="s">
        <v>357</v>
      </c>
      <c r="E92" s="10">
        <v>600</v>
      </c>
      <c r="F92" s="10" t="s">
        <v>404</v>
      </c>
      <c r="G92" s="11">
        <v>45844</v>
      </c>
      <c r="H92" s="10" t="s">
        <v>221</v>
      </c>
      <c r="I92" s="10" cm="1">
        <f t="array" ref="I92">_xlfn.XLOOKUP(Event_Master[[#This Row],[Event_No]],Venue_Orders[[#All],[Event_No]],Venue_Orders[[#All],[Rental_Cost]],0,0)</f>
        <v>200000</v>
      </c>
      <c r="J92" s="10" cm="1">
        <f t="array" ref="J92">_xlfn.XLOOKUP(Event_Master[[#This Row],[Event_No]],Venue_Orders[[#All],[Event_No]],Venue_Orders[[#All],[Client_Charge]],,0)</f>
        <v>230000</v>
      </c>
      <c r="K92" s="10" t="s">
        <v>237</v>
      </c>
      <c r="L92" s="10" cm="1">
        <f t="array" ref="L92">_xlfn.XLOOKUP(Event_Master[[#This Row],[Event_No]],Photography_Orders[[#All],[Event_No]],Photography_Orders[[#All],[Cost]],,0)</f>
        <v>45000</v>
      </c>
      <c r="M92" s="10" cm="1">
        <f t="array" ref="M92">_xlfn.XLOOKUP(Event_Master[[#This Row],[Event_No]],Photography_Orders[[#All],[Event_No]],Photography_Orders[[#All],[Client_Charge]],,0)</f>
        <v>53000</v>
      </c>
      <c r="N92" s="10" t="s">
        <v>143</v>
      </c>
      <c r="O92" s="10" cm="1">
        <f t="array" ref="O92">_xlfn.XLOOKUP(Event_Master[[#This Row],[Event_No]],Entertainment_Orders[[#All],[Event_No]],Entertainment_Orders[[#All],[Cost]],,0)</f>
        <v>8000</v>
      </c>
      <c r="P92" s="10" cm="1">
        <f t="array" ref="P92">_xlfn.XLOOKUP(Event_Master[[#This Row],[Event_No]],Entertainment_Orders[[#All],[Event_No]],Entertainment_Orders[[#All],[Client_Charge]],,0)</f>
        <v>9500</v>
      </c>
      <c r="Q92" s="10" t="s">
        <v>283</v>
      </c>
      <c r="R92" s="10" cm="1">
        <f t="array" ref="R92">_xlfn.XLOOKUP(Event_Master[[#This Row],[Event_No]],Decor_Orders[[#All],[Event_No]],Decor_Orders[[#All],[Cost]],,0)</f>
        <v>35000</v>
      </c>
      <c r="S92" s="10" cm="1">
        <f t="array" ref="S92">_xlfn.XLOOKUP(Event_Master[[#This Row],[Event_No]],Decor_Orders[[#All],[Event_No]],Decor_Orders[[#All],[Client_Charge]],,0)</f>
        <v>42000</v>
      </c>
      <c r="T92" s="10" t="s">
        <v>405</v>
      </c>
      <c r="U92" s="10">
        <f>SUMIFS(Logistics_Orders[[#All],[Cost]],Logistics_Orders[[#All],[Event_No]],Event_Master[[#This Row],[Event_No]])</f>
        <v>59000</v>
      </c>
      <c r="V92" s="10">
        <f>SUMIFS(Logistics_Orders[[#All],[Client_Charge]],Logistics_Orders[[#All],[Event_No]],Event_Master[[#This Row],[Event_No]])</f>
        <v>70800</v>
      </c>
      <c r="W92" s="10" t="s">
        <v>421</v>
      </c>
      <c r="X92" s="10">
        <f>SUMIFS(Food_Orders[[#All],[Cost]],Food_Orders[[#All],[Event_No]],Event_Master[[#This Row],[Event_No]])</f>
        <v>225000</v>
      </c>
      <c r="Y92" s="10">
        <f>SUMIFS(Food_Orders[[#All],[Client_Price]],Food_Orders[[#All],[Event_No]],Event_Master[[#This Row],[Event_No]])</f>
        <v>270000</v>
      </c>
      <c r="Z92" s="10">
        <f>Event_Master[[#This Row],[Venue_Cost]]+Event_Master[[#This Row],[Photography_Cost]]+Event_Master[[#This Row],[Entertainment_Cost]]+Event_Master[[#This Row],[Decor_Cost]]+Event_Master[[#This Row],[Logistics_Cost]]+Event_Master[[#This Row],[Food_Cost]]</f>
        <v>572000</v>
      </c>
      <c r="AA92" s="10">
        <f>Event_Master[[#This Row],[Venue_Charge]]+Event_Master[[#This Row],[Photography_Charge]]+Event_Master[[#This Row],[Entertainment_Charge]]+Event_Master[[#This Row],[Decor_Charge]]+Event_Master[[#This Row],[Logistics_Charge]]+Event_Master[[#This Row],[Food_Charge]]</f>
        <v>675300</v>
      </c>
      <c r="AB92" s="10">
        <v>30000</v>
      </c>
      <c r="AC92" s="10">
        <f>Event_Master[[#This Row],[Client_Budget]]+Event_Master[[#This Row],[Planner_Remuneration]]</f>
        <v>705300</v>
      </c>
      <c r="AD92" s="10">
        <v>5</v>
      </c>
    </row>
    <row r="93" spans="1:30" x14ac:dyDescent="0.25">
      <c r="A93" s="10">
        <v>92</v>
      </c>
      <c r="B93" s="10" t="str" cm="1">
        <f t="array" ref="B93">_xlfn.XLOOKUP(Event_Master[[#This Row],[Event_Type]],Event_Catalog[[#All],[Event_Name]],Event_Catalog[[#All],[Event_ID]],,0)</f>
        <v>E001</v>
      </c>
      <c r="C93" s="10" t="s">
        <v>293</v>
      </c>
      <c r="D93" s="10" t="s">
        <v>292</v>
      </c>
      <c r="E93" s="10">
        <v>1020</v>
      </c>
      <c r="F93" s="10" t="s">
        <v>404</v>
      </c>
      <c r="G93" s="11">
        <v>45767</v>
      </c>
      <c r="H93" s="10" t="s">
        <v>215</v>
      </c>
      <c r="I93" s="10" cm="1">
        <f t="array" ref="I93">_xlfn.XLOOKUP(Event_Master[[#This Row],[Event_No]],Venue_Orders[[#All],[Event_No]],Venue_Orders[[#All],[Rental_Cost]],0,0)</f>
        <v>150000</v>
      </c>
      <c r="J93" s="10" cm="1">
        <f t="array" ref="J93">_xlfn.XLOOKUP(Event_Master[[#This Row],[Event_No]],Venue_Orders[[#All],[Event_No]],Venue_Orders[[#All],[Client_Charge]],,0)</f>
        <v>175000</v>
      </c>
      <c r="K93" s="10" t="s">
        <v>237</v>
      </c>
      <c r="L93" s="10" cm="1">
        <f t="array" ref="L93">_xlfn.XLOOKUP(Event_Master[[#This Row],[Event_No]],Photography_Orders[[#All],[Event_No]],Photography_Orders[[#All],[Cost]],,0)</f>
        <v>45000</v>
      </c>
      <c r="M93" s="10" cm="1">
        <f t="array" ref="M93">_xlfn.XLOOKUP(Event_Master[[#This Row],[Event_No]],Photography_Orders[[#All],[Event_No]],Photography_Orders[[#All],[Client_Charge]],,0)</f>
        <v>53000</v>
      </c>
      <c r="N93" s="10" t="s">
        <v>153</v>
      </c>
      <c r="O93" s="10" cm="1">
        <f t="array" ref="O93">_xlfn.XLOOKUP(Event_Master[[#This Row],[Event_No]],Entertainment_Orders[[#All],[Event_No]],Entertainment_Orders[[#All],[Cost]],,0)</f>
        <v>15000</v>
      </c>
      <c r="P93" s="10" cm="1">
        <f t="array" ref="P93">_xlfn.XLOOKUP(Event_Master[[#This Row],[Event_No]],Entertainment_Orders[[#All],[Event_No]],Entertainment_Orders[[#All],[Client_Charge]],,0)</f>
        <v>18000</v>
      </c>
      <c r="Q93" s="10" t="s">
        <v>260</v>
      </c>
      <c r="R93" s="10" cm="1">
        <f t="array" ref="R93">_xlfn.XLOOKUP(Event_Master[[#This Row],[Event_No]],Decor_Orders[[#All],[Event_No]],Decor_Orders[[#All],[Cost]],,0)</f>
        <v>25000</v>
      </c>
      <c r="S93" s="10" cm="1">
        <f t="array" ref="S93">_xlfn.XLOOKUP(Event_Master[[#This Row],[Event_No]],Decor_Orders[[#All],[Event_No]],Decor_Orders[[#All],[Client_Charge]],,0)</f>
        <v>30000</v>
      </c>
      <c r="T93" s="10" t="s">
        <v>405</v>
      </c>
      <c r="U93" s="10">
        <f>SUMIFS(Logistics_Orders[[#All],[Cost]],Logistics_Orders[[#All],[Event_No]],Event_Master[[#This Row],[Event_No]])</f>
        <v>89000</v>
      </c>
      <c r="V93" s="10">
        <f>SUMIFS(Logistics_Orders[[#All],[Client_Charge]],Logistics_Orders[[#All],[Event_No]],Event_Master[[#This Row],[Event_No]])</f>
        <v>106800</v>
      </c>
      <c r="W93" s="10" t="s">
        <v>406</v>
      </c>
      <c r="X93" s="10">
        <f>SUMIFS(Food_Orders[[#All],[Cost]],Food_Orders[[#All],[Event_No]],Event_Master[[#This Row],[Event_No]])</f>
        <v>1677900</v>
      </c>
      <c r="Y93" s="10">
        <f>SUMIFS(Food_Orders[[#All],[Client_Price]],Food_Orders[[#All],[Event_No]],Event_Master[[#This Row],[Event_No]])</f>
        <v>2013480</v>
      </c>
      <c r="Z93" s="10">
        <f>Event_Master[[#This Row],[Venue_Cost]]+Event_Master[[#This Row],[Photography_Cost]]+Event_Master[[#This Row],[Entertainment_Cost]]+Event_Master[[#This Row],[Decor_Cost]]+Event_Master[[#This Row],[Logistics_Cost]]+Event_Master[[#This Row],[Food_Cost]]</f>
        <v>2001900</v>
      </c>
      <c r="AA93" s="10">
        <f>Event_Master[[#This Row],[Venue_Charge]]+Event_Master[[#This Row],[Photography_Charge]]+Event_Master[[#This Row],[Entertainment_Charge]]+Event_Master[[#This Row],[Decor_Charge]]+Event_Master[[#This Row],[Logistics_Charge]]+Event_Master[[#This Row],[Food_Charge]]</f>
        <v>2396280</v>
      </c>
      <c r="AB93" s="10">
        <v>30000</v>
      </c>
      <c r="AC93" s="10">
        <f>Event_Master[[#This Row],[Client_Budget]]+Event_Master[[#This Row],[Planner_Remuneration]]</f>
        <v>2426280</v>
      </c>
      <c r="AD93" s="10">
        <v>3.8</v>
      </c>
    </row>
    <row r="94" spans="1:30" x14ac:dyDescent="0.25">
      <c r="A94" s="10">
        <v>93</v>
      </c>
      <c r="B94" s="10" t="str" cm="1">
        <f t="array" ref="B94">_xlfn.XLOOKUP(Event_Master[[#This Row],[Event_Type]],Event_Catalog[[#All],[Event_Name]],Event_Catalog[[#All],[Event_ID]],,0)</f>
        <v>E037</v>
      </c>
      <c r="C94" s="10" t="s">
        <v>368</v>
      </c>
      <c r="D94" s="10" t="s">
        <v>357</v>
      </c>
      <c r="E94" s="10">
        <v>900</v>
      </c>
      <c r="F94" s="10" t="s">
        <v>404</v>
      </c>
      <c r="G94" s="11">
        <v>45879</v>
      </c>
      <c r="H94" s="10" t="s">
        <v>221</v>
      </c>
      <c r="I94" s="10" cm="1">
        <f t="array" ref="I94">_xlfn.XLOOKUP(Event_Master[[#This Row],[Event_No]],Venue_Orders[[#All],[Event_No]],Venue_Orders[[#All],[Rental_Cost]],0,0)</f>
        <v>200000</v>
      </c>
      <c r="J94" s="10" cm="1">
        <f t="array" ref="J94">_xlfn.XLOOKUP(Event_Master[[#This Row],[Event_No]],Venue_Orders[[#All],[Event_No]],Venue_Orders[[#All],[Client_Charge]],,0)</f>
        <v>230000</v>
      </c>
      <c r="K94" s="10" t="s">
        <v>237</v>
      </c>
      <c r="L94" s="10" cm="1">
        <f t="array" ref="L94">_xlfn.XLOOKUP(Event_Master[[#This Row],[Event_No]],Photography_Orders[[#All],[Event_No]],Photography_Orders[[#All],[Cost]],,0)</f>
        <v>45000</v>
      </c>
      <c r="M94" s="10" cm="1">
        <f t="array" ref="M94">_xlfn.XLOOKUP(Event_Master[[#This Row],[Event_No]],Photography_Orders[[#All],[Event_No]],Photography_Orders[[#All],[Client_Charge]],,0)</f>
        <v>53000</v>
      </c>
      <c r="N94" s="10" t="s">
        <v>153</v>
      </c>
      <c r="O94" s="10" cm="1">
        <f t="array" ref="O94">_xlfn.XLOOKUP(Event_Master[[#This Row],[Event_No]],Entertainment_Orders[[#All],[Event_No]],Entertainment_Orders[[#All],[Cost]],,0)</f>
        <v>15000</v>
      </c>
      <c r="P94" s="10" cm="1">
        <f t="array" ref="P94">_xlfn.XLOOKUP(Event_Master[[#This Row],[Event_No]],Entertainment_Orders[[#All],[Event_No]],Entertainment_Orders[[#All],[Client_Charge]],,0)</f>
        <v>18000</v>
      </c>
      <c r="Q94" s="10" t="s">
        <v>283</v>
      </c>
      <c r="R94" s="10" cm="1">
        <f t="array" ref="R94">_xlfn.XLOOKUP(Event_Master[[#This Row],[Event_No]],Decor_Orders[[#All],[Event_No]],Decor_Orders[[#All],[Cost]],,0)</f>
        <v>35000</v>
      </c>
      <c r="S94" s="10" cm="1">
        <f t="array" ref="S94">_xlfn.XLOOKUP(Event_Master[[#This Row],[Event_No]],Decor_Orders[[#All],[Event_No]],Decor_Orders[[#All],[Client_Charge]],,0)</f>
        <v>42000</v>
      </c>
      <c r="T94" s="10" t="s">
        <v>405</v>
      </c>
      <c r="U94" s="10">
        <f>SUMIFS(Logistics_Orders[[#All],[Cost]],Logistics_Orders[[#All],[Event_No]],Event_Master[[#This Row],[Event_No]])</f>
        <v>74000</v>
      </c>
      <c r="V94" s="10">
        <f>SUMIFS(Logistics_Orders[[#All],[Client_Charge]],Logistics_Orders[[#All],[Event_No]],Event_Master[[#This Row],[Event_No]])</f>
        <v>88800</v>
      </c>
      <c r="W94" s="10" t="s">
        <v>406</v>
      </c>
      <c r="X94" s="10">
        <f>SUMIFS(Food_Orders[[#All],[Cost]],Food_Orders[[#All],[Event_No]],Event_Master[[#This Row],[Event_No]])</f>
        <v>1480500</v>
      </c>
      <c r="Y94" s="10">
        <f>SUMIFS(Food_Orders[[#All],[Client_Price]],Food_Orders[[#All],[Event_No]],Event_Master[[#This Row],[Event_No]])</f>
        <v>1776600</v>
      </c>
      <c r="Z94" s="10">
        <f>Event_Master[[#This Row],[Venue_Cost]]+Event_Master[[#This Row],[Photography_Cost]]+Event_Master[[#This Row],[Entertainment_Cost]]+Event_Master[[#This Row],[Decor_Cost]]+Event_Master[[#This Row],[Logistics_Cost]]+Event_Master[[#This Row],[Food_Cost]]</f>
        <v>1849500</v>
      </c>
      <c r="AA94" s="10">
        <f>Event_Master[[#This Row],[Venue_Charge]]+Event_Master[[#This Row],[Photography_Charge]]+Event_Master[[#This Row],[Entertainment_Charge]]+Event_Master[[#This Row],[Decor_Charge]]+Event_Master[[#This Row],[Logistics_Charge]]+Event_Master[[#This Row],[Food_Charge]]</f>
        <v>2208400</v>
      </c>
      <c r="AB94" s="10">
        <v>30000</v>
      </c>
      <c r="AC94" s="10">
        <f>Event_Master[[#This Row],[Client_Budget]]+Event_Master[[#This Row],[Planner_Remuneration]]</f>
        <v>2238400</v>
      </c>
      <c r="AD94" s="10">
        <v>4</v>
      </c>
    </row>
    <row r="95" spans="1:30" x14ac:dyDescent="0.25">
      <c r="A95" s="10">
        <v>94</v>
      </c>
      <c r="B95" s="10" t="str" cm="1">
        <f t="array" ref="B95">_xlfn.XLOOKUP(Event_Master[[#This Row],[Event_Type]],Event_Catalog[[#All],[Event_Name]],Event_Catalog[[#All],[Event_ID]],,0)</f>
        <v>E038</v>
      </c>
      <c r="C95" s="10" t="s">
        <v>370</v>
      </c>
      <c r="D95" s="10" t="s">
        <v>357</v>
      </c>
      <c r="E95" s="10">
        <v>550</v>
      </c>
      <c r="F95" s="10" t="s">
        <v>404</v>
      </c>
      <c r="G95" s="11">
        <v>45914</v>
      </c>
      <c r="H95" s="10" t="s">
        <v>211</v>
      </c>
      <c r="I95" s="10" cm="1">
        <f t="array" ref="I95">_xlfn.XLOOKUP(Event_Master[[#This Row],[Event_No]],Venue_Orders[[#All],[Event_No]],Venue_Orders[[#All],[Rental_Cost]],0,0)</f>
        <v>120000</v>
      </c>
      <c r="J95" s="10" cm="1">
        <f t="array" ref="J95">_xlfn.XLOOKUP(Event_Master[[#This Row],[Event_No]],Venue_Orders[[#All],[Event_No]],Venue_Orders[[#All],[Client_Charge]],,0)</f>
        <v>138000</v>
      </c>
      <c r="K95" s="10" t="s">
        <v>237</v>
      </c>
      <c r="L95" s="10" cm="1">
        <f t="array" ref="L95">_xlfn.XLOOKUP(Event_Master[[#This Row],[Event_No]],Photography_Orders[[#All],[Event_No]],Photography_Orders[[#All],[Cost]],,0)</f>
        <v>45000</v>
      </c>
      <c r="M95" s="10" cm="1">
        <f t="array" ref="M95">_xlfn.XLOOKUP(Event_Master[[#This Row],[Event_No]],Photography_Orders[[#All],[Event_No]],Photography_Orders[[#All],[Client_Charge]],,0)</f>
        <v>53000</v>
      </c>
      <c r="N95" s="10" t="s">
        <v>143</v>
      </c>
      <c r="O95" s="10" cm="1">
        <f t="array" ref="O95">_xlfn.XLOOKUP(Event_Master[[#This Row],[Event_No]],Entertainment_Orders[[#All],[Event_No]],Entertainment_Orders[[#All],[Cost]],,0)</f>
        <v>8000</v>
      </c>
      <c r="P95" s="10" cm="1">
        <f t="array" ref="P95">_xlfn.XLOOKUP(Event_Master[[#This Row],[Event_No]],Entertainment_Orders[[#All],[Event_No]],Entertainment_Orders[[#All],[Client_Charge]],,0)</f>
        <v>9500</v>
      </c>
      <c r="Q95" s="10" t="s">
        <v>272</v>
      </c>
      <c r="R95" s="10" cm="1">
        <f t="array" ref="R95">_xlfn.XLOOKUP(Event_Master[[#This Row],[Event_No]],Decor_Orders[[#All],[Event_No]],Decor_Orders[[#All],[Cost]],,0)</f>
        <v>50000</v>
      </c>
      <c r="S95" s="10" cm="1">
        <f t="array" ref="S95">_xlfn.XLOOKUP(Event_Master[[#This Row],[Event_No]],Decor_Orders[[#All],[Event_No]],Decor_Orders[[#All],[Client_Charge]],,0)</f>
        <v>60000</v>
      </c>
      <c r="T95" s="10" t="s">
        <v>405</v>
      </c>
      <c r="U95" s="10">
        <f>SUMIFS(Logistics_Orders[[#All],[Cost]],Logistics_Orders[[#All],[Event_No]],Event_Master[[#This Row],[Event_No]])</f>
        <v>59000</v>
      </c>
      <c r="V95" s="10">
        <f>SUMIFS(Logistics_Orders[[#All],[Client_Charge]],Logistics_Orders[[#All],[Event_No]],Event_Master[[#This Row],[Event_No]])</f>
        <v>70800</v>
      </c>
      <c r="W95" s="10" t="s">
        <v>439</v>
      </c>
      <c r="X95" s="10">
        <f>SUMIFS(Food_Orders[[#All],[Cost]],Food_Orders[[#All],[Event_No]],Event_Master[[#This Row],[Event_No]])</f>
        <v>258500</v>
      </c>
      <c r="Y95" s="10">
        <f>SUMIFS(Food_Orders[[#All],[Client_Price]],Food_Orders[[#All],[Event_No]],Event_Master[[#This Row],[Event_No]])</f>
        <v>310200</v>
      </c>
      <c r="Z95" s="10">
        <f>Event_Master[[#This Row],[Venue_Cost]]+Event_Master[[#This Row],[Photography_Cost]]+Event_Master[[#This Row],[Entertainment_Cost]]+Event_Master[[#This Row],[Decor_Cost]]+Event_Master[[#This Row],[Logistics_Cost]]+Event_Master[[#This Row],[Food_Cost]]</f>
        <v>540500</v>
      </c>
      <c r="AA95" s="10">
        <f>Event_Master[[#This Row],[Venue_Charge]]+Event_Master[[#This Row],[Photography_Charge]]+Event_Master[[#This Row],[Entertainment_Charge]]+Event_Master[[#This Row],[Decor_Charge]]+Event_Master[[#This Row],[Logistics_Charge]]+Event_Master[[#This Row],[Food_Charge]]</f>
        <v>641500</v>
      </c>
      <c r="AB95" s="10">
        <v>30000</v>
      </c>
      <c r="AC95" s="10">
        <f>Event_Master[[#This Row],[Client_Budget]]+Event_Master[[#This Row],[Planner_Remuneration]]</f>
        <v>671500</v>
      </c>
      <c r="AD95" s="10">
        <v>5</v>
      </c>
    </row>
    <row r="96" spans="1:30" x14ac:dyDescent="0.25">
      <c r="A96" s="10">
        <v>95</v>
      </c>
      <c r="B96" s="10" t="str" cm="1">
        <f t="array" ref="B96">_xlfn.XLOOKUP(Event_Master[[#This Row],[Event_Type]],Event_Catalog[[#All],[Event_Name]],Event_Catalog[[#All],[Event_ID]],,0)</f>
        <v>E039</v>
      </c>
      <c r="C96" s="10" t="s">
        <v>372</v>
      </c>
      <c r="D96" s="10" t="s">
        <v>357</v>
      </c>
      <c r="E96" s="10">
        <v>2000</v>
      </c>
      <c r="F96" s="10" t="s">
        <v>404</v>
      </c>
      <c r="G96" s="11">
        <v>45884</v>
      </c>
      <c r="H96" s="10" t="s">
        <v>221</v>
      </c>
      <c r="I96" s="10" cm="1">
        <f t="array" ref="I96">_xlfn.XLOOKUP(Event_Master[[#This Row],[Event_No]],Venue_Orders[[#All],[Event_No]],Venue_Orders[[#All],[Rental_Cost]],0,0)</f>
        <v>200000</v>
      </c>
      <c r="J96" s="10" cm="1">
        <f t="array" ref="J96">_xlfn.XLOOKUP(Event_Master[[#This Row],[Event_No]],Venue_Orders[[#All],[Event_No]],Venue_Orders[[#All],[Client_Charge]],,0)</f>
        <v>230000</v>
      </c>
      <c r="K96" s="10" t="s">
        <v>237</v>
      </c>
      <c r="L96" s="10" cm="1">
        <f t="array" ref="L96">_xlfn.XLOOKUP(Event_Master[[#This Row],[Event_No]],Photography_Orders[[#All],[Event_No]],Photography_Orders[[#All],[Cost]],,0)</f>
        <v>45000</v>
      </c>
      <c r="M96" s="10" cm="1">
        <f t="array" ref="M96">_xlfn.XLOOKUP(Event_Master[[#This Row],[Event_No]],Photography_Orders[[#All],[Event_No]],Photography_Orders[[#All],[Client_Charge]],,0)</f>
        <v>53000</v>
      </c>
      <c r="N96" s="10" t="s">
        <v>143</v>
      </c>
      <c r="O96" s="10" cm="1">
        <f t="array" ref="O96">_xlfn.XLOOKUP(Event_Master[[#This Row],[Event_No]],Entertainment_Orders[[#All],[Event_No]],Entertainment_Orders[[#All],[Cost]],,0)</f>
        <v>8000</v>
      </c>
      <c r="P96" s="10" cm="1">
        <f t="array" ref="P96">_xlfn.XLOOKUP(Event_Master[[#This Row],[Event_No]],Entertainment_Orders[[#All],[Event_No]],Entertainment_Orders[[#All],[Client_Charge]],,0)</f>
        <v>9500</v>
      </c>
      <c r="Q96" s="10" t="s">
        <v>266</v>
      </c>
      <c r="R96" s="10" cm="1">
        <f t="array" ref="R96">_xlfn.XLOOKUP(Event_Master[[#This Row],[Event_No]],Decor_Orders[[#All],[Event_No]],Decor_Orders[[#All],[Cost]],,0)</f>
        <v>30000</v>
      </c>
      <c r="S96" s="10" cm="1">
        <f t="array" ref="S96">_xlfn.XLOOKUP(Event_Master[[#This Row],[Event_No]],Decor_Orders[[#All],[Event_No]],Decor_Orders[[#All],[Client_Charge]],,0)</f>
        <v>36000</v>
      </c>
      <c r="T96" s="10" t="s">
        <v>405</v>
      </c>
      <c r="U96" s="10">
        <f>SUMIFS(Logistics_Orders[[#All],[Cost]],Logistics_Orders[[#All],[Event_No]],Event_Master[[#This Row],[Event_No]])</f>
        <v>134000</v>
      </c>
      <c r="V96" s="10">
        <f>SUMIFS(Logistics_Orders[[#All],[Client_Charge]],Logistics_Orders[[#All],[Event_No]],Event_Master[[#This Row],[Event_No]])</f>
        <v>160800</v>
      </c>
      <c r="W96" s="10" t="s">
        <v>440</v>
      </c>
      <c r="X96" s="10">
        <f>SUMIFS(Food_Orders[[#All],[Cost]],Food_Orders[[#All],[Event_No]],Event_Master[[#This Row],[Event_No]])</f>
        <v>570000</v>
      </c>
      <c r="Y96" s="10">
        <f>SUMIFS(Food_Orders[[#All],[Client_Price]],Food_Orders[[#All],[Event_No]],Event_Master[[#This Row],[Event_No]])</f>
        <v>684000</v>
      </c>
      <c r="Z96" s="10">
        <f>Event_Master[[#This Row],[Venue_Cost]]+Event_Master[[#This Row],[Photography_Cost]]+Event_Master[[#This Row],[Entertainment_Cost]]+Event_Master[[#This Row],[Decor_Cost]]+Event_Master[[#This Row],[Logistics_Cost]]+Event_Master[[#This Row],[Food_Cost]]</f>
        <v>987000</v>
      </c>
      <c r="AA96" s="10">
        <f>Event_Master[[#This Row],[Venue_Charge]]+Event_Master[[#This Row],[Photography_Charge]]+Event_Master[[#This Row],[Entertainment_Charge]]+Event_Master[[#This Row],[Decor_Charge]]+Event_Master[[#This Row],[Logistics_Charge]]+Event_Master[[#This Row],[Food_Charge]]</f>
        <v>1173300</v>
      </c>
      <c r="AB96" s="10">
        <v>30000</v>
      </c>
      <c r="AC96" s="10">
        <f>Event_Master[[#This Row],[Client_Budget]]+Event_Master[[#This Row],[Planner_Remuneration]]</f>
        <v>1203300</v>
      </c>
      <c r="AD96" s="10">
        <v>4</v>
      </c>
    </row>
    <row r="97" spans="1:30" x14ac:dyDescent="0.25">
      <c r="A97" s="10">
        <v>96</v>
      </c>
      <c r="B97" s="10" t="str" cm="1">
        <f t="array" ref="B97">_xlfn.XLOOKUP(Event_Master[[#This Row],[Event_Type]],Event_Catalog[[#All],[Event_Name]],Event_Catalog[[#All],[Event_ID]],,0)</f>
        <v>E040</v>
      </c>
      <c r="C97" s="10" t="s">
        <v>374</v>
      </c>
      <c r="D97" s="10" t="s">
        <v>357</v>
      </c>
      <c r="E97" s="10">
        <v>750</v>
      </c>
      <c r="F97" s="10" t="s">
        <v>404</v>
      </c>
      <c r="G97" s="11">
        <v>45905</v>
      </c>
      <c r="H97" s="10" t="s">
        <v>215</v>
      </c>
      <c r="I97" s="10" cm="1">
        <f t="array" ref="I97">_xlfn.XLOOKUP(Event_Master[[#This Row],[Event_No]],Venue_Orders[[#All],[Event_No]],Venue_Orders[[#All],[Rental_Cost]],0,0)</f>
        <v>150000</v>
      </c>
      <c r="J97" s="10" cm="1">
        <f t="array" ref="J97">_xlfn.XLOOKUP(Event_Master[[#This Row],[Event_No]],Venue_Orders[[#All],[Event_No]],Venue_Orders[[#All],[Client_Charge]],,0)</f>
        <v>175000</v>
      </c>
      <c r="K97" s="10" t="s">
        <v>237</v>
      </c>
      <c r="L97" s="10" cm="1">
        <f t="array" ref="L97">_xlfn.XLOOKUP(Event_Master[[#This Row],[Event_No]],Photography_Orders[[#All],[Event_No]],Photography_Orders[[#All],[Cost]],,0)</f>
        <v>45000</v>
      </c>
      <c r="M97" s="10" cm="1">
        <f t="array" ref="M97">_xlfn.XLOOKUP(Event_Master[[#This Row],[Event_No]],Photography_Orders[[#All],[Event_No]],Photography_Orders[[#All],[Client_Charge]],,0)</f>
        <v>53000</v>
      </c>
      <c r="N97" s="10" t="s">
        <v>163</v>
      </c>
      <c r="O97" s="10" cm="1">
        <f t="array" ref="O97">_xlfn.XLOOKUP(Event_Master[[#This Row],[Event_No]],Entertainment_Orders[[#All],[Event_No]],Entertainment_Orders[[#All],[Cost]],,0)</f>
        <v>7000</v>
      </c>
      <c r="P97" s="10" cm="1">
        <f t="array" ref="P97">_xlfn.XLOOKUP(Event_Master[[#This Row],[Event_No]],Entertainment_Orders[[#All],[Event_No]],Entertainment_Orders[[#All],[Client_Charge]],,0)</f>
        <v>8500</v>
      </c>
      <c r="Q97" s="10" t="s">
        <v>283</v>
      </c>
      <c r="R97" s="10" cm="1">
        <f t="array" ref="R97">_xlfn.XLOOKUP(Event_Master[[#This Row],[Event_No]],Decor_Orders[[#All],[Event_No]],Decor_Orders[[#All],[Cost]],,0)</f>
        <v>35000</v>
      </c>
      <c r="S97" s="10" cm="1">
        <f t="array" ref="S97">_xlfn.XLOOKUP(Event_Master[[#This Row],[Event_No]],Decor_Orders[[#All],[Event_No]],Decor_Orders[[#All],[Client_Charge]],,0)</f>
        <v>42000</v>
      </c>
      <c r="T97" s="10" t="s">
        <v>405</v>
      </c>
      <c r="U97" s="10">
        <f>SUMIFS(Logistics_Orders[[#All],[Cost]],Logistics_Orders[[#All],[Event_No]],Event_Master[[#This Row],[Event_No]])</f>
        <v>74000</v>
      </c>
      <c r="V97" s="10">
        <f>SUMIFS(Logistics_Orders[[#All],[Client_Charge]],Logistics_Orders[[#All],[Event_No]],Event_Master[[#This Row],[Event_No]])</f>
        <v>88800</v>
      </c>
      <c r="W97" s="10" t="s">
        <v>441</v>
      </c>
      <c r="X97" s="10">
        <f>SUMIFS(Food_Orders[[#All],[Cost]],Food_Orders[[#All],[Event_No]],Event_Master[[#This Row],[Event_No]])</f>
        <v>296250</v>
      </c>
      <c r="Y97" s="10">
        <f>SUMIFS(Food_Orders[[#All],[Client_Price]],Food_Orders[[#All],[Event_No]],Event_Master[[#This Row],[Event_No]])</f>
        <v>355500</v>
      </c>
      <c r="Z97" s="10">
        <f>Event_Master[[#This Row],[Venue_Cost]]+Event_Master[[#This Row],[Photography_Cost]]+Event_Master[[#This Row],[Entertainment_Cost]]+Event_Master[[#This Row],[Decor_Cost]]+Event_Master[[#This Row],[Logistics_Cost]]+Event_Master[[#This Row],[Food_Cost]]</f>
        <v>607250</v>
      </c>
      <c r="AA97" s="10">
        <f>Event_Master[[#This Row],[Venue_Charge]]+Event_Master[[#This Row],[Photography_Charge]]+Event_Master[[#This Row],[Entertainment_Charge]]+Event_Master[[#This Row],[Decor_Charge]]+Event_Master[[#This Row],[Logistics_Charge]]+Event_Master[[#This Row],[Food_Charge]]</f>
        <v>722800</v>
      </c>
      <c r="AB97" s="10">
        <v>30000</v>
      </c>
      <c r="AC97" s="10">
        <f>Event_Master[[#This Row],[Client_Budget]]+Event_Master[[#This Row],[Planner_Remuneration]]</f>
        <v>752800</v>
      </c>
      <c r="AD97" s="10">
        <v>3</v>
      </c>
    </row>
    <row r="98" spans="1:30" x14ac:dyDescent="0.25">
      <c r="A98" s="10">
        <v>97</v>
      </c>
      <c r="B98" s="10" t="str" cm="1">
        <f t="array" ref="B98">_xlfn.XLOOKUP(Event_Master[[#This Row],[Event_Type]],Event_Catalog[[#All],[Event_Name]],Event_Catalog[[#All],[Event_ID]],,0)</f>
        <v>E041</v>
      </c>
      <c r="C98" s="10" t="s">
        <v>376</v>
      </c>
      <c r="D98" s="10" t="s">
        <v>357</v>
      </c>
      <c r="E98" s="10">
        <v>400</v>
      </c>
      <c r="F98" s="10" t="s">
        <v>407</v>
      </c>
      <c r="G98" s="11">
        <v>45932</v>
      </c>
      <c r="H98" s="10" t="s">
        <v>215</v>
      </c>
      <c r="I98" s="10" cm="1">
        <f t="array" ref="I98">_xlfn.XLOOKUP(Event_Master[[#This Row],[Event_No]],Venue_Orders[[#All],[Event_No]],Venue_Orders[[#All],[Rental_Cost]],0,0)</f>
        <v>150000</v>
      </c>
      <c r="J98" s="10" cm="1">
        <f t="array" ref="J98">_xlfn.XLOOKUP(Event_Master[[#This Row],[Event_No]],Venue_Orders[[#All],[Event_No]],Venue_Orders[[#All],[Client_Charge]],,0)</f>
        <v>175000</v>
      </c>
      <c r="K98" s="10" t="s">
        <v>247</v>
      </c>
      <c r="L98" s="10" cm="1">
        <f t="array" ref="L98">_xlfn.XLOOKUP(Event_Master[[#This Row],[Event_No]],Photography_Orders[[#All],[Event_No]],Photography_Orders[[#All],[Cost]],,0)</f>
        <v>10000</v>
      </c>
      <c r="M98" s="10" cm="1">
        <f t="array" ref="M98">_xlfn.XLOOKUP(Event_Master[[#This Row],[Event_No]],Photography_Orders[[#All],[Event_No]],Photography_Orders[[#All],[Client_Charge]],,0)</f>
        <v>12000</v>
      </c>
      <c r="N98" s="10" t="s">
        <v>163</v>
      </c>
      <c r="O98" s="10" cm="1">
        <f t="array" ref="O98">_xlfn.XLOOKUP(Event_Master[[#This Row],[Event_No]],Entertainment_Orders[[#All],[Event_No]],Entertainment_Orders[[#All],[Cost]],,0)</f>
        <v>7000</v>
      </c>
      <c r="P98" s="10" cm="1">
        <f t="array" ref="P98">_xlfn.XLOOKUP(Event_Master[[#This Row],[Event_No]],Entertainment_Orders[[#All],[Event_No]],Entertainment_Orders[[#All],[Client_Charge]],,0)</f>
        <v>8500</v>
      </c>
      <c r="Q98" s="10" t="s">
        <v>283</v>
      </c>
      <c r="R98" s="10" cm="1">
        <f t="array" ref="R98">_xlfn.XLOOKUP(Event_Master[[#This Row],[Event_No]],Decor_Orders[[#All],[Event_No]],Decor_Orders[[#All],[Cost]],,0)</f>
        <v>35000</v>
      </c>
      <c r="S98" s="10" cm="1">
        <f t="array" ref="S98">_xlfn.XLOOKUP(Event_Master[[#This Row],[Event_No]],Decor_Orders[[#All],[Event_No]],Decor_Orders[[#All],[Client_Charge]],,0)</f>
        <v>42000</v>
      </c>
      <c r="T98" s="10" t="s">
        <v>405</v>
      </c>
      <c r="U98" s="10">
        <f>SUMIFS(Logistics_Orders[[#All],[Cost]],Logistics_Orders[[#All],[Event_No]],Event_Master[[#This Row],[Event_No]])</f>
        <v>59000</v>
      </c>
      <c r="V98" s="10">
        <f>SUMIFS(Logistics_Orders[[#All],[Client_Charge]],Logistics_Orders[[#All],[Event_No]],Event_Master[[#This Row],[Event_No]])</f>
        <v>70800</v>
      </c>
      <c r="W98" s="10" t="s">
        <v>435</v>
      </c>
      <c r="X98" s="10">
        <f>SUMIFS(Food_Orders[[#All],[Cost]],Food_Orders[[#All],[Event_No]],Event_Master[[#This Row],[Event_No]])</f>
        <v>108000</v>
      </c>
      <c r="Y98" s="10">
        <f>SUMIFS(Food_Orders[[#All],[Client_Price]],Food_Orders[[#All],[Event_No]],Event_Master[[#This Row],[Event_No]])</f>
        <v>129600</v>
      </c>
      <c r="Z98" s="10">
        <f>Event_Master[[#This Row],[Venue_Cost]]+Event_Master[[#This Row],[Photography_Cost]]+Event_Master[[#This Row],[Entertainment_Cost]]+Event_Master[[#This Row],[Decor_Cost]]+Event_Master[[#This Row],[Logistics_Cost]]+Event_Master[[#This Row],[Food_Cost]]</f>
        <v>369000</v>
      </c>
      <c r="AA98" s="10">
        <f>Event_Master[[#This Row],[Venue_Charge]]+Event_Master[[#This Row],[Photography_Charge]]+Event_Master[[#This Row],[Entertainment_Charge]]+Event_Master[[#This Row],[Decor_Charge]]+Event_Master[[#This Row],[Logistics_Charge]]+Event_Master[[#This Row],[Food_Charge]]</f>
        <v>437900</v>
      </c>
      <c r="AB98" s="10">
        <v>12000</v>
      </c>
      <c r="AC98" s="10">
        <f>Event_Master[[#This Row],[Client_Budget]]+Event_Master[[#This Row],[Planner_Remuneration]]</f>
        <v>449900</v>
      </c>
      <c r="AD98" s="10">
        <v>5</v>
      </c>
    </row>
    <row r="99" spans="1:30" x14ac:dyDescent="0.25">
      <c r="A99" s="10">
        <v>98</v>
      </c>
      <c r="B99" s="10" t="str" cm="1">
        <f t="array" ref="B99">_xlfn.XLOOKUP(Event_Master[[#This Row],[Event_Type]],Event_Catalog[[#All],[Event_Name]],Event_Catalog[[#All],[Event_ID]],,0)</f>
        <v>E001</v>
      </c>
      <c r="C99" s="10" t="s">
        <v>293</v>
      </c>
      <c r="D99" s="10" t="s">
        <v>292</v>
      </c>
      <c r="E99" s="10">
        <v>750</v>
      </c>
      <c r="F99" s="10" t="s">
        <v>404</v>
      </c>
      <c r="G99" s="11">
        <v>45777</v>
      </c>
      <c r="H99" s="10" t="s">
        <v>215</v>
      </c>
      <c r="I99" s="10" cm="1">
        <f t="array" ref="I99">_xlfn.XLOOKUP(Event_Master[[#This Row],[Event_No]],Venue_Orders[[#All],[Event_No]],Venue_Orders[[#All],[Rental_Cost]],0,0)</f>
        <v>150000</v>
      </c>
      <c r="J99" s="10" cm="1">
        <f t="array" ref="J99">_xlfn.XLOOKUP(Event_Master[[#This Row],[Event_No]],Venue_Orders[[#All],[Event_No]],Venue_Orders[[#All],[Client_Charge]],,0)</f>
        <v>175000</v>
      </c>
      <c r="K99" s="10" t="s">
        <v>247</v>
      </c>
      <c r="L99" s="10" cm="1">
        <f t="array" ref="L99">_xlfn.XLOOKUP(Event_Master[[#This Row],[Event_No]],Photography_Orders[[#All],[Event_No]],Photography_Orders[[#All],[Cost]],,0)</f>
        <v>10000</v>
      </c>
      <c r="M99" s="10" cm="1">
        <f t="array" ref="M99">_xlfn.XLOOKUP(Event_Master[[#This Row],[Event_No]],Photography_Orders[[#All],[Event_No]],Photography_Orders[[#All],[Client_Charge]],,0)</f>
        <v>12000</v>
      </c>
      <c r="N99" s="10" t="s">
        <v>153</v>
      </c>
      <c r="O99" s="10" cm="1">
        <f t="array" ref="O99">_xlfn.XLOOKUP(Event_Master[[#This Row],[Event_No]],Entertainment_Orders[[#All],[Event_No]],Entertainment_Orders[[#All],[Cost]],,0)</f>
        <v>15000</v>
      </c>
      <c r="P99" s="10" cm="1">
        <f t="array" ref="P99">_xlfn.XLOOKUP(Event_Master[[#This Row],[Event_No]],Entertainment_Orders[[#All],[Event_No]],Entertainment_Orders[[#All],[Client_Charge]],,0)</f>
        <v>18000</v>
      </c>
      <c r="Q99" s="10" t="s">
        <v>260</v>
      </c>
      <c r="R99" s="10" cm="1">
        <f t="array" ref="R99">_xlfn.XLOOKUP(Event_Master[[#This Row],[Event_No]],Decor_Orders[[#All],[Event_No]],Decor_Orders[[#All],[Cost]],,0)</f>
        <v>25000</v>
      </c>
      <c r="S99" s="10" cm="1">
        <f t="array" ref="S99">_xlfn.XLOOKUP(Event_Master[[#This Row],[Event_No]],Decor_Orders[[#All],[Event_No]],Decor_Orders[[#All],[Client_Charge]],,0)</f>
        <v>30000</v>
      </c>
      <c r="T99" s="10" t="s">
        <v>405</v>
      </c>
      <c r="U99" s="10">
        <f>SUMIFS(Logistics_Orders[[#All],[Cost]],Logistics_Orders[[#All],[Event_No]],Event_Master[[#This Row],[Event_No]])</f>
        <v>74000</v>
      </c>
      <c r="V99" s="10">
        <f>SUMIFS(Logistics_Orders[[#All],[Client_Charge]],Logistics_Orders[[#All],[Event_No]],Event_Master[[#This Row],[Event_No]])</f>
        <v>88800</v>
      </c>
      <c r="W99" s="10" t="s">
        <v>406</v>
      </c>
      <c r="X99" s="10">
        <f>SUMIFS(Food_Orders[[#All],[Cost]],Food_Orders[[#All],[Event_No]],Event_Master[[#This Row],[Event_No]])</f>
        <v>1233750</v>
      </c>
      <c r="Y99" s="10">
        <f>SUMIFS(Food_Orders[[#All],[Client_Price]],Food_Orders[[#All],[Event_No]],Event_Master[[#This Row],[Event_No]])</f>
        <v>1480500</v>
      </c>
      <c r="Z99" s="10">
        <f>Event_Master[[#This Row],[Venue_Cost]]+Event_Master[[#This Row],[Photography_Cost]]+Event_Master[[#This Row],[Entertainment_Cost]]+Event_Master[[#This Row],[Decor_Cost]]+Event_Master[[#This Row],[Logistics_Cost]]+Event_Master[[#This Row],[Food_Cost]]</f>
        <v>1507750</v>
      </c>
      <c r="AA99" s="10">
        <f>Event_Master[[#This Row],[Venue_Charge]]+Event_Master[[#This Row],[Photography_Charge]]+Event_Master[[#This Row],[Entertainment_Charge]]+Event_Master[[#This Row],[Decor_Charge]]+Event_Master[[#This Row],[Logistics_Charge]]+Event_Master[[#This Row],[Food_Charge]]</f>
        <v>1804300</v>
      </c>
      <c r="AB99" s="10">
        <v>30000</v>
      </c>
      <c r="AC99" s="10">
        <f>Event_Master[[#This Row],[Client_Budget]]+Event_Master[[#This Row],[Planner_Remuneration]]</f>
        <v>1834300</v>
      </c>
      <c r="AD99" s="10">
        <v>4</v>
      </c>
    </row>
    <row r="100" spans="1:30" x14ac:dyDescent="0.25">
      <c r="A100" s="10">
        <v>99</v>
      </c>
      <c r="B100" s="10" t="str" cm="1">
        <f t="array" ref="B100">_xlfn.XLOOKUP(Event_Master[[#This Row],[Event_Type]],Event_Catalog[[#All],[Event_Name]],Event_Catalog[[#All],[Event_ID]],,0)</f>
        <v>E042</v>
      </c>
      <c r="C100" s="10" t="s">
        <v>379</v>
      </c>
      <c r="D100" s="10" t="s">
        <v>378</v>
      </c>
      <c r="E100" s="10">
        <v>60</v>
      </c>
      <c r="F100" s="10" t="s">
        <v>409</v>
      </c>
      <c r="G100" s="11">
        <v>45661</v>
      </c>
      <c r="H100" s="10" t="s">
        <v>223</v>
      </c>
      <c r="I100" s="10" cm="1">
        <f t="array" ref="I100">_xlfn.XLOOKUP(Event_Master[[#This Row],[Event_No]],Venue_Orders[[#All],[Event_No]],Venue_Orders[[#All],[Rental_Cost]],0,0)</f>
        <v>0</v>
      </c>
      <c r="J100" s="10" cm="1">
        <f t="array" ref="J100">_xlfn.XLOOKUP(Event_Master[[#This Row],[Event_No]],Venue_Orders[[#All],[Event_No]],Venue_Orders[[#All],[Client_Charge]],,0)</f>
        <v>0</v>
      </c>
      <c r="K100" s="10" t="s">
        <v>252</v>
      </c>
      <c r="L100" s="10" cm="1">
        <f t="array" ref="L100">_xlfn.XLOOKUP(Event_Master[[#This Row],[Event_No]],Photography_Orders[[#All],[Event_No]],Photography_Orders[[#All],[Cost]],,0)</f>
        <v>25000</v>
      </c>
      <c r="M100" s="10" cm="1">
        <f t="array" ref="M100">_xlfn.XLOOKUP(Event_Master[[#This Row],[Event_No]],Photography_Orders[[#All],[Event_No]],Photography_Orders[[#All],[Client_Charge]],,0)</f>
        <v>30000</v>
      </c>
      <c r="N100" s="10" t="s">
        <v>153</v>
      </c>
      <c r="O100" s="10" cm="1">
        <f t="array" ref="O100">_xlfn.XLOOKUP(Event_Master[[#This Row],[Event_No]],Entertainment_Orders[[#All],[Event_No]],Entertainment_Orders[[#All],[Cost]],,0)</f>
        <v>15000</v>
      </c>
      <c r="P100" s="10" cm="1">
        <f t="array" ref="P100">_xlfn.XLOOKUP(Event_Master[[#This Row],[Event_No]],Entertainment_Orders[[#All],[Event_No]],Entertainment_Orders[[#All],[Client_Charge]],,0)</f>
        <v>18000</v>
      </c>
      <c r="Q100" s="10" t="s">
        <v>283</v>
      </c>
      <c r="R100" s="10" cm="1">
        <f t="array" ref="R100">_xlfn.XLOOKUP(Event_Master[[#This Row],[Event_No]],Decor_Orders[[#All],[Event_No]],Decor_Orders[[#All],[Cost]],,0)</f>
        <v>35000</v>
      </c>
      <c r="S100" s="10" cm="1">
        <f t="array" ref="S100">_xlfn.XLOOKUP(Event_Master[[#This Row],[Event_No]],Decor_Orders[[#All],[Event_No]],Decor_Orders[[#All],[Client_Charge]],,0)</f>
        <v>42000</v>
      </c>
      <c r="T100" s="10" t="s">
        <v>405</v>
      </c>
      <c r="U100" s="10">
        <f>SUMIFS(Logistics_Orders[[#All],[Cost]],Logistics_Orders[[#All],[Event_No]],Event_Master[[#This Row],[Event_No]])</f>
        <v>44000</v>
      </c>
      <c r="V100" s="10">
        <f>SUMIFS(Logistics_Orders[[#All],[Client_Charge]],Logistics_Orders[[#All],[Event_No]],Event_Master[[#This Row],[Event_No]])</f>
        <v>52800</v>
      </c>
      <c r="W100" s="10" t="s">
        <v>442</v>
      </c>
      <c r="X100" s="10">
        <f>SUMIFS(Food_Orders[[#All],[Cost]],Food_Orders[[#All],[Event_No]],Event_Master[[#This Row],[Event_No]])</f>
        <v>57000</v>
      </c>
      <c r="Y100" s="10">
        <f>SUMIFS(Food_Orders[[#All],[Client_Price]],Food_Orders[[#All],[Event_No]],Event_Master[[#This Row],[Event_No]])</f>
        <v>68400</v>
      </c>
      <c r="Z100" s="10">
        <f>Event_Master[[#This Row],[Venue_Cost]]+Event_Master[[#This Row],[Photography_Cost]]+Event_Master[[#This Row],[Entertainment_Cost]]+Event_Master[[#This Row],[Decor_Cost]]+Event_Master[[#This Row],[Logistics_Cost]]+Event_Master[[#This Row],[Food_Cost]]</f>
        <v>176000</v>
      </c>
      <c r="AA100" s="10">
        <f>Event_Master[[#This Row],[Venue_Charge]]+Event_Master[[#This Row],[Photography_Charge]]+Event_Master[[#This Row],[Entertainment_Charge]]+Event_Master[[#This Row],[Decor_Charge]]+Event_Master[[#This Row],[Logistics_Charge]]+Event_Master[[#This Row],[Food_Charge]]</f>
        <v>211200</v>
      </c>
      <c r="AB100" s="10">
        <v>5000</v>
      </c>
      <c r="AC100" s="10">
        <f>Event_Master[[#This Row],[Client_Budget]]+Event_Master[[#This Row],[Planner_Remuneration]]</f>
        <v>216200</v>
      </c>
      <c r="AD100" s="10">
        <v>3</v>
      </c>
    </row>
    <row r="101" spans="1:30" x14ac:dyDescent="0.25">
      <c r="A101" s="10">
        <v>100</v>
      </c>
      <c r="B101" s="10" t="str" cm="1">
        <f t="array" ref="B101">_xlfn.XLOOKUP(Event_Master[[#This Row],[Event_Type]],Event_Catalog[[#All],[Event_Name]],Event_Catalog[[#All],[Event_ID]],,0)</f>
        <v>E043</v>
      </c>
      <c r="C101" s="10" t="s">
        <v>381</v>
      </c>
      <c r="D101" s="10" t="s">
        <v>378</v>
      </c>
      <c r="E101" s="10">
        <v>40</v>
      </c>
      <c r="F101" s="10" t="s">
        <v>409</v>
      </c>
      <c r="G101" s="11">
        <v>45702</v>
      </c>
      <c r="H101" s="10" t="s">
        <v>223</v>
      </c>
      <c r="I101" s="10" cm="1">
        <f t="array" ref="I101">_xlfn.XLOOKUP(Event_Master[[#This Row],[Event_No]],Venue_Orders[[#All],[Event_No]],Venue_Orders[[#All],[Rental_Cost]],0,0)</f>
        <v>0</v>
      </c>
      <c r="J101" s="10" cm="1">
        <f t="array" ref="J101">_xlfn.XLOOKUP(Event_Master[[#This Row],[Event_No]],Venue_Orders[[#All],[Event_No]],Venue_Orders[[#All],[Client_Charge]],,0)</f>
        <v>0</v>
      </c>
      <c r="K101" s="10" t="s">
        <v>252</v>
      </c>
      <c r="L101" s="10" cm="1">
        <f t="array" ref="L101">_xlfn.XLOOKUP(Event_Master[[#This Row],[Event_No]],Photography_Orders[[#All],[Event_No]],Photography_Orders[[#All],[Cost]],,0)</f>
        <v>25000</v>
      </c>
      <c r="M101" s="10" cm="1">
        <f t="array" ref="M101">_xlfn.XLOOKUP(Event_Master[[#This Row],[Event_No]],Photography_Orders[[#All],[Event_No]],Photography_Orders[[#All],[Client_Charge]],,0)</f>
        <v>30000</v>
      </c>
      <c r="N101" s="10" t="s">
        <v>167</v>
      </c>
      <c r="O101" s="10" cm="1">
        <f t="array" ref="O101">_xlfn.XLOOKUP(Event_Master[[#This Row],[Event_No]],Entertainment_Orders[[#All],[Event_No]],Entertainment_Orders[[#All],[Cost]],,0)</f>
        <v>0</v>
      </c>
      <c r="P101" s="10" cm="1">
        <f t="array" ref="P101">_xlfn.XLOOKUP(Event_Master[[#This Row],[Event_No]],Entertainment_Orders[[#All],[Event_No]],Entertainment_Orders[[#All],[Client_Charge]],,0)</f>
        <v>0</v>
      </c>
      <c r="Q101" s="10" t="s">
        <v>283</v>
      </c>
      <c r="R101" s="10" cm="1">
        <f t="array" ref="R101">_xlfn.XLOOKUP(Event_Master[[#This Row],[Event_No]],Decor_Orders[[#All],[Event_No]],Decor_Orders[[#All],[Cost]],,0)</f>
        <v>35000</v>
      </c>
      <c r="S101" s="10" cm="1">
        <f t="array" ref="S101">_xlfn.XLOOKUP(Event_Master[[#This Row],[Event_No]],Decor_Orders[[#All],[Event_No]],Decor_Orders[[#All],[Client_Charge]],,0)</f>
        <v>42000</v>
      </c>
      <c r="T101" s="10" t="s">
        <v>450</v>
      </c>
      <c r="U101" s="10">
        <f>SUMIFS(Logistics_Orders[[#All],[Cost]],Logistics_Orders[[#All],[Event_No]],Event_Master[[#This Row],[Event_No]])</f>
        <v>29000</v>
      </c>
      <c r="V101" s="10">
        <f>SUMIFS(Logistics_Orders[[#All],[Client_Charge]],Logistics_Orders[[#All],[Event_No]],Event_Master[[#This Row],[Event_No]])</f>
        <v>34700</v>
      </c>
      <c r="W101" s="10" t="s">
        <v>443</v>
      </c>
      <c r="X101" s="10">
        <f>SUMIFS(Food_Orders[[#All],[Cost]],Food_Orders[[#All],[Event_No]],Event_Master[[#This Row],[Event_No]])</f>
        <v>16400</v>
      </c>
      <c r="Y101" s="10">
        <f>SUMIFS(Food_Orders[[#All],[Client_Price]],Food_Orders[[#All],[Event_No]],Event_Master[[#This Row],[Event_No]])</f>
        <v>19680</v>
      </c>
      <c r="Z101" s="10">
        <f>Event_Master[[#This Row],[Venue_Cost]]+Event_Master[[#This Row],[Photography_Cost]]+Event_Master[[#This Row],[Entertainment_Cost]]+Event_Master[[#This Row],[Decor_Cost]]+Event_Master[[#This Row],[Logistics_Cost]]+Event_Master[[#This Row],[Food_Cost]]</f>
        <v>105400</v>
      </c>
      <c r="AA101" s="10">
        <f>Event_Master[[#This Row],[Venue_Charge]]+Event_Master[[#This Row],[Photography_Charge]]+Event_Master[[#This Row],[Entertainment_Charge]]+Event_Master[[#This Row],[Decor_Charge]]+Event_Master[[#This Row],[Logistics_Charge]]+Event_Master[[#This Row],[Food_Charge]]</f>
        <v>126380</v>
      </c>
      <c r="AB101" s="10">
        <v>5000</v>
      </c>
      <c r="AC101" s="10">
        <f>Event_Master[[#This Row],[Client_Budget]]+Event_Master[[#This Row],[Planner_Remuneration]]</f>
        <v>131380</v>
      </c>
      <c r="AD101" s="10">
        <v>5</v>
      </c>
    </row>
    <row r="102" spans="1:30" x14ac:dyDescent="0.25">
      <c r="A102" s="10">
        <v>101</v>
      </c>
      <c r="B102" s="10" t="str" cm="1">
        <f t="array" ref="B102">_xlfn.XLOOKUP(Event_Master[[#This Row],[Event_Type]],Event_Catalog[[#All],[Event_Name]],Event_Catalog[[#All],[Event_ID]],,0)</f>
        <v>E044</v>
      </c>
      <c r="C102" s="10" t="s">
        <v>383</v>
      </c>
      <c r="D102" s="10" t="s">
        <v>378</v>
      </c>
      <c r="E102" s="10">
        <v>150</v>
      </c>
      <c r="F102" s="10" t="s">
        <v>409</v>
      </c>
      <c r="G102" s="11">
        <v>45780</v>
      </c>
      <c r="H102" s="10" t="s">
        <v>211</v>
      </c>
      <c r="I102" s="10" cm="1">
        <f t="array" ref="I102">_xlfn.XLOOKUP(Event_Master[[#This Row],[Event_No]],Venue_Orders[[#All],[Event_No]],Venue_Orders[[#All],[Rental_Cost]],0,0)</f>
        <v>120000</v>
      </c>
      <c r="J102" s="10" cm="1">
        <f t="array" ref="J102">_xlfn.XLOOKUP(Event_Master[[#This Row],[Event_No]],Venue_Orders[[#All],[Event_No]],Venue_Orders[[#All],[Client_Charge]],,0)</f>
        <v>138000</v>
      </c>
      <c r="K102" s="10" t="s">
        <v>237</v>
      </c>
      <c r="L102" s="10" cm="1">
        <f t="array" ref="L102">_xlfn.XLOOKUP(Event_Master[[#This Row],[Event_No]],Photography_Orders[[#All],[Event_No]],Photography_Orders[[#All],[Cost]],,0)</f>
        <v>45000</v>
      </c>
      <c r="M102" s="10" cm="1">
        <f t="array" ref="M102">_xlfn.XLOOKUP(Event_Master[[#This Row],[Event_No]],Photography_Orders[[#All],[Event_No]],Photography_Orders[[#All],[Client_Charge]],,0)</f>
        <v>53000</v>
      </c>
      <c r="N102" s="10" t="s">
        <v>169</v>
      </c>
      <c r="O102" s="10" cm="1">
        <f t="array" ref="O102">_xlfn.XLOOKUP(Event_Master[[#This Row],[Event_No]],Entertainment_Orders[[#All],[Event_No]],Entertainment_Orders[[#All],[Cost]],,0)</f>
        <v>0</v>
      </c>
      <c r="P102" s="10" cm="1">
        <f t="array" ref="P102">_xlfn.XLOOKUP(Event_Master[[#This Row],[Event_No]],Entertainment_Orders[[#All],[Event_No]],Entertainment_Orders[[#All],[Client_Charge]],,0)</f>
        <v>0</v>
      </c>
      <c r="Q102" s="10" t="s">
        <v>278</v>
      </c>
      <c r="R102" s="10" cm="1">
        <f t="array" ref="R102">_xlfn.XLOOKUP(Event_Master[[#This Row],[Event_No]],Decor_Orders[[#All],[Event_No]],Decor_Orders[[#All],[Cost]],,0)</f>
        <v>20000</v>
      </c>
      <c r="S102" s="10" cm="1">
        <f t="array" ref="S102">_xlfn.XLOOKUP(Event_Master[[#This Row],[Event_No]],Decor_Orders[[#All],[Event_No]],Decor_Orders[[#All],[Client_Charge]],,0)</f>
        <v>24000</v>
      </c>
      <c r="T102" s="10" t="s">
        <v>405</v>
      </c>
      <c r="U102" s="10">
        <f>SUMIFS(Logistics_Orders[[#All],[Cost]],Logistics_Orders[[#All],[Event_No]],Event_Master[[#This Row],[Event_No]])</f>
        <v>44000</v>
      </c>
      <c r="V102" s="10">
        <f>SUMIFS(Logistics_Orders[[#All],[Client_Charge]],Logistics_Orders[[#All],[Event_No]],Event_Master[[#This Row],[Event_No]])</f>
        <v>52800</v>
      </c>
      <c r="W102" s="10" t="s">
        <v>445</v>
      </c>
      <c r="X102" s="10">
        <f>SUMIFS(Food_Orders[[#All],[Cost]],Food_Orders[[#All],[Event_No]],Event_Master[[#This Row],[Event_No]])</f>
        <v>49500</v>
      </c>
      <c r="Y102" s="10">
        <f>SUMIFS(Food_Orders[[#All],[Client_Price]],Food_Orders[[#All],[Event_No]],Event_Master[[#This Row],[Event_No]])</f>
        <v>59400</v>
      </c>
      <c r="Z102" s="10">
        <f>Event_Master[[#This Row],[Venue_Cost]]+Event_Master[[#This Row],[Photography_Cost]]+Event_Master[[#This Row],[Entertainment_Cost]]+Event_Master[[#This Row],[Decor_Cost]]+Event_Master[[#This Row],[Logistics_Cost]]+Event_Master[[#This Row],[Food_Cost]]</f>
        <v>278500</v>
      </c>
      <c r="AA102" s="10">
        <f>Event_Master[[#This Row],[Venue_Charge]]+Event_Master[[#This Row],[Photography_Charge]]+Event_Master[[#This Row],[Entertainment_Charge]]+Event_Master[[#This Row],[Decor_Charge]]+Event_Master[[#This Row],[Logistics_Charge]]+Event_Master[[#This Row],[Food_Charge]]</f>
        <v>327200</v>
      </c>
      <c r="AB102" s="10">
        <v>5000</v>
      </c>
      <c r="AC102" s="10">
        <f>Event_Master[[#This Row],[Client_Budget]]+Event_Master[[#This Row],[Planner_Remuneration]]</f>
        <v>332200</v>
      </c>
      <c r="AD102" s="10">
        <v>4</v>
      </c>
    </row>
    <row r="103" spans="1:30" x14ac:dyDescent="0.25">
      <c r="A103" s="10">
        <v>102</v>
      </c>
      <c r="B103" s="10" t="str" cm="1">
        <f t="array" ref="B103">_xlfn.XLOOKUP(Event_Master[[#This Row],[Event_Type]],Event_Catalog[[#All],[Event_Name]],Event_Catalog[[#All],[Event_ID]],,0)</f>
        <v>E001</v>
      </c>
      <c r="C103" s="10" t="s">
        <v>293</v>
      </c>
      <c r="D103" s="10" t="s">
        <v>292</v>
      </c>
      <c r="E103" s="10">
        <v>980</v>
      </c>
      <c r="F103" s="10" t="s">
        <v>404</v>
      </c>
      <c r="G103" s="11">
        <v>45778</v>
      </c>
      <c r="H103" s="10" t="s">
        <v>207</v>
      </c>
      <c r="I103" s="10" cm="1">
        <f t="array" ref="I103">_xlfn.XLOOKUP(Event_Master[[#This Row],[Event_No]],Venue_Orders[[#All],[Event_No]],Venue_Orders[[#All],[Rental_Cost]],0,0)</f>
        <v>60000</v>
      </c>
      <c r="J103" s="10" cm="1">
        <f t="array" ref="J103">_xlfn.XLOOKUP(Event_Master[[#This Row],[Event_No]],Venue_Orders[[#All],[Event_No]],Venue_Orders[[#All],[Client_Charge]],,0)</f>
        <v>70000</v>
      </c>
      <c r="K103" s="10" t="s">
        <v>237</v>
      </c>
      <c r="L103" s="10" cm="1">
        <f t="array" ref="L103">_xlfn.XLOOKUP(Event_Master[[#This Row],[Event_No]],Photography_Orders[[#All],[Event_No]],Photography_Orders[[#All],[Cost]],,0)</f>
        <v>45000</v>
      </c>
      <c r="M103" s="10" cm="1">
        <f t="array" ref="M103">_xlfn.XLOOKUP(Event_Master[[#This Row],[Event_No]],Photography_Orders[[#All],[Event_No]],Photography_Orders[[#All],[Client_Charge]],,0)</f>
        <v>53000</v>
      </c>
      <c r="N103" s="10" t="s">
        <v>153</v>
      </c>
      <c r="O103" s="10" cm="1">
        <f t="array" ref="O103">_xlfn.XLOOKUP(Event_Master[[#This Row],[Event_No]],Entertainment_Orders[[#All],[Event_No]],Entertainment_Orders[[#All],[Cost]],,0)</f>
        <v>15000</v>
      </c>
      <c r="P103" s="10" cm="1">
        <f t="array" ref="P103">_xlfn.XLOOKUP(Event_Master[[#This Row],[Event_No]],Entertainment_Orders[[#All],[Event_No]],Entertainment_Orders[[#All],[Client_Charge]],,0)</f>
        <v>18000</v>
      </c>
      <c r="Q103" s="10" t="s">
        <v>260</v>
      </c>
      <c r="R103" s="10" cm="1">
        <f t="array" ref="R103">_xlfn.XLOOKUP(Event_Master[[#This Row],[Event_No]],Decor_Orders[[#All],[Event_No]],Decor_Orders[[#All],[Cost]],,0)</f>
        <v>25000</v>
      </c>
      <c r="S103" s="10" cm="1">
        <f t="array" ref="S103">_xlfn.XLOOKUP(Event_Master[[#This Row],[Event_No]],Decor_Orders[[#All],[Event_No]],Decor_Orders[[#All],[Client_Charge]],,0)</f>
        <v>30000</v>
      </c>
      <c r="T103" s="10" t="s">
        <v>405</v>
      </c>
      <c r="U103" s="10">
        <f>SUMIFS(Logistics_Orders[[#All],[Cost]],Logistics_Orders[[#All],[Event_No]],Event_Master[[#This Row],[Event_No]])</f>
        <v>89000</v>
      </c>
      <c r="V103" s="10">
        <f>SUMIFS(Logistics_Orders[[#All],[Client_Charge]],Logistics_Orders[[#All],[Event_No]],Event_Master[[#This Row],[Event_No]])</f>
        <v>106800</v>
      </c>
      <c r="W103" s="10" t="s">
        <v>406</v>
      </c>
      <c r="X103" s="10">
        <f>SUMIFS(Food_Orders[[#All],[Cost]],Food_Orders[[#All],[Event_No]],Event_Master[[#This Row],[Event_No]])</f>
        <v>1612100</v>
      </c>
      <c r="Y103" s="10">
        <f>SUMIFS(Food_Orders[[#All],[Client_Price]],Food_Orders[[#All],[Event_No]],Event_Master[[#This Row],[Event_No]])</f>
        <v>1934520</v>
      </c>
      <c r="Z103" s="10">
        <f>Event_Master[[#This Row],[Venue_Cost]]+Event_Master[[#This Row],[Photography_Cost]]+Event_Master[[#This Row],[Entertainment_Cost]]+Event_Master[[#This Row],[Decor_Cost]]+Event_Master[[#This Row],[Logistics_Cost]]+Event_Master[[#This Row],[Food_Cost]]</f>
        <v>1846100</v>
      </c>
      <c r="AA103" s="10">
        <f>Event_Master[[#This Row],[Venue_Charge]]+Event_Master[[#This Row],[Photography_Charge]]+Event_Master[[#This Row],[Entertainment_Charge]]+Event_Master[[#This Row],[Decor_Charge]]+Event_Master[[#This Row],[Logistics_Charge]]+Event_Master[[#This Row],[Food_Charge]]</f>
        <v>2212320</v>
      </c>
      <c r="AB103" s="10">
        <v>30000</v>
      </c>
      <c r="AC103" s="10">
        <f>Event_Master[[#This Row],[Client_Budget]]+Event_Master[[#This Row],[Planner_Remuneration]]</f>
        <v>2242320</v>
      </c>
      <c r="AD103" s="10">
        <v>4.2</v>
      </c>
    </row>
    <row r="104" spans="1:30" x14ac:dyDescent="0.25">
      <c r="A104" s="10">
        <v>103</v>
      </c>
      <c r="B104" s="10" t="str" cm="1">
        <f t="array" ref="B104">_xlfn.XLOOKUP(Event_Master[[#This Row],[Event_Type]],Event_Catalog[[#All],[Event_Name]],Event_Catalog[[#All],[Event_ID]],,0)</f>
        <v>E045</v>
      </c>
      <c r="C104" s="10" t="s">
        <v>385</v>
      </c>
      <c r="D104" s="10" t="s">
        <v>378</v>
      </c>
      <c r="E104" s="10">
        <v>120</v>
      </c>
      <c r="F104" s="10" t="s">
        <v>409</v>
      </c>
      <c r="G104" s="11">
        <v>45815</v>
      </c>
      <c r="H104" s="10" t="s">
        <v>211</v>
      </c>
      <c r="I104" s="10" cm="1">
        <f t="array" ref="I104">_xlfn.XLOOKUP(Event_Master[[#This Row],[Event_No]],Venue_Orders[[#All],[Event_No]],Venue_Orders[[#All],[Rental_Cost]],0,0)</f>
        <v>120000</v>
      </c>
      <c r="J104" s="10" cm="1">
        <f t="array" ref="J104">_xlfn.XLOOKUP(Event_Master[[#This Row],[Event_No]],Venue_Orders[[#All],[Event_No]],Venue_Orders[[#All],[Client_Charge]],,0)</f>
        <v>138000</v>
      </c>
      <c r="K104" s="10" t="s">
        <v>237</v>
      </c>
      <c r="L104" s="10" cm="1">
        <f t="array" ref="L104">_xlfn.XLOOKUP(Event_Master[[#This Row],[Event_No]],Photography_Orders[[#All],[Event_No]],Photography_Orders[[#All],[Cost]],,0)</f>
        <v>45000</v>
      </c>
      <c r="M104" s="10" cm="1">
        <f t="array" ref="M104">_xlfn.XLOOKUP(Event_Master[[#This Row],[Event_No]],Photography_Orders[[#All],[Event_No]],Photography_Orders[[#All],[Client_Charge]],,0)</f>
        <v>53000</v>
      </c>
      <c r="N104" s="10" t="s">
        <v>169</v>
      </c>
      <c r="O104" s="10" cm="1">
        <f t="array" ref="O104">_xlfn.XLOOKUP(Event_Master[[#This Row],[Event_No]],Entertainment_Orders[[#All],[Event_No]],Entertainment_Orders[[#All],[Cost]],,0)</f>
        <v>0</v>
      </c>
      <c r="P104" s="10" cm="1">
        <f t="array" ref="P104">_xlfn.XLOOKUP(Event_Master[[#This Row],[Event_No]],Entertainment_Orders[[#All],[Event_No]],Entertainment_Orders[[#All],[Client_Charge]],,0)</f>
        <v>0</v>
      </c>
      <c r="Q104" s="10" t="s">
        <v>283</v>
      </c>
      <c r="R104" s="10" cm="1">
        <f t="array" ref="R104">_xlfn.XLOOKUP(Event_Master[[#This Row],[Event_No]],Decor_Orders[[#All],[Event_No]],Decor_Orders[[#All],[Cost]],,0)</f>
        <v>35000</v>
      </c>
      <c r="S104" s="10" cm="1">
        <f t="array" ref="S104">_xlfn.XLOOKUP(Event_Master[[#This Row],[Event_No]],Decor_Orders[[#All],[Event_No]],Decor_Orders[[#All],[Client_Charge]],,0)</f>
        <v>42000</v>
      </c>
      <c r="T104" s="10" t="s">
        <v>405</v>
      </c>
      <c r="U104" s="10">
        <f>SUMIFS(Logistics_Orders[[#All],[Cost]],Logistics_Orders[[#All],[Event_No]],Event_Master[[#This Row],[Event_No]])</f>
        <v>44000</v>
      </c>
      <c r="V104" s="10">
        <f>SUMIFS(Logistics_Orders[[#All],[Client_Charge]],Logistics_Orders[[#All],[Event_No]],Event_Master[[#This Row],[Event_No]])</f>
        <v>52800</v>
      </c>
      <c r="W104" s="10" t="s">
        <v>446</v>
      </c>
      <c r="X104" s="10">
        <f>SUMIFS(Food_Orders[[#All],[Cost]],Food_Orders[[#All],[Event_No]],Event_Master[[#This Row],[Event_No]])</f>
        <v>34200</v>
      </c>
      <c r="Y104" s="10">
        <f>SUMIFS(Food_Orders[[#All],[Client_Price]],Food_Orders[[#All],[Event_No]],Event_Master[[#This Row],[Event_No]])</f>
        <v>41040</v>
      </c>
      <c r="Z104" s="10">
        <f>Event_Master[[#This Row],[Venue_Cost]]+Event_Master[[#This Row],[Photography_Cost]]+Event_Master[[#This Row],[Entertainment_Cost]]+Event_Master[[#This Row],[Decor_Cost]]+Event_Master[[#This Row],[Logistics_Cost]]+Event_Master[[#This Row],[Food_Cost]]</f>
        <v>278200</v>
      </c>
      <c r="AA104" s="10">
        <f>Event_Master[[#This Row],[Venue_Charge]]+Event_Master[[#This Row],[Photography_Charge]]+Event_Master[[#This Row],[Entertainment_Charge]]+Event_Master[[#This Row],[Decor_Charge]]+Event_Master[[#This Row],[Logistics_Charge]]+Event_Master[[#This Row],[Food_Charge]]</f>
        <v>326840</v>
      </c>
      <c r="AB104" s="10">
        <v>5000</v>
      </c>
      <c r="AC104" s="10">
        <f>Event_Master[[#This Row],[Client_Budget]]+Event_Master[[#This Row],[Planner_Remuneration]]</f>
        <v>331840</v>
      </c>
      <c r="AD104" s="10">
        <v>5</v>
      </c>
    </row>
    <row r="105" spans="1:30" x14ac:dyDescent="0.25">
      <c r="A105" s="10">
        <v>104</v>
      </c>
      <c r="B105" s="10" t="str" cm="1">
        <f t="array" ref="B105">_xlfn.XLOOKUP(Event_Master[[#This Row],[Event_Type]],Event_Catalog[[#All],[Event_Name]],Event_Catalog[[#All],[Event_ID]],,0)</f>
        <v>E046</v>
      </c>
      <c r="C105" s="10" t="s">
        <v>387</v>
      </c>
      <c r="D105" s="10" t="s">
        <v>378</v>
      </c>
      <c r="E105" s="10">
        <v>80</v>
      </c>
      <c r="F105" s="10" t="s">
        <v>409</v>
      </c>
      <c r="G105" s="11">
        <v>45850</v>
      </c>
      <c r="H105" s="10" t="s">
        <v>215</v>
      </c>
      <c r="I105" s="10" cm="1">
        <f t="array" ref="I105">_xlfn.XLOOKUP(Event_Master[[#This Row],[Event_No]],Venue_Orders[[#All],[Event_No]],Venue_Orders[[#All],[Rental_Cost]],0,0)</f>
        <v>150000</v>
      </c>
      <c r="J105" s="10" cm="1">
        <f t="array" ref="J105">_xlfn.XLOOKUP(Event_Master[[#This Row],[Event_No]],Venue_Orders[[#All],[Event_No]],Venue_Orders[[#All],[Client_Charge]],,0)</f>
        <v>175000</v>
      </c>
      <c r="K105" s="10" t="s">
        <v>242</v>
      </c>
      <c r="L105" s="10" cm="1">
        <f t="array" ref="L105">_xlfn.XLOOKUP(Event_Master[[#This Row],[Event_No]],Photography_Orders[[#All],[Event_No]],Photography_Orders[[#All],[Cost]],,0)</f>
        <v>20000</v>
      </c>
      <c r="M105" s="10" cm="1">
        <f t="array" ref="M105">_xlfn.XLOOKUP(Event_Master[[#This Row],[Event_No]],Photography_Orders[[#All],[Event_No]],Photography_Orders[[#All],[Client_Charge]],,0)</f>
        <v>24000</v>
      </c>
      <c r="N105" s="10" t="s">
        <v>163</v>
      </c>
      <c r="O105" s="10" cm="1">
        <f t="array" ref="O105">_xlfn.XLOOKUP(Event_Master[[#This Row],[Event_No]],Entertainment_Orders[[#All],[Event_No]],Entertainment_Orders[[#All],[Cost]],,0)</f>
        <v>7000</v>
      </c>
      <c r="P105" s="10" cm="1">
        <f t="array" ref="P105">_xlfn.XLOOKUP(Event_Master[[#This Row],[Event_No]],Entertainment_Orders[[#All],[Event_No]],Entertainment_Orders[[#All],[Client_Charge]],,0)</f>
        <v>8500</v>
      </c>
      <c r="Q105" s="10" t="s">
        <v>283</v>
      </c>
      <c r="R105" s="10" cm="1">
        <f t="array" ref="R105">_xlfn.XLOOKUP(Event_Master[[#This Row],[Event_No]],Decor_Orders[[#All],[Event_No]],Decor_Orders[[#All],[Cost]],,0)</f>
        <v>35000</v>
      </c>
      <c r="S105" s="10" cm="1">
        <f t="array" ref="S105">_xlfn.XLOOKUP(Event_Master[[#This Row],[Event_No]],Decor_Orders[[#All],[Event_No]],Decor_Orders[[#All],[Client_Charge]],,0)</f>
        <v>42000</v>
      </c>
      <c r="T105" s="10" t="s">
        <v>405</v>
      </c>
      <c r="U105" s="10">
        <f>SUMIFS(Logistics_Orders[[#All],[Cost]],Logistics_Orders[[#All],[Event_No]],Event_Master[[#This Row],[Event_No]])</f>
        <v>44000</v>
      </c>
      <c r="V105" s="10">
        <f>SUMIFS(Logistics_Orders[[#All],[Client_Charge]],Logistics_Orders[[#All],[Event_No]],Event_Master[[#This Row],[Event_No]])</f>
        <v>52800</v>
      </c>
      <c r="W105" s="10" t="s">
        <v>447</v>
      </c>
      <c r="X105" s="10">
        <f>SUMIFS(Food_Orders[[#All],[Cost]],Food_Orders[[#All],[Event_No]],Event_Master[[#This Row],[Event_No]])</f>
        <v>63200</v>
      </c>
      <c r="Y105" s="10">
        <f>SUMIFS(Food_Orders[[#All],[Client_Price]],Food_Orders[[#All],[Event_No]],Event_Master[[#This Row],[Event_No]])</f>
        <v>75840</v>
      </c>
      <c r="Z105" s="10">
        <f>Event_Master[[#This Row],[Venue_Cost]]+Event_Master[[#This Row],[Photography_Cost]]+Event_Master[[#This Row],[Entertainment_Cost]]+Event_Master[[#This Row],[Decor_Cost]]+Event_Master[[#This Row],[Logistics_Cost]]+Event_Master[[#This Row],[Food_Cost]]</f>
        <v>319200</v>
      </c>
      <c r="AA105" s="10">
        <f>Event_Master[[#This Row],[Venue_Charge]]+Event_Master[[#This Row],[Photography_Charge]]+Event_Master[[#This Row],[Entertainment_Charge]]+Event_Master[[#This Row],[Decor_Charge]]+Event_Master[[#This Row],[Logistics_Charge]]+Event_Master[[#This Row],[Food_Charge]]</f>
        <v>378140</v>
      </c>
      <c r="AB105" s="10">
        <v>5000</v>
      </c>
      <c r="AC105" s="10">
        <f>Event_Master[[#This Row],[Client_Budget]]+Event_Master[[#This Row],[Planner_Remuneration]]</f>
        <v>383140</v>
      </c>
      <c r="AD105" s="10">
        <v>4</v>
      </c>
    </row>
    <row r="106" spans="1:30" x14ac:dyDescent="0.25">
      <c r="A106" s="10">
        <v>105</v>
      </c>
      <c r="B106" s="10" t="str" cm="1">
        <f t="array" ref="B106">_xlfn.XLOOKUP(Event_Master[[#This Row],[Event_Type]],Event_Catalog[[#All],[Event_Name]],Event_Catalog[[#All],[Event_ID]],,0)</f>
        <v>E001</v>
      </c>
      <c r="C106" s="10" t="s">
        <v>293</v>
      </c>
      <c r="D106" s="10" t="s">
        <v>292</v>
      </c>
      <c r="E106" s="10">
        <v>380</v>
      </c>
      <c r="F106" s="10" t="s">
        <v>407</v>
      </c>
      <c r="G106" s="11">
        <v>45785</v>
      </c>
      <c r="H106" s="10" t="s">
        <v>215</v>
      </c>
      <c r="I106" s="10" cm="1">
        <f t="array" ref="I106">_xlfn.XLOOKUP(Event_Master[[#This Row],[Event_No]],Venue_Orders[[#All],[Event_No]],Venue_Orders[[#All],[Rental_Cost]],0,0)</f>
        <v>150000</v>
      </c>
      <c r="J106" s="10" cm="1">
        <f t="array" ref="J106">_xlfn.XLOOKUP(Event_Master[[#This Row],[Event_No]],Venue_Orders[[#All],[Event_No]],Venue_Orders[[#All],[Client_Charge]],,0)</f>
        <v>175000</v>
      </c>
      <c r="K106" s="10" t="s">
        <v>242</v>
      </c>
      <c r="L106" s="10" cm="1">
        <f t="array" ref="L106">_xlfn.XLOOKUP(Event_Master[[#This Row],[Event_No]],Photography_Orders[[#All],[Event_No]],Photography_Orders[[#All],[Cost]],,0)</f>
        <v>20000</v>
      </c>
      <c r="M106" s="10" cm="1">
        <f t="array" ref="M106">_xlfn.XLOOKUP(Event_Master[[#This Row],[Event_No]],Photography_Orders[[#All],[Event_No]],Photography_Orders[[#All],[Client_Charge]],,0)</f>
        <v>24000</v>
      </c>
      <c r="N106" s="10" t="s">
        <v>153</v>
      </c>
      <c r="O106" s="10" cm="1">
        <f t="array" ref="O106">_xlfn.XLOOKUP(Event_Master[[#This Row],[Event_No]],Entertainment_Orders[[#All],[Event_No]],Entertainment_Orders[[#All],[Cost]],,0)</f>
        <v>15000</v>
      </c>
      <c r="P106" s="10" cm="1">
        <f t="array" ref="P106">_xlfn.XLOOKUP(Event_Master[[#This Row],[Event_No]],Entertainment_Orders[[#All],[Event_No]],Entertainment_Orders[[#All],[Client_Charge]],,0)</f>
        <v>18000</v>
      </c>
      <c r="Q106" s="10" t="s">
        <v>260</v>
      </c>
      <c r="R106" s="10" cm="1">
        <f t="array" ref="R106">_xlfn.XLOOKUP(Event_Master[[#This Row],[Event_No]],Decor_Orders[[#All],[Event_No]],Decor_Orders[[#All],[Cost]],,0)</f>
        <v>25000</v>
      </c>
      <c r="S106" s="10" cm="1">
        <f t="array" ref="S106">_xlfn.XLOOKUP(Event_Master[[#This Row],[Event_No]],Decor_Orders[[#All],[Event_No]],Decor_Orders[[#All],[Client_Charge]],,0)</f>
        <v>30000</v>
      </c>
      <c r="T106" s="10" t="s">
        <v>405</v>
      </c>
      <c r="U106" s="10">
        <f>SUMIFS(Logistics_Orders[[#All],[Cost]],Logistics_Orders[[#All],[Event_No]],Event_Master[[#This Row],[Event_No]])</f>
        <v>59000</v>
      </c>
      <c r="V106" s="10">
        <f>SUMIFS(Logistics_Orders[[#All],[Client_Charge]],Logistics_Orders[[#All],[Event_No]],Event_Master[[#This Row],[Event_No]])</f>
        <v>70800</v>
      </c>
      <c r="W106" s="10" t="s">
        <v>438</v>
      </c>
      <c r="X106" s="10">
        <f>SUMIFS(Food_Orders[[#All],[Cost]],Food_Orders[[#All],[Event_No]],Event_Master[[#This Row],[Event_No]])</f>
        <v>423700</v>
      </c>
      <c r="Y106" s="10">
        <f>SUMIFS(Food_Orders[[#All],[Client_Price]],Food_Orders[[#All],[Event_No]],Event_Master[[#This Row],[Event_No]])</f>
        <v>508440</v>
      </c>
      <c r="Z106" s="10">
        <f>Event_Master[[#This Row],[Venue_Cost]]+Event_Master[[#This Row],[Photography_Cost]]+Event_Master[[#This Row],[Entertainment_Cost]]+Event_Master[[#This Row],[Decor_Cost]]+Event_Master[[#This Row],[Logistics_Cost]]+Event_Master[[#This Row],[Food_Cost]]</f>
        <v>692700</v>
      </c>
      <c r="AA106" s="10">
        <f>Event_Master[[#This Row],[Venue_Charge]]+Event_Master[[#This Row],[Photography_Charge]]+Event_Master[[#This Row],[Entertainment_Charge]]+Event_Master[[#This Row],[Decor_Charge]]+Event_Master[[#This Row],[Logistics_Charge]]+Event_Master[[#This Row],[Food_Charge]]</f>
        <v>826240</v>
      </c>
      <c r="AB106" s="10">
        <v>12000</v>
      </c>
      <c r="AC106" s="10">
        <f>Event_Master[[#This Row],[Client_Budget]]+Event_Master[[#This Row],[Planner_Remuneration]]</f>
        <v>838240</v>
      </c>
      <c r="AD106" s="10">
        <v>5</v>
      </c>
    </row>
    <row r="107" spans="1:30" x14ac:dyDescent="0.25">
      <c r="A107" s="10">
        <v>106</v>
      </c>
      <c r="B107" s="10" t="str" cm="1">
        <f t="array" ref="B107">_xlfn.XLOOKUP(Event_Master[[#This Row],[Event_Type]],Event_Catalog[[#All],[Event_Name]],Event_Catalog[[#All],[Event_ID]],,0)</f>
        <v>E047</v>
      </c>
      <c r="C107" s="10" t="s">
        <v>389</v>
      </c>
      <c r="D107" s="10" t="s">
        <v>378</v>
      </c>
      <c r="E107" s="10">
        <v>100</v>
      </c>
      <c r="F107" s="10" t="s">
        <v>409</v>
      </c>
      <c r="G107" s="11">
        <v>45885</v>
      </c>
      <c r="H107" s="10" t="s">
        <v>215</v>
      </c>
      <c r="I107" s="10" cm="1">
        <f t="array" ref="I107">_xlfn.XLOOKUP(Event_Master[[#This Row],[Event_No]],Venue_Orders[[#All],[Event_No]],Venue_Orders[[#All],[Rental_Cost]],0,0)</f>
        <v>150000</v>
      </c>
      <c r="J107" s="10" cm="1">
        <f t="array" ref="J107">_xlfn.XLOOKUP(Event_Master[[#This Row],[Event_No]],Venue_Orders[[#All],[Event_No]],Venue_Orders[[#All],[Client_Charge]],,0)</f>
        <v>175000</v>
      </c>
      <c r="K107" s="10" t="s">
        <v>237</v>
      </c>
      <c r="L107" s="10" cm="1">
        <f t="array" ref="L107">_xlfn.XLOOKUP(Event_Master[[#This Row],[Event_No]],Photography_Orders[[#All],[Event_No]],Photography_Orders[[#All],[Cost]],,0)</f>
        <v>45000</v>
      </c>
      <c r="M107" s="10" cm="1">
        <f t="array" ref="M107">_xlfn.XLOOKUP(Event_Master[[#This Row],[Event_No]],Photography_Orders[[#All],[Event_No]],Photography_Orders[[#All],[Client_Charge]],,0)</f>
        <v>53000</v>
      </c>
      <c r="N107" s="10" t="s">
        <v>167</v>
      </c>
      <c r="O107" s="10" cm="1">
        <f t="array" ref="O107">_xlfn.XLOOKUP(Event_Master[[#This Row],[Event_No]],Entertainment_Orders[[#All],[Event_No]],Entertainment_Orders[[#All],[Cost]],,0)</f>
        <v>0</v>
      </c>
      <c r="P107" s="10" cm="1">
        <f t="array" ref="P107">_xlfn.XLOOKUP(Event_Master[[#This Row],[Event_No]],Entertainment_Orders[[#All],[Event_No]],Entertainment_Orders[[#All],[Client_Charge]],,0)</f>
        <v>0</v>
      </c>
      <c r="Q107" s="10" t="s">
        <v>283</v>
      </c>
      <c r="R107" s="10" cm="1">
        <f t="array" ref="R107">_xlfn.XLOOKUP(Event_Master[[#This Row],[Event_No]],Decor_Orders[[#All],[Event_No]],Decor_Orders[[#All],[Cost]],,0)</f>
        <v>35000</v>
      </c>
      <c r="S107" s="10" cm="1">
        <f t="array" ref="S107">_xlfn.XLOOKUP(Event_Master[[#This Row],[Event_No]],Decor_Orders[[#All],[Event_No]],Decor_Orders[[#All],[Client_Charge]],,0)</f>
        <v>42000</v>
      </c>
      <c r="T107" s="10" t="s">
        <v>405</v>
      </c>
      <c r="U107" s="10">
        <f>SUMIFS(Logistics_Orders[[#All],[Cost]],Logistics_Orders[[#All],[Event_No]],Event_Master[[#This Row],[Event_No]])</f>
        <v>44000</v>
      </c>
      <c r="V107" s="10">
        <f>SUMIFS(Logistics_Orders[[#All],[Client_Charge]],Logistics_Orders[[#All],[Event_No]],Event_Master[[#This Row],[Event_No]])</f>
        <v>52800</v>
      </c>
      <c r="W107" s="10" t="s">
        <v>448</v>
      </c>
      <c r="X107" s="10">
        <f>SUMIFS(Food_Orders[[#All],[Cost]],Food_Orders[[#All],[Event_No]],Event_Master[[#This Row],[Event_No]])</f>
        <v>25000</v>
      </c>
      <c r="Y107" s="10">
        <f>SUMIFS(Food_Orders[[#All],[Client_Price]],Food_Orders[[#All],[Event_No]],Event_Master[[#This Row],[Event_No]])</f>
        <v>30000</v>
      </c>
      <c r="Z107" s="10">
        <f>Event_Master[[#This Row],[Venue_Cost]]+Event_Master[[#This Row],[Photography_Cost]]+Event_Master[[#This Row],[Entertainment_Cost]]+Event_Master[[#This Row],[Decor_Cost]]+Event_Master[[#This Row],[Logistics_Cost]]+Event_Master[[#This Row],[Food_Cost]]</f>
        <v>299000</v>
      </c>
      <c r="AA107" s="10">
        <f>Event_Master[[#This Row],[Venue_Charge]]+Event_Master[[#This Row],[Photography_Charge]]+Event_Master[[#This Row],[Entertainment_Charge]]+Event_Master[[#This Row],[Decor_Charge]]+Event_Master[[#This Row],[Logistics_Charge]]+Event_Master[[#This Row],[Food_Charge]]</f>
        <v>352800</v>
      </c>
      <c r="AB107" s="10">
        <v>5000</v>
      </c>
      <c r="AC107" s="10">
        <f>Event_Master[[#This Row],[Client_Budget]]+Event_Master[[#This Row],[Planner_Remuneration]]</f>
        <v>357800</v>
      </c>
      <c r="AD107" s="10">
        <v>4</v>
      </c>
    </row>
    <row r="108" spans="1:30" x14ac:dyDescent="0.25">
      <c r="A108" s="10">
        <v>107</v>
      </c>
      <c r="B108" s="10" t="str" cm="1">
        <f t="array" ref="B108">_xlfn.XLOOKUP(Event_Master[[#This Row],[Event_Type]],Event_Catalog[[#All],[Event_Name]],Event_Catalog[[#All],[Event_ID]],,0)</f>
        <v>E001</v>
      </c>
      <c r="C108" s="10" t="s">
        <v>293</v>
      </c>
      <c r="D108" s="10" t="s">
        <v>292</v>
      </c>
      <c r="E108" s="10">
        <v>950</v>
      </c>
      <c r="F108" s="10" t="s">
        <v>404</v>
      </c>
      <c r="G108" s="11">
        <v>45928</v>
      </c>
      <c r="H108" s="10" t="s">
        <v>207</v>
      </c>
      <c r="I108" s="10" cm="1">
        <f t="array" ref="I108">_xlfn.XLOOKUP(Event_Master[[#This Row],[Event_No]],Venue_Orders[[#All],[Event_No]],Venue_Orders[[#All],[Rental_Cost]],0,0)</f>
        <v>60000</v>
      </c>
      <c r="J108" s="10" cm="1">
        <f t="array" ref="J108">_xlfn.XLOOKUP(Event_Master[[#This Row],[Event_No]],Venue_Orders[[#All],[Event_No]],Venue_Orders[[#All],[Client_Charge]],,0)</f>
        <v>70000</v>
      </c>
      <c r="K108" s="10" t="s">
        <v>232</v>
      </c>
      <c r="L108" s="10" cm="1">
        <f t="array" ref="L108">_xlfn.XLOOKUP(Event_Master[[#This Row],[Event_No]],Photography_Orders[[#All],[Event_No]],Photography_Orders[[#All],[Cost]],,0)</f>
        <v>30000</v>
      </c>
      <c r="M108" s="10" cm="1">
        <f t="array" ref="M108">_xlfn.XLOOKUP(Event_Master[[#This Row],[Event_No]],Photography_Orders[[#All],[Event_No]],Photography_Orders[[#All],[Client_Charge]],,0)</f>
        <v>36000</v>
      </c>
      <c r="N108" s="10" t="s">
        <v>153</v>
      </c>
      <c r="O108" s="10" cm="1">
        <f t="array" ref="O108">_xlfn.XLOOKUP(Event_Master[[#This Row],[Event_No]],Entertainment_Orders[[#All],[Event_No]],Entertainment_Orders[[#All],[Cost]],,0)</f>
        <v>15000</v>
      </c>
      <c r="P108" s="10" cm="1">
        <f t="array" ref="P108">_xlfn.XLOOKUP(Event_Master[[#This Row],[Event_No]],Entertainment_Orders[[#All],[Event_No]],Entertainment_Orders[[#All],[Client_Charge]],,0)</f>
        <v>18000</v>
      </c>
      <c r="Q108" s="10" t="s">
        <v>260</v>
      </c>
      <c r="R108" s="10" cm="1">
        <f t="array" ref="R108">_xlfn.XLOOKUP(Event_Master[[#This Row],[Event_No]],Decor_Orders[[#All],[Event_No]],Decor_Orders[[#All],[Cost]],,0)</f>
        <v>25000</v>
      </c>
      <c r="S108" s="10" cm="1">
        <f t="array" ref="S108">_xlfn.XLOOKUP(Event_Master[[#This Row],[Event_No]],Decor_Orders[[#All],[Event_No]],Decor_Orders[[#All],[Client_Charge]],,0)</f>
        <v>30000</v>
      </c>
      <c r="T108" s="10" t="s">
        <v>405</v>
      </c>
      <c r="U108" s="10">
        <f>SUMIFS(Logistics_Orders[[#All],[Cost]],Logistics_Orders[[#All],[Event_No]],Event_Master[[#This Row],[Event_No]])</f>
        <v>89000</v>
      </c>
      <c r="V108" s="10">
        <f>SUMIFS(Logistics_Orders[[#All],[Client_Charge]],Logistics_Orders[[#All],[Event_No]],Event_Master[[#This Row],[Event_No]])</f>
        <v>106800</v>
      </c>
      <c r="W108" s="10" t="s">
        <v>406</v>
      </c>
      <c r="X108" s="10">
        <f>SUMIFS(Food_Orders[[#All],[Cost]],Food_Orders[[#All],[Event_No]],Event_Master[[#This Row],[Event_No]])</f>
        <v>1562750</v>
      </c>
      <c r="Y108" s="10">
        <f>SUMIFS(Food_Orders[[#All],[Client_Price]],Food_Orders[[#All],[Event_No]],Event_Master[[#This Row],[Event_No]])</f>
        <v>1875300</v>
      </c>
      <c r="Z108" s="10">
        <f>Event_Master[[#This Row],[Venue_Cost]]+Event_Master[[#This Row],[Photography_Cost]]+Event_Master[[#This Row],[Entertainment_Cost]]+Event_Master[[#This Row],[Decor_Cost]]+Event_Master[[#This Row],[Logistics_Cost]]+Event_Master[[#This Row],[Food_Cost]]</f>
        <v>1781750</v>
      </c>
      <c r="AA108" s="10">
        <f>Event_Master[[#This Row],[Venue_Charge]]+Event_Master[[#This Row],[Photography_Charge]]+Event_Master[[#This Row],[Entertainment_Charge]]+Event_Master[[#This Row],[Decor_Charge]]+Event_Master[[#This Row],[Logistics_Charge]]+Event_Master[[#This Row],[Food_Charge]]</f>
        <v>2136100</v>
      </c>
      <c r="AB108" s="10">
        <v>30000</v>
      </c>
      <c r="AC108" s="10">
        <f>Event_Master[[#This Row],[Client_Budget]]+Event_Master[[#This Row],[Planner_Remuneration]]</f>
        <v>2166100</v>
      </c>
      <c r="AD108" s="10">
        <v>5</v>
      </c>
    </row>
    <row r="109" spans="1:30" x14ac:dyDescent="0.25">
      <c r="A109" s="10">
        <v>108</v>
      </c>
      <c r="B109" s="10" t="str" cm="1">
        <f t="array" ref="B109">_xlfn.XLOOKUP(Event_Master[[#This Row],[Event_Type]],Event_Catalog[[#All],[Event_Name]],Event_Catalog[[#All],[Event_ID]],,0)</f>
        <v>E002</v>
      </c>
      <c r="C109" s="10" t="s">
        <v>295</v>
      </c>
      <c r="D109" s="10" t="s">
        <v>292</v>
      </c>
      <c r="E109" s="10">
        <v>420</v>
      </c>
      <c r="F109" s="10" t="s">
        <v>407</v>
      </c>
      <c r="G109" s="11">
        <v>45935</v>
      </c>
      <c r="H109" s="10" t="s">
        <v>215</v>
      </c>
      <c r="I109" s="10" cm="1">
        <f t="array" ref="I109">_xlfn.XLOOKUP(Event_Master[[#This Row],[Event_No]],Venue_Orders[[#All],[Event_No]],Venue_Orders[[#All],[Rental_Cost]],0,0)</f>
        <v>150000</v>
      </c>
      <c r="J109" s="10" cm="1">
        <f t="array" ref="J109">_xlfn.XLOOKUP(Event_Master[[#This Row],[Event_No]],Venue_Orders[[#All],[Event_No]],Venue_Orders[[#All],[Client_Charge]],,0)</f>
        <v>175000</v>
      </c>
      <c r="K109" s="10" t="s">
        <v>232</v>
      </c>
      <c r="L109" s="10" cm="1">
        <f t="array" ref="L109">_xlfn.XLOOKUP(Event_Master[[#This Row],[Event_No]],Photography_Orders[[#All],[Event_No]],Photography_Orders[[#All],[Cost]],,0)</f>
        <v>30000</v>
      </c>
      <c r="M109" s="10" cm="1">
        <f t="array" ref="M109">_xlfn.XLOOKUP(Event_Master[[#This Row],[Event_No]],Photography_Orders[[#All],[Event_No]],Photography_Orders[[#All],[Client_Charge]],,0)</f>
        <v>36000</v>
      </c>
      <c r="N109" s="10" t="s">
        <v>153</v>
      </c>
      <c r="O109" s="10" cm="1">
        <f t="array" ref="O109">_xlfn.XLOOKUP(Event_Master[[#This Row],[Event_No]],Entertainment_Orders[[#All],[Event_No]],Entertainment_Orders[[#All],[Cost]],,0)</f>
        <v>15000</v>
      </c>
      <c r="P109" s="10" cm="1">
        <f t="array" ref="P109">_xlfn.XLOOKUP(Event_Master[[#This Row],[Event_No]],Entertainment_Orders[[#All],[Event_No]],Entertainment_Orders[[#All],[Client_Charge]],,0)</f>
        <v>18000</v>
      </c>
      <c r="Q109" s="10" t="s">
        <v>260</v>
      </c>
      <c r="R109" s="10" cm="1">
        <f t="array" ref="R109">_xlfn.XLOOKUP(Event_Master[[#This Row],[Event_No]],Decor_Orders[[#All],[Event_No]],Decor_Orders[[#All],[Cost]],,0)</f>
        <v>25000</v>
      </c>
      <c r="S109" s="10" cm="1">
        <f t="array" ref="S109">_xlfn.XLOOKUP(Event_Master[[#This Row],[Event_No]],Decor_Orders[[#All],[Event_No]],Decor_Orders[[#All],[Client_Charge]],,0)</f>
        <v>30000</v>
      </c>
      <c r="T109" s="10" t="s">
        <v>405</v>
      </c>
      <c r="U109" s="10">
        <f>SUMIFS(Logistics_Orders[[#All],[Cost]],Logistics_Orders[[#All],[Event_No]],Event_Master[[#This Row],[Event_No]])</f>
        <v>59000</v>
      </c>
      <c r="V109" s="10">
        <f>SUMIFS(Logistics_Orders[[#All],[Client_Charge]],Logistics_Orders[[#All],[Event_No]],Event_Master[[#This Row],[Event_No]])</f>
        <v>70800</v>
      </c>
      <c r="W109" s="10" t="s">
        <v>408</v>
      </c>
      <c r="X109" s="10">
        <f>SUMIFS(Food_Orders[[#All],[Cost]],Food_Orders[[#All],[Event_No]],Event_Master[[#This Row],[Event_No]])</f>
        <v>468300</v>
      </c>
      <c r="Y109" s="10">
        <f>SUMIFS(Food_Orders[[#All],[Client_Price]],Food_Orders[[#All],[Event_No]],Event_Master[[#This Row],[Event_No]])</f>
        <v>561960</v>
      </c>
      <c r="Z109" s="10">
        <f>Event_Master[[#This Row],[Venue_Cost]]+Event_Master[[#This Row],[Photography_Cost]]+Event_Master[[#This Row],[Entertainment_Cost]]+Event_Master[[#This Row],[Decor_Cost]]+Event_Master[[#This Row],[Logistics_Cost]]+Event_Master[[#This Row],[Food_Cost]]</f>
        <v>747300</v>
      </c>
      <c r="AA109" s="10">
        <f>Event_Master[[#This Row],[Venue_Charge]]+Event_Master[[#This Row],[Photography_Charge]]+Event_Master[[#This Row],[Entertainment_Charge]]+Event_Master[[#This Row],[Decor_Charge]]+Event_Master[[#This Row],[Logistics_Charge]]+Event_Master[[#This Row],[Food_Charge]]</f>
        <v>891760</v>
      </c>
      <c r="AB109" s="10">
        <v>12000</v>
      </c>
      <c r="AC109" s="10">
        <f>Event_Master[[#This Row],[Client_Budget]]+Event_Master[[#This Row],[Planner_Remuneration]]</f>
        <v>903760</v>
      </c>
      <c r="AD109" s="10">
        <v>3</v>
      </c>
    </row>
    <row r="110" spans="1:30" x14ac:dyDescent="0.25">
      <c r="A110" s="10">
        <v>109</v>
      </c>
      <c r="B110" s="10" t="str" cm="1">
        <f t="array" ref="B110">_xlfn.XLOOKUP(Event_Master[[#This Row],[Event_Type]],Event_Catalog[[#All],[Event_Name]],Event_Catalog[[#All],[Event_ID]],,0)</f>
        <v>E003</v>
      </c>
      <c r="C110" s="10" t="s">
        <v>297</v>
      </c>
      <c r="D110" s="10" t="s">
        <v>292</v>
      </c>
      <c r="E110" s="10">
        <v>200</v>
      </c>
      <c r="F110" s="10" t="s">
        <v>409</v>
      </c>
      <c r="G110" s="11">
        <v>45739</v>
      </c>
      <c r="H110" s="10" t="s">
        <v>223</v>
      </c>
      <c r="I110" s="10" cm="1">
        <f t="array" ref="I110">_xlfn.XLOOKUP(Event_Master[[#This Row],[Event_No]],Venue_Orders[[#All],[Event_No]],Venue_Orders[[#All],[Rental_Cost]],0,0)</f>
        <v>0</v>
      </c>
      <c r="J110" s="10" cm="1">
        <f t="array" ref="J110">_xlfn.XLOOKUP(Event_Master[[#This Row],[Event_No]],Venue_Orders[[#All],[Event_No]],Venue_Orders[[#All],[Client_Charge]],,0)</f>
        <v>0</v>
      </c>
      <c r="K110" s="10" t="s">
        <v>242</v>
      </c>
      <c r="L110" s="10" cm="1">
        <f t="array" ref="L110">_xlfn.XLOOKUP(Event_Master[[#This Row],[Event_No]],Photography_Orders[[#All],[Event_No]],Photography_Orders[[#All],[Cost]],,0)</f>
        <v>20000</v>
      </c>
      <c r="M110" s="10" cm="1">
        <f t="array" ref="M110">_xlfn.XLOOKUP(Event_Master[[#This Row],[Event_No]],Photography_Orders[[#All],[Event_No]],Photography_Orders[[#All],[Client_Charge]],,0)</f>
        <v>24000</v>
      </c>
      <c r="N110" s="10" t="s">
        <v>167</v>
      </c>
      <c r="O110" s="10" cm="1">
        <f t="array" ref="O110">_xlfn.XLOOKUP(Event_Master[[#This Row],[Event_No]],Entertainment_Orders[[#All],[Event_No]],Entertainment_Orders[[#All],[Cost]],,0)</f>
        <v>0</v>
      </c>
      <c r="P110" s="10" cm="1">
        <f t="array" ref="P110">_xlfn.XLOOKUP(Event_Master[[#This Row],[Event_No]],Entertainment_Orders[[#All],[Event_No]],Entertainment_Orders[[#All],[Client_Charge]],,0)</f>
        <v>0</v>
      </c>
      <c r="Q110" s="10" t="s">
        <v>278</v>
      </c>
      <c r="R110" s="10" cm="1">
        <f t="array" ref="R110">_xlfn.XLOOKUP(Event_Master[[#This Row],[Event_No]],Decor_Orders[[#All],[Event_No]],Decor_Orders[[#All],[Cost]],,0)</f>
        <v>20000</v>
      </c>
      <c r="S110" s="10" cm="1">
        <f t="array" ref="S110">_xlfn.XLOOKUP(Event_Master[[#This Row],[Event_No]],Decor_Orders[[#All],[Event_No]],Decor_Orders[[#All],[Client_Charge]],,0)</f>
        <v>24000</v>
      </c>
      <c r="T110" s="10" t="s">
        <v>405</v>
      </c>
      <c r="U110" s="10">
        <f>SUMIFS(Logistics_Orders[[#All],[Cost]],Logistics_Orders[[#All],[Event_No]],Event_Master[[#This Row],[Event_No]])</f>
        <v>44000</v>
      </c>
      <c r="V110" s="10">
        <f>SUMIFS(Logistics_Orders[[#All],[Client_Charge]],Logistics_Orders[[#All],[Event_No]],Event_Master[[#This Row],[Event_No]])</f>
        <v>52800</v>
      </c>
      <c r="W110" s="10" t="s">
        <v>410</v>
      </c>
      <c r="X110" s="10">
        <f>SUMIFS(Food_Orders[[#All],[Cost]],Food_Orders[[#All],[Event_No]],Event_Master[[#This Row],[Event_No]])</f>
        <v>91000</v>
      </c>
      <c r="Y110" s="10">
        <f>SUMIFS(Food_Orders[[#All],[Client_Price]],Food_Orders[[#All],[Event_No]],Event_Master[[#This Row],[Event_No]])</f>
        <v>109200</v>
      </c>
      <c r="Z110" s="10">
        <f>Event_Master[[#This Row],[Venue_Cost]]+Event_Master[[#This Row],[Photography_Cost]]+Event_Master[[#This Row],[Entertainment_Cost]]+Event_Master[[#This Row],[Decor_Cost]]+Event_Master[[#This Row],[Logistics_Cost]]+Event_Master[[#This Row],[Food_Cost]]</f>
        <v>175000</v>
      </c>
      <c r="AA110" s="10">
        <f>Event_Master[[#This Row],[Venue_Charge]]+Event_Master[[#This Row],[Photography_Charge]]+Event_Master[[#This Row],[Entertainment_Charge]]+Event_Master[[#This Row],[Decor_Charge]]+Event_Master[[#This Row],[Logistics_Charge]]+Event_Master[[#This Row],[Food_Charge]]</f>
        <v>210000</v>
      </c>
      <c r="AB110" s="10">
        <v>5000</v>
      </c>
      <c r="AC110" s="10">
        <f>Event_Master[[#This Row],[Client_Budget]]+Event_Master[[#This Row],[Planner_Remuneration]]</f>
        <v>215000</v>
      </c>
      <c r="AD110" s="10">
        <v>5</v>
      </c>
    </row>
    <row r="111" spans="1:30" x14ac:dyDescent="0.25">
      <c r="A111" s="10">
        <v>110</v>
      </c>
      <c r="B111" s="10" t="str" cm="1">
        <f t="array" ref="B111">_xlfn.XLOOKUP(Event_Master[[#This Row],[Event_Type]],Event_Catalog[[#All],[Event_Name]],Event_Catalog[[#All],[Event_ID]],,0)</f>
        <v>E001</v>
      </c>
      <c r="C111" s="10" t="s">
        <v>293</v>
      </c>
      <c r="D111" s="10" t="s">
        <v>292</v>
      </c>
      <c r="E111" s="10">
        <v>640</v>
      </c>
      <c r="F111" s="10" t="s">
        <v>404</v>
      </c>
      <c r="G111" s="11">
        <v>45791</v>
      </c>
      <c r="H111" s="10" t="s">
        <v>215</v>
      </c>
      <c r="I111" s="10" cm="1">
        <f t="array" ref="I111">_xlfn.XLOOKUP(Event_Master[[#This Row],[Event_No]],Venue_Orders[[#All],[Event_No]],Venue_Orders[[#All],[Rental_Cost]],0,0)</f>
        <v>150000</v>
      </c>
      <c r="J111" s="10" cm="1">
        <f t="array" ref="J111">_xlfn.XLOOKUP(Event_Master[[#This Row],[Event_No]],Venue_Orders[[#All],[Event_No]],Venue_Orders[[#All],[Client_Charge]],,0)</f>
        <v>175000</v>
      </c>
      <c r="K111" s="10" t="s">
        <v>242</v>
      </c>
      <c r="L111" s="10" cm="1">
        <f t="array" ref="L111">_xlfn.XLOOKUP(Event_Master[[#This Row],[Event_No]],Photography_Orders[[#All],[Event_No]],Photography_Orders[[#All],[Cost]],,0)</f>
        <v>20000</v>
      </c>
      <c r="M111" s="10" cm="1">
        <f t="array" ref="M111">_xlfn.XLOOKUP(Event_Master[[#This Row],[Event_No]],Photography_Orders[[#All],[Event_No]],Photography_Orders[[#All],[Client_Charge]],,0)</f>
        <v>24000</v>
      </c>
      <c r="N111" s="10" t="s">
        <v>153</v>
      </c>
      <c r="O111" s="10" cm="1">
        <f t="array" ref="O111">_xlfn.XLOOKUP(Event_Master[[#This Row],[Event_No]],Entertainment_Orders[[#All],[Event_No]],Entertainment_Orders[[#All],[Cost]],,0)</f>
        <v>15000</v>
      </c>
      <c r="P111" s="10" cm="1">
        <f t="array" ref="P111">_xlfn.XLOOKUP(Event_Master[[#This Row],[Event_No]],Entertainment_Orders[[#All],[Event_No]],Entertainment_Orders[[#All],[Client_Charge]],,0)</f>
        <v>18000</v>
      </c>
      <c r="Q111" s="10" t="s">
        <v>260</v>
      </c>
      <c r="R111" s="10" cm="1">
        <f t="array" ref="R111">_xlfn.XLOOKUP(Event_Master[[#This Row],[Event_No]],Decor_Orders[[#All],[Event_No]],Decor_Orders[[#All],[Cost]],,0)</f>
        <v>25000</v>
      </c>
      <c r="S111" s="10" cm="1">
        <f t="array" ref="S111">_xlfn.XLOOKUP(Event_Master[[#This Row],[Event_No]],Decor_Orders[[#All],[Event_No]],Decor_Orders[[#All],[Client_Charge]],,0)</f>
        <v>30000</v>
      </c>
      <c r="T111" s="10" t="s">
        <v>405</v>
      </c>
      <c r="U111" s="10">
        <f>SUMIFS(Logistics_Orders[[#All],[Cost]],Logistics_Orders[[#All],[Event_No]],Event_Master[[#This Row],[Event_No]])</f>
        <v>74000</v>
      </c>
      <c r="V111" s="10">
        <f>SUMIFS(Logistics_Orders[[#All],[Client_Charge]],Logistics_Orders[[#All],[Event_No]],Event_Master[[#This Row],[Event_No]])</f>
        <v>88800</v>
      </c>
      <c r="W111" s="10" t="s">
        <v>406</v>
      </c>
      <c r="X111" s="10">
        <f>SUMIFS(Food_Orders[[#All],[Cost]],Food_Orders[[#All],[Event_No]],Event_Master[[#This Row],[Event_No]])</f>
        <v>1052800</v>
      </c>
      <c r="Y111" s="10">
        <f>SUMIFS(Food_Orders[[#All],[Client_Price]],Food_Orders[[#All],[Event_No]],Event_Master[[#This Row],[Event_No]])</f>
        <v>1263360</v>
      </c>
      <c r="Z111" s="10">
        <f>Event_Master[[#This Row],[Venue_Cost]]+Event_Master[[#This Row],[Photography_Cost]]+Event_Master[[#This Row],[Entertainment_Cost]]+Event_Master[[#This Row],[Decor_Cost]]+Event_Master[[#This Row],[Logistics_Cost]]+Event_Master[[#This Row],[Food_Cost]]</f>
        <v>1336800</v>
      </c>
      <c r="AA111" s="10">
        <f>Event_Master[[#This Row],[Venue_Charge]]+Event_Master[[#This Row],[Photography_Charge]]+Event_Master[[#This Row],[Entertainment_Charge]]+Event_Master[[#This Row],[Decor_Charge]]+Event_Master[[#This Row],[Logistics_Charge]]+Event_Master[[#This Row],[Food_Charge]]</f>
        <v>1599160</v>
      </c>
      <c r="AB111" s="10">
        <v>30000</v>
      </c>
      <c r="AC111" s="10">
        <f>Event_Master[[#This Row],[Client_Budget]]+Event_Master[[#This Row],[Planner_Remuneration]]</f>
        <v>1629160</v>
      </c>
      <c r="AD111" s="10">
        <v>4</v>
      </c>
    </row>
    <row r="112" spans="1:30" x14ac:dyDescent="0.25">
      <c r="A112" s="10">
        <v>111</v>
      </c>
      <c r="B112" s="10" t="str" cm="1">
        <f t="array" ref="B112">_xlfn.XLOOKUP(Event_Master[[#This Row],[Event_Type]],Event_Catalog[[#All],[Event_Name]],Event_Catalog[[#All],[Event_ID]],,0)</f>
        <v>E004</v>
      </c>
      <c r="C112" s="10" t="s">
        <v>299</v>
      </c>
      <c r="D112" s="10" t="s">
        <v>292</v>
      </c>
      <c r="E112" s="10">
        <v>220</v>
      </c>
      <c r="F112" s="10" t="s">
        <v>407</v>
      </c>
      <c r="G112" s="11">
        <v>45767</v>
      </c>
      <c r="H112" s="10" t="s">
        <v>223</v>
      </c>
      <c r="I112" s="10" cm="1">
        <f t="array" ref="I112">_xlfn.XLOOKUP(Event_Master[[#This Row],[Event_No]],Venue_Orders[[#All],[Event_No]],Venue_Orders[[#All],[Rental_Cost]],0,0)</f>
        <v>0</v>
      </c>
      <c r="J112" s="10" cm="1">
        <f t="array" ref="J112">_xlfn.XLOOKUP(Event_Master[[#This Row],[Event_No]],Venue_Orders[[#All],[Event_No]],Venue_Orders[[#All],[Client_Charge]],,0)</f>
        <v>0</v>
      </c>
      <c r="K112" s="10" t="s">
        <v>242</v>
      </c>
      <c r="L112" s="10" cm="1">
        <f t="array" ref="L112">_xlfn.XLOOKUP(Event_Master[[#This Row],[Event_No]],Photography_Orders[[#All],[Event_No]],Photography_Orders[[#All],[Cost]],,0)</f>
        <v>20000</v>
      </c>
      <c r="M112" s="10" cm="1">
        <f t="array" ref="M112">_xlfn.XLOOKUP(Event_Master[[#This Row],[Event_No]],Photography_Orders[[#All],[Event_No]],Photography_Orders[[#All],[Client_Charge]],,0)</f>
        <v>24000</v>
      </c>
      <c r="N112" s="10" t="s">
        <v>167</v>
      </c>
      <c r="O112" s="10" cm="1">
        <f t="array" ref="O112">_xlfn.XLOOKUP(Event_Master[[#This Row],[Event_No]],Entertainment_Orders[[#All],[Event_No]],Entertainment_Orders[[#All],[Cost]],,0)</f>
        <v>0</v>
      </c>
      <c r="P112" s="10" cm="1">
        <f t="array" ref="P112">_xlfn.XLOOKUP(Event_Master[[#This Row],[Event_No]],Entertainment_Orders[[#All],[Event_No]],Entertainment_Orders[[#All],[Client_Charge]],,0)</f>
        <v>0</v>
      </c>
      <c r="Q112" s="10" t="s">
        <v>278</v>
      </c>
      <c r="R112" s="10" cm="1">
        <f t="array" ref="R112">_xlfn.XLOOKUP(Event_Master[[#This Row],[Event_No]],Decor_Orders[[#All],[Event_No]],Decor_Orders[[#All],[Cost]],,0)</f>
        <v>20000</v>
      </c>
      <c r="S112" s="10" cm="1">
        <f t="array" ref="S112">_xlfn.XLOOKUP(Event_Master[[#This Row],[Event_No]],Decor_Orders[[#All],[Event_No]],Decor_Orders[[#All],[Client_Charge]],,0)</f>
        <v>24000</v>
      </c>
      <c r="T112" s="10" t="s">
        <v>405</v>
      </c>
      <c r="U112" s="10">
        <f>SUMIFS(Logistics_Orders[[#All],[Cost]],Logistics_Orders[[#All],[Event_No]],Event_Master[[#This Row],[Event_No]])</f>
        <v>44000</v>
      </c>
      <c r="V112" s="10">
        <f>SUMIFS(Logistics_Orders[[#All],[Client_Charge]],Logistics_Orders[[#All],[Event_No]],Event_Master[[#This Row],[Event_No]])</f>
        <v>52800</v>
      </c>
      <c r="W112" s="10" t="s">
        <v>411</v>
      </c>
      <c r="X112" s="10">
        <f>SUMIFS(Food_Orders[[#All],[Cost]],Food_Orders[[#All],[Event_No]],Event_Master[[#This Row],[Event_No]])</f>
        <v>189200</v>
      </c>
      <c r="Y112" s="10">
        <f>SUMIFS(Food_Orders[[#All],[Client_Price]],Food_Orders[[#All],[Event_No]],Event_Master[[#This Row],[Event_No]])</f>
        <v>227040</v>
      </c>
      <c r="Z112" s="10">
        <f>Event_Master[[#This Row],[Venue_Cost]]+Event_Master[[#This Row],[Photography_Cost]]+Event_Master[[#This Row],[Entertainment_Cost]]+Event_Master[[#This Row],[Decor_Cost]]+Event_Master[[#This Row],[Logistics_Cost]]+Event_Master[[#This Row],[Food_Cost]]</f>
        <v>273200</v>
      </c>
      <c r="AA112" s="10">
        <f>Event_Master[[#This Row],[Venue_Charge]]+Event_Master[[#This Row],[Photography_Charge]]+Event_Master[[#This Row],[Entertainment_Charge]]+Event_Master[[#This Row],[Decor_Charge]]+Event_Master[[#This Row],[Logistics_Charge]]+Event_Master[[#This Row],[Food_Charge]]</f>
        <v>327840</v>
      </c>
      <c r="AB112" s="10">
        <v>12000</v>
      </c>
      <c r="AC112" s="10">
        <f>Event_Master[[#This Row],[Client_Budget]]+Event_Master[[#This Row],[Planner_Remuneration]]</f>
        <v>339840</v>
      </c>
      <c r="AD112" s="10">
        <v>3</v>
      </c>
    </row>
    <row r="113" spans="1:30" x14ac:dyDescent="0.25">
      <c r="A113" s="10">
        <v>112</v>
      </c>
      <c r="B113" s="10" t="str" cm="1">
        <f t="array" ref="B113">_xlfn.XLOOKUP(Event_Master[[#This Row],[Event_Type]],Event_Catalog[[#All],[Event_Name]],Event_Catalog[[#All],[Event_ID]],,0)</f>
        <v>E005</v>
      </c>
      <c r="C113" s="10" t="s">
        <v>301</v>
      </c>
      <c r="D113" s="10" t="s">
        <v>292</v>
      </c>
      <c r="E113" s="10">
        <v>150</v>
      </c>
      <c r="F113" s="10" t="s">
        <v>409</v>
      </c>
      <c r="G113" s="11">
        <v>45802</v>
      </c>
      <c r="H113" s="10" t="s">
        <v>223</v>
      </c>
      <c r="I113" s="10" cm="1">
        <f t="array" ref="I113">_xlfn.XLOOKUP(Event_Master[[#This Row],[Event_No]],Venue_Orders[[#All],[Event_No]],Venue_Orders[[#All],[Rental_Cost]],0,0)</f>
        <v>0</v>
      </c>
      <c r="J113" s="10" cm="1">
        <f t="array" ref="J113">_xlfn.XLOOKUP(Event_Master[[#This Row],[Event_No]],Venue_Orders[[#All],[Event_No]],Venue_Orders[[#All],[Client_Charge]],,0)</f>
        <v>0</v>
      </c>
      <c r="K113" s="10" t="s">
        <v>242</v>
      </c>
      <c r="L113" s="10" cm="1">
        <f t="array" ref="L113">_xlfn.XLOOKUP(Event_Master[[#This Row],[Event_No]],Photography_Orders[[#All],[Event_No]],Photography_Orders[[#All],[Cost]],,0)</f>
        <v>20000</v>
      </c>
      <c r="M113" s="10" cm="1">
        <f t="array" ref="M113">_xlfn.XLOOKUP(Event_Master[[#This Row],[Event_No]],Photography_Orders[[#All],[Event_No]],Photography_Orders[[#All],[Client_Charge]],,0)</f>
        <v>24000</v>
      </c>
      <c r="N113" s="10" t="s">
        <v>167</v>
      </c>
      <c r="O113" s="10" cm="1">
        <f t="array" ref="O113">_xlfn.XLOOKUP(Event_Master[[#This Row],[Event_No]],Entertainment_Orders[[#All],[Event_No]],Entertainment_Orders[[#All],[Cost]],,0)</f>
        <v>0</v>
      </c>
      <c r="P113" s="10" cm="1">
        <f t="array" ref="P113">_xlfn.XLOOKUP(Event_Master[[#This Row],[Event_No]],Entertainment_Orders[[#All],[Event_No]],Entertainment_Orders[[#All],[Client_Charge]],,0)</f>
        <v>0</v>
      </c>
      <c r="Q113" s="10" t="s">
        <v>278</v>
      </c>
      <c r="R113" s="10" cm="1">
        <f t="array" ref="R113">_xlfn.XLOOKUP(Event_Master[[#This Row],[Event_No]],Decor_Orders[[#All],[Event_No]],Decor_Orders[[#All],[Cost]],,0)</f>
        <v>20000</v>
      </c>
      <c r="S113" s="10" cm="1">
        <f t="array" ref="S113">_xlfn.XLOOKUP(Event_Master[[#This Row],[Event_No]],Decor_Orders[[#All],[Event_No]],Decor_Orders[[#All],[Client_Charge]],,0)</f>
        <v>24000</v>
      </c>
      <c r="T113" s="10" t="s">
        <v>405</v>
      </c>
      <c r="U113" s="10">
        <f>SUMIFS(Logistics_Orders[[#All],[Cost]],Logistics_Orders[[#All],[Event_No]],Event_Master[[#This Row],[Event_No]])</f>
        <v>44000</v>
      </c>
      <c r="V113" s="10">
        <f>SUMIFS(Logistics_Orders[[#All],[Client_Charge]],Logistics_Orders[[#All],[Event_No]],Event_Master[[#This Row],[Event_No]])</f>
        <v>52800</v>
      </c>
      <c r="W113" s="10" t="s">
        <v>411</v>
      </c>
      <c r="X113" s="10">
        <f>SUMIFS(Food_Orders[[#All],[Cost]],Food_Orders[[#All],[Event_No]],Event_Master[[#This Row],[Event_No]])</f>
        <v>129000</v>
      </c>
      <c r="Y113" s="10">
        <f>SUMIFS(Food_Orders[[#All],[Client_Price]],Food_Orders[[#All],[Event_No]],Event_Master[[#This Row],[Event_No]])</f>
        <v>154800</v>
      </c>
      <c r="Z113" s="10">
        <f>Event_Master[[#This Row],[Venue_Cost]]+Event_Master[[#This Row],[Photography_Cost]]+Event_Master[[#This Row],[Entertainment_Cost]]+Event_Master[[#This Row],[Decor_Cost]]+Event_Master[[#This Row],[Logistics_Cost]]+Event_Master[[#This Row],[Food_Cost]]</f>
        <v>213000</v>
      </c>
      <c r="AA113" s="10">
        <f>Event_Master[[#This Row],[Venue_Charge]]+Event_Master[[#This Row],[Photography_Charge]]+Event_Master[[#This Row],[Entertainment_Charge]]+Event_Master[[#This Row],[Decor_Charge]]+Event_Master[[#This Row],[Logistics_Charge]]+Event_Master[[#This Row],[Food_Charge]]</f>
        <v>255600</v>
      </c>
      <c r="AB113" s="10">
        <v>5000</v>
      </c>
      <c r="AC113" s="10">
        <f>Event_Master[[#This Row],[Client_Budget]]+Event_Master[[#This Row],[Planner_Remuneration]]</f>
        <v>260600</v>
      </c>
      <c r="AD113" s="10">
        <v>5</v>
      </c>
    </row>
    <row r="114" spans="1:30" x14ac:dyDescent="0.25">
      <c r="A114" s="10">
        <v>113</v>
      </c>
      <c r="B114" s="10" t="str" cm="1">
        <f t="array" ref="B114">_xlfn.XLOOKUP(Event_Master[[#This Row],[Event_Type]],Event_Catalog[[#All],[Event_Name]],Event_Catalog[[#All],[Event_ID]],,0)</f>
        <v>E001</v>
      </c>
      <c r="C114" s="10" t="s">
        <v>293</v>
      </c>
      <c r="D114" s="10" t="s">
        <v>292</v>
      </c>
      <c r="E114" s="10">
        <v>888</v>
      </c>
      <c r="F114" s="10" t="s">
        <v>404</v>
      </c>
      <c r="G114" s="11">
        <v>45983</v>
      </c>
      <c r="H114" s="10" t="s">
        <v>207</v>
      </c>
      <c r="I114" s="10" cm="1">
        <f t="array" ref="I114">_xlfn.XLOOKUP(Event_Master[[#This Row],[Event_No]],Venue_Orders[[#All],[Event_No]],Venue_Orders[[#All],[Rental_Cost]],0,0)</f>
        <v>60000</v>
      </c>
      <c r="J114" s="10" cm="1">
        <f t="array" ref="J114">_xlfn.XLOOKUP(Event_Master[[#This Row],[Event_No]],Venue_Orders[[#All],[Event_No]],Venue_Orders[[#All],[Client_Charge]],,0)</f>
        <v>70000</v>
      </c>
      <c r="K114" s="10" t="s">
        <v>242</v>
      </c>
      <c r="L114" s="10" cm="1">
        <f t="array" ref="L114">_xlfn.XLOOKUP(Event_Master[[#This Row],[Event_No]],Photography_Orders[[#All],[Event_No]],Photography_Orders[[#All],[Cost]],,0)</f>
        <v>20000</v>
      </c>
      <c r="M114" s="10" cm="1">
        <f t="array" ref="M114">_xlfn.XLOOKUP(Event_Master[[#This Row],[Event_No]],Photography_Orders[[#All],[Event_No]],Photography_Orders[[#All],[Client_Charge]],,0)</f>
        <v>24000</v>
      </c>
      <c r="N114" s="10" t="s">
        <v>153</v>
      </c>
      <c r="O114" s="10" cm="1">
        <f t="array" ref="O114">_xlfn.XLOOKUP(Event_Master[[#This Row],[Event_No]],Entertainment_Orders[[#All],[Event_No]],Entertainment_Orders[[#All],[Cost]],,0)</f>
        <v>15000</v>
      </c>
      <c r="P114" s="10" cm="1">
        <f t="array" ref="P114">_xlfn.XLOOKUP(Event_Master[[#This Row],[Event_No]],Entertainment_Orders[[#All],[Event_No]],Entertainment_Orders[[#All],[Client_Charge]],,0)</f>
        <v>18000</v>
      </c>
      <c r="Q114" s="10" t="s">
        <v>260</v>
      </c>
      <c r="R114" s="10" cm="1">
        <f t="array" ref="R114">_xlfn.XLOOKUP(Event_Master[[#This Row],[Event_No]],Decor_Orders[[#All],[Event_No]],Decor_Orders[[#All],[Cost]],,0)</f>
        <v>25000</v>
      </c>
      <c r="S114" s="10" cm="1">
        <f t="array" ref="S114">_xlfn.XLOOKUP(Event_Master[[#This Row],[Event_No]],Decor_Orders[[#All],[Event_No]],Decor_Orders[[#All],[Client_Charge]],,0)</f>
        <v>30000</v>
      </c>
      <c r="T114" s="10" t="s">
        <v>405</v>
      </c>
      <c r="U114" s="10">
        <f>SUMIFS(Logistics_Orders[[#All],[Cost]],Logistics_Orders[[#All],[Event_No]],Event_Master[[#This Row],[Event_No]])</f>
        <v>74000</v>
      </c>
      <c r="V114" s="10">
        <f>SUMIFS(Logistics_Orders[[#All],[Client_Charge]],Logistics_Orders[[#All],[Event_No]],Event_Master[[#This Row],[Event_No]])</f>
        <v>88800</v>
      </c>
      <c r="W114" s="10" t="s">
        <v>406</v>
      </c>
      <c r="X114" s="10">
        <f>SUMIFS(Food_Orders[[#All],[Cost]],Food_Orders[[#All],[Event_No]],Event_Master[[#This Row],[Event_No]])</f>
        <v>1460760</v>
      </c>
      <c r="Y114" s="10">
        <f>SUMIFS(Food_Orders[[#All],[Client_Price]],Food_Orders[[#All],[Event_No]],Event_Master[[#This Row],[Event_No]])</f>
        <v>1752912</v>
      </c>
      <c r="Z114" s="10">
        <f>Event_Master[[#This Row],[Venue_Cost]]+Event_Master[[#This Row],[Photography_Cost]]+Event_Master[[#This Row],[Entertainment_Cost]]+Event_Master[[#This Row],[Decor_Cost]]+Event_Master[[#This Row],[Logistics_Cost]]+Event_Master[[#This Row],[Food_Cost]]</f>
        <v>1654760</v>
      </c>
      <c r="AA114" s="10">
        <f>Event_Master[[#This Row],[Venue_Charge]]+Event_Master[[#This Row],[Photography_Charge]]+Event_Master[[#This Row],[Entertainment_Charge]]+Event_Master[[#This Row],[Decor_Charge]]+Event_Master[[#This Row],[Logistics_Charge]]+Event_Master[[#This Row],[Food_Charge]]</f>
        <v>1983712</v>
      </c>
      <c r="AB114" s="10">
        <v>30000</v>
      </c>
      <c r="AC114" s="10">
        <f>Event_Master[[#This Row],[Client_Budget]]+Event_Master[[#This Row],[Planner_Remuneration]]</f>
        <v>2013712</v>
      </c>
      <c r="AD114" s="10">
        <v>4</v>
      </c>
    </row>
    <row r="115" spans="1:30" x14ac:dyDescent="0.25">
      <c r="A115" s="10">
        <v>114</v>
      </c>
      <c r="B115" s="10" t="str" cm="1">
        <f t="array" ref="B115">_xlfn.XLOOKUP(Event_Master[[#This Row],[Event_Type]],Event_Catalog[[#All],[Event_Name]],Event_Catalog[[#All],[Event_ID]],,0)</f>
        <v>E006</v>
      </c>
      <c r="C115" s="10" t="s">
        <v>303</v>
      </c>
      <c r="D115" s="10" t="s">
        <v>292</v>
      </c>
      <c r="E115" s="10">
        <v>130</v>
      </c>
      <c r="F115" s="10" t="s">
        <v>409</v>
      </c>
      <c r="G115" s="11">
        <v>45837</v>
      </c>
      <c r="H115" s="10" t="s">
        <v>223</v>
      </c>
      <c r="I115" s="10" cm="1">
        <f t="array" ref="I115">_xlfn.XLOOKUP(Event_Master[[#This Row],[Event_No]],Venue_Orders[[#All],[Event_No]],Venue_Orders[[#All],[Rental_Cost]],0,0)</f>
        <v>0</v>
      </c>
      <c r="J115" s="10" cm="1">
        <f t="array" ref="J115">_xlfn.XLOOKUP(Event_Master[[#This Row],[Event_No]],Venue_Orders[[#All],[Event_No]],Venue_Orders[[#All],[Client_Charge]],,0)</f>
        <v>0</v>
      </c>
      <c r="K115" s="10" t="s">
        <v>242</v>
      </c>
      <c r="L115" s="10" cm="1">
        <f t="array" ref="L115">_xlfn.XLOOKUP(Event_Master[[#This Row],[Event_No]],Photography_Orders[[#All],[Event_No]],Photography_Orders[[#All],[Cost]],,0)</f>
        <v>20000</v>
      </c>
      <c r="M115" s="10" cm="1">
        <f t="array" ref="M115">_xlfn.XLOOKUP(Event_Master[[#This Row],[Event_No]],Photography_Orders[[#All],[Event_No]],Photography_Orders[[#All],[Client_Charge]],,0)</f>
        <v>24000</v>
      </c>
      <c r="N115" s="10" t="s">
        <v>167</v>
      </c>
      <c r="O115" s="10" cm="1">
        <f t="array" ref="O115">_xlfn.XLOOKUP(Event_Master[[#This Row],[Event_No]],Entertainment_Orders[[#All],[Event_No]],Entertainment_Orders[[#All],[Cost]],,0)</f>
        <v>0</v>
      </c>
      <c r="P115" s="10" cm="1">
        <f t="array" ref="P115">_xlfn.XLOOKUP(Event_Master[[#This Row],[Event_No]],Entertainment_Orders[[#All],[Event_No]],Entertainment_Orders[[#All],[Client_Charge]],,0)</f>
        <v>0</v>
      </c>
      <c r="Q115" s="10" t="s">
        <v>278</v>
      </c>
      <c r="R115" s="10" cm="1">
        <f t="array" ref="R115">_xlfn.XLOOKUP(Event_Master[[#This Row],[Event_No]],Decor_Orders[[#All],[Event_No]],Decor_Orders[[#All],[Cost]],,0)</f>
        <v>20000</v>
      </c>
      <c r="S115" s="10" cm="1">
        <f t="array" ref="S115">_xlfn.XLOOKUP(Event_Master[[#This Row],[Event_No]],Decor_Orders[[#All],[Event_No]],Decor_Orders[[#All],[Client_Charge]],,0)</f>
        <v>24000</v>
      </c>
      <c r="T115" s="10" t="s">
        <v>405</v>
      </c>
      <c r="U115" s="10">
        <f>SUMIFS(Logistics_Orders[[#All],[Cost]],Logistics_Orders[[#All],[Event_No]],Event_Master[[#This Row],[Event_No]])</f>
        <v>44000</v>
      </c>
      <c r="V115" s="10">
        <f>SUMIFS(Logistics_Orders[[#All],[Client_Charge]],Logistics_Orders[[#All],[Event_No]],Event_Master[[#This Row],[Event_No]])</f>
        <v>52800</v>
      </c>
      <c r="W115" s="10" t="s">
        <v>412</v>
      </c>
      <c r="X115" s="10">
        <f>SUMIFS(Food_Orders[[#All],[Cost]],Food_Orders[[#All],[Event_No]],Event_Master[[#This Row],[Event_No]])</f>
        <v>91650</v>
      </c>
      <c r="Y115" s="10">
        <f>SUMIFS(Food_Orders[[#All],[Client_Price]],Food_Orders[[#All],[Event_No]],Event_Master[[#This Row],[Event_No]])</f>
        <v>109980</v>
      </c>
      <c r="Z115" s="10">
        <f>Event_Master[[#This Row],[Venue_Cost]]+Event_Master[[#This Row],[Photography_Cost]]+Event_Master[[#This Row],[Entertainment_Cost]]+Event_Master[[#This Row],[Decor_Cost]]+Event_Master[[#This Row],[Logistics_Cost]]+Event_Master[[#This Row],[Food_Cost]]</f>
        <v>175650</v>
      </c>
      <c r="AA115" s="10">
        <f>Event_Master[[#This Row],[Venue_Charge]]+Event_Master[[#This Row],[Photography_Charge]]+Event_Master[[#This Row],[Entertainment_Charge]]+Event_Master[[#This Row],[Decor_Charge]]+Event_Master[[#This Row],[Logistics_Charge]]+Event_Master[[#This Row],[Food_Charge]]</f>
        <v>210780</v>
      </c>
      <c r="AB115" s="10">
        <v>5000</v>
      </c>
      <c r="AC115" s="10">
        <f>Event_Master[[#This Row],[Client_Budget]]+Event_Master[[#This Row],[Planner_Remuneration]]</f>
        <v>215780</v>
      </c>
      <c r="AD115" s="10">
        <v>3</v>
      </c>
    </row>
    <row r="116" spans="1:30" x14ac:dyDescent="0.25">
      <c r="A116" s="10">
        <v>115</v>
      </c>
      <c r="B116" s="10" t="str" cm="1">
        <f t="array" ref="B116">_xlfn.XLOOKUP(Event_Master[[#This Row],[Event_Type]],Event_Catalog[[#All],[Event_Name]],Event_Catalog[[#All],[Event_ID]],,0)</f>
        <v>E007</v>
      </c>
      <c r="C116" s="10" t="s">
        <v>305</v>
      </c>
      <c r="D116" s="10" t="s">
        <v>292</v>
      </c>
      <c r="E116" s="10">
        <v>250</v>
      </c>
      <c r="F116" s="10" t="s">
        <v>407</v>
      </c>
      <c r="G116" s="11">
        <v>45865</v>
      </c>
      <c r="H116" s="10" t="s">
        <v>223</v>
      </c>
      <c r="I116" s="10" cm="1">
        <f t="array" ref="I116">_xlfn.XLOOKUP(Event_Master[[#This Row],[Event_No]],Venue_Orders[[#All],[Event_No]],Venue_Orders[[#All],[Rental_Cost]],0,0)</f>
        <v>0</v>
      </c>
      <c r="J116" s="10" cm="1">
        <f t="array" ref="J116">_xlfn.XLOOKUP(Event_Master[[#This Row],[Event_No]],Venue_Orders[[#All],[Event_No]],Venue_Orders[[#All],[Client_Charge]],,0)</f>
        <v>0</v>
      </c>
      <c r="K116" s="10" t="s">
        <v>232</v>
      </c>
      <c r="L116" s="10" cm="1">
        <f t="array" ref="L116">_xlfn.XLOOKUP(Event_Master[[#This Row],[Event_No]],Photography_Orders[[#All],[Event_No]],Photography_Orders[[#All],[Cost]],,0)</f>
        <v>30000</v>
      </c>
      <c r="M116" s="10" cm="1">
        <f t="array" ref="M116">_xlfn.XLOOKUP(Event_Master[[#This Row],[Event_No]],Photography_Orders[[#All],[Event_No]],Photography_Orders[[#All],[Client_Charge]],,0)</f>
        <v>36000</v>
      </c>
      <c r="N116" s="10" t="s">
        <v>169</v>
      </c>
      <c r="O116" s="10" cm="1">
        <f t="array" ref="O116">_xlfn.XLOOKUP(Event_Master[[#This Row],[Event_No]],Entertainment_Orders[[#All],[Event_No]],Entertainment_Orders[[#All],[Cost]],,0)</f>
        <v>0</v>
      </c>
      <c r="P116" s="10" cm="1">
        <f t="array" ref="P116">_xlfn.XLOOKUP(Event_Master[[#This Row],[Event_No]],Entertainment_Orders[[#All],[Event_No]],Entertainment_Orders[[#All],[Client_Charge]],,0)</f>
        <v>0</v>
      </c>
      <c r="Q116" s="10" t="s">
        <v>260</v>
      </c>
      <c r="R116" s="10" cm="1">
        <f t="array" ref="R116">_xlfn.XLOOKUP(Event_Master[[#This Row],[Event_No]],Decor_Orders[[#All],[Event_No]],Decor_Orders[[#All],[Cost]],,0)</f>
        <v>25000</v>
      </c>
      <c r="S116" s="10" cm="1">
        <f t="array" ref="S116">_xlfn.XLOOKUP(Event_Master[[#This Row],[Event_No]],Decor_Orders[[#All],[Event_No]],Decor_Orders[[#All],[Client_Charge]],,0)</f>
        <v>30000</v>
      </c>
      <c r="T116" s="10" t="s">
        <v>405</v>
      </c>
      <c r="U116" s="10">
        <f>SUMIFS(Logistics_Orders[[#All],[Cost]],Logistics_Orders[[#All],[Event_No]],Event_Master[[#This Row],[Event_No]])</f>
        <v>44000</v>
      </c>
      <c r="V116" s="10">
        <f>SUMIFS(Logistics_Orders[[#All],[Client_Charge]],Logistics_Orders[[#All],[Event_No]],Event_Master[[#This Row],[Event_No]])</f>
        <v>52800</v>
      </c>
      <c r="W116" s="10" t="s">
        <v>414</v>
      </c>
      <c r="X116" s="10">
        <f>SUMIFS(Food_Orders[[#All],[Cost]],Food_Orders[[#All],[Event_No]],Event_Master[[#This Row],[Event_No]])</f>
        <v>265000</v>
      </c>
      <c r="Y116" s="10">
        <f>SUMIFS(Food_Orders[[#All],[Client_Price]],Food_Orders[[#All],[Event_No]],Event_Master[[#This Row],[Event_No]])</f>
        <v>318000</v>
      </c>
      <c r="Z116" s="10">
        <f>Event_Master[[#This Row],[Venue_Cost]]+Event_Master[[#This Row],[Photography_Cost]]+Event_Master[[#This Row],[Entertainment_Cost]]+Event_Master[[#This Row],[Decor_Cost]]+Event_Master[[#This Row],[Logistics_Cost]]+Event_Master[[#This Row],[Food_Cost]]</f>
        <v>364000</v>
      </c>
      <c r="AA116" s="10">
        <f>Event_Master[[#This Row],[Venue_Charge]]+Event_Master[[#This Row],[Photography_Charge]]+Event_Master[[#This Row],[Entertainment_Charge]]+Event_Master[[#This Row],[Decor_Charge]]+Event_Master[[#This Row],[Logistics_Charge]]+Event_Master[[#This Row],[Food_Charge]]</f>
        <v>436800</v>
      </c>
      <c r="AB116" s="10">
        <v>12000</v>
      </c>
      <c r="AC116" s="10">
        <f>Event_Master[[#This Row],[Client_Budget]]+Event_Master[[#This Row],[Planner_Remuneration]]</f>
        <v>448800</v>
      </c>
      <c r="AD116" s="10">
        <v>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4E52C-27B2-465D-8B44-C67A4FD53AE9}">
  <dimension ref="A1:F4"/>
  <sheetViews>
    <sheetView tabSelected="1" workbookViewId="0">
      <selection activeCell="E25" sqref="E25"/>
    </sheetView>
  </sheetViews>
  <sheetFormatPr defaultRowHeight="18.75" x14ac:dyDescent="0.3"/>
  <cols>
    <col min="1" max="1" width="18.140625" style="15" customWidth="1"/>
    <col min="2" max="2" width="27.5703125" style="15" customWidth="1"/>
    <col min="3" max="3" width="82.140625" style="15" bestFit="1" customWidth="1"/>
    <col min="4" max="4" width="19.140625" style="15" bestFit="1" customWidth="1"/>
    <col min="5" max="5" width="28.7109375" style="15" bestFit="1" customWidth="1"/>
    <col min="6" max="6" width="73.7109375" style="15" bestFit="1" customWidth="1"/>
    <col min="7" max="16384" width="9.140625" style="15"/>
  </cols>
  <sheetData>
    <row r="1" spans="1:6" x14ac:dyDescent="0.3">
      <c r="A1" s="13" t="s">
        <v>392</v>
      </c>
      <c r="B1" s="14" t="s">
        <v>451</v>
      </c>
      <c r="D1" s="20" t="s">
        <v>453</v>
      </c>
      <c r="E1" s="21" t="s">
        <v>454</v>
      </c>
      <c r="F1" s="22" t="s">
        <v>175</v>
      </c>
    </row>
    <row r="2" spans="1:6" x14ac:dyDescent="0.3">
      <c r="A2" s="16" t="s">
        <v>452</v>
      </c>
      <c r="B2" s="17">
        <v>5000</v>
      </c>
      <c r="D2" s="23" t="s">
        <v>409</v>
      </c>
      <c r="E2" s="12" t="s">
        <v>455</v>
      </c>
      <c r="F2" s="24" t="s">
        <v>456</v>
      </c>
    </row>
    <row r="3" spans="1:6" x14ac:dyDescent="0.3">
      <c r="A3" s="16" t="s">
        <v>407</v>
      </c>
      <c r="B3" s="17">
        <v>12000</v>
      </c>
      <c r="D3" s="23" t="s">
        <v>407</v>
      </c>
      <c r="E3" s="12" t="s">
        <v>457</v>
      </c>
      <c r="F3" s="24" t="s">
        <v>458</v>
      </c>
    </row>
    <row r="4" spans="1:6" x14ac:dyDescent="0.3">
      <c r="A4" s="18" t="s">
        <v>404</v>
      </c>
      <c r="B4" s="19">
        <v>30000</v>
      </c>
      <c r="D4" s="25" t="s">
        <v>404</v>
      </c>
      <c r="E4" s="26" t="s">
        <v>459</v>
      </c>
      <c r="F4" s="27" t="s">
        <v>460</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F4FC87-876E-4A1F-942B-C05EB29A88A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Food_Catalog</vt:lpstr>
      <vt:lpstr>Food_Orders</vt:lpstr>
      <vt:lpstr>Entertainment_Catalog</vt:lpstr>
      <vt:lpstr>Entertainment_Orders</vt:lpstr>
      <vt:lpstr>Logistics_Catalog</vt:lpstr>
      <vt:lpstr>Logistics_Orders</vt:lpstr>
      <vt:lpstr>Venue_Catalog</vt:lpstr>
      <vt:lpstr>Venue_Orders</vt:lpstr>
      <vt:lpstr>Decor_Catalog</vt:lpstr>
      <vt:lpstr>Photography_Catalog</vt:lpstr>
      <vt:lpstr>Photography_Orders</vt:lpstr>
      <vt:lpstr>Decor_Orders</vt:lpstr>
      <vt:lpstr>Event_Catalog</vt:lpstr>
      <vt:lpstr>Event_Master</vt:lpstr>
      <vt:lpstr>Budget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akshayamekala2004@outlook.com</dc:creator>
  <cp:lastModifiedBy>akshayamekala2004@outlook.com</cp:lastModifiedBy>
  <dcterms:created xsi:type="dcterms:W3CDTF">2025-10-10T12:56:26Z</dcterms:created>
  <dcterms:modified xsi:type="dcterms:W3CDTF">2025-10-13T03:35:10Z</dcterms:modified>
</cp:coreProperties>
</file>